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<sst xmlns="http://schemas.openxmlformats.org/spreadsheetml/2006/main" count="23" uniqueCount="23">
  <si>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  崇铭
（成型）</t>
  </si>
  <si>
    <t xml:space="preserve"> 轶可晟
（压合）</t>
  </si>
  <si>
    <t xml:space="preserve"> 轶可晟
（喷锡）</t>
  </si>
  <si>
    <t xml:space="preserve">  舟特
（压合）</t>
  </si>
  <si>
    <t xml:space="preserve">  永盛
（OSP）</t>
  </si>
  <si>
    <t xml:space="preserve">  永盛
（化金）</t>
  </si>
  <si>
    <t xml:space="preserve">  润深
（电镀）</t>
  </si>
  <si>
    <t xml:space="preserve">  众合
（成型）</t>
  </si>
  <si>
    <t xml:space="preserve"> 欧米瑞
（喷锡）</t>
  </si>
  <si>
    <t xml:space="preserve">  怀恩
（喷墨）</t>
  </si>
  <si>
    <t xml:space="preserve">  星际
（喷锡）</t>
  </si>
  <si>
    <t xml:space="preserve">  建滔
（板材）</t>
  </si>
  <si>
    <t xml:space="preserve">  药水
（哈福）</t>
  </si>
  <si>
    <t xml:space="preserve">  生益
（板材）</t>
  </si>
  <si>
    <r>
      <rPr>
        <sz val="11"/>
        <color theme="1"/>
        <rFont val="宋体"/>
        <charset val="134"/>
        <scheme val="minor"/>
      </rPr>
      <t>本月生产面积
（</t>
    </r>
    <r>
      <rPr>
        <sz val="9"/>
        <color theme="1"/>
        <rFont val="宋体"/>
        <charset val="134"/>
        <scheme val="minor"/>
      </rPr>
      <t>平方米）</t>
    </r>
  </si>
  <si>
    <r>
      <rPr>
        <sz val="11"/>
        <color theme="1"/>
        <rFont val="宋体"/>
        <charset val="134"/>
        <scheme val="minor"/>
      </rPr>
      <t>本月报废
（</t>
    </r>
    <r>
      <rPr>
        <sz val="8"/>
        <color theme="1"/>
        <rFont val="宋体"/>
        <charset val="134"/>
        <scheme val="minor"/>
      </rPr>
      <t>平方米</t>
    </r>
    <r>
      <rPr>
        <sz val="11"/>
        <color theme="1"/>
        <rFont val="宋体"/>
        <charset val="134"/>
        <scheme val="minor"/>
      </rPr>
      <t>）</t>
    </r>
  </si>
  <si>
    <r>
      <rPr>
        <sz val="8"/>
        <color theme="1"/>
        <rFont val="宋体"/>
        <charset val="134"/>
        <scheme val="minor"/>
      </rPr>
      <t>允许报废面积</t>
    </r>
    <r>
      <rPr>
        <sz val="11"/>
        <color theme="1"/>
        <rFont val="宋体"/>
        <charset val="134"/>
        <scheme val="minor"/>
      </rPr>
      <t xml:space="preserve">
（0.05%)</t>
    </r>
  </si>
  <si>
    <r>
      <rPr>
        <sz val="11"/>
        <color theme="1"/>
        <rFont val="宋体"/>
        <charset val="134"/>
        <scheme val="minor"/>
      </rPr>
      <t>实际报废（</t>
    </r>
    <r>
      <rPr>
        <sz val="8"/>
        <color theme="1"/>
        <rFont val="宋体"/>
        <charset val="134"/>
        <scheme val="minor"/>
      </rPr>
      <t>平方米</t>
    </r>
    <r>
      <rPr>
        <sz val="11"/>
        <color theme="1"/>
        <rFont val="宋体"/>
        <charset val="134"/>
        <scheme val="minor"/>
      </rPr>
      <t>）</t>
    </r>
  </si>
  <si>
    <t>报废单价</t>
  </si>
  <si>
    <t>合计金额</t>
  </si>
  <si>
    <t>实际扣款</t>
  </si>
  <si>
    <t>未签协议，扣1561.25</t>
  </si>
  <si>
    <t>这家先不扣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</si>
</sst>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28575</xdr:rowOff>
    </xdr:from>
    <xdr:to>
      <xdr:col>0</xdr:col>
      <xdr:colOff>676275</xdr:colOff>
      <xdr:row>0</xdr:row>
      <xdr:rowOff>657225</xdr:rowOff>
    </xdr:to>
    <xdr:cxnSp>
      <xdr:nvCxnSpPr>
        <xdr:cNvPr id="3" name="直接连接符 2"/>
        <xdr:cNvCxnSpPr/>
      </xdr:nvCxnSpPr>
      <xdr:spPr>
        <a:xfrm>
          <a:off x="9525" y="28575"/>
          <a:ext cx="607695" cy="6286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C4" sqref="C4"/>
    </sheetView>
  </sheetViews>
  <sheetFormatPr defaultColWidth="9" defaultRowHeight="14.4" outlineLevelRow="7"/>
  <cols>
    <col min="1" max="1" width="9" style="1"/>
    <col min="2" max="2" width="9.5" style="1" customWidth="1"/>
    <col min="3" max="3" width="9.25" style="1" customWidth="1"/>
    <col min="4" max="4" width="10.6296296296296" style="2" customWidth="1"/>
    <col min="5" max="5" width="9.25" style="1" customWidth="1"/>
    <col min="6" max="6" width="10.6296296296296" style="1" customWidth="1"/>
    <col min="7" max="7" width="9.62962962962963" style="1" customWidth="1"/>
    <col min="8" max="8" width="9.62962962962963" style="2" customWidth="1"/>
    <col min="9" max="9" width="9.12962962962963" style="1" customWidth="1"/>
    <col min="10" max="11" width="9.62962962962963" style="1" customWidth="1"/>
    <col min="12" max="12" width="9.12962962962963" style="1" customWidth="1"/>
    <col min="13" max="13" width="9.5" style="1" customWidth="1"/>
    <col min="14" max="14" width="9.12962962962963" style="1" customWidth="1"/>
    <col min="15" max="15" width="9" style="1"/>
  </cols>
  <sheetData>
    <row r="1" ht="53.25" customHeight="1" spans="1:1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ht="49.5" customHeight="1" spans="1:15">
      <c r="A2" s="5" t="s">
        <v>14</v>
      </c>
      <c r="B2" s="6">
        <v>2400.23</v>
      </c>
      <c r="C2" s="6">
        <v>2390.63</v>
      </c>
      <c r="D2" s="6">
        <v>22328.18</v>
      </c>
      <c r="E2" s="6">
        <v>1268.99</v>
      </c>
      <c r="F2" s="6">
        <v>1449.25</v>
      </c>
      <c r="G2" s="6">
        <v>979.29</v>
      </c>
      <c r="H2" s="6">
        <v>2059.93</v>
      </c>
      <c r="I2" s="6">
        <v>239.78</v>
      </c>
      <c r="J2" s="6">
        <v>5095</v>
      </c>
      <c r="K2" s="6">
        <v>1472.59</v>
      </c>
      <c r="L2" s="8">
        <v>788.04</v>
      </c>
      <c r="M2" s="8"/>
      <c r="N2" s="8">
        <v>23890.7</v>
      </c>
      <c r="O2" s="9"/>
    </row>
    <row r="3" ht="49.5" customHeight="1" spans="1:15">
      <c r="A3" s="5" t="s">
        <v>15</v>
      </c>
      <c r="B3" s="6">
        <v>7.24</v>
      </c>
      <c r="C3" s="6">
        <v>7.012</v>
      </c>
      <c r="D3" s="6">
        <v>16.804</v>
      </c>
      <c r="E3" s="6">
        <v>1.33</v>
      </c>
      <c r="F3" s="6">
        <v>0.31</v>
      </c>
      <c r="G3" s="6">
        <v>1.16</v>
      </c>
      <c r="H3" s="6">
        <v>6.23</v>
      </c>
      <c r="I3" s="6">
        <v>0.045</v>
      </c>
      <c r="J3" s="6">
        <v>11.67</v>
      </c>
      <c r="K3" s="6">
        <v>2.08</v>
      </c>
      <c r="L3" s="6">
        <v>0.06</v>
      </c>
      <c r="M3" s="6">
        <v>23.29</v>
      </c>
      <c r="N3" s="6">
        <v>21.32</v>
      </c>
      <c r="O3" s="9">
        <v>1.38</v>
      </c>
    </row>
    <row r="4" ht="49.5" customHeight="1" spans="1:15">
      <c r="A4" s="7" t="s">
        <v>16</v>
      </c>
      <c r="B4" s="6">
        <f>B2*0.05%</f>
        <v>1.200115</v>
      </c>
      <c r="C4" s="6">
        <f t="shared" ref="C4:N4" si="0">C2*0.05%</f>
        <v>1.195315</v>
      </c>
      <c r="D4" s="6">
        <f t="shared" si="0"/>
        <v>11.16409</v>
      </c>
      <c r="E4" s="6">
        <f t="shared" si="0"/>
        <v>0.634495</v>
      </c>
      <c r="F4" s="6">
        <f t="shared" si="0"/>
        <v>0.724625</v>
      </c>
      <c r="G4" s="6">
        <f t="shared" si="0"/>
        <v>0.489645</v>
      </c>
      <c r="H4" s="6">
        <f t="shared" si="0"/>
        <v>1.029965</v>
      </c>
      <c r="I4" s="6">
        <f t="shared" si="0"/>
        <v>0.11989</v>
      </c>
      <c r="J4" s="6">
        <f t="shared" si="0"/>
        <v>2.5475</v>
      </c>
      <c r="K4" s="6">
        <f t="shared" si="0"/>
        <v>0.736295</v>
      </c>
      <c r="L4" s="6">
        <f t="shared" si="0"/>
        <v>0.39402</v>
      </c>
      <c r="M4" s="6">
        <f t="shared" si="0"/>
        <v>0</v>
      </c>
      <c r="N4" s="6">
        <f t="shared" si="0"/>
        <v>11.94535</v>
      </c>
      <c r="O4" s="6">
        <f t="shared" ref="O4" si="1">O2*0.05%</f>
        <v>0</v>
      </c>
    </row>
    <row r="5" ht="49.5" customHeight="1" spans="1:15">
      <c r="A5" s="7" t="s">
        <v>17</v>
      </c>
      <c r="B5" s="6">
        <f>B3-B4</f>
        <v>6.039885</v>
      </c>
      <c r="C5" s="6">
        <f>C3-C4</f>
        <v>5.816685</v>
      </c>
      <c r="D5" s="6">
        <f t="shared" ref="D5:N5" si="2">D3-D4</f>
        <v>5.63991</v>
      </c>
      <c r="E5" s="6">
        <f t="shared" si="2"/>
        <v>0.695505</v>
      </c>
      <c r="F5" s="6">
        <f t="shared" si="2"/>
        <v>-0.414625</v>
      </c>
      <c r="G5" s="6">
        <f t="shared" si="2"/>
        <v>0.670355</v>
      </c>
      <c r="H5" s="6">
        <f t="shared" si="2"/>
        <v>5.200035</v>
      </c>
      <c r="I5" s="6">
        <f t="shared" si="2"/>
        <v>-0.07489</v>
      </c>
      <c r="J5" s="6">
        <f t="shared" si="2"/>
        <v>9.1225</v>
      </c>
      <c r="K5" s="6">
        <f t="shared" si="2"/>
        <v>1.343705</v>
      </c>
      <c r="L5" s="6">
        <f t="shared" si="2"/>
        <v>-0.33402</v>
      </c>
      <c r="M5" s="6">
        <f t="shared" si="2"/>
        <v>23.29</v>
      </c>
      <c r="N5" s="6">
        <f t="shared" si="2"/>
        <v>9.37465</v>
      </c>
      <c r="O5" s="6">
        <f t="shared" ref="O5" si="3">O3-O4</f>
        <v>1.38</v>
      </c>
    </row>
    <row r="6" ht="33.75" customHeight="1" spans="1:15">
      <c r="A6" s="8" t="s">
        <v>18</v>
      </c>
      <c r="B6" s="6">
        <v>500</v>
      </c>
      <c r="C6" s="6">
        <v>400</v>
      </c>
      <c r="D6" s="8">
        <v>500</v>
      </c>
      <c r="E6" s="8">
        <v>400</v>
      </c>
      <c r="F6" s="8">
        <v>500</v>
      </c>
      <c r="G6" s="8">
        <v>600</v>
      </c>
      <c r="H6" s="8">
        <v>300</v>
      </c>
      <c r="I6" s="8">
        <v>500</v>
      </c>
      <c r="J6" s="8">
        <v>500</v>
      </c>
      <c r="K6" s="8">
        <v>500</v>
      </c>
      <c r="L6" s="8">
        <v>500</v>
      </c>
      <c r="M6" s="8">
        <v>300</v>
      </c>
      <c r="N6" s="8">
        <v>300</v>
      </c>
      <c r="O6" s="8">
        <v>300</v>
      </c>
    </row>
    <row r="7" ht="33.75" customHeight="1" spans="1:15">
      <c r="A7" s="8" t="s">
        <v>19</v>
      </c>
      <c r="B7" s="6">
        <f>B6*B5</f>
        <v>3019.9425</v>
      </c>
      <c r="C7" s="6">
        <f t="shared" ref="C7:N7" si="4">C6*C5</f>
        <v>2326.674</v>
      </c>
      <c r="D7" s="6">
        <f t="shared" si="4"/>
        <v>2819.955</v>
      </c>
      <c r="E7" s="6">
        <f t="shared" si="4"/>
        <v>278.202</v>
      </c>
      <c r="F7" s="6">
        <f t="shared" si="4"/>
        <v>-207.3125</v>
      </c>
      <c r="G7" s="6">
        <f t="shared" si="4"/>
        <v>402.213</v>
      </c>
      <c r="H7" s="6">
        <f t="shared" si="4"/>
        <v>1560.0105</v>
      </c>
      <c r="I7" s="6">
        <f t="shared" si="4"/>
        <v>-37.445</v>
      </c>
      <c r="J7" s="6">
        <f t="shared" si="4"/>
        <v>4561.25</v>
      </c>
      <c r="K7" s="6">
        <f t="shared" si="4"/>
        <v>671.8525</v>
      </c>
      <c r="L7" s="6">
        <f t="shared" si="4"/>
        <v>-167.01</v>
      </c>
      <c r="M7" s="6">
        <f>M3*M6</f>
        <v>6987</v>
      </c>
      <c r="N7" s="6">
        <f t="shared" si="4"/>
        <v>2812.395</v>
      </c>
      <c r="O7" s="6">
        <f>O3*O6</f>
        <v>414</v>
      </c>
    </row>
    <row r="8" ht="40.5" customHeight="1" spans="1:15">
      <c r="A8" s="7" t="s">
        <v>20</v>
      </c>
      <c r="B8" s="8"/>
      <c r="C8" s="8">
        <v>1526.67</v>
      </c>
      <c r="D8" s="8">
        <v>1819.96</v>
      </c>
      <c r="E8" s="8"/>
      <c r="F8" s="8">
        <v>0</v>
      </c>
      <c r="G8" s="8"/>
      <c r="H8" s="8">
        <v>1060.01</v>
      </c>
      <c r="I8" s="8">
        <v>0</v>
      </c>
      <c r="J8" s="10" t="s">
        <v>21</v>
      </c>
      <c r="K8" s="8" t="s">
        <v>22</v>
      </c>
      <c r="L8" s="8">
        <v>0</v>
      </c>
      <c r="M8" s="8"/>
      <c r="N8" s="8"/>
      <c r="O8" s="9">
        <v>0</v>
      </c>
    </row>
  </sheetData>
  <pageMargins left="0.708661417322835" right="0.708661417322835" top="0.748031496062992" bottom="0.748031496062992" header="0.31496062992126" footer="0.31496062992126"/>
  <pageSetup paperSize="9" orientation="landscape" horizontalDpi="200" verticalDpi="300"/>
  <headerFooter/>
  <ignoredErrors>
    <ignoredError sqref="M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企业用户_1326760610</cp:lastModifiedBy>
  <dcterms:created xsi:type="dcterms:W3CDTF">2006-09-13T11:21:00Z</dcterms:created>
  <dcterms:modified xsi:type="dcterms:W3CDTF">2024-06-08T03:20:48Z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7609F955D3194E1DAFBDAEC06E843852_13</vt:lpwstr>
  </property>
  <property fmtid="{D5CDD505-2E9C-101B-9397-08002B2CF9AE}" pid="3" name="KSOProductBuildVer">
    <vt:lpwstr>2052-12.1.0.16929</vt:lpwstr>
  </property>
  <property fmtid="{D5CDD505-2E9C-101B-9397-08002B2CF9AE}" pid="4" name="CWMc3a76340459711ef80006f4900006e49">
    <vt:lpwstr>CWMOi9TCSlEoKHnWew1LSM8NLGISmVRX8UcuSAr/q6WkDDZo4PAranRG+1hsIR+Mrlp1JofAsT7OQpgTNcPJGVxZg==</vt:lpwstr>
  </property>
</Properties>
</file>