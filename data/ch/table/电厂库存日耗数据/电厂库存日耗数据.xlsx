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业务日常数据统计\"/>
    </mc:Choice>
  </mc:AlternateContent>
  <xr:revisionPtr revIDLastSave="0" documentId="13_ncr:1_{8B4DD97D-8AAF-434C-AFFE-682D72D224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沿海六大电厂库存" sheetId="1" r:id="rId1"/>
    <sheet name="库存透视" sheetId="2" r:id="rId2"/>
    <sheet name="日耗透视" sheetId="3" r:id="rId3"/>
    <sheet name="看板" sheetId="4" r:id="rId4"/>
  </sheets>
  <definedNames>
    <definedName name="切片器_日期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3" i="1" l="1"/>
  <c r="E263" i="1"/>
  <c r="G263" i="1"/>
  <c r="C262" i="1"/>
  <c r="E262" i="1"/>
  <c r="G262" i="1"/>
  <c r="C261" i="1"/>
  <c r="E261" i="1"/>
  <c r="G261" i="1"/>
  <c r="C260" i="1"/>
  <c r="E260" i="1"/>
  <c r="G260" i="1"/>
  <c r="C259" i="1" l="1"/>
  <c r="E259" i="1"/>
  <c r="G259" i="1"/>
  <c r="C258" i="1"/>
  <c r="E258" i="1"/>
  <c r="G258" i="1"/>
  <c r="C257" i="1"/>
  <c r="E257" i="1"/>
  <c r="G257" i="1"/>
  <c r="C256" i="1"/>
  <c r="E256" i="1"/>
  <c r="G256" i="1"/>
  <c r="C255" i="1"/>
  <c r="E255" i="1"/>
  <c r="G255" i="1"/>
  <c r="C254" i="1"/>
  <c r="E254" i="1"/>
  <c r="G254" i="1"/>
  <c r="C253" i="1"/>
  <c r="E253" i="1"/>
  <c r="G253" i="1"/>
  <c r="C252" i="1" l="1"/>
  <c r="E252" i="1"/>
  <c r="G252" i="1"/>
  <c r="C251" i="1"/>
  <c r="E251" i="1"/>
  <c r="G251" i="1"/>
  <c r="C250" i="1" l="1"/>
  <c r="E250" i="1"/>
  <c r="G250" i="1"/>
  <c r="C249" i="1"/>
  <c r="E249" i="1"/>
  <c r="G249" i="1"/>
  <c r="C248" i="1" l="1"/>
  <c r="E248" i="1"/>
  <c r="G248" i="1"/>
  <c r="C247" i="1" l="1"/>
  <c r="E247" i="1"/>
  <c r="G247" i="1"/>
  <c r="C246" i="1" l="1"/>
  <c r="E246" i="1"/>
  <c r="G246" i="1"/>
  <c r="C245" i="1" l="1"/>
  <c r="E245" i="1"/>
  <c r="G245" i="1"/>
  <c r="C244" i="1"/>
  <c r="E244" i="1"/>
  <c r="G244" i="1"/>
  <c r="C243" i="1"/>
  <c r="E243" i="1"/>
  <c r="G243" i="1"/>
  <c r="C242" i="1" l="1"/>
  <c r="E242" i="1"/>
  <c r="G242" i="1"/>
  <c r="C241" i="1" l="1"/>
  <c r="E241" i="1"/>
  <c r="G241" i="1"/>
  <c r="C240" i="1" l="1"/>
  <c r="E240" i="1"/>
  <c r="G240" i="1"/>
  <c r="C239" i="1" l="1"/>
  <c r="E239" i="1"/>
  <c r="G239" i="1"/>
  <c r="C238" i="1" l="1"/>
  <c r="E238" i="1"/>
  <c r="G238" i="1"/>
  <c r="C237" i="1"/>
  <c r="E237" i="1"/>
  <c r="G237" i="1"/>
  <c r="C236" i="1"/>
  <c r="E236" i="1"/>
  <c r="G236" i="1"/>
  <c r="C235" i="1"/>
  <c r="E235" i="1"/>
  <c r="G235" i="1"/>
  <c r="C234" i="1" l="1"/>
  <c r="E234" i="1"/>
  <c r="G234" i="1"/>
  <c r="C233" i="1"/>
  <c r="E233" i="1"/>
  <c r="G233" i="1"/>
  <c r="C232" i="1" l="1"/>
  <c r="E232" i="1"/>
  <c r="G232" i="1"/>
  <c r="C231" i="1"/>
  <c r="E231" i="1"/>
  <c r="G231" i="1"/>
  <c r="C230" i="1"/>
  <c r="E230" i="1"/>
  <c r="G230" i="1"/>
  <c r="C229" i="1"/>
  <c r="E229" i="1"/>
  <c r="G229" i="1"/>
  <c r="C228" i="1" l="1"/>
  <c r="E228" i="1"/>
  <c r="G228" i="1"/>
  <c r="C227" i="1"/>
  <c r="E227" i="1"/>
  <c r="G227" i="1"/>
  <c r="C226" i="1" l="1"/>
  <c r="E226" i="1"/>
  <c r="G226" i="1"/>
  <c r="C225" i="1"/>
  <c r="E225" i="1"/>
  <c r="G225" i="1"/>
  <c r="C224" i="1" l="1"/>
  <c r="E224" i="1"/>
  <c r="G224" i="1"/>
  <c r="C223" i="1"/>
  <c r="E223" i="1"/>
  <c r="G223" i="1"/>
  <c r="C222" i="1" l="1"/>
  <c r="E222" i="1"/>
  <c r="G222" i="1"/>
  <c r="C221" i="1"/>
  <c r="E221" i="1"/>
  <c r="G221" i="1"/>
  <c r="C220" i="1"/>
  <c r="E220" i="1"/>
  <c r="G220" i="1"/>
  <c r="C219" i="1" l="1"/>
  <c r="E219" i="1"/>
  <c r="G219" i="1"/>
  <c r="C218" i="1"/>
  <c r="E218" i="1"/>
  <c r="G218" i="1"/>
  <c r="C217" i="1"/>
  <c r="E217" i="1"/>
  <c r="G217" i="1"/>
  <c r="C216" i="1" l="1"/>
  <c r="E216" i="1"/>
  <c r="G216" i="1"/>
  <c r="C215" i="1"/>
  <c r="E215" i="1"/>
  <c r="G215" i="1"/>
  <c r="C214" i="1"/>
  <c r="E214" i="1"/>
  <c r="G214" i="1"/>
  <c r="C213" i="1" l="1"/>
  <c r="E213" i="1"/>
  <c r="G213" i="1"/>
  <c r="C212" i="1"/>
  <c r="E212" i="1"/>
  <c r="G212" i="1"/>
  <c r="C211" i="1"/>
  <c r="E211" i="1"/>
  <c r="G211" i="1"/>
  <c r="C210" i="1"/>
  <c r="E210" i="1"/>
  <c r="G210" i="1"/>
  <c r="C209" i="1"/>
  <c r="E209" i="1"/>
  <c r="G209" i="1"/>
  <c r="C208" i="1"/>
  <c r="E208" i="1"/>
  <c r="G208" i="1"/>
  <c r="C207" i="1"/>
  <c r="E207" i="1"/>
  <c r="G207" i="1"/>
  <c r="C206" i="1"/>
  <c r="E206" i="1"/>
  <c r="G206" i="1"/>
  <c r="C205" i="1"/>
  <c r="E205" i="1"/>
  <c r="G205" i="1"/>
  <c r="C204" i="1"/>
  <c r="E204" i="1"/>
  <c r="G204" i="1"/>
  <c r="C203" i="1"/>
  <c r="E203" i="1"/>
  <c r="G203" i="1"/>
  <c r="C202" i="1"/>
  <c r="E202" i="1"/>
  <c r="G202" i="1"/>
  <c r="C201" i="1"/>
  <c r="E201" i="1"/>
  <c r="G201" i="1"/>
  <c r="C200" i="1"/>
  <c r="E200" i="1"/>
  <c r="G200" i="1"/>
  <c r="C199" i="1" l="1"/>
  <c r="E199" i="1"/>
  <c r="G199" i="1"/>
  <c r="C198" i="1"/>
  <c r="E198" i="1"/>
  <c r="G198" i="1"/>
  <c r="C197" i="1"/>
  <c r="E197" i="1"/>
  <c r="G197" i="1"/>
  <c r="C196" i="1"/>
  <c r="E196" i="1"/>
  <c r="G196" i="1"/>
  <c r="C195" i="1"/>
  <c r="E195" i="1"/>
  <c r="G195" i="1"/>
  <c r="C194" i="1"/>
  <c r="E194" i="1"/>
  <c r="G194" i="1"/>
  <c r="C193" i="1"/>
  <c r="E193" i="1"/>
  <c r="G193" i="1"/>
  <c r="C192" i="1"/>
  <c r="E192" i="1"/>
  <c r="G192" i="1"/>
  <c r="C191" i="1"/>
  <c r="E191" i="1"/>
  <c r="G191" i="1"/>
  <c r="C190" i="1"/>
  <c r="E190" i="1"/>
  <c r="G190" i="1"/>
  <c r="C189" i="1"/>
  <c r="E189" i="1"/>
  <c r="G189" i="1"/>
  <c r="G186" i="1"/>
  <c r="G187" i="1"/>
  <c r="G188" i="1"/>
  <c r="E186" i="1"/>
  <c r="E187" i="1"/>
  <c r="E188" i="1"/>
  <c r="C186" i="1"/>
  <c r="C187" i="1"/>
  <c r="C188" i="1"/>
  <c r="C185" i="1"/>
  <c r="E185" i="1"/>
  <c r="G185" i="1"/>
  <c r="C184" i="1"/>
  <c r="E184" i="1"/>
  <c r="G184" i="1"/>
  <c r="C183" i="1"/>
  <c r="E183" i="1"/>
  <c r="G183" i="1"/>
  <c r="C182" i="1"/>
  <c r="E182" i="1"/>
  <c r="G182" i="1"/>
  <c r="C181" i="1"/>
  <c r="E181" i="1"/>
  <c r="G181" i="1"/>
  <c r="C180" i="1"/>
  <c r="E180" i="1"/>
  <c r="G180" i="1"/>
  <c r="C179" i="1" l="1"/>
  <c r="E179" i="1"/>
  <c r="G179" i="1"/>
  <c r="C178" i="1"/>
  <c r="E178" i="1"/>
  <c r="G178" i="1"/>
  <c r="C177" i="1"/>
  <c r="E177" i="1"/>
  <c r="G177" i="1"/>
  <c r="C176" i="1"/>
  <c r="E176" i="1"/>
  <c r="G176" i="1"/>
  <c r="C175" i="1"/>
  <c r="E175" i="1"/>
  <c r="G175" i="1"/>
  <c r="C174" i="1"/>
  <c r="E174" i="1"/>
  <c r="G174" i="1"/>
  <c r="C173" i="1"/>
  <c r="E173" i="1"/>
  <c r="G173" i="1"/>
  <c r="C172" i="1"/>
  <c r="E172" i="1"/>
  <c r="G172" i="1"/>
  <c r="C171" i="1" l="1"/>
  <c r="E171" i="1"/>
  <c r="G171" i="1"/>
  <c r="C170" i="1"/>
  <c r="E170" i="1"/>
  <c r="G170" i="1"/>
  <c r="C169" i="1"/>
  <c r="E169" i="1"/>
  <c r="G169" i="1"/>
  <c r="C168" i="1"/>
  <c r="E168" i="1"/>
  <c r="G168" i="1"/>
  <c r="C167" i="1"/>
  <c r="E167" i="1"/>
  <c r="G167" i="1"/>
  <c r="C166" i="1"/>
  <c r="E166" i="1"/>
  <c r="G166" i="1"/>
  <c r="C165" i="1"/>
  <c r="E165" i="1"/>
  <c r="G165" i="1"/>
  <c r="C164" i="1"/>
  <c r="E164" i="1"/>
  <c r="G164" i="1"/>
  <c r="C163" i="1"/>
  <c r="E163" i="1"/>
  <c r="G163" i="1"/>
  <c r="C162" i="1"/>
  <c r="E162" i="1"/>
  <c r="G162" i="1"/>
  <c r="C161" i="1"/>
  <c r="E161" i="1"/>
  <c r="G161" i="1"/>
  <c r="C160" i="1"/>
  <c r="E160" i="1"/>
  <c r="G160" i="1"/>
  <c r="C159" i="1"/>
  <c r="E159" i="1"/>
  <c r="G159" i="1"/>
  <c r="C158" i="1"/>
  <c r="E158" i="1"/>
  <c r="G158" i="1"/>
  <c r="C157" i="1"/>
  <c r="E157" i="1"/>
  <c r="G157" i="1"/>
  <c r="C156" i="1"/>
  <c r="E156" i="1"/>
  <c r="G156" i="1"/>
  <c r="C155" i="1"/>
  <c r="E155" i="1"/>
  <c r="G155" i="1"/>
  <c r="C154" i="1"/>
  <c r="E154" i="1"/>
  <c r="G154" i="1"/>
  <c r="C153" i="1"/>
  <c r="E153" i="1"/>
  <c r="G153" i="1"/>
  <c r="G151" i="1"/>
  <c r="G152" i="1"/>
  <c r="E151" i="1"/>
  <c r="E152" i="1"/>
  <c r="C151" i="1"/>
  <c r="C152" i="1"/>
  <c r="C150" i="1"/>
  <c r="E150" i="1"/>
  <c r="G150" i="1"/>
  <c r="C149" i="1"/>
  <c r="E149" i="1"/>
  <c r="G149" i="1"/>
  <c r="C148" i="1"/>
  <c r="E148" i="1"/>
  <c r="G148" i="1"/>
  <c r="C147" i="1"/>
  <c r="E147" i="1"/>
  <c r="G147" i="1"/>
  <c r="G145" i="1"/>
  <c r="G146" i="1"/>
  <c r="E145" i="1"/>
  <c r="E146" i="1"/>
  <c r="C145" i="1"/>
  <c r="C146" i="1"/>
  <c r="C144" i="1"/>
  <c r="E144" i="1"/>
  <c r="G144" i="1"/>
  <c r="C143" i="1"/>
  <c r="E143" i="1"/>
  <c r="G143" i="1"/>
  <c r="C142" i="1"/>
  <c r="E142" i="1"/>
  <c r="G142" i="1"/>
  <c r="C141" i="1"/>
  <c r="E141" i="1"/>
  <c r="G141" i="1"/>
  <c r="C140" i="1"/>
  <c r="E140" i="1"/>
  <c r="G140" i="1"/>
  <c r="C139" i="1"/>
  <c r="E139" i="1"/>
  <c r="G139" i="1"/>
  <c r="C138" i="1"/>
  <c r="E138" i="1"/>
  <c r="G138" i="1"/>
  <c r="C137" i="1"/>
  <c r="E137" i="1"/>
  <c r="G137" i="1"/>
  <c r="C136" i="1"/>
  <c r="E136" i="1"/>
  <c r="G136" i="1"/>
  <c r="C135" i="1"/>
  <c r="E135" i="1"/>
  <c r="G135" i="1"/>
  <c r="C134" i="1"/>
  <c r="E134" i="1"/>
  <c r="G134" i="1"/>
  <c r="C133" i="1"/>
  <c r="E133" i="1"/>
  <c r="G133" i="1"/>
  <c r="C132" i="1"/>
  <c r="E132" i="1"/>
  <c r="G132" i="1"/>
  <c r="C131" i="1"/>
  <c r="E131" i="1"/>
  <c r="G131" i="1"/>
  <c r="C130" i="1"/>
  <c r="E130" i="1"/>
  <c r="G130" i="1"/>
  <c r="C129" i="1"/>
  <c r="E129" i="1"/>
  <c r="G129" i="1"/>
  <c r="C128" i="1"/>
  <c r="E128" i="1"/>
  <c r="G128" i="1"/>
  <c r="C127" i="1"/>
  <c r="E127" i="1"/>
  <c r="G127" i="1"/>
  <c r="C126" i="1"/>
  <c r="E126" i="1"/>
  <c r="G126" i="1"/>
  <c r="C125" i="1"/>
  <c r="E125" i="1"/>
  <c r="G125" i="1"/>
  <c r="C124" i="1"/>
  <c r="E124" i="1"/>
  <c r="G124" i="1"/>
  <c r="C123" i="1"/>
  <c r="E123" i="1"/>
  <c r="G123" i="1"/>
  <c r="C122" i="1"/>
  <c r="E122" i="1"/>
  <c r="G122" i="1"/>
  <c r="C121" i="1"/>
  <c r="E121" i="1"/>
  <c r="G121" i="1"/>
  <c r="C120" i="1"/>
  <c r="E120" i="1"/>
  <c r="G120" i="1"/>
  <c r="C119" i="1"/>
  <c r="E119" i="1"/>
  <c r="G119" i="1"/>
  <c r="C118" i="1"/>
  <c r="E118" i="1"/>
  <c r="G118" i="1"/>
  <c r="C117" i="1"/>
  <c r="E117" i="1"/>
  <c r="G117" i="1"/>
  <c r="C116" i="1"/>
  <c r="E116" i="1"/>
  <c r="G116" i="1"/>
  <c r="C115" i="1"/>
  <c r="E115" i="1"/>
  <c r="G115" i="1"/>
  <c r="C114" i="1"/>
  <c r="E114" i="1"/>
  <c r="G114" i="1"/>
  <c r="C113" i="1"/>
  <c r="E113" i="1"/>
  <c r="G113" i="1"/>
  <c r="G110" i="1"/>
  <c r="G111" i="1"/>
  <c r="G112" i="1"/>
  <c r="E111" i="1"/>
  <c r="E112" i="1"/>
  <c r="C111" i="1"/>
  <c r="C112" i="1"/>
  <c r="C110" i="1"/>
  <c r="E110" i="1"/>
  <c r="C109" i="1"/>
  <c r="E109" i="1"/>
  <c r="G109" i="1"/>
  <c r="C108" i="1"/>
  <c r="E108" i="1"/>
  <c r="G108" i="1"/>
  <c r="C107" i="1"/>
  <c r="E107" i="1"/>
  <c r="G107" i="1"/>
  <c r="E106" i="1"/>
  <c r="G105" i="1"/>
  <c r="G106" i="1"/>
  <c r="E105" i="1"/>
  <c r="C105" i="1"/>
  <c r="C106" i="1"/>
  <c r="C104" i="1"/>
  <c r="E104" i="1"/>
  <c r="G104" i="1"/>
  <c r="C103" i="1"/>
  <c r="E103" i="1"/>
  <c r="G10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E4" i="1"/>
  <c r="E5" i="1"/>
  <c r="E6" i="1"/>
  <c r="E7" i="1"/>
  <c r="E8" i="1"/>
  <c r="E9" i="1"/>
  <c r="E10" i="1"/>
  <c r="E11" i="1"/>
  <c r="E12" i="1"/>
  <c r="C4" i="1"/>
  <c r="C5" i="1"/>
  <c r="C6" i="1"/>
  <c r="C7" i="1"/>
  <c r="C8" i="1"/>
  <c r="C9" i="1"/>
  <c r="C10" i="1"/>
  <c r="C11" i="1"/>
  <c r="C12" i="1"/>
  <c r="E13" i="1"/>
  <c r="C13" i="1"/>
  <c r="C102" i="1" l="1"/>
  <c r="E102" i="1"/>
  <c r="E100" i="1"/>
  <c r="E101" i="1"/>
  <c r="C100" i="1"/>
  <c r="C101" i="1"/>
  <c r="C99" i="1"/>
  <c r="E99" i="1"/>
  <c r="C98" i="1"/>
  <c r="E98" i="1"/>
  <c r="C97" i="1"/>
  <c r="E97" i="1"/>
  <c r="E27" i="1"/>
  <c r="E28" i="1"/>
  <c r="E29" i="1"/>
  <c r="C27" i="1"/>
  <c r="C28" i="1"/>
  <c r="C29" i="1"/>
  <c r="E35" i="1"/>
  <c r="E36" i="1"/>
  <c r="E37" i="1"/>
  <c r="E38" i="1"/>
  <c r="E39" i="1"/>
  <c r="C34" i="1"/>
  <c r="C35" i="1"/>
  <c r="C36" i="1"/>
  <c r="C37" i="1"/>
  <c r="C38" i="1"/>
  <c r="E32" i="1"/>
  <c r="E33" i="1"/>
  <c r="E34" i="1"/>
  <c r="C32" i="1"/>
  <c r="C33" i="1"/>
  <c r="C21" i="1"/>
  <c r="C22" i="1"/>
  <c r="C23" i="1"/>
  <c r="C24" i="1"/>
  <c r="C25" i="1"/>
  <c r="C26" i="1"/>
  <c r="C30" i="1"/>
  <c r="C31" i="1"/>
  <c r="E21" i="1"/>
  <c r="E22" i="1"/>
  <c r="E23" i="1"/>
  <c r="E24" i="1"/>
  <c r="E25" i="1"/>
  <c r="E26" i="1"/>
  <c r="E30" i="1"/>
  <c r="E31" i="1"/>
  <c r="E40" i="1"/>
  <c r="C15" i="1"/>
  <c r="C16" i="1"/>
  <c r="C17" i="1"/>
  <c r="C18" i="1"/>
  <c r="C19" i="1"/>
  <c r="C20" i="1"/>
  <c r="E15" i="1"/>
  <c r="E16" i="1"/>
  <c r="E17" i="1"/>
  <c r="E18" i="1"/>
  <c r="E19" i="1"/>
  <c r="E2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C48" i="1"/>
  <c r="C49" i="1"/>
  <c r="C50" i="1"/>
  <c r="C51" i="1"/>
  <c r="C52" i="1"/>
  <c r="C53" i="1"/>
  <c r="C54" i="1"/>
  <c r="C14" i="1"/>
  <c r="C39" i="1"/>
  <c r="C40" i="1"/>
  <c r="C41" i="1"/>
  <c r="C42" i="1"/>
  <c r="C43" i="1"/>
  <c r="C44" i="1"/>
  <c r="C45" i="1"/>
  <c r="C46" i="1"/>
  <c r="C47" i="1"/>
  <c r="E14" i="1"/>
  <c r="E55" i="1"/>
  <c r="C55" i="1"/>
  <c r="E57" i="1"/>
  <c r="E58" i="1"/>
  <c r="E59" i="1"/>
  <c r="C57" i="1"/>
  <c r="C56" i="1"/>
  <c r="E56" i="1"/>
  <c r="E64" i="1"/>
  <c r="E65" i="1"/>
  <c r="E66" i="1"/>
  <c r="E67" i="1"/>
  <c r="E68" i="1"/>
  <c r="C64" i="1"/>
  <c r="C65" i="1"/>
  <c r="C66" i="1"/>
  <c r="C67" i="1"/>
  <c r="C60" i="1"/>
  <c r="C61" i="1"/>
  <c r="C62" i="1"/>
  <c r="C63" i="1"/>
  <c r="E60" i="1"/>
  <c r="E61" i="1"/>
  <c r="E62" i="1"/>
  <c r="E63" i="1"/>
  <c r="C68" i="1"/>
  <c r="C69" i="1"/>
  <c r="C70" i="1"/>
  <c r="E70" i="1"/>
  <c r="E71" i="1"/>
  <c r="E72" i="1"/>
  <c r="C71" i="1"/>
  <c r="E69" i="1"/>
  <c r="E73" i="1"/>
  <c r="C72" i="1"/>
  <c r="C73" i="1"/>
  <c r="C59" i="1"/>
  <c r="E74" i="1"/>
  <c r="E75" i="1"/>
  <c r="E76" i="1"/>
  <c r="E77" i="1"/>
  <c r="E78" i="1"/>
  <c r="C74" i="1"/>
  <c r="C75" i="1"/>
  <c r="C76" i="1"/>
  <c r="C77" i="1"/>
  <c r="C78" i="1"/>
  <c r="E79" i="1"/>
  <c r="E80" i="1"/>
  <c r="C79" i="1"/>
  <c r="E81" i="1"/>
  <c r="E82" i="1"/>
  <c r="C82" i="1"/>
  <c r="C80" i="1"/>
  <c r="C81" i="1"/>
  <c r="C58" i="1"/>
  <c r="E84" i="1"/>
  <c r="C84" i="1"/>
  <c r="E86" i="1"/>
  <c r="C86" i="1"/>
  <c r="E87" i="1"/>
  <c r="E88" i="1"/>
  <c r="C87" i="1"/>
  <c r="C88" i="1"/>
  <c r="E89" i="1"/>
  <c r="E90" i="1"/>
  <c r="C89" i="1"/>
  <c r="C90" i="1"/>
  <c r="C83" i="1"/>
  <c r="E83" i="1"/>
  <c r="C85" i="1"/>
  <c r="E85" i="1"/>
  <c r="E91" i="1"/>
  <c r="E92" i="1"/>
  <c r="E93" i="1"/>
  <c r="E94" i="1"/>
  <c r="E95" i="1"/>
  <c r="E96" i="1"/>
  <c r="C91" i="1"/>
  <c r="C92" i="1"/>
  <c r="C93" i="1"/>
  <c r="C94" i="1"/>
  <c r="C95" i="1"/>
  <c r="C96" i="1"/>
</calcChain>
</file>

<file path=xl/sharedStrings.xml><?xml version="1.0" encoding="utf-8"?>
<sst xmlns="http://schemas.openxmlformats.org/spreadsheetml/2006/main" count="17" uniqueCount="14">
  <si>
    <t>可用天数</t>
    <phoneticPr fontId="1" type="noConversion"/>
  </si>
  <si>
    <t>日期</t>
    <phoneticPr fontId="1" type="noConversion"/>
  </si>
  <si>
    <t>沿海六大电厂库存及日耗（华能国际、国电电力、大唐发电、浙电集团、上海电力、广东粤电）</t>
    <phoneticPr fontId="1" type="noConversion"/>
  </si>
  <si>
    <t>库存（万吨）</t>
    <phoneticPr fontId="1" type="noConversion"/>
  </si>
  <si>
    <t>日耗（万吨）</t>
    <phoneticPr fontId="1" type="noConversion"/>
  </si>
  <si>
    <t>日耗环比</t>
    <phoneticPr fontId="1" type="noConversion"/>
  </si>
  <si>
    <t>库存环比</t>
    <phoneticPr fontId="1" type="noConversion"/>
  </si>
  <si>
    <t>总计</t>
  </si>
  <si>
    <t xml:space="preserve">库存（万吨） </t>
  </si>
  <si>
    <t xml:space="preserve">日耗（万吨） </t>
  </si>
  <si>
    <t>日期</t>
  </si>
  <si>
    <t xml:space="preserve">环比 </t>
  </si>
  <si>
    <t>沿海六大电厂库存及日耗对比</t>
    <phoneticPr fontId="1" type="noConversion"/>
  </si>
  <si>
    <t>天数环比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</si>
</sst>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color theme="0"/>
      <name val="黑体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0" xfId="0" applyFill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</cellXfs>
  <cellStyles count="1">
    <cellStyle name="常规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/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border>
        <top style="thin">
          <color theme="4" tint="-0.24994659260841701"/>
        </top>
      </border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4659260841701"/>
        </left>
        <right style="thin">
          <color theme="4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[电厂库存.xlsx]库存透视!数据透视表1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库存透视!$B$1</c:f>
              <c:strCache>
                <c:ptCount val="1"/>
                <c:pt idx="0">
                  <c:v>库存（万吨）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库存透视!$A$2:$A$27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库存透视!$B$2:$B$27</c:f>
              <c:numCache>
                <c:formatCode>General</c:formatCode>
                <c:ptCount val="25"/>
                <c:pt idx="0">
                  <c:v>1278.9000000000001</c:v>
                </c:pt>
                <c:pt idx="1">
                  <c:v>1276.2</c:v>
                </c:pt>
                <c:pt idx="2">
                  <c:v>1274.9000000000001</c:v>
                </c:pt>
                <c:pt idx="3">
                  <c:v>1268</c:v>
                </c:pt>
                <c:pt idx="4">
                  <c:v>1270.3</c:v>
                </c:pt>
                <c:pt idx="5">
                  <c:v>1261.7</c:v>
                </c:pt>
                <c:pt idx="6">
                  <c:v>1267.7</c:v>
                </c:pt>
                <c:pt idx="7">
                  <c:v>1270.9000000000001</c:v>
                </c:pt>
                <c:pt idx="8">
                  <c:v>1270.5</c:v>
                </c:pt>
                <c:pt idx="9">
                  <c:v>1257.7</c:v>
                </c:pt>
                <c:pt idx="10">
                  <c:v>1242.0999999999999</c:v>
                </c:pt>
                <c:pt idx="11">
                  <c:v>1237.0999999999999</c:v>
                </c:pt>
                <c:pt idx="12">
                  <c:v>1234.3</c:v>
                </c:pt>
                <c:pt idx="13">
                  <c:v>1237.9000000000001</c:v>
                </c:pt>
                <c:pt idx="14">
                  <c:v>1236.7</c:v>
                </c:pt>
                <c:pt idx="15">
                  <c:v>1217.0999999999999</c:v>
                </c:pt>
                <c:pt idx="16">
                  <c:v>1198.5999999999999</c:v>
                </c:pt>
                <c:pt idx="17">
                  <c:v>1204.9000000000001</c:v>
                </c:pt>
                <c:pt idx="18">
                  <c:v>1202.5999999999999</c:v>
                </c:pt>
                <c:pt idx="19">
                  <c:v>1197.3</c:v>
                </c:pt>
                <c:pt idx="20">
                  <c:v>1202.7</c:v>
                </c:pt>
                <c:pt idx="21">
                  <c:v>1192</c:v>
                </c:pt>
                <c:pt idx="22">
                  <c:v>1190</c:v>
                </c:pt>
                <c:pt idx="23">
                  <c:v>1194.2</c:v>
                </c:pt>
                <c:pt idx="24">
                  <c:v>1197.5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2-472D-8AB5-8290BB3E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51855"/>
        <c:axId val="633184479"/>
      </c:barChart>
      <c:lineChart>
        <c:grouping val="standard"/>
        <c:varyColors val="0"/>
        <c:ser>
          <c:idx val="1"/>
          <c:order val="1"/>
          <c:tx>
            <c:strRef>
              <c:f>库存透视!$C$1</c:f>
              <c:strCache>
                <c:ptCount val="1"/>
                <c:pt idx="0">
                  <c:v>环比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库存透视!$A$2:$A$27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库存透视!$C$2:$C$27</c:f>
              <c:numCache>
                <c:formatCode>General</c:formatCode>
                <c:ptCount val="25"/>
                <c:pt idx="0">
                  <c:v>-7.7999999999999545</c:v>
                </c:pt>
                <c:pt idx="1">
                  <c:v>-2.7000000000000455</c:v>
                </c:pt>
                <c:pt idx="2">
                  <c:v>-1.2999999999999545</c:v>
                </c:pt>
                <c:pt idx="3">
                  <c:v>-6.9000000000000909</c:v>
                </c:pt>
                <c:pt idx="4">
                  <c:v>2.2999999999999545</c:v>
                </c:pt>
                <c:pt idx="5">
                  <c:v>-8.5999999999999091</c:v>
                </c:pt>
                <c:pt idx="6">
                  <c:v>6</c:v>
                </c:pt>
                <c:pt idx="7">
                  <c:v>3.2000000000000455</c:v>
                </c:pt>
                <c:pt idx="8">
                  <c:v>-0.40000000000009095</c:v>
                </c:pt>
                <c:pt idx="9">
                  <c:v>-12.799999999999955</c:v>
                </c:pt>
                <c:pt idx="10">
                  <c:v>-15.600000000000136</c:v>
                </c:pt>
                <c:pt idx="11">
                  <c:v>-5</c:v>
                </c:pt>
                <c:pt idx="12">
                  <c:v>-2.7999999999999545</c:v>
                </c:pt>
                <c:pt idx="13">
                  <c:v>3.6000000000001364</c:v>
                </c:pt>
                <c:pt idx="14">
                  <c:v>-1.2000000000000455</c:v>
                </c:pt>
                <c:pt idx="15">
                  <c:v>-19.600000000000136</c:v>
                </c:pt>
                <c:pt idx="16">
                  <c:v>-18.5</c:v>
                </c:pt>
                <c:pt idx="17">
                  <c:v>6.3000000000001819</c:v>
                </c:pt>
                <c:pt idx="18">
                  <c:v>-2.3000000000001819</c:v>
                </c:pt>
                <c:pt idx="19">
                  <c:v>-5.2999999999999545</c:v>
                </c:pt>
                <c:pt idx="20">
                  <c:v>5.4000000000000909</c:v>
                </c:pt>
                <c:pt idx="21">
                  <c:v>-10.700000000000045</c:v>
                </c:pt>
                <c:pt idx="22">
                  <c:v>-2</c:v>
                </c:pt>
                <c:pt idx="23">
                  <c:v>4.2000000000000455</c:v>
                </c:pt>
                <c:pt idx="24">
                  <c:v>3.2999999999999545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2-472D-8AB5-8290BB3E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489823"/>
        <c:axId val="633172079"/>
      </c:lineChart>
      <c:catAx>
        <c:axId val="5008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184479"/>
        <c:crosses val="autoZero"/>
        <c:auto val="1"/>
        <c:lblAlgn val="ctr"/>
        <c:lblOffset val="100"/>
        <c:noMultiLvlLbl val="0"/>
      </c:catAx>
      <c:valAx>
        <c:axId val="6331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851855"/>
        <c:crosses val="autoZero"/>
        <c:crossBetween val="between"/>
      </c:valAx>
      <c:valAx>
        <c:axId val="6331720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489823"/>
        <c:crosses val="max"/>
        <c:crossBetween val="between"/>
      </c:valAx>
      <c:catAx>
        <c:axId val="62248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317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[电厂库存.xlsx]日耗透视!数据透视表2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日耗透视!$B$1</c:f>
              <c:strCache>
                <c:ptCount val="1"/>
                <c:pt idx="0">
                  <c:v>日耗（万吨）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日耗透视!$A$2:$A$27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日耗透视!$B$2:$B$27</c:f>
              <c:numCache>
                <c:formatCode>General</c:formatCode>
                <c:ptCount val="25"/>
                <c:pt idx="0">
                  <c:v>86.91</c:v>
                </c:pt>
                <c:pt idx="1">
                  <c:v>86.71</c:v>
                </c:pt>
                <c:pt idx="2">
                  <c:v>86.78</c:v>
                </c:pt>
                <c:pt idx="3">
                  <c:v>86.05</c:v>
                </c:pt>
                <c:pt idx="4">
                  <c:v>85.69</c:v>
                </c:pt>
                <c:pt idx="5">
                  <c:v>86.2</c:v>
                </c:pt>
                <c:pt idx="6">
                  <c:v>86.18</c:v>
                </c:pt>
                <c:pt idx="7">
                  <c:v>85.9</c:v>
                </c:pt>
                <c:pt idx="8">
                  <c:v>86.26</c:v>
                </c:pt>
                <c:pt idx="9">
                  <c:v>85.86</c:v>
                </c:pt>
                <c:pt idx="10">
                  <c:v>86.01</c:v>
                </c:pt>
                <c:pt idx="11">
                  <c:v>85.74</c:v>
                </c:pt>
                <c:pt idx="12">
                  <c:v>85.48</c:v>
                </c:pt>
                <c:pt idx="13">
                  <c:v>85.28</c:v>
                </c:pt>
                <c:pt idx="14">
                  <c:v>85.15</c:v>
                </c:pt>
                <c:pt idx="15">
                  <c:v>85.6</c:v>
                </c:pt>
                <c:pt idx="16">
                  <c:v>87.14</c:v>
                </c:pt>
                <c:pt idx="17">
                  <c:v>86.52</c:v>
                </c:pt>
                <c:pt idx="18">
                  <c:v>86.65</c:v>
                </c:pt>
                <c:pt idx="19">
                  <c:v>86.51</c:v>
                </c:pt>
                <c:pt idx="20">
                  <c:v>86.41</c:v>
                </c:pt>
                <c:pt idx="21">
                  <c:v>85.94</c:v>
                </c:pt>
                <c:pt idx="22">
                  <c:v>85.86</c:v>
                </c:pt>
                <c:pt idx="23">
                  <c:v>85.28</c:v>
                </c:pt>
                <c:pt idx="24">
                  <c:v>84.69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A-4AE5-B93B-CB5AD9BF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835695"/>
        <c:axId val="441889087"/>
      </c:barChart>
      <c:lineChart>
        <c:grouping val="standard"/>
        <c:varyColors val="0"/>
        <c:ser>
          <c:idx val="1"/>
          <c:order val="1"/>
          <c:tx>
            <c:strRef>
              <c:f>日耗透视!$C$1</c:f>
              <c:strCache>
                <c:ptCount val="1"/>
                <c:pt idx="0">
                  <c:v>环比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日耗透视!$A$2:$A$27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日耗透视!$C$2:$C$27</c:f>
              <c:numCache>
                <c:formatCode>General</c:formatCode>
                <c:ptCount val="25"/>
                <c:pt idx="0">
                  <c:v>0.20999999999999375</c:v>
                </c:pt>
                <c:pt idx="1">
                  <c:v>-0.20000000000000284</c:v>
                </c:pt>
                <c:pt idx="2">
                  <c:v>7.000000000000739E-2</c:v>
                </c:pt>
                <c:pt idx="3">
                  <c:v>-0.73000000000000398</c:v>
                </c:pt>
                <c:pt idx="4">
                  <c:v>-0.35999999999999943</c:v>
                </c:pt>
                <c:pt idx="5">
                  <c:v>0.51000000000000512</c:v>
                </c:pt>
                <c:pt idx="6">
                  <c:v>-1.9999999999996021E-2</c:v>
                </c:pt>
                <c:pt idx="7">
                  <c:v>-0.28000000000000114</c:v>
                </c:pt>
                <c:pt idx="8">
                  <c:v>0.35999999999999943</c:v>
                </c:pt>
                <c:pt idx="9">
                  <c:v>-0.40000000000000568</c:v>
                </c:pt>
                <c:pt idx="10">
                  <c:v>0.15000000000000568</c:v>
                </c:pt>
                <c:pt idx="11">
                  <c:v>-0.27000000000001023</c:v>
                </c:pt>
                <c:pt idx="12">
                  <c:v>-0.25999999999999091</c:v>
                </c:pt>
                <c:pt idx="13">
                  <c:v>-0.20000000000000284</c:v>
                </c:pt>
                <c:pt idx="14">
                  <c:v>-0.12999999999999545</c:v>
                </c:pt>
                <c:pt idx="15">
                  <c:v>0.44999999999998863</c:v>
                </c:pt>
                <c:pt idx="16">
                  <c:v>1.5400000000000063</c:v>
                </c:pt>
                <c:pt idx="17">
                  <c:v>-0.62000000000000455</c:v>
                </c:pt>
                <c:pt idx="18">
                  <c:v>0.13000000000000966</c:v>
                </c:pt>
                <c:pt idx="19">
                  <c:v>-0.14000000000000057</c:v>
                </c:pt>
                <c:pt idx="20">
                  <c:v>-0.10000000000000853</c:v>
                </c:pt>
                <c:pt idx="21">
                  <c:v>-0.46999999999999886</c:v>
                </c:pt>
                <c:pt idx="22">
                  <c:v>-7.9999999999998295E-2</c:v>
                </c:pt>
                <c:pt idx="23">
                  <c:v>-0.57999999999999829</c:v>
                </c:pt>
                <c:pt idx="24">
                  <c:v>-0.59000000000000341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A-4AE5-B93B-CB5AD9BF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837615"/>
        <c:axId val="441897519"/>
      </c:lineChart>
      <c:catAx>
        <c:axId val="6348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1889087"/>
        <c:crosses val="autoZero"/>
        <c:auto val="1"/>
        <c:lblAlgn val="ctr"/>
        <c:lblOffset val="100"/>
        <c:noMultiLvlLbl val="0"/>
      </c:catAx>
      <c:valAx>
        <c:axId val="44188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835695"/>
        <c:crosses val="autoZero"/>
        <c:crossBetween val="between"/>
      </c:valAx>
      <c:valAx>
        <c:axId val="441897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837615"/>
        <c:crosses val="max"/>
        <c:crossBetween val="between"/>
      </c:valAx>
      <c:catAx>
        <c:axId val="634837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89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[电厂库存.xlsx]库存透视!数据透视表1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电厂库存对比</a:t>
            </a:r>
          </a:p>
        </c:rich>
      </c:tx>
      <c:layout>
        <c:manualLayout>
          <c:xMode val="edge"/>
          <c:yMode val="edge"/>
          <c:x val="0.40684135339219124"/>
          <c:y val="3.4805890227576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28442143478284E-2"/>
          <c:y val="9.0696434030083595E-2"/>
          <c:w val="0.86250522706861243"/>
          <c:h val="0.77358610294195151"/>
        </c:manualLayout>
      </c:layout>
      <c:lineChart>
        <c:grouping val="standard"/>
        <c:varyColors val="0"/>
        <c:ser>
          <c:idx val="0"/>
          <c:order val="0"/>
          <c:tx>
            <c:strRef>
              <c:f>库存透视!$B$1</c:f>
              <c:strCache>
                <c:ptCount val="1"/>
                <c:pt idx="0">
                  <c:v>库存（万吨）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库存透视!$A$2:$A$27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库存透视!$B$2:$B$27</c:f>
              <c:numCache>
                <c:formatCode>General</c:formatCode>
                <c:ptCount val="25"/>
                <c:pt idx="0">
                  <c:v>1278.9000000000001</c:v>
                </c:pt>
                <c:pt idx="1">
                  <c:v>1276.2</c:v>
                </c:pt>
                <c:pt idx="2">
                  <c:v>1274.9000000000001</c:v>
                </c:pt>
                <c:pt idx="3">
                  <c:v>1268</c:v>
                </c:pt>
                <c:pt idx="4">
                  <c:v>1270.3</c:v>
                </c:pt>
                <c:pt idx="5">
                  <c:v>1261.7</c:v>
                </c:pt>
                <c:pt idx="6">
                  <c:v>1267.7</c:v>
                </c:pt>
                <c:pt idx="7">
                  <c:v>1270.9000000000001</c:v>
                </c:pt>
                <c:pt idx="8">
                  <c:v>1270.5</c:v>
                </c:pt>
                <c:pt idx="9">
                  <c:v>1257.7</c:v>
                </c:pt>
                <c:pt idx="10">
                  <c:v>1242.0999999999999</c:v>
                </c:pt>
                <c:pt idx="11">
                  <c:v>1237.0999999999999</c:v>
                </c:pt>
                <c:pt idx="12">
                  <c:v>1234.3</c:v>
                </c:pt>
                <c:pt idx="13">
                  <c:v>1237.9000000000001</c:v>
                </c:pt>
                <c:pt idx="14">
                  <c:v>1236.7</c:v>
                </c:pt>
                <c:pt idx="15">
                  <c:v>1217.0999999999999</c:v>
                </c:pt>
                <c:pt idx="16">
                  <c:v>1198.5999999999999</c:v>
                </c:pt>
                <c:pt idx="17">
                  <c:v>1204.9000000000001</c:v>
                </c:pt>
                <c:pt idx="18">
                  <c:v>1202.5999999999999</c:v>
                </c:pt>
                <c:pt idx="19">
                  <c:v>1197.3</c:v>
                </c:pt>
                <c:pt idx="20">
                  <c:v>1202.7</c:v>
                </c:pt>
                <c:pt idx="21">
                  <c:v>1192</c:v>
                </c:pt>
                <c:pt idx="22">
                  <c:v>1190</c:v>
                </c:pt>
                <c:pt idx="23">
                  <c:v>1194.2</c:v>
                </c:pt>
                <c:pt idx="24">
                  <c:v>1197.5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9-466E-9CE4-3ACFCDFE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51855"/>
        <c:axId val="633184479"/>
      </c:lineChart>
      <c:lineChart>
        <c:grouping val="standard"/>
        <c:varyColors val="0"/>
        <c:ser>
          <c:idx val="1"/>
          <c:order val="1"/>
          <c:tx>
            <c:strRef>
              <c:f>库存透视!$C$1</c:f>
              <c:strCache>
                <c:ptCount val="1"/>
                <c:pt idx="0">
                  <c:v>环比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库存透视!$A$2:$A$27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库存透视!$C$2:$C$27</c:f>
              <c:numCache>
                <c:formatCode>General</c:formatCode>
                <c:ptCount val="25"/>
                <c:pt idx="0">
                  <c:v>-7.7999999999999545</c:v>
                </c:pt>
                <c:pt idx="1">
                  <c:v>-2.7000000000000455</c:v>
                </c:pt>
                <c:pt idx="2">
                  <c:v>-1.2999999999999545</c:v>
                </c:pt>
                <c:pt idx="3">
                  <c:v>-6.9000000000000909</c:v>
                </c:pt>
                <c:pt idx="4">
                  <c:v>2.2999999999999545</c:v>
                </c:pt>
                <c:pt idx="5">
                  <c:v>-8.5999999999999091</c:v>
                </c:pt>
                <c:pt idx="6">
                  <c:v>6</c:v>
                </c:pt>
                <c:pt idx="7">
                  <c:v>3.2000000000000455</c:v>
                </c:pt>
                <c:pt idx="8">
                  <c:v>-0.40000000000009095</c:v>
                </c:pt>
                <c:pt idx="9">
                  <c:v>-12.799999999999955</c:v>
                </c:pt>
                <c:pt idx="10">
                  <c:v>-15.600000000000136</c:v>
                </c:pt>
                <c:pt idx="11">
                  <c:v>-5</c:v>
                </c:pt>
                <c:pt idx="12">
                  <c:v>-2.7999999999999545</c:v>
                </c:pt>
                <c:pt idx="13">
                  <c:v>3.6000000000001364</c:v>
                </c:pt>
                <c:pt idx="14">
                  <c:v>-1.2000000000000455</c:v>
                </c:pt>
                <c:pt idx="15">
                  <c:v>-19.600000000000136</c:v>
                </c:pt>
                <c:pt idx="16">
                  <c:v>-18.5</c:v>
                </c:pt>
                <c:pt idx="17">
                  <c:v>6.3000000000001819</c:v>
                </c:pt>
                <c:pt idx="18">
                  <c:v>-2.3000000000001819</c:v>
                </c:pt>
                <c:pt idx="19">
                  <c:v>-5.2999999999999545</c:v>
                </c:pt>
                <c:pt idx="20">
                  <c:v>5.4000000000000909</c:v>
                </c:pt>
                <c:pt idx="21">
                  <c:v>-10.700000000000045</c:v>
                </c:pt>
                <c:pt idx="22">
                  <c:v>-2</c:v>
                </c:pt>
                <c:pt idx="23">
                  <c:v>4.2000000000000455</c:v>
                </c:pt>
                <c:pt idx="24">
                  <c:v>3.2999999999999545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9-466E-9CE4-3ACFCDFE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489823"/>
        <c:axId val="633172079"/>
      </c:lineChart>
      <c:catAx>
        <c:axId val="50085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单位（万吨）</a:t>
                </a:r>
              </a:p>
            </c:rich>
          </c:tx>
          <c:layout>
            <c:manualLayout>
              <c:xMode val="edge"/>
              <c:yMode val="edge"/>
              <c:x val="0.77807856521718466"/>
              <c:y val="0.1069611780455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184479"/>
        <c:crosses val="autoZero"/>
        <c:auto val="1"/>
        <c:lblAlgn val="ctr"/>
        <c:lblOffset val="100"/>
        <c:noMultiLvlLbl val="0"/>
      </c:catAx>
      <c:valAx>
        <c:axId val="633184479"/>
        <c:scaling>
          <c:orientation val="minMax"/>
          <c:max val="2000"/>
          <c:min val="1000"/>
        </c:scaling>
        <c:delete val="0"/>
        <c:axPos val="l"/>
        <c:numFmt formatCode="[White][&gt;1500]0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851855"/>
        <c:crosses val="autoZero"/>
        <c:crossBetween val="between"/>
      </c:valAx>
      <c:valAx>
        <c:axId val="633172079"/>
        <c:scaling>
          <c:orientation val="minMax"/>
          <c:max val="50"/>
          <c:min val="-6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489823"/>
        <c:crosses val="max"/>
        <c:crossBetween val="between"/>
        <c:majorUnit val="5"/>
      </c:valAx>
      <c:catAx>
        <c:axId val="62248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317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222121633161544"/>
          <c:y val="0.10977242302543508"/>
          <c:w val="0.28080332322766738"/>
          <c:h val="4.5181039117098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[电厂库存.xlsx]日耗透视!数据透视表2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电厂日耗对比</a:t>
            </a:r>
            <a:endParaRPr lang="en-US" altLang="zh-CN"/>
          </a:p>
        </c:rich>
      </c:tx>
      <c:layout>
        <c:manualLayout>
          <c:xMode val="edge"/>
          <c:yMode val="edge"/>
          <c:x val="0.4275575246287458"/>
          <c:y val="2.9629623345343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510780428742566E-2"/>
          <c:y val="9.1246090035029551E-2"/>
          <c:w val="0.86809399021077538"/>
          <c:h val="0.77221394581745095"/>
        </c:manualLayout>
      </c:layout>
      <c:lineChart>
        <c:grouping val="standard"/>
        <c:varyColors val="0"/>
        <c:ser>
          <c:idx val="0"/>
          <c:order val="0"/>
          <c:tx>
            <c:strRef>
              <c:f>日耗透视!$B$1</c:f>
              <c:strCache>
                <c:ptCount val="1"/>
                <c:pt idx="0">
                  <c:v>日耗（万吨）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日耗透视!$A$2:$A$27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日耗透视!$B$2:$B$27</c:f>
              <c:numCache>
                <c:formatCode>General</c:formatCode>
                <c:ptCount val="25"/>
                <c:pt idx="0">
                  <c:v>86.91</c:v>
                </c:pt>
                <c:pt idx="1">
                  <c:v>86.71</c:v>
                </c:pt>
                <c:pt idx="2">
                  <c:v>86.78</c:v>
                </c:pt>
                <c:pt idx="3">
                  <c:v>86.05</c:v>
                </c:pt>
                <c:pt idx="4">
                  <c:v>85.69</c:v>
                </c:pt>
                <c:pt idx="5">
                  <c:v>86.2</c:v>
                </c:pt>
                <c:pt idx="6">
                  <c:v>86.18</c:v>
                </c:pt>
                <c:pt idx="7">
                  <c:v>85.9</c:v>
                </c:pt>
                <c:pt idx="8">
                  <c:v>86.26</c:v>
                </c:pt>
                <c:pt idx="9">
                  <c:v>85.86</c:v>
                </c:pt>
                <c:pt idx="10">
                  <c:v>86.01</c:v>
                </c:pt>
                <c:pt idx="11">
                  <c:v>85.74</c:v>
                </c:pt>
                <c:pt idx="12">
                  <c:v>85.48</c:v>
                </c:pt>
                <c:pt idx="13">
                  <c:v>85.28</c:v>
                </c:pt>
                <c:pt idx="14">
                  <c:v>85.15</c:v>
                </c:pt>
                <c:pt idx="15">
                  <c:v>85.6</c:v>
                </c:pt>
                <c:pt idx="16">
                  <c:v>87.14</c:v>
                </c:pt>
                <c:pt idx="17">
                  <c:v>86.52</c:v>
                </c:pt>
                <c:pt idx="18">
                  <c:v>86.65</c:v>
                </c:pt>
                <c:pt idx="19">
                  <c:v>86.51</c:v>
                </c:pt>
                <c:pt idx="20">
                  <c:v>86.41</c:v>
                </c:pt>
                <c:pt idx="21">
                  <c:v>85.94</c:v>
                </c:pt>
                <c:pt idx="22">
                  <c:v>85.86</c:v>
                </c:pt>
                <c:pt idx="23">
                  <c:v>85.28</c:v>
                </c:pt>
                <c:pt idx="24">
                  <c:v>84.69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3-4A28-99D8-0EE27A80B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835695"/>
        <c:axId val="441889087"/>
      </c:lineChart>
      <c:lineChart>
        <c:grouping val="standard"/>
        <c:varyColors val="0"/>
        <c:ser>
          <c:idx val="1"/>
          <c:order val="1"/>
          <c:tx>
            <c:strRef>
              <c:f>日耗透视!$C$1</c:f>
              <c:strCache>
                <c:ptCount val="1"/>
                <c:pt idx="0">
                  <c:v>环比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日耗透视!$A$2:$A$27</c:f>
              <c:strCache>
                <c:ptCount val="25"/>
                <c:pt idx="0">
                  <c:v>2024/1/1</c:v>
                </c:pt>
                <c:pt idx="1">
                  <c:v>2024/1/2</c:v>
                </c:pt>
                <c:pt idx="2">
                  <c:v>2024/1/3</c:v>
                </c:pt>
                <c:pt idx="3">
                  <c:v>2024/1/4</c:v>
                </c:pt>
                <c:pt idx="4">
                  <c:v>2024/1/6</c:v>
                </c:pt>
                <c:pt idx="5">
                  <c:v>2024/1/7</c:v>
                </c:pt>
                <c:pt idx="6">
                  <c:v>2024/1/8</c:v>
                </c:pt>
                <c:pt idx="7">
                  <c:v>2024/1/9</c:v>
                </c:pt>
                <c:pt idx="8">
                  <c:v>2024/1/10</c:v>
                </c:pt>
                <c:pt idx="9">
                  <c:v>2024/1/11</c:v>
                </c:pt>
                <c:pt idx="10">
                  <c:v>2024/1/13</c:v>
                </c:pt>
                <c:pt idx="11">
                  <c:v>2024/1/14</c:v>
                </c:pt>
                <c:pt idx="12">
                  <c:v>2024/1/15</c:v>
                </c:pt>
                <c:pt idx="13">
                  <c:v>2024/1/16</c:v>
                </c:pt>
                <c:pt idx="14">
                  <c:v>2024/1/17</c:v>
                </c:pt>
                <c:pt idx="15">
                  <c:v>2024/1/18</c:v>
                </c:pt>
                <c:pt idx="16">
                  <c:v>2024/1/21</c:v>
                </c:pt>
                <c:pt idx="17">
                  <c:v>2024/1/22</c:v>
                </c:pt>
                <c:pt idx="18">
                  <c:v>2024/1/23</c:v>
                </c:pt>
                <c:pt idx="19">
                  <c:v>2024/1/24</c:v>
                </c:pt>
                <c:pt idx="20">
                  <c:v>2024/1/25</c:v>
                </c:pt>
                <c:pt idx="21">
                  <c:v>2024/1/28</c:v>
                </c:pt>
                <c:pt idx="22">
                  <c:v>2024/1/29</c:v>
                </c:pt>
                <c:pt idx="23">
                  <c:v>2024/1/30</c:v>
                </c:pt>
                <c:pt idx="24">
                  <c:v>2024/1/31</c:v>
                </c:pt>
              </c:strCache>
            </c:strRef>
          </c:cat>
          <c:val>
            <c:numRef>
              <c:f>日耗透视!$C$2:$C$27</c:f>
              <c:numCache>
                <c:formatCode>General</c:formatCode>
                <c:ptCount val="25"/>
                <c:pt idx="0">
                  <c:v>0.20999999999999375</c:v>
                </c:pt>
                <c:pt idx="1">
                  <c:v>-0.20000000000000284</c:v>
                </c:pt>
                <c:pt idx="2">
                  <c:v>7.000000000000739E-2</c:v>
                </c:pt>
                <c:pt idx="3">
                  <c:v>-0.73000000000000398</c:v>
                </c:pt>
                <c:pt idx="4">
                  <c:v>-0.35999999999999943</c:v>
                </c:pt>
                <c:pt idx="5">
                  <c:v>0.51000000000000512</c:v>
                </c:pt>
                <c:pt idx="6">
                  <c:v>-1.9999999999996021E-2</c:v>
                </c:pt>
                <c:pt idx="7">
                  <c:v>-0.28000000000000114</c:v>
                </c:pt>
                <c:pt idx="8">
                  <c:v>0.35999999999999943</c:v>
                </c:pt>
                <c:pt idx="9">
                  <c:v>-0.40000000000000568</c:v>
                </c:pt>
                <c:pt idx="10">
                  <c:v>0.15000000000000568</c:v>
                </c:pt>
                <c:pt idx="11">
                  <c:v>-0.27000000000001023</c:v>
                </c:pt>
                <c:pt idx="12">
                  <c:v>-0.25999999999999091</c:v>
                </c:pt>
                <c:pt idx="13">
                  <c:v>-0.20000000000000284</c:v>
                </c:pt>
                <c:pt idx="14">
                  <c:v>-0.12999999999999545</c:v>
                </c:pt>
                <c:pt idx="15">
                  <c:v>0.44999999999998863</c:v>
                </c:pt>
                <c:pt idx="16">
                  <c:v>1.5400000000000063</c:v>
                </c:pt>
                <c:pt idx="17">
                  <c:v>-0.62000000000000455</c:v>
                </c:pt>
                <c:pt idx="18">
                  <c:v>0.13000000000000966</c:v>
                </c:pt>
                <c:pt idx="19">
                  <c:v>-0.14000000000000057</c:v>
                </c:pt>
                <c:pt idx="20">
                  <c:v>-0.10000000000000853</c:v>
                </c:pt>
                <c:pt idx="21">
                  <c:v>-0.46999999999999886</c:v>
                </c:pt>
                <c:pt idx="22">
                  <c:v>-7.9999999999998295E-2</c:v>
                </c:pt>
                <c:pt idx="23">
                  <c:v>-0.57999999999999829</c:v>
                </c:pt>
                <c:pt idx="24">
                  <c:v>-0.59000000000000341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3-4A28-99D8-0EE27A80B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837615"/>
        <c:axId val="441897519"/>
      </c:lineChart>
      <c:catAx>
        <c:axId val="63483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单位（万吨）</a:t>
                </a:r>
              </a:p>
            </c:rich>
          </c:tx>
          <c:layout>
            <c:manualLayout>
              <c:xMode val="edge"/>
              <c:yMode val="edge"/>
              <c:x val="0.78968665199214483"/>
              <c:y val="0.1177106248393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1889087"/>
        <c:crosses val="autoZero"/>
        <c:auto val="1"/>
        <c:lblAlgn val="ctr"/>
        <c:lblOffset val="100"/>
        <c:noMultiLvlLbl val="0"/>
      </c:catAx>
      <c:valAx>
        <c:axId val="441889087"/>
        <c:scaling>
          <c:orientation val="minMax"/>
          <c:max val="200"/>
          <c:min val="50"/>
        </c:scaling>
        <c:delete val="0"/>
        <c:axPos val="l"/>
        <c:numFmt formatCode="[White][&gt;90]0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835695"/>
        <c:crosses val="autoZero"/>
        <c:crossBetween val="between"/>
        <c:majorUnit val="10"/>
      </c:valAx>
      <c:valAx>
        <c:axId val="441897519"/>
        <c:scaling>
          <c:orientation val="minMax"/>
          <c:max val="20"/>
          <c:min val="-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837615"/>
        <c:crosses val="max"/>
        <c:crossBetween val="between"/>
      </c:valAx>
      <c:catAx>
        <c:axId val="634837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89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423784626778648"/>
          <c:y val="0.11851849338137418"/>
          <c:w val="0.29152415329869946"/>
          <c:h val="4.54548539558622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166686</xdr:colOff>
      <xdr:row>0</xdr:row>
      <xdr:rowOff>142876</xdr:rowOff>
    </xdr:from>
    <xdr:to>
      <xdr:col>11</xdr:col>
      <xdr:colOff>47624</xdr:colOff>
      <xdr:row>18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EF96D15-B0AB-99FF-8A3F-1FCD83FDA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404812</xdr:colOff>
      <xdr:row>0</xdr:row>
      <xdr:rowOff>142875</xdr:rowOff>
    </xdr:from>
    <xdr:to>
      <xdr:col>10</xdr:col>
      <xdr:colOff>495300</xdr:colOff>
      <xdr:row>15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727D07-960F-43A0-93FF-3266089CE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2</xdr:row>
      <xdr:rowOff>28575</xdr:rowOff>
    </xdr:from>
    <xdr:to>
      <xdr:col>12</xdr:col>
      <xdr:colOff>19050</xdr:colOff>
      <xdr:row>28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0A9142-FE9D-4785-9801-ACEF63793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304799</xdr:colOff>
      <xdr:row>2</xdr:row>
      <xdr:rowOff>47624</xdr:rowOff>
    </xdr:from>
    <xdr:to>
      <xdr:col>22</xdr:col>
      <xdr:colOff>276225</xdr:colOff>
      <xdr:row>28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4043824-2B6B-495F-ACBF-A2FA5270E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</xdr:rowOff>
    </xdr:from>
    <xdr:to>
      <xdr:col>2</xdr:col>
      <xdr:colOff>57150</xdr:colOff>
      <xdr:row>28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日期">
              <a:extLst>
                <a:ext uri="{FF2B5EF4-FFF2-40B4-BE49-F238E27FC236}">
                  <a16:creationId xmlns:a16="http://schemas.microsoft.com/office/drawing/2014/main" id="{6640F2CC-ECAB-6862-76CE-93648F18F9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日期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2500"/>
              <a:ext cx="1428750" cy="475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0.0297</cdr:x>
      <cdr:y>0.251</cdr:y>
    </cdr:from>
    <cdr:to>
      <cdr:x>0.0792</cdr:x>
      <cdr:y>0.43172</cdr:y>
    </cdr:to>
    <cdr:sp macro="" textlink="">
      <cdr:nvSpPr>
        <cdr:cNvPr id="2" name="椭圆 1">
          <a:extLst xmlns:a="http://schemas.openxmlformats.org/drawingml/2006/main">
            <a:ext uri="{FF2B5EF4-FFF2-40B4-BE49-F238E27FC236}">
              <a16:creationId xmlns:a16="http://schemas.microsoft.com/office/drawing/2014/main" id="{DF6C6D0F-8E58-2A91-6D59-5A3AC60EFF98}"/>
            </a:ext>
          </a:extLst>
        </cdr:cNvPr>
        <cdr:cNvSpPr/>
      </cdr:nvSpPr>
      <cdr:spPr>
        <a:xfrm xmlns:a="http://schemas.openxmlformats.org/drawingml/2006/main">
          <a:off x="200036" y="1190619"/>
          <a:ext cx="333342" cy="857236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zh-CN" altLang="en-US"/>
            <a:t>环比</a:t>
          </a:r>
          <a:endParaRPr lang="zh-CN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0.037</cdr:x>
      <cdr:y>0.32323</cdr:y>
    </cdr:from>
    <cdr:to>
      <cdr:x>0.0884</cdr:x>
      <cdr:y>0.51313</cdr:y>
    </cdr:to>
    <cdr:sp macro="" textlink="">
      <cdr:nvSpPr>
        <cdr:cNvPr id="2" name="椭圆 1">
          <a:extLst xmlns:a="http://schemas.openxmlformats.org/drawingml/2006/main">
            <a:ext uri="{FF2B5EF4-FFF2-40B4-BE49-F238E27FC236}">
              <a16:creationId xmlns:a16="http://schemas.microsoft.com/office/drawing/2014/main" id="{41C1BD29-FD1B-AAEB-23D0-7166AC8F947F}"/>
            </a:ext>
          </a:extLst>
        </cdr:cNvPr>
        <cdr:cNvSpPr/>
      </cdr:nvSpPr>
      <cdr:spPr>
        <a:xfrm xmlns:a="http://schemas.openxmlformats.org/drawingml/2006/main">
          <a:off x="242826" y="1524001"/>
          <a:ext cx="337291" cy="89535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zh-CN" altLang="en-US"/>
            <a:t>环比</a:t>
          </a:r>
          <a:endParaRPr lang="zh-CN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329.582493865739" createdVersion="8" refreshedVersion="8" minRefreshableVersion="3" recordCount="129" xr:uid="{DA415210-C940-41A3-8D28-70E20E31878A}">
  <cacheSource type="worksheet">
    <worksheetSource name="表1"/>
  </cacheSource>
  <cacheFields count="9">
    <cacheField name="日期" numFmtId="14">
      <sharedItems containsSemiMixedTypes="0" containsNonDate="0" containsDate="1" containsString="0" minDate="2023-08-09T00:00:00" maxDate="2024-02-07T00:00:00" count="129">
        <d v="2023-08-09T00:00:00"/>
        <d v="2023-08-10T00:00:00"/>
        <d v="2023-08-13T00:00:00"/>
        <d v="2023-08-14T00:00:00"/>
        <d v="2023-08-15T00:00:00"/>
        <d v="2023-08-16T00:00:00"/>
        <d v="2023-08-17T00:00:00"/>
        <d v="2023-08-20T00:00:00"/>
        <d v="2023-08-21T00:00:00"/>
        <d v="2023-08-22T00:00:00"/>
        <d v="2023-08-23T00:00:00"/>
        <d v="2023-08-24T00:00:00"/>
        <d v="2023-08-27T00:00:00"/>
        <d v="2023-08-28T00:00:00"/>
        <d v="2023-08-29T00:00:00"/>
        <d v="2023-08-30T00:00:00"/>
        <d v="2023-08-31T00:00:00"/>
        <d v="2023-09-03T00:00:00"/>
        <d v="2023-09-04T00:00:00"/>
        <d v="2023-09-05T00:00:00"/>
        <d v="2023-09-06T00:00:00"/>
        <d v="2023-09-07T00:00:00"/>
        <d v="2023-09-10T00:00:00"/>
        <d v="2023-09-11T00:00:00"/>
        <d v="2023-09-12T00:00:00"/>
        <d v="2023-09-13T00:00:00"/>
        <d v="2023-09-14T00:00:00"/>
        <d v="2023-09-17T00:00:00"/>
        <d v="2023-09-18T00:00:00"/>
        <d v="2023-09-19T00:00:00"/>
        <d v="2023-09-20T00:00:00"/>
        <d v="2023-09-21T00:00:00"/>
        <d v="2023-09-24T00:00:00"/>
        <d v="2023-09-25T00:00:00"/>
        <d v="2023-09-26T00:00:00"/>
        <d v="2023-09-27T00:00:00"/>
        <d v="2023-10-06T00:00:00"/>
        <d v="2023-10-07T00:00:00"/>
        <d v="2023-10-08T00:00:00"/>
        <d v="2023-10-10T00:00:00"/>
        <d v="2023-10-11T00:00:00"/>
        <d v="2023-10-12T00:00:00"/>
        <d v="2023-10-15T00:00:00"/>
        <d v="2023-10-16T00:00:00"/>
        <d v="2023-10-17T00:00:00"/>
        <d v="2023-10-18T00:00:00"/>
        <d v="2023-10-19T00:00:00"/>
        <d v="2023-10-22T00:00:00"/>
        <d v="2023-10-23T00:00:00"/>
        <d v="2023-10-24T00:00:00"/>
        <d v="2023-10-25T00:00:00"/>
        <d v="2023-10-26T00:00:00"/>
        <d v="2023-10-29T00:00:00"/>
        <d v="2023-10-30T00:00:00"/>
        <d v="2023-10-31T00:00:00"/>
        <d v="2023-11-01T00:00:00"/>
        <d v="2023-11-02T00:00:00"/>
        <d v="2023-11-05T00:00:00"/>
        <d v="2023-11-06T00:00:00"/>
        <d v="2023-11-07T00:00:00"/>
        <d v="2023-11-08T00:00:00"/>
        <d v="2023-11-09T00:00:00"/>
        <d v="2023-11-12T00:00:00"/>
        <d v="2023-11-13T00:00:00"/>
        <d v="2023-11-14T00:00:00"/>
        <d v="2023-11-15T00:00:00"/>
        <d v="2023-11-16T00:00:00"/>
        <d v="2023-11-19T00:00:00"/>
        <d v="2023-11-20T00:00:00"/>
        <d v="2023-11-21T00:00:00"/>
        <d v="2023-11-22T00:00:00"/>
        <d v="2023-11-23T00:00:00"/>
        <d v="2023-11-26T00:00:00"/>
        <d v="2023-11-27T00:00:00"/>
        <d v="2023-11-28T00:00:00"/>
        <d v="2023-11-29T00:00:00"/>
        <d v="2023-11-30T00:00:00"/>
        <d v="2023-12-03T00:00:00"/>
        <d v="2023-12-04T00:00:00"/>
        <d v="2023-12-05T00:00:00"/>
        <d v="2023-12-06T00:00:00"/>
        <d v="2023-12-07T00:00:00"/>
        <d v="2023-12-10T00:00:00"/>
        <d v="2023-12-11T00:00:00"/>
        <d v="2023-12-12T00:00:00"/>
        <d v="2023-12-13T00:00:00"/>
        <d v="2023-12-14T00:00:00"/>
        <d v="2023-12-17T00:00:00"/>
        <d v="2023-12-18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2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5T00:00:00"/>
        <d v="2024-01-16T00:00:00"/>
        <d v="2024-01-17T00:00:00"/>
        <d v="2024-01-18T00:00:00"/>
        <d v="2024-01-21T00:00:00"/>
        <d v="2024-01-22T00:00:00"/>
        <d v="2024-01-23T00:00:00"/>
        <d v="2024-01-24T00:00:00"/>
        <d v="2024-01-25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</sharedItems>
      <fieldGroup par="8"/>
    </cacheField>
    <cacheField name="库存（万吨）" numFmtId="0">
      <sharedItems containsSemiMixedTypes="0" containsString="0" containsNumber="1" minValue="1173.5999999999999" maxValue="1474.1"/>
    </cacheField>
    <cacheField name="库存环比" numFmtId="0">
      <sharedItems containsString="0" containsBlank="1" containsNumber="1" minValue="-27.199999999999818" maxValue="32.599999999999909"/>
    </cacheField>
    <cacheField name="日耗（万吨）" numFmtId="0">
      <sharedItems containsSemiMixedTypes="0" containsString="0" containsNumber="1" minValue="74.44" maxValue="97.61"/>
    </cacheField>
    <cacheField name="日耗环比" numFmtId="0">
      <sharedItems containsString="0" containsBlank="1" containsNumber="1" minValue="-9.8400000000000034" maxValue="10.150000000000006"/>
    </cacheField>
    <cacheField name="可用天数" numFmtId="0">
      <sharedItems containsSemiMixedTypes="0" containsString="0" containsNumber="1" minValue="13.7" maxValue="19.5"/>
    </cacheField>
    <cacheField name="天数环比" numFmtId="0">
      <sharedItems containsString="0" containsBlank="1" containsNumber="1" minValue="-0.80000000000000071" maxValue="2.1000000000000014"/>
    </cacheField>
    <cacheField name="天(日期)" numFmtId="0" databaseField="0">
      <fieldGroup base="0">
        <rangePr groupBy="days" startDate="2023-08-09T00:00:00" endDate="2024-02-07T00:00:00"/>
        <groupItems count="368">
          <s v="&lt;2023/8/9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2/7"/>
        </groupItems>
      </fieldGroup>
    </cacheField>
    <cacheField name="月(日期)" numFmtId="0" databaseField="0">
      <fieldGroup base="0">
        <rangePr groupBy="months" startDate="2023-08-09T00:00:00" endDate="2024-02-07T00:00:00"/>
        <groupItems count="14">
          <s v="&lt;2023/8/9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2/7"/>
        </groupItems>
      </fieldGroup>
    </cacheField>
  </cacheFields>
  <extLst>
    <ext xmlns:x14="http://schemas.microsoft.com/office/spreadsheetml/2009/9/main" uri="{725AE2AE-9491-48be-B2B4-4EB974FC3084}">
      <x14:pivotCacheDefinition pivotCacheId="17848209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n v="1385.9"/>
    <m/>
    <n v="88.69"/>
    <m/>
    <n v="15.6"/>
    <m/>
  </r>
  <r>
    <x v="1"/>
    <n v="1379.3"/>
    <n v="-6.6000000000001364"/>
    <n v="90.19"/>
    <n v="1.5"/>
    <n v="15.2"/>
    <n v="-0.40000000000000036"/>
  </r>
  <r>
    <x v="2"/>
    <n v="1371.3"/>
    <n v="-8"/>
    <n v="88.63"/>
    <n v="-1.5600000000000023"/>
    <n v="15.4"/>
    <n v="0.20000000000000107"/>
  </r>
  <r>
    <x v="3"/>
    <n v="1367.5"/>
    <n v="-3.7999999999999545"/>
    <n v="88.66"/>
    <n v="3.0000000000001137E-2"/>
    <n v="15.4"/>
    <n v="0"/>
  </r>
  <r>
    <x v="4"/>
    <n v="1362.4"/>
    <n v="-5.0999999999999091"/>
    <n v="88.38"/>
    <n v="-0.28000000000000114"/>
    <n v="15.4"/>
    <n v="0"/>
  </r>
  <r>
    <x v="5"/>
    <n v="1358.1"/>
    <n v="-4.3000000000001819"/>
    <n v="88.22"/>
    <n v="-0.15999999999999659"/>
    <n v="15.3"/>
    <n v="-9.9999999999999645E-2"/>
  </r>
  <r>
    <x v="6"/>
    <n v="1365.8"/>
    <n v="7.7000000000000455"/>
    <n v="88.45"/>
    <n v="0.23000000000000398"/>
    <n v="15.4"/>
    <n v="9.9999999999999645E-2"/>
  </r>
  <r>
    <x v="7"/>
    <n v="1365.9"/>
    <n v="0.10000000000013642"/>
    <n v="87.46"/>
    <n v="-0.99000000000000909"/>
    <n v="15.6"/>
    <n v="0.19999999999999929"/>
  </r>
  <r>
    <x v="8"/>
    <n v="1362"/>
    <n v="-3.9000000000000909"/>
    <n v="97.61"/>
    <n v="10.150000000000006"/>
    <n v="15.5"/>
    <n v="-9.9999999999999645E-2"/>
  </r>
  <r>
    <x v="9"/>
    <n v="1365.3"/>
    <n v="3.2999999999999545"/>
    <n v="87.77"/>
    <n v="-9.8400000000000034"/>
    <n v="15.5"/>
    <n v="0"/>
  </r>
  <r>
    <x v="10"/>
    <n v="1367.3"/>
    <n v="2"/>
    <n v="85.79"/>
    <n v="-1.9799999999999898"/>
    <n v="15.9"/>
    <n v="0.40000000000000036"/>
  </r>
  <r>
    <x v="11"/>
    <n v="1375.7"/>
    <n v="8.4000000000000909"/>
    <n v="85.17"/>
    <n v="-0.62000000000000455"/>
    <n v="16.100000000000001"/>
    <n v="0.20000000000000107"/>
  </r>
  <r>
    <x v="12"/>
    <n v="1384.7"/>
    <n v="9"/>
    <n v="84.61"/>
    <n v="-0.56000000000000227"/>
    <n v="16.3"/>
    <n v="0.19999999999999929"/>
  </r>
  <r>
    <x v="13"/>
    <n v="1389.3"/>
    <n v="4.5999999999999091"/>
    <n v="82.48"/>
    <n v="-2.1299999999999955"/>
    <n v="16.8"/>
    <n v="0.5"/>
  </r>
  <r>
    <x v="14"/>
    <n v="1383.3"/>
    <n v="-6"/>
    <n v="83.09"/>
    <n v="0.60999999999999943"/>
    <n v="16.600000000000001"/>
    <n v="-0.19999999999999929"/>
  </r>
  <r>
    <x v="15"/>
    <n v="1386.9"/>
    <n v="3.6000000000001364"/>
    <n v="80.77"/>
    <n v="-2.3200000000000074"/>
    <n v="17.100000000000001"/>
    <n v="0.5"/>
  </r>
  <r>
    <x v="16"/>
    <n v="1404"/>
    <n v="17.099999999999909"/>
    <n v="79.66"/>
    <n v="-1.1099999999999994"/>
    <n v="17"/>
    <n v="-0.10000000000000142"/>
  </r>
  <r>
    <x v="17"/>
    <n v="1436.6"/>
    <n v="32.599999999999909"/>
    <n v="74.89"/>
    <n v="-4.769999999999996"/>
    <n v="19.100000000000001"/>
    <n v="2.1000000000000014"/>
  </r>
  <r>
    <x v="18"/>
    <n v="1442.2"/>
    <n v="5.6000000000001364"/>
    <n v="74.73"/>
    <n v="-0.15999999999999659"/>
    <n v="19.2"/>
    <n v="9.9999999999997868E-2"/>
  </r>
  <r>
    <x v="19"/>
    <n v="1453.4"/>
    <n v="11.200000000000045"/>
    <n v="74.44"/>
    <n v="-0.29000000000000625"/>
    <n v="19.5"/>
    <n v="0.30000000000000071"/>
  </r>
  <r>
    <x v="20"/>
    <n v="1454.1"/>
    <n v="0.6999999999998181"/>
    <n v="75.36"/>
    <n v="0.92000000000000171"/>
    <n v="19.2"/>
    <n v="-0.30000000000000071"/>
  </r>
  <r>
    <x v="21"/>
    <n v="1443.3"/>
    <n v="-10.799999999999955"/>
    <n v="78.290000000000006"/>
    <n v="2.9300000000000068"/>
    <n v="18.399999999999999"/>
    <n v="-0.80000000000000071"/>
  </r>
  <r>
    <x v="22"/>
    <n v="1431.7"/>
    <n v="-11.599999999999909"/>
    <n v="78.069999999999993"/>
    <n v="-0.22000000000001307"/>
    <n v="18.3"/>
    <n v="-9.9999999999997868E-2"/>
  </r>
  <r>
    <x v="23"/>
    <n v="1432.2"/>
    <n v="0.5"/>
    <n v="79.72"/>
    <n v="1.6500000000000057"/>
    <n v="17.899999999999999"/>
    <n v="-0.40000000000000213"/>
  </r>
  <r>
    <x v="24"/>
    <n v="1427.9"/>
    <n v="-4.2999999999999545"/>
    <n v="79.97"/>
    <n v="0.25"/>
    <n v="17.8"/>
    <n v="-9.9999999999997868E-2"/>
  </r>
  <r>
    <x v="25"/>
    <n v="1421"/>
    <n v="-6.9000000000000909"/>
    <n v="79.459999999999994"/>
    <n v="-0.51000000000000512"/>
    <n v="17.8"/>
    <n v="0"/>
  </r>
  <r>
    <x v="26"/>
    <n v="1407.2"/>
    <n v="-13.799999999999955"/>
    <n v="79.739999999999995"/>
    <n v="0.28000000000000114"/>
    <n v="17.600000000000001"/>
    <n v="-0.19999999999999929"/>
  </r>
  <r>
    <x v="27"/>
    <n v="1382.8"/>
    <n v="-24.400000000000091"/>
    <n v="80.66"/>
    <n v="0.92000000000000171"/>
    <n v="17.100000000000001"/>
    <n v="-0.5"/>
  </r>
  <r>
    <x v="28"/>
    <n v="1389.9"/>
    <n v="7.1000000000001364"/>
    <n v="80.81"/>
    <n v="0.15000000000000568"/>
    <n v="17.100000000000001"/>
    <n v="0"/>
  </r>
  <r>
    <x v="29"/>
    <n v="1389.7"/>
    <n v="-0.20000000000004547"/>
    <n v="81.569999999999993"/>
    <n v="0.75999999999999091"/>
    <n v="17"/>
    <n v="-0.10000000000000142"/>
  </r>
  <r>
    <x v="30"/>
    <n v="1393.6"/>
    <n v="3.8999999999998636"/>
    <n v="79.989999999999995"/>
    <n v="-1.5799999999999983"/>
    <n v="17.399999999999999"/>
    <n v="0.39999999999999858"/>
  </r>
  <r>
    <x v="31"/>
    <n v="1393.3"/>
    <n v="-0.29999999999995453"/>
    <n v="80.150000000000006"/>
    <n v="0.1600000000000108"/>
    <n v="17.3"/>
    <n v="-9.9999999999997868E-2"/>
  </r>
  <r>
    <x v="32"/>
    <n v="1398.9"/>
    <n v="5.6000000000001364"/>
    <n v="80.12"/>
    <n v="-3.0000000000001137E-2"/>
    <n v="17.399999999999999"/>
    <n v="9.9999999999997868E-2"/>
  </r>
  <r>
    <x v="33"/>
    <n v="1394.5"/>
    <n v="-4.4000000000000909"/>
    <n v="80.319999999999993"/>
    <n v="0.19999999999998863"/>
    <n v="17.3"/>
    <n v="-9.9999999999997868E-2"/>
  </r>
  <r>
    <x v="34"/>
    <n v="1397.7"/>
    <n v="3.2000000000000455"/>
    <n v="80.650000000000006"/>
    <n v="0.33000000000001251"/>
    <n v="17.3"/>
    <n v="0"/>
  </r>
  <r>
    <x v="35"/>
    <n v="1401.7"/>
    <n v="4"/>
    <n v="80.989999999999995"/>
    <n v="0.3399999999999892"/>
    <n v="17.2"/>
    <n v="-0.10000000000000142"/>
  </r>
  <r>
    <x v="36"/>
    <n v="1415"/>
    <n v="13.299999999999955"/>
    <n v="79.849999999999994"/>
    <n v="-1.1400000000000006"/>
    <n v="17.7"/>
    <n v="0.5"/>
  </r>
  <r>
    <x v="37"/>
    <n v="1414.7"/>
    <n v="-0.29999999999995453"/>
    <n v="80.23"/>
    <n v="0.38000000000000966"/>
    <n v="17.600000000000001"/>
    <n v="-9.9999999999997868E-2"/>
  </r>
  <r>
    <x v="38"/>
    <n v="1419.7"/>
    <n v="5"/>
    <n v="80.27"/>
    <n v="3.9999999999992042E-2"/>
    <n v="17.600000000000001"/>
    <n v="0"/>
  </r>
  <r>
    <x v="39"/>
    <n v="1420.2"/>
    <n v="0.5"/>
    <n v="81.33"/>
    <n v="1.0600000000000023"/>
    <n v="17.399999999999999"/>
    <n v="-0.20000000000000284"/>
  </r>
  <r>
    <x v="40"/>
    <n v="1407.2"/>
    <n v="-13"/>
    <n v="81.5"/>
    <n v="0.17000000000000171"/>
    <n v="17.2"/>
    <n v="-0.19999999999999929"/>
  </r>
  <r>
    <x v="41"/>
    <n v="1411.1"/>
    <n v="3.8999999999998636"/>
    <n v="81.59"/>
    <n v="9.0000000000003411E-2"/>
    <n v="17.2"/>
    <n v="0"/>
  </r>
  <r>
    <x v="42"/>
    <n v="1427.2"/>
    <n v="16.100000000000136"/>
    <n v="81.17"/>
    <n v="-0.42000000000000171"/>
    <n v="17.5"/>
    <n v="0.30000000000000071"/>
  </r>
  <r>
    <x v="43"/>
    <n v="1434.4"/>
    <n v="7.2000000000000455"/>
    <n v="80.77"/>
    <n v="-0.40000000000000568"/>
    <n v="17.7"/>
    <n v="0.19999999999999929"/>
  </r>
  <r>
    <x v="44"/>
    <n v="1439.3"/>
    <n v="4.8999999999998636"/>
    <n v="80.84"/>
    <n v="7.000000000000739E-2"/>
    <n v="17.8"/>
    <n v="0.10000000000000142"/>
  </r>
  <r>
    <x v="45"/>
    <n v="1441.1"/>
    <n v="1.7999999999999545"/>
    <n v="80.44"/>
    <n v="-0.40000000000000568"/>
    <n v="17.899999999999999"/>
    <n v="9.9999999999997868E-2"/>
  </r>
  <r>
    <x v="46"/>
    <n v="1443"/>
    <n v="1.9000000000000909"/>
    <n v="80.33"/>
    <n v="-0.10999999999999943"/>
    <n v="17.899999999999999"/>
    <n v="0"/>
  </r>
  <r>
    <x v="47"/>
    <n v="1434.8"/>
    <n v="-8.2000000000000455"/>
    <n v="78.16"/>
    <n v="-2.1700000000000017"/>
    <n v="18.3"/>
    <n v="0.40000000000000213"/>
  </r>
  <r>
    <x v="48"/>
    <n v="1435.2"/>
    <n v="0.40000000000009095"/>
    <n v="77.930000000000007"/>
    <n v="-0.22999999999998977"/>
    <n v="18.399999999999999"/>
    <n v="9.9999999999997868E-2"/>
  </r>
  <r>
    <x v="49"/>
    <n v="1426.6"/>
    <n v="-8.6000000000001364"/>
    <n v="77.66"/>
    <n v="-0.27000000000001023"/>
    <n v="18.3"/>
    <n v="-9.9999999999997868E-2"/>
  </r>
  <r>
    <x v="50"/>
    <n v="1422.3"/>
    <n v="-4.2999999999999545"/>
    <n v="77.28"/>
    <n v="-0.37999999999999545"/>
    <n v="18.399999999999999"/>
    <n v="9.9999999999997868E-2"/>
  </r>
  <r>
    <x v="51"/>
    <n v="1415.6"/>
    <n v="-6.7000000000000455"/>
    <n v="77.05"/>
    <n v="-0.23000000000000398"/>
    <n v="18.3"/>
    <n v="-9.9999999999997868E-2"/>
  </r>
  <r>
    <x v="52"/>
    <n v="1402.7"/>
    <n v="-12.899999999999864"/>
    <n v="77.91"/>
    <n v="0.85999999999999943"/>
    <n v="17.899999999999999"/>
    <n v="-0.40000000000000213"/>
  </r>
  <r>
    <x v="53"/>
    <n v="1407.4"/>
    <n v="4.7000000000000455"/>
    <n v="77.650000000000006"/>
    <n v="-0.25999999999999091"/>
    <n v="18.100000000000001"/>
    <n v="0.20000000000000284"/>
  </r>
  <r>
    <x v="54"/>
    <n v="1414.9"/>
    <n v="7.5"/>
    <n v="77.47"/>
    <n v="-0.18000000000000682"/>
    <n v="18.2"/>
    <n v="9.9999999999997868E-2"/>
  </r>
  <r>
    <x v="55"/>
    <n v="1419.7"/>
    <n v="4.7999999999999545"/>
    <n v="77.56"/>
    <n v="9.0000000000003411E-2"/>
    <n v="18.2"/>
    <n v="0"/>
  </r>
  <r>
    <x v="56"/>
    <n v="1428"/>
    <n v="8.2999999999999545"/>
    <n v="77.53"/>
    <n v="-3.0000000000001137E-2"/>
    <n v="18.399999999999999"/>
    <n v="0.19999999999999929"/>
  </r>
  <r>
    <x v="57"/>
    <n v="1438.5"/>
    <n v="10.5"/>
    <n v="77.989999999999995"/>
    <n v="0.45999999999999375"/>
    <n v="18.399999999999999"/>
    <n v="0"/>
  </r>
  <r>
    <x v="58"/>
    <n v="1433.6"/>
    <n v="-4.9000000000000909"/>
    <n v="78.23"/>
    <n v="0.24000000000000909"/>
    <n v="18.3"/>
    <n v="-9.9999999999997868E-2"/>
  </r>
  <r>
    <x v="59"/>
    <n v="1434.8"/>
    <n v="1.2000000000000455"/>
    <n v="78.33"/>
    <n v="9.9999999999994316E-2"/>
    <n v="18.3"/>
    <n v="0"/>
  </r>
  <r>
    <x v="60"/>
    <n v="1439"/>
    <n v="4.2000000000000455"/>
    <n v="78.38"/>
    <n v="4.9999999999997158E-2"/>
    <n v="18.3"/>
    <n v="0"/>
  </r>
  <r>
    <x v="61"/>
    <n v="1439.5"/>
    <n v="0.5"/>
    <n v="78.739999999999995"/>
    <n v="0.35999999999999943"/>
    <n v="18.2"/>
    <n v="-0.10000000000000142"/>
  </r>
  <r>
    <x v="62"/>
    <n v="1441.9"/>
    <n v="2.4000000000000909"/>
    <n v="79.47"/>
    <n v="0.73000000000000398"/>
    <n v="18.100000000000001"/>
    <n v="-9.9999999999997868E-2"/>
  </r>
  <r>
    <x v="63"/>
    <n v="1446.3"/>
    <n v="4.3999999999998636"/>
    <n v="79.959999999999994"/>
    <n v="0.48999999999999488"/>
    <n v="18"/>
    <n v="-0.10000000000000142"/>
  </r>
  <r>
    <x v="64"/>
    <n v="1449.6"/>
    <n v="3.2999999999999545"/>
    <n v="80.09"/>
    <n v="0.13000000000000966"/>
    <n v="18"/>
    <n v="0"/>
  </r>
  <r>
    <x v="65"/>
    <n v="1453.3"/>
    <n v="3.7000000000000455"/>
    <n v="80.12"/>
    <n v="3.0000000000001137E-2"/>
    <n v="18.100000000000001"/>
    <n v="0.10000000000000142"/>
  </r>
  <r>
    <x v="66"/>
    <n v="1456.8"/>
    <n v="3.5"/>
    <n v="80.069999999999993"/>
    <n v="-5.0000000000011369E-2"/>
    <n v="18.100000000000001"/>
    <n v="0"/>
  </r>
  <r>
    <x v="67"/>
    <n v="1472.9"/>
    <n v="16.100000000000136"/>
    <n v="79.59"/>
    <n v="-0.47999999999998977"/>
    <n v="18.399999999999999"/>
    <n v="0.29999999999999716"/>
  </r>
  <r>
    <x v="68"/>
    <n v="1473.2"/>
    <n v="0.29999999999995453"/>
    <n v="79.45"/>
    <n v="-0.14000000000000057"/>
    <n v="18.5"/>
    <n v="0.10000000000000142"/>
  </r>
  <r>
    <x v="69"/>
    <n v="1474.1"/>
    <n v="0.89999999999986358"/>
    <n v="79.790000000000006"/>
    <n v="0.34000000000000341"/>
    <n v="18.399999999999999"/>
    <n v="-0.10000000000000142"/>
  </r>
  <r>
    <x v="70"/>
    <n v="1472.1"/>
    <n v="-2"/>
    <n v="79.849999999999994"/>
    <n v="5.9999999999988063E-2"/>
    <n v="18.399999999999999"/>
    <n v="0"/>
  </r>
  <r>
    <x v="71"/>
    <n v="1463.8"/>
    <n v="-8.2999999999999545"/>
    <n v="79.98"/>
    <n v="0.13000000000000966"/>
    <n v="18.3"/>
    <n v="-9.9999999999997868E-2"/>
  </r>
  <r>
    <x v="72"/>
    <n v="1455.3"/>
    <n v="-8.5"/>
    <n v="80.05"/>
    <n v="6.9999999999993179E-2"/>
    <n v="18.100000000000001"/>
    <n v="-0.19999999999999929"/>
  </r>
  <r>
    <x v="73"/>
    <n v="1454.8"/>
    <n v="-0.5"/>
    <n v="80.11"/>
    <n v="6.0000000000002274E-2"/>
    <n v="18.100000000000001"/>
    <n v="0"/>
  </r>
  <r>
    <x v="74"/>
    <n v="1451.8"/>
    <n v="-3"/>
    <n v="80.23"/>
    <n v="0.12000000000000455"/>
    <n v="18"/>
    <n v="-0.10000000000000142"/>
  </r>
  <r>
    <x v="75"/>
    <n v="1448.6"/>
    <n v="-3.2000000000000455"/>
    <n v="80.27"/>
    <n v="3.9999999999992042E-2"/>
    <n v="18"/>
    <n v="0"/>
  </r>
  <r>
    <x v="76"/>
    <n v="1442.2"/>
    <n v="-6.3999999999998636"/>
    <n v="81.05"/>
    <n v="0.78000000000000114"/>
    <n v="17.7"/>
    <n v="-0.30000000000000071"/>
  </r>
  <r>
    <x v="77"/>
    <n v="1425.4"/>
    <n v="-16.799999999999955"/>
    <n v="81.39"/>
    <n v="0.34000000000000341"/>
    <n v="17.5"/>
    <n v="-0.19999999999999929"/>
  </r>
  <r>
    <x v="78"/>
    <n v="1421.1"/>
    <n v="-4.3000000000001819"/>
    <n v="81.27"/>
    <n v="-0.12000000000000455"/>
    <n v="17.399999999999999"/>
    <n v="-0.10000000000000142"/>
  </r>
  <r>
    <x v="79"/>
    <n v="1419.5"/>
    <n v="-1.5999999999999091"/>
    <n v="81.489999999999995"/>
    <n v="0.21999999999999886"/>
    <n v="17.399999999999999"/>
    <n v="0"/>
  </r>
  <r>
    <x v="80"/>
    <n v="1413.1"/>
    <n v="-6.4000000000000909"/>
    <n v="81.08"/>
    <n v="-0.40999999999999659"/>
    <n v="17.399999999999999"/>
    <n v="0"/>
  </r>
  <r>
    <x v="81"/>
    <n v="1385.9"/>
    <n v="-27.199999999999818"/>
    <n v="81.62"/>
    <n v="0.54000000000000625"/>
    <n v="16.899999999999999"/>
    <n v="-0.5"/>
  </r>
  <r>
    <x v="82"/>
    <n v="1369.2"/>
    <n v="-16.700000000000045"/>
    <n v="81.8"/>
    <n v="0.17999999999999261"/>
    <n v="16.7"/>
    <n v="-0.19999999999999929"/>
  </r>
  <r>
    <x v="83"/>
    <n v="1355"/>
    <n v="-14.200000000000045"/>
    <n v="81.709999999999994"/>
    <n v="-9.0000000000003411E-2"/>
    <n v="16.5"/>
    <n v="-0.19999999999999929"/>
  </r>
  <r>
    <x v="84"/>
    <n v="1345.4"/>
    <n v="-9.5999999999999091"/>
    <n v="81.86"/>
    <n v="0.15000000000000568"/>
    <n v="16.399999999999999"/>
    <n v="-0.10000000000000142"/>
  </r>
  <r>
    <x v="85"/>
    <n v="1347.1"/>
    <n v="1.6999999999998181"/>
    <n v="81.99"/>
    <n v="0.12999999999999545"/>
    <n v="16.399999999999999"/>
    <n v="0"/>
  </r>
  <r>
    <x v="86"/>
    <n v="1329.2"/>
    <n v="-17.899999999999864"/>
    <n v="84.9"/>
    <n v="2.9100000000000108"/>
    <n v="15.6"/>
    <n v="-0.79999999999999893"/>
  </r>
  <r>
    <x v="87"/>
    <n v="1317"/>
    <n v="-12.200000000000045"/>
    <n v="87.48"/>
    <n v="2.5799999999999983"/>
    <n v="15"/>
    <n v="-0.59999999999999964"/>
  </r>
  <r>
    <x v="88"/>
    <n v="1314.4"/>
    <n v="-2.5999999999999091"/>
    <n v="87.66"/>
    <n v="0.17999999999999261"/>
    <n v="14.9"/>
    <n v="-9.9999999999999645E-2"/>
  </r>
  <r>
    <x v="89"/>
    <n v="1309"/>
    <n v="-5.4000000000000909"/>
    <n v="88.31"/>
    <n v="0.65000000000000568"/>
    <n v="14.8"/>
    <n v="-9.9999999999999645E-2"/>
  </r>
  <r>
    <x v="90"/>
    <n v="1305.4000000000001"/>
    <n v="-3.5999999999999091"/>
    <n v="88.35"/>
    <n v="3.9999999999992042E-2"/>
    <n v="14.7"/>
    <n v="-0.10000000000000142"/>
  </r>
  <r>
    <x v="91"/>
    <n v="1307.7"/>
    <n v="2.2999999999999545"/>
    <n v="89.26"/>
    <n v="0.9100000000000108"/>
    <n v="14.6"/>
    <n v="-9.9999999999999645E-2"/>
  </r>
  <r>
    <x v="92"/>
    <n v="1324.1"/>
    <n v="16.399999999999864"/>
    <n v="87.51"/>
    <n v="-1.75"/>
    <n v="15.1"/>
    <n v="0.5"/>
  </r>
  <r>
    <x v="93"/>
    <n v="1326.6"/>
    <n v="2.5"/>
    <n v="86.77"/>
    <n v="-0.74000000000000909"/>
    <n v="15.2"/>
    <n v="9.9999999999999645E-2"/>
  </r>
  <r>
    <x v="94"/>
    <n v="1319.9"/>
    <n v="-6.6999999999998181"/>
    <n v="85.74"/>
    <n v="-1.0300000000000011"/>
    <n v="15.3"/>
    <n v="0.10000000000000142"/>
  </r>
  <r>
    <x v="95"/>
    <n v="1314.1"/>
    <n v="-5.8000000000001819"/>
    <n v="86.22"/>
    <n v="0.48000000000000398"/>
    <n v="15.2"/>
    <n v="-0.10000000000000142"/>
  </r>
  <r>
    <x v="96"/>
    <n v="1306.0999999999999"/>
    <n v="-8"/>
    <n v="86.51"/>
    <n v="0.29000000000000625"/>
    <n v="15"/>
    <n v="-0.19999999999999929"/>
  </r>
  <r>
    <x v="97"/>
    <n v="1286.7"/>
    <n v="-19.399999999999864"/>
    <n v="86.7"/>
    <n v="0.18999999999999773"/>
    <n v="14.8"/>
    <n v="-0.19999999999999929"/>
  </r>
  <r>
    <x v="98"/>
    <n v="1278.9000000000001"/>
    <n v="-7.7999999999999545"/>
    <n v="86.91"/>
    <n v="0.20999999999999375"/>
    <n v="14.7"/>
    <n v="-0.10000000000000142"/>
  </r>
  <r>
    <x v="99"/>
    <n v="1276.2"/>
    <n v="-2.7000000000000455"/>
    <n v="86.71"/>
    <n v="-0.20000000000000284"/>
    <n v="14.7"/>
    <n v="0"/>
  </r>
  <r>
    <x v="100"/>
    <n v="1274.9000000000001"/>
    <n v="-1.2999999999999545"/>
    <n v="86.78"/>
    <n v="7.000000000000739E-2"/>
    <n v="14.6"/>
    <n v="-9.9999999999999645E-2"/>
  </r>
  <r>
    <x v="101"/>
    <n v="1268"/>
    <n v="-6.9000000000000909"/>
    <n v="86.05"/>
    <n v="-0.73000000000000398"/>
    <n v="14.7"/>
    <n v="9.9999999999999645E-2"/>
  </r>
  <r>
    <x v="102"/>
    <n v="1270.3"/>
    <n v="2.2999999999999545"/>
    <n v="85.69"/>
    <n v="-0.35999999999999943"/>
    <n v="14.8"/>
    <n v="0.10000000000000142"/>
  </r>
  <r>
    <x v="103"/>
    <n v="1261.7"/>
    <n v="-8.5999999999999091"/>
    <n v="86.2"/>
    <n v="0.51000000000000512"/>
    <n v="14.6"/>
    <n v="-0.20000000000000107"/>
  </r>
  <r>
    <x v="104"/>
    <n v="1267.7"/>
    <n v="6"/>
    <n v="86.18"/>
    <n v="-1.9999999999996021E-2"/>
    <n v="14.7"/>
    <n v="9.9999999999999645E-2"/>
  </r>
  <r>
    <x v="105"/>
    <n v="1270.9000000000001"/>
    <n v="3.2000000000000455"/>
    <n v="85.9"/>
    <n v="-0.28000000000000114"/>
    <n v="14.7"/>
    <n v="0"/>
  </r>
  <r>
    <x v="106"/>
    <n v="1270.5"/>
    <n v="-0.40000000000009095"/>
    <n v="86.26"/>
    <n v="0.35999999999999943"/>
    <n v="14.7"/>
    <n v="0"/>
  </r>
  <r>
    <x v="107"/>
    <n v="1257.7"/>
    <n v="-12.799999999999955"/>
    <n v="85.86"/>
    <n v="-0.40000000000000568"/>
    <n v="14.6"/>
    <n v="-9.9999999999999645E-2"/>
  </r>
  <r>
    <x v="108"/>
    <n v="1242.0999999999999"/>
    <n v="-15.600000000000136"/>
    <n v="86.01"/>
    <n v="0.15000000000000568"/>
    <n v="14.4"/>
    <n v="-0.19999999999999929"/>
  </r>
  <r>
    <x v="109"/>
    <n v="1237.0999999999999"/>
    <n v="-5"/>
    <n v="85.74"/>
    <n v="-0.27000000000001023"/>
    <n v="14.4"/>
    <n v="0"/>
  </r>
  <r>
    <x v="110"/>
    <n v="1234.3"/>
    <n v="-2.7999999999999545"/>
    <n v="85.48"/>
    <n v="-0.25999999999999091"/>
    <n v="14.4"/>
    <n v="0"/>
  </r>
  <r>
    <x v="111"/>
    <n v="1237.9000000000001"/>
    <n v="3.6000000000001364"/>
    <n v="85.28"/>
    <n v="-0.20000000000000284"/>
    <n v="14.5"/>
    <n v="9.9999999999999645E-2"/>
  </r>
  <r>
    <x v="112"/>
    <n v="1236.7"/>
    <n v="-1.2000000000000455"/>
    <n v="85.15"/>
    <n v="-0.12999999999999545"/>
    <n v="14.5"/>
    <n v="0"/>
  </r>
  <r>
    <x v="113"/>
    <n v="1217.0999999999999"/>
    <n v="-19.600000000000136"/>
    <n v="85.6"/>
    <n v="0.44999999999998863"/>
    <n v="14.2"/>
    <n v="-0.30000000000000071"/>
  </r>
  <r>
    <x v="114"/>
    <n v="1198.5999999999999"/>
    <n v="-18.5"/>
    <n v="87.14"/>
    <n v="1.5400000000000063"/>
    <n v="13.7"/>
    <n v="-0.5"/>
  </r>
  <r>
    <x v="115"/>
    <n v="1204.9000000000001"/>
    <n v="6.3000000000001819"/>
    <n v="86.52"/>
    <n v="-0.62000000000000455"/>
    <n v="13.9"/>
    <n v="0.20000000000000107"/>
  </r>
  <r>
    <x v="116"/>
    <n v="1202.5999999999999"/>
    <n v="-2.3000000000001819"/>
    <n v="86.65"/>
    <n v="0.13000000000000966"/>
    <n v="13.8"/>
    <n v="-9.9999999999999645E-2"/>
  </r>
  <r>
    <x v="117"/>
    <n v="1197.3"/>
    <n v="-5.2999999999999545"/>
    <n v="86.51"/>
    <n v="-0.14000000000000057"/>
    <n v="13.8"/>
    <n v="0"/>
  </r>
  <r>
    <x v="118"/>
    <n v="1202.7"/>
    <n v="5.4000000000000909"/>
    <n v="86.41"/>
    <n v="-0.10000000000000853"/>
    <n v="13.9"/>
    <n v="9.9999999999999645E-2"/>
  </r>
  <r>
    <x v="119"/>
    <n v="1192"/>
    <n v="-10.700000000000045"/>
    <n v="85.94"/>
    <n v="-0.46999999999999886"/>
    <n v="13.8"/>
    <n v="-9.9999999999999645E-2"/>
  </r>
  <r>
    <x v="120"/>
    <n v="1190"/>
    <n v="-2"/>
    <n v="85.86"/>
    <n v="-7.9999999999998295E-2"/>
    <n v="13.8"/>
    <n v="0"/>
  </r>
  <r>
    <x v="121"/>
    <n v="1194.2"/>
    <n v="4.2000000000000455"/>
    <n v="85.28"/>
    <n v="-0.57999999999999829"/>
    <n v="14"/>
    <n v="0.19999999999999929"/>
  </r>
  <r>
    <x v="122"/>
    <n v="1197.5"/>
    <n v="3.2999999999999545"/>
    <n v="84.69"/>
    <n v="-0.59000000000000341"/>
    <n v="14.1"/>
    <n v="9.9999999999999645E-2"/>
  </r>
  <r>
    <x v="123"/>
    <n v="1191.5"/>
    <n v="-6"/>
    <n v="84.35"/>
    <n v="-0.34000000000000341"/>
    <n v="14.1"/>
    <n v="0"/>
  </r>
  <r>
    <x v="124"/>
    <n v="1184.3"/>
    <n v="-7.2000000000000455"/>
    <n v="84.68"/>
    <n v="0.33000000000001251"/>
    <n v="13.9"/>
    <n v="-0.19999999999999929"/>
  </r>
  <r>
    <x v="125"/>
    <n v="1180.4000000000001"/>
    <n v="-3.8999999999998636"/>
    <n v="84.4"/>
    <n v="-0.28000000000000114"/>
    <n v="13.9"/>
    <n v="0"/>
  </r>
  <r>
    <x v="126"/>
    <n v="1173.5999999999999"/>
    <n v="-6.8000000000001819"/>
    <n v="81.12"/>
    <n v="-3.2800000000000011"/>
    <n v="14.4"/>
    <n v="0.5"/>
  </r>
  <r>
    <x v="127"/>
    <n v="1175.9000000000001"/>
    <n v="2.3000000000001819"/>
    <n v="78.5"/>
    <n v="-2.6200000000000045"/>
    <n v="14.9"/>
    <n v="0.5"/>
  </r>
  <r>
    <x v="128"/>
    <n v="1181"/>
    <n v="5.0999999999999091"/>
    <n v="77.33"/>
    <n v="-1.1700000000000017"/>
    <n v="15.2"/>
    <n v="0.299999999999998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76DA2-F6B6-4434-9128-557F8400CD42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8" rowHeaderCaption="日期">
  <location ref="A1:C27" firstHeaderRow="0" firstDataRow="1" firstDataCol="1"/>
  <pivotFields count="9">
    <pivotField axis="axisRow" numFmtId="14" showAll="0">
      <items count="130"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94"/>
        <item h="1" x="95"/>
        <item h="1" x="96"/>
        <item h="1"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h="1" x="123"/>
        <item h="1" x="124"/>
        <item h="1" x="125"/>
        <item h="1" x="126"/>
        <item h="1" x="127"/>
        <item h="1" x="128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6"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2">
    <i>
      <x/>
    </i>
    <i i="1">
      <x v="1"/>
    </i>
  </colItems>
  <dataFields count="2">
    <dataField name="库存（万吨） " fld="1" baseField="0" baseItem="0"/>
    <dataField name="环比 " fld="2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BE6D6-53B9-411F-8248-58378CE8F12A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 rowHeaderCaption="日期">
  <location ref="A1:C27" firstHeaderRow="0" firstDataRow="1" firstDataCol="1"/>
  <pivotFields count="9">
    <pivotField axis="axisRow" numFmtId="14" showAll="0">
      <items count="130"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94"/>
        <item h="1" x="95"/>
        <item h="1" x="96"/>
        <item h="1"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h="1" x="123"/>
        <item h="1" x="124"/>
        <item h="1" x="125"/>
        <item h="1" x="126"/>
        <item h="1" x="127"/>
        <item h="1" x="128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26"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2">
    <i>
      <x/>
    </i>
    <i i="1">
      <x v="1"/>
    </i>
  </colItems>
  <dataFields count="2">
    <dataField name="日耗（万吨） " fld="3" baseField="0" baseItem="0"/>
    <dataField name="环比 " fld="4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日期" xr10:uid="{FEFC1FA7-FC49-4C22-A758-303A9210690E}" sourceName="日期">
  <pivotTables>
    <pivotTable tabId="2" name="数据透视表1"/>
    <pivotTable tabId="3" name="数据透视表2"/>
  </pivotTables>
  <data>
    <tabular pivotCacheId="1784820979">
      <items count="129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97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/>
        <i x="124"/>
        <i x="125"/>
        <i x="126"/>
        <i x="127"/>
        <i x="12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日期" xr10:uid="{64BF3B7E-6F97-429C-952E-ECE6B3869B60}" cache="切片器_日期" caption="日期" startItem="109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44B06-24A6-4BFC-8E30-5E174FB2A07F}" name="表1" displayName="表1" ref="A2:G263" totalsRowShown="0" headerRowDxfId="35" dataDxfId="33" headerRowBorderDxfId="34" tableBorderDxfId="32" totalsRowBorderDxfId="31">
  <autoFilter ref="A2:G263" xr:uid="{8A744B06-24A6-4BFC-8E30-5E174FB2A07F}"/>
  <tableColumns count="7">
    <tableColumn id="1" xr3:uid="{2591E7A1-236D-4BC1-BFC6-8D314CF1F8FD}" name="日期" dataDxfId="30"/>
    <tableColumn id="2" xr3:uid="{50DF2C1A-F1E7-4323-BF01-A5A17F461869}" name="库存（万吨）" dataDxfId="29"/>
    <tableColumn id="5" xr3:uid="{01023263-BE7E-4CB8-B327-42DA1896A71A}" name="库存环比" dataDxfId="28">
      <calculatedColumnFormula>表1[[#This Row],[库存（万吨）]]-B2</calculatedColumnFormula>
    </tableColumn>
    <tableColumn id="3" xr3:uid="{A59D0CDF-E774-45CF-BA3D-A2B4EF08BB69}" name="日耗（万吨）" dataDxfId="27"/>
    <tableColumn id="6" xr3:uid="{F9B3A432-EC34-4FA5-A26B-DBB207592241}" name="日耗环比" dataDxfId="26">
      <calculatedColumnFormula>表1[[#This Row],[日耗（万吨）]]-D2</calculatedColumnFormula>
    </tableColumn>
    <tableColumn id="4" xr3:uid="{3682C649-46F4-4391-887B-7A9D7B3A919E}" name="可用天数" dataDxfId="25"/>
    <tableColumn id="7" xr3:uid="{DE9CF0BB-799D-4AC4-B3AF-84D3540D4392}" name="天数环比" dataDxfId="24">
      <calculatedColumnFormula>表1[[#This Row],[可用天数]]-F2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"/>
  <sheetViews>
    <sheetView tabSelected="1" topLeftCell="A238" workbookViewId="0">
      <selection activeCell="B267" sqref="B267"/>
    </sheetView>
  </sheetViews>
  <sheetFormatPr defaultRowHeight="14.25" x14ac:dyDescent="0.2"/>
  <cols>
    <col min="1" max="1" width="12.875" customWidth="1"/>
    <col min="2" max="5" width="13.25" customWidth="1"/>
    <col min="6" max="6" width="12.625" customWidth="1"/>
  </cols>
  <sheetData>
    <row r="1" spans="1:7" ht="24" customHeight="1" x14ac:dyDescent="0.2">
      <c r="A1" s="14" t="s">
        <v>2</v>
      </c>
      <c r="B1" s="14"/>
      <c r="C1" s="14"/>
      <c r="D1" s="14"/>
      <c r="E1" s="14"/>
      <c r="F1" s="14"/>
    </row>
    <row r="2" spans="1:7" ht="15.75" x14ac:dyDescent="0.2">
      <c r="A2" s="5" t="s">
        <v>1</v>
      </c>
      <c r="B2" s="6" t="s">
        <v>3</v>
      </c>
      <c r="C2" s="6" t="s">
        <v>6</v>
      </c>
      <c r="D2" s="6" t="s">
        <v>4</v>
      </c>
      <c r="E2" s="6" t="s">
        <v>5</v>
      </c>
      <c r="F2" s="6" t="s">
        <v>0</v>
      </c>
      <c r="G2" s="7" t="s">
        <v>13</v>
      </c>
    </row>
    <row r="3" spans="1:7" ht="15.75" x14ac:dyDescent="0.2">
      <c r="A3" s="8">
        <v>45147</v>
      </c>
      <c r="B3" s="9">
        <v>1385.9</v>
      </c>
      <c r="C3" s="9"/>
      <c r="D3" s="9">
        <v>88.69</v>
      </c>
      <c r="E3" s="9"/>
      <c r="F3" s="9">
        <v>15.6</v>
      </c>
      <c r="G3" s="10"/>
    </row>
    <row r="4" spans="1:7" ht="15.75" x14ac:dyDescent="0.2">
      <c r="A4" s="8">
        <v>45148</v>
      </c>
      <c r="B4" s="9">
        <v>1379.3</v>
      </c>
      <c r="C4" s="9">
        <f>表1[[#This Row],[库存（万吨）]]-B3</f>
        <v>-6.6000000000001364</v>
      </c>
      <c r="D4" s="9">
        <v>90.19</v>
      </c>
      <c r="E4" s="9">
        <f>表1[[#This Row],[日耗（万吨）]]-D3</f>
        <v>1.5</v>
      </c>
      <c r="F4" s="9">
        <v>15.2</v>
      </c>
      <c r="G4" s="10">
        <f>表1[[#This Row],[可用天数]]-F3</f>
        <v>-0.40000000000000036</v>
      </c>
    </row>
    <row r="5" spans="1:7" ht="15.75" x14ac:dyDescent="0.2">
      <c r="A5" s="8">
        <v>45151</v>
      </c>
      <c r="B5" s="9">
        <v>1371.3</v>
      </c>
      <c r="C5" s="9">
        <f>表1[[#This Row],[库存（万吨）]]-B4</f>
        <v>-8</v>
      </c>
      <c r="D5" s="9">
        <v>88.63</v>
      </c>
      <c r="E5" s="9">
        <f>表1[[#This Row],[日耗（万吨）]]-D4</f>
        <v>-1.5600000000000023</v>
      </c>
      <c r="F5" s="9">
        <v>15.4</v>
      </c>
      <c r="G5" s="10">
        <f>表1[[#This Row],[可用天数]]-F4</f>
        <v>0.20000000000000107</v>
      </c>
    </row>
    <row r="6" spans="1:7" ht="15.75" x14ac:dyDescent="0.2">
      <c r="A6" s="8">
        <v>45152</v>
      </c>
      <c r="B6" s="9">
        <v>1367.5</v>
      </c>
      <c r="C6" s="9">
        <f>表1[[#This Row],[库存（万吨）]]-B5</f>
        <v>-3.7999999999999545</v>
      </c>
      <c r="D6" s="9">
        <v>88.66</v>
      </c>
      <c r="E6" s="9">
        <f>表1[[#This Row],[日耗（万吨）]]-D5</f>
        <v>3.0000000000001137E-2</v>
      </c>
      <c r="F6" s="9">
        <v>15.4</v>
      </c>
      <c r="G6" s="10">
        <f>表1[[#This Row],[可用天数]]-F5</f>
        <v>0</v>
      </c>
    </row>
    <row r="7" spans="1:7" ht="15.75" x14ac:dyDescent="0.2">
      <c r="A7" s="8">
        <v>45153</v>
      </c>
      <c r="B7" s="9">
        <v>1362.4</v>
      </c>
      <c r="C7" s="9">
        <f>表1[[#This Row],[库存（万吨）]]-B6</f>
        <v>-5.0999999999999091</v>
      </c>
      <c r="D7" s="9">
        <v>88.38</v>
      </c>
      <c r="E7" s="9">
        <f>表1[[#This Row],[日耗（万吨）]]-D6</f>
        <v>-0.28000000000000114</v>
      </c>
      <c r="F7" s="9">
        <v>15.4</v>
      </c>
      <c r="G7" s="10">
        <f>表1[[#This Row],[可用天数]]-F6</f>
        <v>0</v>
      </c>
    </row>
    <row r="8" spans="1:7" ht="15.75" x14ac:dyDescent="0.2">
      <c r="A8" s="8">
        <v>45154</v>
      </c>
      <c r="B8" s="9">
        <v>1358.1</v>
      </c>
      <c r="C8" s="9">
        <f>表1[[#This Row],[库存（万吨）]]-B7</f>
        <v>-4.3000000000001819</v>
      </c>
      <c r="D8" s="9">
        <v>88.22</v>
      </c>
      <c r="E8" s="9">
        <f>表1[[#This Row],[日耗（万吨）]]-D7</f>
        <v>-0.15999999999999659</v>
      </c>
      <c r="F8" s="9">
        <v>15.3</v>
      </c>
      <c r="G8" s="10">
        <f>表1[[#This Row],[可用天数]]-F7</f>
        <v>-9.9999999999999645E-2</v>
      </c>
    </row>
    <row r="9" spans="1:7" ht="15.75" x14ac:dyDescent="0.2">
      <c r="A9" s="8">
        <v>45155</v>
      </c>
      <c r="B9" s="9">
        <v>1365.8</v>
      </c>
      <c r="C9" s="9">
        <f>表1[[#This Row],[库存（万吨）]]-B8</f>
        <v>7.7000000000000455</v>
      </c>
      <c r="D9" s="9">
        <v>88.45</v>
      </c>
      <c r="E9" s="9">
        <f>表1[[#This Row],[日耗（万吨）]]-D8</f>
        <v>0.23000000000000398</v>
      </c>
      <c r="F9" s="9">
        <v>15.4</v>
      </c>
      <c r="G9" s="10">
        <f>表1[[#This Row],[可用天数]]-F8</f>
        <v>9.9999999999999645E-2</v>
      </c>
    </row>
    <row r="10" spans="1:7" ht="15.75" x14ac:dyDescent="0.2">
      <c r="A10" s="8">
        <v>45158</v>
      </c>
      <c r="B10" s="9">
        <v>1365.9</v>
      </c>
      <c r="C10" s="9">
        <f>表1[[#This Row],[库存（万吨）]]-B9</f>
        <v>0.10000000000013642</v>
      </c>
      <c r="D10" s="9">
        <v>87.46</v>
      </c>
      <c r="E10" s="9">
        <f>表1[[#This Row],[日耗（万吨）]]-D9</f>
        <v>-0.99000000000000909</v>
      </c>
      <c r="F10" s="9">
        <v>15.6</v>
      </c>
      <c r="G10" s="10">
        <f>表1[[#This Row],[可用天数]]-F9</f>
        <v>0.19999999999999929</v>
      </c>
    </row>
    <row r="11" spans="1:7" ht="15.75" x14ac:dyDescent="0.2">
      <c r="A11" s="8">
        <v>45159</v>
      </c>
      <c r="B11" s="9">
        <v>1362</v>
      </c>
      <c r="C11" s="9">
        <f>表1[[#This Row],[库存（万吨）]]-B10</f>
        <v>-3.9000000000000909</v>
      </c>
      <c r="D11" s="9">
        <v>97.61</v>
      </c>
      <c r="E11" s="9">
        <f>表1[[#This Row],[日耗（万吨）]]-D10</f>
        <v>10.150000000000006</v>
      </c>
      <c r="F11" s="9">
        <v>15.5</v>
      </c>
      <c r="G11" s="10">
        <f>表1[[#This Row],[可用天数]]-F10</f>
        <v>-9.9999999999999645E-2</v>
      </c>
    </row>
    <row r="12" spans="1:7" ht="15.75" x14ac:dyDescent="0.2">
      <c r="A12" s="8">
        <v>45160</v>
      </c>
      <c r="B12" s="9">
        <v>1365.3</v>
      </c>
      <c r="C12" s="9">
        <f>表1[[#This Row],[库存（万吨）]]-B11</f>
        <v>3.2999999999999545</v>
      </c>
      <c r="D12" s="9">
        <v>87.77</v>
      </c>
      <c r="E12" s="9">
        <f>表1[[#This Row],[日耗（万吨）]]-D11</f>
        <v>-9.8400000000000034</v>
      </c>
      <c r="F12" s="9">
        <v>15.5</v>
      </c>
      <c r="G12" s="10">
        <f>表1[[#This Row],[可用天数]]-F11</f>
        <v>0</v>
      </c>
    </row>
    <row r="13" spans="1:7" ht="15.75" x14ac:dyDescent="0.2">
      <c r="A13" s="8">
        <v>45161</v>
      </c>
      <c r="B13" s="9">
        <v>1367.3</v>
      </c>
      <c r="C13" s="9">
        <f>表1[[#This Row],[库存（万吨）]]-B12</f>
        <v>2</v>
      </c>
      <c r="D13" s="9">
        <v>85.79</v>
      </c>
      <c r="E13" s="9">
        <f>表1[[#This Row],[日耗（万吨）]]-D12</f>
        <v>-1.9799999999999898</v>
      </c>
      <c r="F13" s="9">
        <v>15.9</v>
      </c>
      <c r="G13" s="10">
        <f>表1[[#This Row],[可用天数]]-F12</f>
        <v>0.40000000000000036</v>
      </c>
    </row>
    <row r="14" spans="1:7" ht="15.75" x14ac:dyDescent="0.2">
      <c r="A14" s="8">
        <v>45162</v>
      </c>
      <c r="B14" s="9">
        <v>1375.7</v>
      </c>
      <c r="C14" s="9">
        <f>表1[[#This Row],[库存（万吨）]]-B13</f>
        <v>8.4000000000000909</v>
      </c>
      <c r="D14" s="9">
        <v>85.17</v>
      </c>
      <c r="E14" s="9">
        <f>表1[[#This Row],[日耗（万吨）]]-D13</f>
        <v>-0.62000000000000455</v>
      </c>
      <c r="F14" s="9">
        <v>16.100000000000001</v>
      </c>
      <c r="G14" s="10">
        <f>表1[[#This Row],[可用天数]]-F13</f>
        <v>0.20000000000000107</v>
      </c>
    </row>
    <row r="15" spans="1:7" ht="15.75" x14ac:dyDescent="0.2">
      <c r="A15" s="8">
        <v>45165</v>
      </c>
      <c r="B15" s="9">
        <v>1384.7</v>
      </c>
      <c r="C15" s="9">
        <f>表1[[#This Row],[库存（万吨）]]-B14</f>
        <v>9</v>
      </c>
      <c r="D15" s="9">
        <v>84.61</v>
      </c>
      <c r="E15" s="9">
        <f>表1[[#This Row],[日耗（万吨）]]-D14</f>
        <v>-0.56000000000000227</v>
      </c>
      <c r="F15" s="9">
        <v>16.3</v>
      </c>
      <c r="G15" s="10">
        <f>表1[[#This Row],[可用天数]]-F14</f>
        <v>0.19999999999999929</v>
      </c>
    </row>
    <row r="16" spans="1:7" ht="15.75" x14ac:dyDescent="0.2">
      <c r="A16" s="8">
        <v>45166</v>
      </c>
      <c r="B16" s="9">
        <v>1389.3</v>
      </c>
      <c r="C16" s="9">
        <f>表1[[#This Row],[库存（万吨）]]-B15</f>
        <v>4.5999999999999091</v>
      </c>
      <c r="D16" s="9">
        <v>82.48</v>
      </c>
      <c r="E16" s="9">
        <f>表1[[#This Row],[日耗（万吨）]]-D15</f>
        <v>-2.1299999999999955</v>
      </c>
      <c r="F16" s="9">
        <v>16.8</v>
      </c>
      <c r="G16" s="10">
        <f>表1[[#This Row],[可用天数]]-F15</f>
        <v>0.5</v>
      </c>
    </row>
    <row r="17" spans="1:7" ht="15.75" x14ac:dyDescent="0.2">
      <c r="A17" s="8">
        <v>45167</v>
      </c>
      <c r="B17" s="9">
        <v>1383.3</v>
      </c>
      <c r="C17" s="9">
        <f>表1[[#This Row],[库存（万吨）]]-B16</f>
        <v>-6</v>
      </c>
      <c r="D17" s="9">
        <v>83.09</v>
      </c>
      <c r="E17" s="9">
        <f>表1[[#This Row],[日耗（万吨）]]-D16</f>
        <v>0.60999999999999943</v>
      </c>
      <c r="F17" s="9">
        <v>16.600000000000001</v>
      </c>
      <c r="G17" s="10">
        <f>表1[[#This Row],[可用天数]]-F16</f>
        <v>-0.19999999999999929</v>
      </c>
    </row>
    <row r="18" spans="1:7" ht="15.75" x14ac:dyDescent="0.2">
      <c r="A18" s="8">
        <v>45168</v>
      </c>
      <c r="B18" s="9">
        <v>1386.9</v>
      </c>
      <c r="C18" s="9">
        <f>表1[[#This Row],[库存（万吨）]]-B17</f>
        <v>3.6000000000001364</v>
      </c>
      <c r="D18" s="9">
        <v>80.77</v>
      </c>
      <c r="E18" s="9">
        <f>表1[[#This Row],[日耗（万吨）]]-D17</f>
        <v>-2.3200000000000074</v>
      </c>
      <c r="F18" s="9">
        <v>17.100000000000001</v>
      </c>
      <c r="G18" s="10">
        <f>表1[[#This Row],[可用天数]]-F17</f>
        <v>0.5</v>
      </c>
    </row>
    <row r="19" spans="1:7" ht="15.75" x14ac:dyDescent="0.2">
      <c r="A19" s="8">
        <v>45169</v>
      </c>
      <c r="B19" s="9">
        <v>1404</v>
      </c>
      <c r="C19" s="9">
        <f>表1[[#This Row],[库存（万吨）]]-B18</f>
        <v>17.099999999999909</v>
      </c>
      <c r="D19" s="9">
        <v>79.66</v>
      </c>
      <c r="E19" s="9">
        <f>表1[[#This Row],[日耗（万吨）]]-D18</f>
        <v>-1.1099999999999994</v>
      </c>
      <c r="F19" s="9">
        <v>17</v>
      </c>
      <c r="G19" s="10">
        <f>表1[[#This Row],[可用天数]]-F18</f>
        <v>-0.10000000000000142</v>
      </c>
    </row>
    <row r="20" spans="1:7" ht="15.75" x14ac:dyDescent="0.2">
      <c r="A20" s="8">
        <v>45172</v>
      </c>
      <c r="B20" s="9">
        <v>1436.6</v>
      </c>
      <c r="C20" s="9">
        <f>表1[[#This Row],[库存（万吨）]]-B19</f>
        <v>32.599999999999909</v>
      </c>
      <c r="D20" s="9">
        <v>74.89</v>
      </c>
      <c r="E20" s="9">
        <f>表1[[#This Row],[日耗（万吨）]]-D19</f>
        <v>-4.769999999999996</v>
      </c>
      <c r="F20" s="9">
        <v>19.100000000000001</v>
      </c>
      <c r="G20" s="10">
        <f>表1[[#This Row],[可用天数]]-F19</f>
        <v>2.1000000000000014</v>
      </c>
    </row>
    <row r="21" spans="1:7" ht="15.75" x14ac:dyDescent="0.2">
      <c r="A21" s="8">
        <v>45173</v>
      </c>
      <c r="B21" s="9">
        <v>1442.2</v>
      </c>
      <c r="C21" s="9">
        <f>表1[[#This Row],[库存（万吨）]]-B20</f>
        <v>5.6000000000001364</v>
      </c>
      <c r="D21" s="9">
        <v>74.73</v>
      </c>
      <c r="E21" s="9">
        <f>表1[[#This Row],[日耗（万吨）]]-D20</f>
        <v>-0.15999999999999659</v>
      </c>
      <c r="F21" s="9">
        <v>19.2</v>
      </c>
      <c r="G21" s="10">
        <f>表1[[#This Row],[可用天数]]-F20</f>
        <v>9.9999999999997868E-2</v>
      </c>
    </row>
    <row r="22" spans="1:7" ht="15.75" x14ac:dyDescent="0.2">
      <c r="A22" s="8">
        <v>45174</v>
      </c>
      <c r="B22" s="9">
        <v>1453.4</v>
      </c>
      <c r="C22" s="9">
        <f>表1[[#This Row],[库存（万吨）]]-B21</f>
        <v>11.200000000000045</v>
      </c>
      <c r="D22" s="9">
        <v>74.44</v>
      </c>
      <c r="E22" s="9">
        <f>表1[[#This Row],[日耗（万吨）]]-D21</f>
        <v>-0.29000000000000625</v>
      </c>
      <c r="F22" s="9">
        <v>19.5</v>
      </c>
      <c r="G22" s="10">
        <f>表1[[#This Row],[可用天数]]-F21</f>
        <v>0.30000000000000071</v>
      </c>
    </row>
    <row r="23" spans="1:7" ht="15.75" x14ac:dyDescent="0.2">
      <c r="A23" s="8">
        <v>45175</v>
      </c>
      <c r="B23" s="9">
        <v>1454.1</v>
      </c>
      <c r="C23" s="9">
        <f>表1[[#This Row],[库存（万吨）]]-B22</f>
        <v>0.6999999999998181</v>
      </c>
      <c r="D23" s="9">
        <v>75.36</v>
      </c>
      <c r="E23" s="9">
        <f>表1[[#This Row],[日耗（万吨）]]-D22</f>
        <v>0.92000000000000171</v>
      </c>
      <c r="F23" s="9">
        <v>19.2</v>
      </c>
      <c r="G23" s="10">
        <f>表1[[#This Row],[可用天数]]-F22</f>
        <v>-0.30000000000000071</v>
      </c>
    </row>
    <row r="24" spans="1:7" ht="15.75" x14ac:dyDescent="0.2">
      <c r="A24" s="8">
        <v>45176</v>
      </c>
      <c r="B24" s="9">
        <v>1443.3</v>
      </c>
      <c r="C24" s="9">
        <f>表1[[#This Row],[库存（万吨）]]-B23</f>
        <v>-10.799999999999955</v>
      </c>
      <c r="D24" s="9">
        <v>78.290000000000006</v>
      </c>
      <c r="E24" s="9">
        <f>表1[[#This Row],[日耗（万吨）]]-D23</f>
        <v>2.9300000000000068</v>
      </c>
      <c r="F24" s="9">
        <v>18.399999999999999</v>
      </c>
      <c r="G24" s="10">
        <f>表1[[#This Row],[可用天数]]-F23</f>
        <v>-0.80000000000000071</v>
      </c>
    </row>
    <row r="25" spans="1:7" ht="15.75" x14ac:dyDescent="0.2">
      <c r="A25" s="8">
        <v>45179</v>
      </c>
      <c r="B25" s="9">
        <v>1431.7</v>
      </c>
      <c r="C25" s="9">
        <f>表1[[#This Row],[库存（万吨）]]-B24</f>
        <v>-11.599999999999909</v>
      </c>
      <c r="D25" s="9">
        <v>78.069999999999993</v>
      </c>
      <c r="E25" s="9">
        <f>表1[[#This Row],[日耗（万吨）]]-D24</f>
        <v>-0.22000000000001307</v>
      </c>
      <c r="F25" s="9">
        <v>18.3</v>
      </c>
      <c r="G25" s="10">
        <f>表1[[#This Row],[可用天数]]-F24</f>
        <v>-9.9999999999997868E-2</v>
      </c>
    </row>
    <row r="26" spans="1:7" ht="15.75" x14ac:dyDescent="0.2">
      <c r="A26" s="8">
        <v>45180</v>
      </c>
      <c r="B26" s="9">
        <v>1432.2</v>
      </c>
      <c r="C26" s="9">
        <f>表1[[#This Row],[库存（万吨）]]-B25</f>
        <v>0.5</v>
      </c>
      <c r="D26" s="9">
        <v>79.72</v>
      </c>
      <c r="E26" s="9">
        <f>表1[[#This Row],[日耗（万吨）]]-D25</f>
        <v>1.6500000000000057</v>
      </c>
      <c r="F26" s="9">
        <v>17.899999999999999</v>
      </c>
      <c r="G26" s="10">
        <f>表1[[#This Row],[可用天数]]-F25</f>
        <v>-0.40000000000000213</v>
      </c>
    </row>
    <row r="27" spans="1:7" ht="15.75" x14ac:dyDescent="0.2">
      <c r="A27" s="8">
        <v>45181</v>
      </c>
      <c r="B27" s="9">
        <v>1427.9</v>
      </c>
      <c r="C27" s="9">
        <f>表1[[#This Row],[库存（万吨）]]-B26</f>
        <v>-4.2999999999999545</v>
      </c>
      <c r="D27" s="9">
        <v>79.97</v>
      </c>
      <c r="E27" s="9">
        <f>表1[[#This Row],[日耗（万吨）]]-D26</f>
        <v>0.25</v>
      </c>
      <c r="F27" s="9">
        <v>17.8</v>
      </c>
      <c r="G27" s="10">
        <f>表1[[#This Row],[可用天数]]-F26</f>
        <v>-9.9999999999997868E-2</v>
      </c>
    </row>
    <row r="28" spans="1:7" ht="15.75" x14ac:dyDescent="0.2">
      <c r="A28" s="8">
        <v>45182</v>
      </c>
      <c r="B28" s="9">
        <v>1421</v>
      </c>
      <c r="C28" s="9">
        <f>表1[[#This Row],[库存（万吨）]]-B27</f>
        <v>-6.9000000000000909</v>
      </c>
      <c r="D28" s="9">
        <v>79.459999999999994</v>
      </c>
      <c r="E28" s="9">
        <f>表1[[#This Row],[日耗（万吨）]]-D27</f>
        <v>-0.51000000000000512</v>
      </c>
      <c r="F28" s="9">
        <v>17.8</v>
      </c>
      <c r="G28" s="10">
        <f>表1[[#This Row],[可用天数]]-F27</f>
        <v>0</v>
      </c>
    </row>
    <row r="29" spans="1:7" ht="15.75" x14ac:dyDescent="0.2">
      <c r="A29" s="8">
        <v>45183</v>
      </c>
      <c r="B29" s="9">
        <v>1407.2</v>
      </c>
      <c r="C29" s="9">
        <f>表1[[#This Row],[库存（万吨）]]-B28</f>
        <v>-13.799999999999955</v>
      </c>
      <c r="D29" s="9">
        <v>79.739999999999995</v>
      </c>
      <c r="E29" s="9">
        <f>表1[[#This Row],[日耗（万吨）]]-D28</f>
        <v>0.28000000000000114</v>
      </c>
      <c r="F29" s="9">
        <v>17.600000000000001</v>
      </c>
      <c r="G29" s="10">
        <f>表1[[#This Row],[可用天数]]-F28</f>
        <v>-0.19999999999999929</v>
      </c>
    </row>
    <row r="30" spans="1:7" ht="15.75" x14ac:dyDescent="0.2">
      <c r="A30" s="8">
        <v>45186</v>
      </c>
      <c r="B30" s="9">
        <v>1382.8</v>
      </c>
      <c r="C30" s="9">
        <f>表1[[#This Row],[库存（万吨）]]-B29</f>
        <v>-24.400000000000091</v>
      </c>
      <c r="D30" s="9">
        <v>80.66</v>
      </c>
      <c r="E30" s="9">
        <f>表1[[#This Row],[日耗（万吨）]]-D29</f>
        <v>0.92000000000000171</v>
      </c>
      <c r="F30" s="9">
        <v>17.100000000000001</v>
      </c>
      <c r="G30" s="10">
        <f>表1[[#This Row],[可用天数]]-F29</f>
        <v>-0.5</v>
      </c>
    </row>
    <row r="31" spans="1:7" ht="15.75" x14ac:dyDescent="0.2">
      <c r="A31" s="8">
        <v>45187</v>
      </c>
      <c r="B31" s="9">
        <v>1389.9</v>
      </c>
      <c r="C31" s="9">
        <f>表1[[#This Row],[库存（万吨）]]-B30</f>
        <v>7.1000000000001364</v>
      </c>
      <c r="D31" s="9">
        <v>80.81</v>
      </c>
      <c r="E31" s="9">
        <f>表1[[#This Row],[日耗（万吨）]]-D30</f>
        <v>0.15000000000000568</v>
      </c>
      <c r="F31" s="9">
        <v>17.100000000000001</v>
      </c>
      <c r="G31" s="10">
        <f>表1[[#This Row],[可用天数]]-F30</f>
        <v>0</v>
      </c>
    </row>
    <row r="32" spans="1:7" ht="15.75" x14ac:dyDescent="0.2">
      <c r="A32" s="8">
        <v>45188</v>
      </c>
      <c r="B32" s="9">
        <v>1389.7</v>
      </c>
      <c r="C32" s="9">
        <f>表1[[#This Row],[库存（万吨）]]-B31</f>
        <v>-0.20000000000004547</v>
      </c>
      <c r="D32" s="9">
        <v>81.569999999999993</v>
      </c>
      <c r="E32" s="9">
        <f>表1[[#This Row],[日耗（万吨）]]-D31</f>
        <v>0.75999999999999091</v>
      </c>
      <c r="F32" s="9">
        <v>17</v>
      </c>
      <c r="G32" s="10">
        <f>表1[[#This Row],[可用天数]]-F31</f>
        <v>-0.10000000000000142</v>
      </c>
    </row>
    <row r="33" spans="1:7" ht="15.75" x14ac:dyDescent="0.2">
      <c r="A33" s="8">
        <v>45189</v>
      </c>
      <c r="B33" s="9">
        <v>1393.6</v>
      </c>
      <c r="C33" s="9">
        <f>表1[[#This Row],[库存（万吨）]]-B32</f>
        <v>3.8999999999998636</v>
      </c>
      <c r="D33" s="9">
        <v>79.989999999999995</v>
      </c>
      <c r="E33" s="9">
        <f>表1[[#This Row],[日耗（万吨）]]-D32</f>
        <v>-1.5799999999999983</v>
      </c>
      <c r="F33" s="9">
        <v>17.399999999999999</v>
      </c>
      <c r="G33" s="10">
        <f>表1[[#This Row],[可用天数]]-F32</f>
        <v>0.39999999999999858</v>
      </c>
    </row>
    <row r="34" spans="1:7" ht="15.75" x14ac:dyDescent="0.2">
      <c r="A34" s="8">
        <v>45190</v>
      </c>
      <c r="B34" s="9">
        <v>1393.3</v>
      </c>
      <c r="C34" s="9">
        <f>表1[[#This Row],[库存（万吨）]]-B33</f>
        <v>-0.29999999999995453</v>
      </c>
      <c r="D34" s="9">
        <v>80.150000000000006</v>
      </c>
      <c r="E34" s="9">
        <f>表1[[#This Row],[日耗（万吨）]]-D33</f>
        <v>0.1600000000000108</v>
      </c>
      <c r="F34" s="9">
        <v>17.3</v>
      </c>
      <c r="G34" s="10">
        <f>表1[[#This Row],[可用天数]]-F33</f>
        <v>-9.9999999999997868E-2</v>
      </c>
    </row>
    <row r="35" spans="1:7" ht="15.75" x14ac:dyDescent="0.2">
      <c r="A35" s="8">
        <v>45193</v>
      </c>
      <c r="B35" s="9">
        <v>1398.9</v>
      </c>
      <c r="C35" s="9">
        <f>表1[[#This Row],[库存（万吨）]]-B34</f>
        <v>5.6000000000001364</v>
      </c>
      <c r="D35" s="9">
        <v>80.12</v>
      </c>
      <c r="E35" s="9">
        <f>表1[[#This Row],[日耗（万吨）]]-D34</f>
        <v>-3.0000000000001137E-2</v>
      </c>
      <c r="F35" s="9">
        <v>17.399999999999999</v>
      </c>
      <c r="G35" s="10">
        <f>表1[[#This Row],[可用天数]]-F34</f>
        <v>9.9999999999997868E-2</v>
      </c>
    </row>
    <row r="36" spans="1:7" ht="15.75" x14ac:dyDescent="0.2">
      <c r="A36" s="8">
        <v>45194</v>
      </c>
      <c r="B36" s="9">
        <v>1394.5</v>
      </c>
      <c r="C36" s="9">
        <f>表1[[#This Row],[库存（万吨）]]-B35</f>
        <v>-4.4000000000000909</v>
      </c>
      <c r="D36" s="9">
        <v>80.319999999999993</v>
      </c>
      <c r="E36" s="9">
        <f>表1[[#This Row],[日耗（万吨）]]-D35</f>
        <v>0.19999999999998863</v>
      </c>
      <c r="F36" s="9">
        <v>17.3</v>
      </c>
      <c r="G36" s="10">
        <f>表1[[#This Row],[可用天数]]-F35</f>
        <v>-9.9999999999997868E-2</v>
      </c>
    </row>
    <row r="37" spans="1:7" ht="15.75" x14ac:dyDescent="0.2">
      <c r="A37" s="8">
        <v>45195</v>
      </c>
      <c r="B37" s="9">
        <v>1397.7</v>
      </c>
      <c r="C37" s="9">
        <f>表1[[#This Row],[库存（万吨）]]-B36</f>
        <v>3.2000000000000455</v>
      </c>
      <c r="D37" s="9">
        <v>80.650000000000006</v>
      </c>
      <c r="E37" s="9">
        <f>表1[[#This Row],[日耗（万吨）]]-D36</f>
        <v>0.33000000000001251</v>
      </c>
      <c r="F37" s="9">
        <v>17.3</v>
      </c>
      <c r="G37" s="10">
        <f>表1[[#This Row],[可用天数]]-F36</f>
        <v>0</v>
      </c>
    </row>
    <row r="38" spans="1:7" ht="15.75" x14ac:dyDescent="0.2">
      <c r="A38" s="8">
        <v>45196</v>
      </c>
      <c r="B38" s="9">
        <v>1401.7</v>
      </c>
      <c r="C38" s="9">
        <f>表1[[#This Row],[库存（万吨）]]-B37</f>
        <v>4</v>
      </c>
      <c r="D38" s="9">
        <v>80.989999999999995</v>
      </c>
      <c r="E38" s="9">
        <f>表1[[#This Row],[日耗（万吨）]]-D37</f>
        <v>0.3399999999999892</v>
      </c>
      <c r="F38" s="9">
        <v>17.2</v>
      </c>
      <c r="G38" s="10">
        <f>表1[[#This Row],[可用天数]]-F37</f>
        <v>-0.10000000000000142</v>
      </c>
    </row>
    <row r="39" spans="1:7" ht="15.75" x14ac:dyDescent="0.2">
      <c r="A39" s="8">
        <v>45205</v>
      </c>
      <c r="B39" s="9">
        <v>1415</v>
      </c>
      <c r="C39" s="9">
        <f>表1[[#This Row],[库存（万吨）]]-B38</f>
        <v>13.299999999999955</v>
      </c>
      <c r="D39" s="9">
        <v>79.849999999999994</v>
      </c>
      <c r="E39" s="9">
        <f>表1[[#This Row],[日耗（万吨）]]-D38</f>
        <v>-1.1400000000000006</v>
      </c>
      <c r="F39" s="9">
        <v>17.7</v>
      </c>
      <c r="G39" s="10">
        <f>表1[[#This Row],[可用天数]]-F38</f>
        <v>0.5</v>
      </c>
    </row>
    <row r="40" spans="1:7" ht="15.75" x14ac:dyDescent="0.2">
      <c r="A40" s="8">
        <v>45206</v>
      </c>
      <c r="B40" s="9">
        <v>1414.7</v>
      </c>
      <c r="C40" s="9">
        <f>表1[[#This Row],[库存（万吨）]]-B39</f>
        <v>-0.29999999999995453</v>
      </c>
      <c r="D40" s="9">
        <v>80.23</v>
      </c>
      <c r="E40" s="9">
        <f>表1[[#This Row],[日耗（万吨）]]-D39</f>
        <v>0.38000000000000966</v>
      </c>
      <c r="F40" s="9">
        <v>17.600000000000001</v>
      </c>
      <c r="G40" s="10">
        <f>表1[[#This Row],[可用天数]]-F39</f>
        <v>-9.9999999999997868E-2</v>
      </c>
    </row>
    <row r="41" spans="1:7" ht="15.75" x14ac:dyDescent="0.2">
      <c r="A41" s="8">
        <v>45207</v>
      </c>
      <c r="B41" s="9">
        <v>1419.7</v>
      </c>
      <c r="C41" s="9">
        <f>表1[[#This Row],[库存（万吨）]]-B40</f>
        <v>5</v>
      </c>
      <c r="D41" s="9">
        <v>80.27</v>
      </c>
      <c r="E41" s="9">
        <f>表1[[#This Row],[日耗（万吨）]]-D40</f>
        <v>3.9999999999992042E-2</v>
      </c>
      <c r="F41" s="9">
        <v>17.600000000000001</v>
      </c>
      <c r="G41" s="10">
        <f>表1[[#This Row],[可用天数]]-F40</f>
        <v>0</v>
      </c>
    </row>
    <row r="42" spans="1:7" ht="15.75" x14ac:dyDescent="0.2">
      <c r="A42" s="8">
        <v>45209</v>
      </c>
      <c r="B42" s="9">
        <v>1420.2</v>
      </c>
      <c r="C42" s="9">
        <f>表1[[#This Row],[库存（万吨）]]-B41</f>
        <v>0.5</v>
      </c>
      <c r="D42" s="9">
        <v>81.33</v>
      </c>
      <c r="E42" s="9">
        <f>表1[[#This Row],[日耗（万吨）]]-D41</f>
        <v>1.0600000000000023</v>
      </c>
      <c r="F42" s="9">
        <v>17.399999999999999</v>
      </c>
      <c r="G42" s="10">
        <f>表1[[#This Row],[可用天数]]-F41</f>
        <v>-0.20000000000000284</v>
      </c>
    </row>
    <row r="43" spans="1:7" ht="15.75" x14ac:dyDescent="0.2">
      <c r="A43" s="8">
        <v>45210</v>
      </c>
      <c r="B43" s="9">
        <v>1407.2</v>
      </c>
      <c r="C43" s="9">
        <f>表1[[#This Row],[库存（万吨）]]-B42</f>
        <v>-13</v>
      </c>
      <c r="D43" s="9">
        <v>81.5</v>
      </c>
      <c r="E43" s="9">
        <f>表1[[#This Row],[日耗（万吨）]]-D42</f>
        <v>0.17000000000000171</v>
      </c>
      <c r="F43" s="9">
        <v>17.2</v>
      </c>
      <c r="G43" s="10">
        <f>表1[[#This Row],[可用天数]]-F42</f>
        <v>-0.19999999999999929</v>
      </c>
    </row>
    <row r="44" spans="1:7" ht="15.75" x14ac:dyDescent="0.2">
      <c r="A44" s="8">
        <v>45211</v>
      </c>
      <c r="B44" s="9">
        <v>1411.1</v>
      </c>
      <c r="C44" s="9">
        <f>表1[[#This Row],[库存（万吨）]]-B43</f>
        <v>3.8999999999998636</v>
      </c>
      <c r="D44" s="9">
        <v>81.59</v>
      </c>
      <c r="E44" s="9">
        <f>表1[[#This Row],[日耗（万吨）]]-D43</f>
        <v>9.0000000000003411E-2</v>
      </c>
      <c r="F44" s="9">
        <v>17.2</v>
      </c>
      <c r="G44" s="10">
        <f>表1[[#This Row],[可用天数]]-F43</f>
        <v>0</v>
      </c>
    </row>
    <row r="45" spans="1:7" ht="15.75" x14ac:dyDescent="0.2">
      <c r="A45" s="8">
        <v>45214</v>
      </c>
      <c r="B45" s="9">
        <v>1427.2</v>
      </c>
      <c r="C45" s="9">
        <f>表1[[#This Row],[库存（万吨）]]-B44</f>
        <v>16.100000000000136</v>
      </c>
      <c r="D45" s="9">
        <v>81.17</v>
      </c>
      <c r="E45" s="9">
        <f>表1[[#This Row],[日耗（万吨）]]-D44</f>
        <v>-0.42000000000000171</v>
      </c>
      <c r="F45" s="9">
        <v>17.5</v>
      </c>
      <c r="G45" s="10">
        <f>表1[[#This Row],[可用天数]]-F44</f>
        <v>0.30000000000000071</v>
      </c>
    </row>
    <row r="46" spans="1:7" ht="15.75" x14ac:dyDescent="0.2">
      <c r="A46" s="8">
        <v>45215</v>
      </c>
      <c r="B46" s="9">
        <v>1434.4</v>
      </c>
      <c r="C46" s="9">
        <f>表1[[#This Row],[库存（万吨）]]-B45</f>
        <v>7.2000000000000455</v>
      </c>
      <c r="D46" s="9">
        <v>80.77</v>
      </c>
      <c r="E46" s="9">
        <f>表1[[#This Row],[日耗（万吨）]]-D45</f>
        <v>-0.40000000000000568</v>
      </c>
      <c r="F46" s="9">
        <v>17.7</v>
      </c>
      <c r="G46" s="10">
        <f>表1[[#This Row],[可用天数]]-F45</f>
        <v>0.19999999999999929</v>
      </c>
    </row>
    <row r="47" spans="1:7" ht="15.75" x14ac:dyDescent="0.2">
      <c r="A47" s="8">
        <v>45216</v>
      </c>
      <c r="B47" s="9">
        <v>1439.3</v>
      </c>
      <c r="C47" s="9">
        <f>表1[[#This Row],[库存（万吨）]]-B46</f>
        <v>4.8999999999998636</v>
      </c>
      <c r="D47" s="9">
        <v>80.84</v>
      </c>
      <c r="E47" s="9">
        <f>表1[[#This Row],[日耗（万吨）]]-D46</f>
        <v>7.000000000000739E-2</v>
      </c>
      <c r="F47" s="9">
        <v>17.8</v>
      </c>
      <c r="G47" s="10">
        <f>表1[[#This Row],[可用天数]]-F46</f>
        <v>0.10000000000000142</v>
      </c>
    </row>
    <row r="48" spans="1:7" ht="15.75" x14ac:dyDescent="0.2">
      <c r="A48" s="8">
        <v>45217</v>
      </c>
      <c r="B48" s="9">
        <v>1441.1</v>
      </c>
      <c r="C48" s="9">
        <f>表1[[#This Row],[库存（万吨）]]-B47</f>
        <v>1.7999999999999545</v>
      </c>
      <c r="D48" s="9">
        <v>80.44</v>
      </c>
      <c r="E48" s="9">
        <f>表1[[#This Row],[日耗（万吨）]]-D47</f>
        <v>-0.40000000000000568</v>
      </c>
      <c r="F48" s="9">
        <v>17.899999999999999</v>
      </c>
      <c r="G48" s="10">
        <f>表1[[#This Row],[可用天数]]-F47</f>
        <v>9.9999999999997868E-2</v>
      </c>
    </row>
    <row r="49" spans="1:7" ht="15.75" x14ac:dyDescent="0.2">
      <c r="A49" s="8">
        <v>45218</v>
      </c>
      <c r="B49" s="9">
        <v>1443</v>
      </c>
      <c r="C49" s="9">
        <f>表1[[#This Row],[库存（万吨）]]-B48</f>
        <v>1.9000000000000909</v>
      </c>
      <c r="D49" s="9">
        <v>80.33</v>
      </c>
      <c r="E49" s="9">
        <f>表1[[#This Row],[日耗（万吨）]]-D48</f>
        <v>-0.10999999999999943</v>
      </c>
      <c r="F49" s="9">
        <v>17.899999999999999</v>
      </c>
      <c r="G49" s="10">
        <f>表1[[#This Row],[可用天数]]-F48</f>
        <v>0</v>
      </c>
    </row>
    <row r="50" spans="1:7" ht="15.75" x14ac:dyDescent="0.2">
      <c r="A50" s="8">
        <v>45221</v>
      </c>
      <c r="B50" s="9">
        <v>1434.8</v>
      </c>
      <c r="C50" s="9">
        <f>表1[[#This Row],[库存（万吨）]]-B49</f>
        <v>-8.2000000000000455</v>
      </c>
      <c r="D50" s="9">
        <v>78.16</v>
      </c>
      <c r="E50" s="9">
        <f>表1[[#This Row],[日耗（万吨）]]-D49</f>
        <v>-2.1700000000000017</v>
      </c>
      <c r="F50" s="9">
        <v>18.3</v>
      </c>
      <c r="G50" s="10">
        <f>表1[[#This Row],[可用天数]]-F49</f>
        <v>0.40000000000000213</v>
      </c>
    </row>
    <row r="51" spans="1:7" ht="15.75" x14ac:dyDescent="0.2">
      <c r="A51" s="8">
        <v>45222</v>
      </c>
      <c r="B51" s="9">
        <v>1435.2</v>
      </c>
      <c r="C51" s="9">
        <f>表1[[#This Row],[库存（万吨）]]-B50</f>
        <v>0.40000000000009095</v>
      </c>
      <c r="D51" s="9">
        <v>77.930000000000007</v>
      </c>
      <c r="E51" s="9">
        <f>表1[[#This Row],[日耗（万吨）]]-D50</f>
        <v>-0.22999999999998977</v>
      </c>
      <c r="F51" s="9">
        <v>18.399999999999999</v>
      </c>
      <c r="G51" s="10">
        <f>表1[[#This Row],[可用天数]]-F50</f>
        <v>9.9999999999997868E-2</v>
      </c>
    </row>
    <row r="52" spans="1:7" ht="15.75" x14ac:dyDescent="0.2">
      <c r="A52" s="8">
        <v>45223</v>
      </c>
      <c r="B52" s="9">
        <v>1426.6</v>
      </c>
      <c r="C52" s="9">
        <f>表1[[#This Row],[库存（万吨）]]-B51</f>
        <v>-8.6000000000001364</v>
      </c>
      <c r="D52" s="9">
        <v>77.66</v>
      </c>
      <c r="E52" s="9">
        <f>表1[[#This Row],[日耗（万吨）]]-D51</f>
        <v>-0.27000000000001023</v>
      </c>
      <c r="F52" s="9">
        <v>18.3</v>
      </c>
      <c r="G52" s="10">
        <f>表1[[#This Row],[可用天数]]-F51</f>
        <v>-9.9999999999997868E-2</v>
      </c>
    </row>
    <row r="53" spans="1:7" ht="15.75" x14ac:dyDescent="0.2">
      <c r="A53" s="8">
        <v>45224</v>
      </c>
      <c r="B53" s="9">
        <v>1422.3</v>
      </c>
      <c r="C53" s="9">
        <f>表1[[#This Row],[库存（万吨）]]-B52</f>
        <v>-4.2999999999999545</v>
      </c>
      <c r="D53" s="9">
        <v>77.28</v>
      </c>
      <c r="E53" s="9">
        <f>表1[[#This Row],[日耗（万吨）]]-D52</f>
        <v>-0.37999999999999545</v>
      </c>
      <c r="F53" s="9">
        <v>18.399999999999999</v>
      </c>
      <c r="G53" s="10">
        <f>表1[[#This Row],[可用天数]]-F52</f>
        <v>9.9999999999997868E-2</v>
      </c>
    </row>
    <row r="54" spans="1:7" ht="15.75" x14ac:dyDescent="0.2">
      <c r="A54" s="8">
        <v>45225</v>
      </c>
      <c r="B54" s="9">
        <v>1415.6</v>
      </c>
      <c r="C54" s="9">
        <f>表1[[#This Row],[库存（万吨）]]-B53</f>
        <v>-6.7000000000000455</v>
      </c>
      <c r="D54" s="9">
        <v>77.05</v>
      </c>
      <c r="E54" s="9">
        <f>表1[[#This Row],[日耗（万吨）]]-D53</f>
        <v>-0.23000000000000398</v>
      </c>
      <c r="F54" s="9">
        <v>18.3</v>
      </c>
      <c r="G54" s="10">
        <f>表1[[#This Row],[可用天数]]-F53</f>
        <v>-9.9999999999997868E-2</v>
      </c>
    </row>
    <row r="55" spans="1:7" ht="15.75" x14ac:dyDescent="0.2">
      <c r="A55" s="8">
        <v>45228</v>
      </c>
      <c r="B55" s="9">
        <v>1402.7</v>
      </c>
      <c r="C55" s="9">
        <f>表1[[#This Row],[库存（万吨）]]-B54</f>
        <v>-12.899999999999864</v>
      </c>
      <c r="D55" s="9">
        <v>77.91</v>
      </c>
      <c r="E55" s="9">
        <f>表1[[#This Row],[日耗（万吨）]]-D54</f>
        <v>0.85999999999999943</v>
      </c>
      <c r="F55" s="9">
        <v>17.899999999999999</v>
      </c>
      <c r="G55" s="10">
        <f>表1[[#This Row],[可用天数]]-F54</f>
        <v>-0.40000000000000213</v>
      </c>
    </row>
    <row r="56" spans="1:7" ht="15.75" x14ac:dyDescent="0.2">
      <c r="A56" s="8">
        <v>45229</v>
      </c>
      <c r="B56" s="9">
        <v>1407.4</v>
      </c>
      <c r="C56" s="9">
        <f>表1[[#This Row],[库存（万吨）]]-B55</f>
        <v>4.7000000000000455</v>
      </c>
      <c r="D56" s="9">
        <v>77.650000000000006</v>
      </c>
      <c r="E56" s="9">
        <f>表1[[#This Row],[日耗（万吨）]]-D55</f>
        <v>-0.25999999999999091</v>
      </c>
      <c r="F56" s="9">
        <v>18.100000000000001</v>
      </c>
      <c r="G56" s="10">
        <f>表1[[#This Row],[可用天数]]-F55</f>
        <v>0.20000000000000284</v>
      </c>
    </row>
    <row r="57" spans="1:7" ht="15.75" x14ac:dyDescent="0.2">
      <c r="A57" s="8">
        <v>45230</v>
      </c>
      <c r="B57" s="9">
        <v>1414.9</v>
      </c>
      <c r="C57" s="9">
        <f>表1[[#This Row],[库存（万吨）]]-B56</f>
        <v>7.5</v>
      </c>
      <c r="D57" s="9">
        <v>77.47</v>
      </c>
      <c r="E57" s="9">
        <f>表1[[#This Row],[日耗（万吨）]]-D56</f>
        <v>-0.18000000000000682</v>
      </c>
      <c r="F57" s="9">
        <v>18.2</v>
      </c>
      <c r="G57" s="10">
        <f>表1[[#This Row],[可用天数]]-F56</f>
        <v>9.9999999999997868E-2</v>
      </c>
    </row>
    <row r="58" spans="1:7" ht="15.75" x14ac:dyDescent="0.2">
      <c r="A58" s="8">
        <v>45231</v>
      </c>
      <c r="B58" s="9">
        <v>1419.7</v>
      </c>
      <c r="C58" s="9">
        <f>表1[[#This Row],[库存（万吨）]]-B57</f>
        <v>4.7999999999999545</v>
      </c>
      <c r="D58" s="9">
        <v>77.56</v>
      </c>
      <c r="E58" s="9">
        <f>表1[[#This Row],[日耗（万吨）]]-D57</f>
        <v>9.0000000000003411E-2</v>
      </c>
      <c r="F58" s="9">
        <v>18.2</v>
      </c>
      <c r="G58" s="10">
        <f>表1[[#This Row],[可用天数]]-F57</f>
        <v>0</v>
      </c>
    </row>
    <row r="59" spans="1:7" ht="15.75" x14ac:dyDescent="0.2">
      <c r="A59" s="8">
        <v>45232</v>
      </c>
      <c r="B59" s="9">
        <v>1428</v>
      </c>
      <c r="C59" s="9">
        <f>表1[[#This Row],[库存（万吨）]]-B58</f>
        <v>8.2999999999999545</v>
      </c>
      <c r="D59" s="9">
        <v>77.53</v>
      </c>
      <c r="E59" s="9">
        <f>表1[[#This Row],[日耗（万吨）]]-D58</f>
        <v>-3.0000000000001137E-2</v>
      </c>
      <c r="F59" s="9">
        <v>18.399999999999999</v>
      </c>
      <c r="G59" s="10">
        <f>表1[[#This Row],[可用天数]]-F58</f>
        <v>0.19999999999999929</v>
      </c>
    </row>
    <row r="60" spans="1:7" ht="15.75" x14ac:dyDescent="0.2">
      <c r="A60" s="8">
        <v>45235</v>
      </c>
      <c r="B60" s="9">
        <v>1438.5</v>
      </c>
      <c r="C60" s="9">
        <f>表1[[#This Row],[库存（万吨）]]-B59</f>
        <v>10.5</v>
      </c>
      <c r="D60" s="9">
        <v>77.989999999999995</v>
      </c>
      <c r="E60" s="9">
        <f>表1[[#This Row],[日耗（万吨）]]-D59</f>
        <v>0.45999999999999375</v>
      </c>
      <c r="F60" s="9">
        <v>18.399999999999999</v>
      </c>
      <c r="G60" s="10">
        <f>表1[[#This Row],[可用天数]]-F59</f>
        <v>0</v>
      </c>
    </row>
    <row r="61" spans="1:7" ht="15.75" x14ac:dyDescent="0.2">
      <c r="A61" s="8">
        <v>45236</v>
      </c>
      <c r="B61" s="9">
        <v>1433.6</v>
      </c>
      <c r="C61" s="9">
        <f>表1[[#This Row],[库存（万吨）]]-B60</f>
        <v>-4.9000000000000909</v>
      </c>
      <c r="D61" s="9">
        <v>78.23</v>
      </c>
      <c r="E61" s="9">
        <f>表1[[#This Row],[日耗（万吨）]]-D60</f>
        <v>0.24000000000000909</v>
      </c>
      <c r="F61" s="9">
        <v>18.3</v>
      </c>
      <c r="G61" s="10">
        <f>表1[[#This Row],[可用天数]]-F60</f>
        <v>-9.9999999999997868E-2</v>
      </c>
    </row>
    <row r="62" spans="1:7" ht="15.75" x14ac:dyDescent="0.2">
      <c r="A62" s="8">
        <v>45237</v>
      </c>
      <c r="B62" s="9">
        <v>1434.8</v>
      </c>
      <c r="C62" s="9">
        <f>表1[[#This Row],[库存（万吨）]]-B61</f>
        <v>1.2000000000000455</v>
      </c>
      <c r="D62" s="9">
        <v>78.33</v>
      </c>
      <c r="E62" s="9">
        <f>表1[[#This Row],[日耗（万吨）]]-D61</f>
        <v>9.9999999999994316E-2</v>
      </c>
      <c r="F62" s="9">
        <v>18.3</v>
      </c>
      <c r="G62" s="10">
        <f>表1[[#This Row],[可用天数]]-F61</f>
        <v>0</v>
      </c>
    </row>
    <row r="63" spans="1:7" ht="15.75" x14ac:dyDescent="0.2">
      <c r="A63" s="8">
        <v>45238</v>
      </c>
      <c r="B63" s="9">
        <v>1439</v>
      </c>
      <c r="C63" s="9">
        <f>表1[[#This Row],[库存（万吨）]]-B62</f>
        <v>4.2000000000000455</v>
      </c>
      <c r="D63" s="9">
        <v>78.38</v>
      </c>
      <c r="E63" s="9">
        <f>表1[[#This Row],[日耗（万吨）]]-D62</f>
        <v>4.9999999999997158E-2</v>
      </c>
      <c r="F63" s="9">
        <v>18.3</v>
      </c>
      <c r="G63" s="10">
        <f>表1[[#This Row],[可用天数]]-F62</f>
        <v>0</v>
      </c>
    </row>
    <row r="64" spans="1:7" ht="15.75" x14ac:dyDescent="0.2">
      <c r="A64" s="8">
        <v>45239</v>
      </c>
      <c r="B64" s="9">
        <v>1439.5</v>
      </c>
      <c r="C64" s="9">
        <f>表1[[#This Row],[库存（万吨）]]-B63</f>
        <v>0.5</v>
      </c>
      <c r="D64" s="9">
        <v>78.739999999999995</v>
      </c>
      <c r="E64" s="9">
        <f>表1[[#This Row],[日耗（万吨）]]-D63</f>
        <v>0.35999999999999943</v>
      </c>
      <c r="F64" s="9">
        <v>18.2</v>
      </c>
      <c r="G64" s="10">
        <f>表1[[#This Row],[可用天数]]-F63</f>
        <v>-0.10000000000000142</v>
      </c>
    </row>
    <row r="65" spans="1:7" ht="15.75" x14ac:dyDescent="0.2">
      <c r="A65" s="8">
        <v>45242</v>
      </c>
      <c r="B65" s="9">
        <v>1441.9</v>
      </c>
      <c r="C65" s="9">
        <f>表1[[#This Row],[库存（万吨）]]-B64</f>
        <v>2.4000000000000909</v>
      </c>
      <c r="D65" s="9">
        <v>79.47</v>
      </c>
      <c r="E65" s="9">
        <f>表1[[#This Row],[日耗（万吨）]]-D64</f>
        <v>0.73000000000000398</v>
      </c>
      <c r="F65" s="9">
        <v>18.100000000000001</v>
      </c>
      <c r="G65" s="10">
        <f>表1[[#This Row],[可用天数]]-F64</f>
        <v>-9.9999999999997868E-2</v>
      </c>
    </row>
    <row r="66" spans="1:7" ht="15.75" x14ac:dyDescent="0.2">
      <c r="A66" s="8">
        <v>45243</v>
      </c>
      <c r="B66" s="9">
        <v>1446.3</v>
      </c>
      <c r="C66" s="9">
        <f>表1[[#This Row],[库存（万吨）]]-B65</f>
        <v>4.3999999999998636</v>
      </c>
      <c r="D66" s="9">
        <v>79.959999999999994</v>
      </c>
      <c r="E66" s="9">
        <f>表1[[#This Row],[日耗（万吨）]]-D65</f>
        <v>0.48999999999999488</v>
      </c>
      <c r="F66" s="9">
        <v>18</v>
      </c>
      <c r="G66" s="10">
        <f>表1[[#This Row],[可用天数]]-F65</f>
        <v>-0.10000000000000142</v>
      </c>
    </row>
    <row r="67" spans="1:7" ht="15.75" x14ac:dyDescent="0.2">
      <c r="A67" s="8">
        <v>45244</v>
      </c>
      <c r="B67" s="9">
        <v>1449.6</v>
      </c>
      <c r="C67" s="9">
        <f>表1[[#This Row],[库存（万吨）]]-B66</f>
        <v>3.2999999999999545</v>
      </c>
      <c r="D67" s="9">
        <v>80.09</v>
      </c>
      <c r="E67" s="9">
        <f>表1[[#This Row],[日耗（万吨）]]-D66</f>
        <v>0.13000000000000966</v>
      </c>
      <c r="F67" s="9">
        <v>18</v>
      </c>
      <c r="G67" s="10">
        <f>表1[[#This Row],[可用天数]]-F66</f>
        <v>0</v>
      </c>
    </row>
    <row r="68" spans="1:7" ht="15.75" x14ac:dyDescent="0.2">
      <c r="A68" s="8">
        <v>45245</v>
      </c>
      <c r="B68" s="9">
        <v>1453.3</v>
      </c>
      <c r="C68" s="9">
        <f>表1[[#This Row],[库存（万吨）]]-B67</f>
        <v>3.7000000000000455</v>
      </c>
      <c r="D68" s="9">
        <v>80.12</v>
      </c>
      <c r="E68" s="9">
        <f>表1[[#This Row],[日耗（万吨）]]-D67</f>
        <v>3.0000000000001137E-2</v>
      </c>
      <c r="F68" s="9">
        <v>18.100000000000001</v>
      </c>
      <c r="G68" s="10">
        <f>表1[[#This Row],[可用天数]]-F67</f>
        <v>0.10000000000000142</v>
      </c>
    </row>
    <row r="69" spans="1:7" ht="15.75" x14ac:dyDescent="0.2">
      <c r="A69" s="8">
        <v>45246</v>
      </c>
      <c r="B69" s="9">
        <v>1456.8</v>
      </c>
      <c r="C69" s="9">
        <f>表1[[#This Row],[库存（万吨）]]-B68</f>
        <v>3.5</v>
      </c>
      <c r="D69" s="9">
        <v>80.069999999999993</v>
      </c>
      <c r="E69" s="9">
        <f>表1[[#This Row],[日耗（万吨）]]-D68</f>
        <v>-5.0000000000011369E-2</v>
      </c>
      <c r="F69" s="9">
        <v>18.100000000000001</v>
      </c>
      <c r="G69" s="10">
        <f>表1[[#This Row],[可用天数]]-F68</f>
        <v>0</v>
      </c>
    </row>
    <row r="70" spans="1:7" ht="15.75" x14ac:dyDescent="0.2">
      <c r="A70" s="8">
        <v>45249</v>
      </c>
      <c r="B70" s="9">
        <v>1472.9</v>
      </c>
      <c r="C70" s="9">
        <f>表1[[#This Row],[库存（万吨）]]-B69</f>
        <v>16.100000000000136</v>
      </c>
      <c r="D70" s="9">
        <v>79.59</v>
      </c>
      <c r="E70" s="9">
        <f>表1[[#This Row],[日耗（万吨）]]-D69</f>
        <v>-0.47999999999998977</v>
      </c>
      <c r="F70" s="9">
        <v>18.399999999999999</v>
      </c>
      <c r="G70" s="10">
        <f>表1[[#This Row],[可用天数]]-F69</f>
        <v>0.29999999999999716</v>
      </c>
    </row>
    <row r="71" spans="1:7" ht="15.75" x14ac:dyDescent="0.2">
      <c r="A71" s="8">
        <v>45250</v>
      </c>
      <c r="B71" s="9">
        <v>1473.2</v>
      </c>
      <c r="C71" s="9">
        <f>表1[[#This Row],[库存（万吨）]]-B70</f>
        <v>0.29999999999995453</v>
      </c>
      <c r="D71" s="9">
        <v>79.45</v>
      </c>
      <c r="E71" s="9">
        <f>表1[[#This Row],[日耗（万吨）]]-D70</f>
        <v>-0.14000000000000057</v>
      </c>
      <c r="F71" s="9">
        <v>18.5</v>
      </c>
      <c r="G71" s="10">
        <f>表1[[#This Row],[可用天数]]-F70</f>
        <v>0.10000000000000142</v>
      </c>
    </row>
    <row r="72" spans="1:7" ht="15.75" x14ac:dyDescent="0.2">
      <c r="A72" s="8">
        <v>45251</v>
      </c>
      <c r="B72" s="9">
        <v>1474.1</v>
      </c>
      <c r="C72" s="9">
        <f>表1[[#This Row],[库存（万吨）]]-B71</f>
        <v>0.89999999999986358</v>
      </c>
      <c r="D72" s="9">
        <v>79.790000000000006</v>
      </c>
      <c r="E72" s="9">
        <f>表1[[#This Row],[日耗（万吨）]]-D71</f>
        <v>0.34000000000000341</v>
      </c>
      <c r="F72" s="9">
        <v>18.399999999999999</v>
      </c>
      <c r="G72" s="10">
        <f>表1[[#This Row],[可用天数]]-F71</f>
        <v>-0.10000000000000142</v>
      </c>
    </row>
    <row r="73" spans="1:7" ht="15.75" x14ac:dyDescent="0.2">
      <c r="A73" s="8">
        <v>45252</v>
      </c>
      <c r="B73" s="9">
        <v>1472.1</v>
      </c>
      <c r="C73" s="9">
        <f>表1[[#This Row],[库存（万吨）]]-B72</f>
        <v>-2</v>
      </c>
      <c r="D73" s="9">
        <v>79.849999999999994</v>
      </c>
      <c r="E73" s="9">
        <f>表1[[#This Row],[日耗（万吨）]]-D72</f>
        <v>5.9999999999988063E-2</v>
      </c>
      <c r="F73" s="9">
        <v>18.399999999999999</v>
      </c>
      <c r="G73" s="10">
        <f>表1[[#This Row],[可用天数]]-F72</f>
        <v>0</v>
      </c>
    </row>
    <row r="74" spans="1:7" ht="15.75" x14ac:dyDescent="0.2">
      <c r="A74" s="8">
        <v>45253</v>
      </c>
      <c r="B74" s="9">
        <v>1463.8</v>
      </c>
      <c r="C74" s="9">
        <f>表1[[#This Row],[库存（万吨）]]-B73</f>
        <v>-8.2999999999999545</v>
      </c>
      <c r="D74" s="9">
        <v>79.98</v>
      </c>
      <c r="E74" s="9">
        <f>表1[[#This Row],[日耗（万吨）]]-D73</f>
        <v>0.13000000000000966</v>
      </c>
      <c r="F74" s="9">
        <v>18.3</v>
      </c>
      <c r="G74" s="10">
        <f>表1[[#This Row],[可用天数]]-F73</f>
        <v>-9.9999999999997868E-2</v>
      </c>
    </row>
    <row r="75" spans="1:7" ht="15.75" x14ac:dyDescent="0.2">
      <c r="A75" s="8">
        <v>45256</v>
      </c>
      <c r="B75" s="9">
        <v>1455.3</v>
      </c>
      <c r="C75" s="9">
        <f>表1[[#This Row],[库存（万吨）]]-B74</f>
        <v>-8.5</v>
      </c>
      <c r="D75" s="9">
        <v>80.05</v>
      </c>
      <c r="E75" s="9">
        <f>表1[[#This Row],[日耗（万吨）]]-D74</f>
        <v>6.9999999999993179E-2</v>
      </c>
      <c r="F75" s="9">
        <v>18.100000000000001</v>
      </c>
      <c r="G75" s="10">
        <f>表1[[#This Row],[可用天数]]-F74</f>
        <v>-0.19999999999999929</v>
      </c>
    </row>
    <row r="76" spans="1:7" ht="15.75" x14ac:dyDescent="0.2">
      <c r="A76" s="8">
        <v>45257</v>
      </c>
      <c r="B76" s="9">
        <v>1454.8</v>
      </c>
      <c r="C76" s="9">
        <f>表1[[#This Row],[库存（万吨）]]-B75</f>
        <v>-0.5</v>
      </c>
      <c r="D76" s="9">
        <v>80.11</v>
      </c>
      <c r="E76" s="9">
        <f>表1[[#This Row],[日耗（万吨）]]-D75</f>
        <v>6.0000000000002274E-2</v>
      </c>
      <c r="F76" s="9">
        <v>18.100000000000001</v>
      </c>
      <c r="G76" s="10">
        <f>表1[[#This Row],[可用天数]]-F75</f>
        <v>0</v>
      </c>
    </row>
    <row r="77" spans="1:7" ht="15.75" x14ac:dyDescent="0.2">
      <c r="A77" s="8">
        <v>45258</v>
      </c>
      <c r="B77" s="9">
        <v>1451.8</v>
      </c>
      <c r="C77" s="9">
        <f>表1[[#This Row],[库存（万吨）]]-B76</f>
        <v>-3</v>
      </c>
      <c r="D77" s="9">
        <v>80.23</v>
      </c>
      <c r="E77" s="9">
        <f>表1[[#This Row],[日耗（万吨）]]-D76</f>
        <v>0.12000000000000455</v>
      </c>
      <c r="F77" s="9">
        <v>18</v>
      </c>
      <c r="G77" s="10">
        <f>表1[[#This Row],[可用天数]]-F76</f>
        <v>-0.10000000000000142</v>
      </c>
    </row>
    <row r="78" spans="1:7" ht="15.75" x14ac:dyDescent="0.2">
      <c r="A78" s="8">
        <v>45259</v>
      </c>
      <c r="B78" s="9">
        <v>1448.6</v>
      </c>
      <c r="C78" s="9">
        <f>表1[[#This Row],[库存（万吨）]]-B77</f>
        <v>-3.2000000000000455</v>
      </c>
      <c r="D78" s="9">
        <v>80.27</v>
      </c>
      <c r="E78" s="9">
        <f>表1[[#This Row],[日耗（万吨）]]-D77</f>
        <v>3.9999999999992042E-2</v>
      </c>
      <c r="F78" s="9">
        <v>18</v>
      </c>
      <c r="G78" s="10">
        <f>表1[[#This Row],[可用天数]]-F77</f>
        <v>0</v>
      </c>
    </row>
    <row r="79" spans="1:7" ht="15.75" x14ac:dyDescent="0.2">
      <c r="A79" s="8">
        <v>45260</v>
      </c>
      <c r="B79" s="9">
        <v>1442.2</v>
      </c>
      <c r="C79" s="9">
        <f>表1[[#This Row],[库存（万吨）]]-B78</f>
        <v>-6.3999999999998636</v>
      </c>
      <c r="D79" s="9">
        <v>81.05</v>
      </c>
      <c r="E79" s="9">
        <f>表1[[#This Row],[日耗（万吨）]]-D78</f>
        <v>0.78000000000000114</v>
      </c>
      <c r="F79" s="9">
        <v>17.7</v>
      </c>
      <c r="G79" s="10">
        <f>表1[[#This Row],[可用天数]]-F78</f>
        <v>-0.30000000000000071</v>
      </c>
    </row>
    <row r="80" spans="1:7" ht="15.75" x14ac:dyDescent="0.2">
      <c r="A80" s="8">
        <v>45263</v>
      </c>
      <c r="B80" s="9">
        <v>1425.4</v>
      </c>
      <c r="C80" s="9">
        <f>表1[[#This Row],[库存（万吨）]]-B79</f>
        <v>-16.799999999999955</v>
      </c>
      <c r="D80" s="9">
        <v>81.39</v>
      </c>
      <c r="E80" s="9">
        <f>表1[[#This Row],[日耗（万吨）]]-D79</f>
        <v>0.34000000000000341</v>
      </c>
      <c r="F80" s="9">
        <v>17.5</v>
      </c>
      <c r="G80" s="10">
        <f>表1[[#This Row],[可用天数]]-F79</f>
        <v>-0.19999999999999929</v>
      </c>
    </row>
    <row r="81" spans="1:7" ht="15.75" x14ac:dyDescent="0.2">
      <c r="A81" s="8">
        <v>45264</v>
      </c>
      <c r="B81" s="9">
        <v>1421.1</v>
      </c>
      <c r="C81" s="9">
        <f>表1[[#This Row],[库存（万吨）]]-B80</f>
        <v>-4.3000000000001819</v>
      </c>
      <c r="D81" s="9">
        <v>81.27</v>
      </c>
      <c r="E81" s="9">
        <f>表1[[#This Row],[日耗（万吨）]]-D80</f>
        <v>-0.12000000000000455</v>
      </c>
      <c r="F81" s="9">
        <v>17.399999999999999</v>
      </c>
      <c r="G81" s="10">
        <f>表1[[#This Row],[可用天数]]-F80</f>
        <v>-0.10000000000000142</v>
      </c>
    </row>
    <row r="82" spans="1:7" ht="15.75" x14ac:dyDescent="0.2">
      <c r="A82" s="8">
        <v>45265</v>
      </c>
      <c r="B82" s="9">
        <v>1419.5</v>
      </c>
      <c r="C82" s="9">
        <f>表1[[#This Row],[库存（万吨）]]-B81</f>
        <v>-1.5999999999999091</v>
      </c>
      <c r="D82" s="9">
        <v>81.489999999999995</v>
      </c>
      <c r="E82" s="9">
        <f>表1[[#This Row],[日耗（万吨）]]-D81</f>
        <v>0.21999999999999886</v>
      </c>
      <c r="F82" s="9">
        <v>17.399999999999999</v>
      </c>
      <c r="G82" s="10">
        <f>表1[[#This Row],[可用天数]]-F81</f>
        <v>0</v>
      </c>
    </row>
    <row r="83" spans="1:7" ht="15.75" x14ac:dyDescent="0.2">
      <c r="A83" s="8">
        <v>45266</v>
      </c>
      <c r="B83" s="9">
        <v>1413.1</v>
      </c>
      <c r="C83" s="9">
        <f>表1[[#This Row],[库存（万吨）]]-B82</f>
        <v>-6.4000000000000909</v>
      </c>
      <c r="D83" s="9">
        <v>81.08</v>
      </c>
      <c r="E83" s="9">
        <f>表1[[#This Row],[日耗（万吨）]]-D82</f>
        <v>-0.40999999999999659</v>
      </c>
      <c r="F83" s="9">
        <v>17.399999999999999</v>
      </c>
      <c r="G83" s="10">
        <f>表1[[#This Row],[可用天数]]-F82</f>
        <v>0</v>
      </c>
    </row>
    <row r="84" spans="1:7" ht="15.75" x14ac:dyDescent="0.2">
      <c r="A84" s="8">
        <v>45267</v>
      </c>
      <c r="B84" s="9">
        <v>1385.9</v>
      </c>
      <c r="C84" s="9">
        <f>表1[[#This Row],[库存（万吨）]]-B83</f>
        <v>-27.199999999999818</v>
      </c>
      <c r="D84" s="9">
        <v>81.62</v>
      </c>
      <c r="E84" s="9">
        <f>表1[[#This Row],[日耗（万吨）]]-D83</f>
        <v>0.54000000000000625</v>
      </c>
      <c r="F84" s="9">
        <v>16.899999999999999</v>
      </c>
      <c r="G84" s="10">
        <f>表1[[#This Row],[可用天数]]-F83</f>
        <v>-0.5</v>
      </c>
    </row>
    <row r="85" spans="1:7" ht="15.75" x14ac:dyDescent="0.2">
      <c r="A85" s="8">
        <v>45270</v>
      </c>
      <c r="B85" s="9">
        <v>1369.2</v>
      </c>
      <c r="C85" s="9">
        <f>表1[[#This Row],[库存（万吨）]]-B84</f>
        <v>-16.700000000000045</v>
      </c>
      <c r="D85" s="9">
        <v>81.8</v>
      </c>
      <c r="E85" s="9">
        <f>表1[[#This Row],[日耗（万吨）]]-D84</f>
        <v>0.17999999999999261</v>
      </c>
      <c r="F85" s="9">
        <v>16.7</v>
      </c>
      <c r="G85" s="10">
        <f>表1[[#This Row],[可用天数]]-F84</f>
        <v>-0.19999999999999929</v>
      </c>
    </row>
    <row r="86" spans="1:7" ht="15.75" x14ac:dyDescent="0.2">
      <c r="A86" s="8">
        <v>45271</v>
      </c>
      <c r="B86" s="9">
        <v>1355</v>
      </c>
      <c r="C86" s="9">
        <f>表1[[#This Row],[库存（万吨）]]-B85</f>
        <v>-14.200000000000045</v>
      </c>
      <c r="D86" s="9">
        <v>81.709999999999994</v>
      </c>
      <c r="E86" s="9">
        <f>表1[[#This Row],[日耗（万吨）]]-D85</f>
        <v>-9.0000000000003411E-2</v>
      </c>
      <c r="F86" s="9">
        <v>16.5</v>
      </c>
      <c r="G86" s="10">
        <f>表1[[#This Row],[可用天数]]-F85</f>
        <v>-0.19999999999999929</v>
      </c>
    </row>
    <row r="87" spans="1:7" ht="15.75" x14ac:dyDescent="0.2">
      <c r="A87" s="8">
        <v>45272</v>
      </c>
      <c r="B87" s="9">
        <v>1345.4</v>
      </c>
      <c r="C87" s="9">
        <f>表1[[#This Row],[库存（万吨）]]-B86</f>
        <v>-9.5999999999999091</v>
      </c>
      <c r="D87" s="9">
        <v>81.86</v>
      </c>
      <c r="E87" s="9">
        <f>表1[[#This Row],[日耗（万吨）]]-D86</f>
        <v>0.15000000000000568</v>
      </c>
      <c r="F87" s="9">
        <v>16.399999999999999</v>
      </c>
      <c r="G87" s="10">
        <f>表1[[#This Row],[可用天数]]-F86</f>
        <v>-0.10000000000000142</v>
      </c>
    </row>
    <row r="88" spans="1:7" ht="15.75" x14ac:dyDescent="0.2">
      <c r="A88" s="8">
        <v>45273</v>
      </c>
      <c r="B88" s="9">
        <v>1347.1</v>
      </c>
      <c r="C88" s="9">
        <f>表1[[#This Row],[库存（万吨）]]-B87</f>
        <v>1.6999999999998181</v>
      </c>
      <c r="D88" s="9">
        <v>81.99</v>
      </c>
      <c r="E88" s="9">
        <f>表1[[#This Row],[日耗（万吨）]]-D87</f>
        <v>0.12999999999999545</v>
      </c>
      <c r="F88" s="9">
        <v>16.399999999999999</v>
      </c>
      <c r="G88" s="10">
        <f>表1[[#This Row],[可用天数]]-F87</f>
        <v>0</v>
      </c>
    </row>
    <row r="89" spans="1:7" ht="15.75" x14ac:dyDescent="0.2">
      <c r="A89" s="8">
        <v>45274</v>
      </c>
      <c r="B89" s="9">
        <v>1329.2</v>
      </c>
      <c r="C89" s="9">
        <f>表1[[#This Row],[库存（万吨）]]-B88</f>
        <v>-17.899999999999864</v>
      </c>
      <c r="D89" s="9">
        <v>84.9</v>
      </c>
      <c r="E89" s="9">
        <f>表1[[#This Row],[日耗（万吨）]]-D88</f>
        <v>2.9100000000000108</v>
      </c>
      <c r="F89" s="9">
        <v>15.6</v>
      </c>
      <c r="G89" s="10">
        <f>表1[[#This Row],[可用天数]]-F88</f>
        <v>-0.79999999999999893</v>
      </c>
    </row>
    <row r="90" spans="1:7" ht="15.75" x14ac:dyDescent="0.2">
      <c r="A90" s="8">
        <v>45277</v>
      </c>
      <c r="B90" s="9">
        <v>1317</v>
      </c>
      <c r="C90" s="9">
        <f>表1[[#This Row],[库存（万吨）]]-B89</f>
        <v>-12.200000000000045</v>
      </c>
      <c r="D90" s="9">
        <v>87.48</v>
      </c>
      <c r="E90" s="9">
        <f>表1[[#This Row],[日耗（万吨）]]-D89</f>
        <v>2.5799999999999983</v>
      </c>
      <c r="F90" s="9">
        <v>15</v>
      </c>
      <c r="G90" s="10">
        <f>表1[[#This Row],[可用天数]]-F89</f>
        <v>-0.59999999999999964</v>
      </c>
    </row>
    <row r="91" spans="1:7" ht="15.75" x14ac:dyDescent="0.2">
      <c r="A91" s="8">
        <v>45278</v>
      </c>
      <c r="B91" s="9">
        <v>1314.4</v>
      </c>
      <c r="C91" s="9">
        <f>表1[[#This Row],[库存（万吨）]]-B90</f>
        <v>-2.5999999999999091</v>
      </c>
      <c r="D91" s="9">
        <v>87.66</v>
      </c>
      <c r="E91" s="9">
        <f>表1[[#This Row],[日耗（万吨）]]-D90</f>
        <v>0.17999999999999261</v>
      </c>
      <c r="F91" s="9">
        <v>14.9</v>
      </c>
      <c r="G91" s="10">
        <f>表1[[#This Row],[可用天数]]-F90</f>
        <v>-9.9999999999999645E-2</v>
      </c>
    </row>
    <row r="92" spans="1:7" ht="15.75" x14ac:dyDescent="0.2">
      <c r="A92" s="8">
        <v>45279</v>
      </c>
      <c r="B92" s="9">
        <v>1309</v>
      </c>
      <c r="C92" s="9">
        <f>表1[[#This Row],[库存（万吨）]]-B91</f>
        <v>-5.4000000000000909</v>
      </c>
      <c r="D92" s="9">
        <v>88.31</v>
      </c>
      <c r="E92" s="9">
        <f>表1[[#This Row],[日耗（万吨）]]-D91</f>
        <v>0.65000000000000568</v>
      </c>
      <c r="F92" s="9">
        <v>14.8</v>
      </c>
      <c r="G92" s="10">
        <f>表1[[#This Row],[可用天数]]-F91</f>
        <v>-9.9999999999999645E-2</v>
      </c>
    </row>
    <row r="93" spans="1:7" ht="15.75" x14ac:dyDescent="0.2">
      <c r="A93" s="8">
        <v>45280</v>
      </c>
      <c r="B93" s="9">
        <v>1305.4000000000001</v>
      </c>
      <c r="C93" s="9">
        <f>表1[[#This Row],[库存（万吨）]]-B92</f>
        <v>-3.5999999999999091</v>
      </c>
      <c r="D93" s="9">
        <v>88.35</v>
      </c>
      <c r="E93" s="9">
        <f>表1[[#This Row],[日耗（万吨）]]-D92</f>
        <v>3.9999999999992042E-2</v>
      </c>
      <c r="F93" s="9">
        <v>14.7</v>
      </c>
      <c r="G93" s="10">
        <f>表1[[#This Row],[可用天数]]-F92</f>
        <v>-0.10000000000000142</v>
      </c>
    </row>
    <row r="94" spans="1:7" ht="15.75" x14ac:dyDescent="0.2">
      <c r="A94" s="8">
        <v>45281</v>
      </c>
      <c r="B94" s="9">
        <v>1307.7</v>
      </c>
      <c r="C94" s="9">
        <f>表1[[#This Row],[库存（万吨）]]-B93</f>
        <v>2.2999999999999545</v>
      </c>
      <c r="D94" s="9">
        <v>89.26</v>
      </c>
      <c r="E94" s="9">
        <f>表1[[#This Row],[日耗（万吨）]]-D93</f>
        <v>0.9100000000000108</v>
      </c>
      <c r="F94" s="9">
        <v>14.6</v>
      </c>
      <c r="G94" s="10">
        <f>表1[[#This Row],[可用天数]]-F93</f>
        <v>-9.9999999999999645E-2</v>
      </c>
    </row>
    <row r="95" spans="1:7" ht="15.75" x14ac:dyDescent="0.2">
      <c r="A95" s="8">
        <v>45284</v>
      </c>
      <c r="B95" s="9">
        <v>1324.1</v>
      </c>
      <c r="C95" s="9">
        <f>表1[[#This Row],[库存（万吨）]]-B94</f>
        <v>16.399999999999864</v>
      </c>
      <c r="D95" s="9">
        <v>87.51</v>
      </c>
      <c r="E95" s="9">
        <f>表1[[#This Row],[日耗（万吨）]]-D94</f>
        <v>-1.75</v>
      </c>
      <c r="F95" s="9">
        <v>15.1</v>
      </c>
      <c r="G95" s="10">
        <f>表1[[#This Row],[可用天数]]-F94</f>
        <v>0.5</v>
      </c>
    </row>
    <row r="96" spans="1:7" ht="15.75" x14ac:dyDescent="0.2">
      <c r="A96" s="8">
        <v>45285</v>
      </c>
      <c r="B96" s="9">
        <v>1326.6</v>
      </c>
      <c r="C96" s="9">
        <f>表1[[#This Row],[库存（万吨）]]-B95</f>
        <v>2.5</v>
      </c>
      <c r="D96" s="9">
        <v>86.77</v>
      </c>
      <c r="E96" s="9">
        <f>表1[[#This Row],[日耗（万吨）]]-D95</f>
        <v>-0.74000000000000909</v>
      </c>
      <c r="F96" s="9">
        <v>15.2</v>
      </c>
      <c r="G96" s="10">
        <f>表1[[#This Row],[可用天数]]-F95</f>
        <v>9.9999999999999645E-2</v>
      </c>
    </row>
    <row r="97" spans="1:7" ht="15.75" x14ac:dyDescent="0.2">
      <c r="A97" s="8">
        <v>45286</v>
      </c>
      <c r="B97" s="9">
        <v>1319.9</v>
      </c>
      <c r="C97" s="9">
        <f>表1[[#This Row],[库存（万吨）]]-B96</f>
        <v>-6.6999999999998181</v>
      </c>
      <c r="D97" s="9">
        <v>85.74</v>
      </c>
      <c r="E97" s="9">
        <f>表1[[#This Row],[日耗（万吨）]]-D96</f>
        <v>-1.0300000000000011</v>
      </c>
      <c r="F97" s="9">
        <v>15.3</v>
      </c>
      <c r="G97" s="10">
        <f>表1[[#This Row],[可用天数]]-F96</f>
        <v>0.10000000000000142</v>
      </c>
    </row>
    <row r="98" spans="1:7" ht="15.75" x14ac:dyDescent="0.2">
      <c r="A98" s="8">
        <v>45287</v>
      </c>
      <c r="B98" s="9">
        <v>1314.1</v>
      </c>
      <c r="C98" s="9">
        <f>表1[[#This Row],[库存（万吨）]]-B97</f>
        <v>-5.8000000000001819</v>
      </c>
      <c r="D98" s="9">
        <v>86.22</v>
      </c>
      <c r="E98" s="9">
        <f>表1[[#This Row],[日耗（万吨）]]-D97</f>
        <v>0.48000000000000398</v>
      </c>
      <c r="F98" s="9">
        <v>15.2</v>
      </c>
      <c r="G98" s="10">
        <f>表1[[#This Row],[可用天数]]-F97</f>
        <v>-0.10000000000000142</v>
      </c>
    </row>
    <row r="99" spans="1:7" ht="15.75" x14ac:dyDescent="0.2">
      <c r="A99" s="8">
        <v>45288</v>
      </c>
      <c r="B99" s="9">
        <v>1306.0999999999999</v>
      </c>
      <c r="C99" s="9">
        <f>表1[[#This Row],[库存（万吨）]]-B98</f>
        <v>-8</v>
      </c>
      <c r="D99" s="9">
        <v>86.51</v>
      </c>
      <c r="E99" s="9">
        <f>表1[[#This Row],[日耗（万吨）]]-D98</f>
        <v>0.29000000000000625</v>
      </c>
      <c r="F99" s="9">
        <v>15</v>
      </c>
      <c r="G99" s="10">
        <f>表1[[#This Row],[可用天数]]-F98</f>
        <v>-0.19999999999999929</v>
      </c>
    </row>
    <row r="100" spans="1:7" ht="15.75" x14ac:dyDescent="0.2">
      <c r="A100" s="8">
        <v>45291</v>
      </c>
      <c r="B100" s="9">
        <v>1286.7</v>
      </c>
      <c r="C100" s="9">
        <f>表1[[#This Row],[库存（万吨）]]-B99</f>
        <v>-19.399999999999864</v>
      </c>
      <c r="D100" s="9">
        <v>86.7</v>
      </c>
      <c r="E100" s="9">
        <f>表1[[#This Row],[日耗（万吨）]]-D99</f>
        <v>0.18999999999999773</v>
      </c>
      <c r="F100" s="9">
        <v>14.8</v>
      </c>
      <c r="G100" s="10">
        <f>表1[[#This Row],[可用天数]]-F99</f>
        <v>-0.19999999999999929</v>
      </c>
    </row>
    <row r="101" spans="1:7" ht="15.75" x14ac:dyDescent="0.2">
      <c r="A101" s="8">
        <v>45292</v>
      </c>
      <c r="B101" s="9">
        <v>1278.9000000000001</v>
      </c>
      <c r="C101" s="9">
        <f>表1[[#This Row],[库存（万吨）]]-B100</f>
        <v>-7.7999999999999545</v>
      </c>
      <c r="D101" s="9">
        <v>86.91</v>
      </c>
      <c r="E101" s="9">
        <f>表1[[#This Row],[日耗（万吨）]]-D100</f>
        <v>0.20999999999999375</v>
      </c>
      <c r="F101" s="9">
        <v>14.7</v>
      </c>
      <c r="G101" s="10">
        <f>表1[[#This Row],[可用天数]]-F100</f>
        <v>-0.10000000000000142</v>
      </c>
    </row>
    <row r="102" spans="1:7" ht="15.75" x14ac:dyDescent="0.2">
      <c r="A102" s="8">
        <v>45293</v>
      </c>
      <c r="B102" s="9">
        <v>1276.2</v>
      </c>
      <c r="C102" s="9">
        <f>表1[[#This Row],[库存（万吨）]]-B101</f>
        <v>-2.7000000000000455</v>
      </c>
      <c r="D102" s="9">
        <v>86.71</v>
      </c>
      <c r="E102" s="9">
        <f>表1[[#This Row],[日耗（万吨）]]-D101</f>
        <v>-0.20000000000000284</v>
      </c>
      <c r="F102" s="9">
        <v>14.7</v>
      </c>
      <c r="G102" s="10">
        <f>表1[[#This Row],[可用天数]]-F101</f>
        <v>0</v>
      </c>
    </row>
    <row r="103" spans="1:7" ht="15.75" x14ac:dyDescent="0.2">
      <c r="A103" s="8">
        <v>45294</v>
      </c>
      <c r="B103" s="9">
        <v>1274.9000000000001</v>
      </c>
      <c r="C103" s="9">
        <f>表1[[#This Row],[库存（万吨）]]-B102</f>
        <v>-1.2999999999999545</v>
      </c>
      <c r="D103" s="9">
        <v>86.78</v>
      </c>
      <c r="E103" s="9">
        <f>表1[[#This Row],[日耗（万吨）]]-D102</f>
        <v>7.000000000000739E-2</v>
      </c>
      <c r="F103" s="9">
        <v>14.6</v>
      </c>
      <c r="G103" s="10">
        <f>表1[[#This Row],[可用天数]]-F102</f>
        <v>-9.9999999999999645E-2</v>
      </c>
    </row>
    <row r="104" spans="1:7" ht="15.75" x14ac:dyDescent="0.2">
      <c r="A104" s="8">
        <v>45295</v>
      </c>
      <c r="B104" s="9">
        <v>1268</v>
      </c>
      <c r="C104" s="9">
        <f>表1[[#This Row],[库存（万吨）]]-B103</f>
        <v>-6.9000000000000909</v>
      </c>
      <c r="D104" s="9">
        <v>86.05</v>
      </c>
      <c r="E104" s="9">
        <f>表1[[#This Row],[日耗（万吨）]]-D103</f>
        <v>-0.73000000000000398</v>
      </c>
      <c r="F104" s="9">
        <v>14.7</v>
      </c>
      <c r="G104" s="10">
        <f>表1[[#This Row],[可用天数]]-F103</f>
        <v>9.9999999999999645E-2</v>
      </c>
    </row>
    <row r="105" spans="1:7" ht="15.75" x14ac:dyDescent="0.2">
      <c r="A105" s="8">
        <v>45297</v>
      </c>
      <c r="B105" s="9">
        <v>1270.3</v>
      </c>
      <c r="C105" s="9">
        <f>表1[[#This Row],[库存（万吨）]]-B104</f>
        <v>2.2999999999999545</v>
      </c>
      <c r="D105" s="9">
        <v>85.69</v>
      </c>
      <c r="E105" s="9">
        <f>表1[[#This Row],[日耗（万吨）]]-D104</f>
        <v>-0.35999999999999943</v>
      </c>
      <c r="F105" s="9">
        <v>14.8</v>
      </c>
      <c r="G105" s="10">
        <f>表1[[#This Row],[可用天数]]-F104</f>
        <v>0.10000000000000142</v>
      </c>
    </row>
    <row r="106" spans="1:7" ht="15.75" x14ac:dyDescent="0.2">
      <c r="A106" s="8">
        <v>45298</v>
      </c>
      <c r="B106" s="9">
        <v>1261.7</v>
      </c>
      <c r="C106" s="9">
        <f>表1[[#This Row],[库存（万吨）]]-B105</f>
        <v>-8.5999999999999091</v>
      </c>
      <c r="D106" s="9">
        <v>86.2</v>
      </c>
      <c r="E106" s="9">
        <f>表1[[#This Row],[日耗（万吨）]]-D105</f>
        <v>0.51000000000000512</v>
      </c>
      <c r="F106" s="9">
        <v>14.6</v>
      </c>
      <c r="G106" s="10">
        <f>表1[[#This Row],[可用天数]]-F105</f>
        <v>-0.20000000000000107</v>
      </c>
    </row>
    <row r="107" spans="1:7" ht="15.75" x14ac:dyDescent="0.2">
      <c r="A107" s="8">
        <v>45299</v>
      </c>
      <c r="B107" s="9">
        <v>1267.7</v>
      </c>
      <c r="C107" s="9">
        <f>表1[[#This Row],[库存（万吨）]]-B106</f>
        <v>6</v>
      </c>
      <c r="D107" s="9">
        <v>86.18</v>
      </c>
      <c r="E107" s="9">
        <f>表1[[#This Row],[日耗（万吨）]]-D106</f>
        <v>-1.9999999999996021E-2</v>
      </c>
      <c r="F107" s="9">
        <v>14.7</v>
      </c>
      <c r="G107" s="10">
        <f>表1[[#This Row],[可用天数]]-F106</f>
        <v>9.9999999999999645E-2</v>
      </c>
    </row>
    <row r="108" spans="1:7" ht="15.75" x14ac:dyDescent="0.2">
      <c r="A108" s="8">
        <v>45300</v>
      </c>
      <c r="B108" s="9">
        <v>1270.9000000000001</v>
      </c>
      <c r="C108" s="9">
        <f>表1[[#This Row],[库存（万吨）]]-B107</f>
        <v>3.2000000000000455</v>
      </c>
      <c r="D108" s="9">
        <v>85.9</v>
      </c>
      <c r="E108" s="9">
        <f>表1[[#This Row],[日耗（万吨）]]-D107</f>
        <v>-0.28000000000000114</v>
      </c>
      <c r="F108" s="9">
        <v>14.7</v>
      </c>
      <c r="G108" s="10">
        <f>表1[[#This Row],[可用天数]]-F107</f>
        <v>0</v>
      </c>
    </row>
    <row r="109" spans="1:7" ht="15.75" x14ac:dyDescent="0.2">
      <c r="A109" s="8">
        <v>45301</v>
      </c>
      <c r="B109" s="9">
        <v>1270.5</v>
      </c>
      <c r="C109" s="9">
        <f>表1[[#This Row],[库存（万吨）]]-B108</f>
        <v>-0.40000000000009095</v>
      </c>
      <c r="D109" s="9">
        <v>86.26</v>
      </c>
      <c r="E109" s="9">
        <f>表1[[#This Row],[日耗（万吨）]]-D108</f>
        <v>0.35999999999999943</v>
      </c>
      <c r="F109" s="9">
        <v>14.7</v>
      </c>
      <c r="G109" s="10">
        <f>表1[[#This Row],[可用天数]]-F108</f>
        <v>0</v>
      </c>
    </row>
    <row r="110" spans="1:7" ht="15.75" x14ac:dyDescent="0.2">
      <c r="A110" s="8">
        <v>45302</v>
      </c>
      <c r="B110" s="9">
        <v>1257.7</v>
      </c>
      <c r="C110" s="9">
        <f>表1[[#This Row],[库存（万吨）]]-B109</f>
        <v>-12.799999999999955</v>
      </c>
      <c r="D110" s="9">
        <v>85.86</v>
      </c>
      <c r="E110" s="9">
        <f>表1[[#This Row],[日耗（万吨）]]-D109</f>
        <v>-0.40000000000000568</v>
      </c>
      <c r="F110" s="9">
        <v>14.6</v>
      </c>
      <c r="G110" s="10">
        <f>表1[[#This Row],[可用天数]]-F109</f>
        <v>-9.9999999999999645E-2</v>
      </c>
    </row>
    <row r="111" spans="1:7" ht="15.75" x14ac:dyDescent="0.2">
      <c r="A111" s="8">
        <v>45304</v>
      </c>
      <c r="B111" s="9">
        <v>1242.0999999999999</v>
      </c>
      <c r="C111" s="9">
        <f>表1[[#This Row],[库存（万吨）]]-B110</f>
        <v>-15.600000000000136</v>
      </c>
      <c r="D111" s="9">
        <v>86.01</v>
      </c>
      <c r="E111" s="9">
        <f>表1[[#This Row],[日耗（万吨）]]-D110</f>
        <v>0.15000000000000568</v>
      </c>
      <c r="F111" s="9">
        <v>14.4</v>
      </c>
      <c r="G111" s="10">
        <f>表1[[#This Row],[可用天数]]-F110</f>
        <v>-0.19999999999999929</v>
      </c>
    </row>
    <row r="112" spans="1:7" ht="15.75" x14ac:dyDescent="0.2">
      <c r="A112" s="8">
        <v>45305</v>
      </c>
      <c r="B112" s="9">
        <v>1237.0999999999999</v>
      </c>
      <c r="C112" s="9">
        <f>表1[[#This Row],[库存（万吨）]]-B111</f>
        <v>-5</v>
      </c>
      <c r="D112" s="9">
        <v>85.74</v>
      </c>
      <c r="E112" s="9">
        <f>表1[[#This Row],[日耗（万吨）]]-D111</f>
        <v>-0.27000000000001023</v>
      </c>
      <c r="F112" s="9">
        <v>14.4</v>
      </c>
      <c r="G112" s="10">
        <f>表1[[#This Row],[可用天数]]-F111</f>
        <v>0</v>
      </c>
    </row>
    <row r="113" spans="1:7" ht="15.75" x14ac:dyDescent="0.2">
      <c r="A113" s="11">
        <v>45306</v>
      </c>
      <c r="B113" s="12">
        <v>1234.3</v>
      </c>
      <c r="C113" s="12">
        <f>表1[[#This Row],[库存（万吨）]]-B112</f>
        <v>-2.7999999999999545</v>
      </c>
      <c r="D113" s="12">
        <v>85.48</v>
      </c>
      <c r="E113" s="12">
        <f>表1[[#This Row],[日耗（万吨）]]-D112</f>
        <v>-0.25999999999999091</v>
      </c>
      <c r="F113" s="12">
        <v>14.4</v>
      </c>
      <c r="G113" s="13">
        <f>表1[[#This Row],[可用天数]]-F112</f>
        <v>0</v>
      </c>
    </row>
    <row r="114" spans="1:7" ht="15.75" x14ac:dyDescent="0.2">
      <c r="A114" s="11">
        <v>45307</v>
      </c>
      <c r="B114" s="12">
        <v>1237.9000000000001</v>
      </c>
      <c r="C114" s="12">
        <f>表1[[#This Row],[库存（万吨）]]-B113</f>
        <v>3.6000000000001364</v>
      </c>
      <c r="D114" s="12">
        <v>85.28</v>
      </c>
      <c r="E114" s="12">
        <f>表1[[#This Row],[日耗（万吨）]]-D113</f>
        <v>-0.20000000000000284</v>
      </c>
      <c r="F114" s="12">
        <v>14.5</v>
      </c>
      <c r="G114" s="13">
        <f>表1[[#This Row],[可用天数]]-F113</f>
        <v>9.9999999999999645E-2</v>
      </c>
    </row>
    <row r="115" spans="1:7" ht="15.75" x14ac:dyDescent="0.2">
      <c r="A115" s="11">
        <v>45308</v>
      </c>
      <c r="B115" s="12">
        <v>1236.7</v>
      </c>
      <c r="C115" s="12">
        <f>表1[[#This Row],[库存（万吨）]]-B114</f>
        <v>-1.2000000000000455</v>
      </c>
      <c r="D115" s="12">
        <v>85.15</v>
      </c>
      <c r="E115" s="12">
        <f>表1[[#This Row],[日耗（万吨）]]-D114</f>
        <v>-0.12999999999999545</v>
      </c>
      <c r="F115" s="12">
        <v>14.5</v>
      </c>
      <c r="G115" s="13">
        <f>表1[[#This Row],[可用天数]]-F114</f>
        <v>0</v>
      </c>
    </row>
    <row r="116" spans="1:7" ht="15.75" x14ac:dyDescent="0.2">
      <c r="A116" s="11">
        <v>45309</v>
      </c>
      <c r="B116" s="12">
        <v>1217.0999999999999</v>
      </c>
      <c r="C116" s="12">
        <f>表1[[#This Row],[库存（万吨）]]-B115</f>
        <v>-19.600000000000136</v>
      </c>
      <c r="D116" s="12">
        <v>85.6</v>
      </c>
      <c r="E116" s="12">
        <f>表1[[#This Row],[日耗（万吨）]]-D115</f>
        <v>0.44999999999998863</v>
      </c>
      <c r="F116" s="12">
        <v>14.2</v>
      </c>
      <c r="G116" s="13">
        <f>表1[[#This Row],[可用天数]]-F115</f>
        <v>-0.30000000000000071</v>
      </c>
    </row>
    <row r="117" spans="1:7" ht="15.75" x14ac:dyDescent="0.2">
      <c r="A117" s="11">
        <v>45312</v>
      </c>
      <c r="B117" s="12">
        <v>1198.5999999999999</v>
      </c>
      <c r="C117" s="12">
        <f>表1[[#This Row],[库存（万吨）]]-B116</f>
        <v>-18.5</v>
      </c>
      <c r="D117" s="12">
        <v>87.14</v>
      </c>
      <c r="E117" s="12">
        <f>表1[[#This Row],[日耗（万吨）]]-D116</f>
        <v>1.5400000000000063</v>
      </c>
      <c r="F117" s="12">
        <v>13.7</v>
      </c>
      <c r="G117" s="13">
        <f>表1[[#This Row],[可用天数]]-F116</f>
        <v>-0.5</v>
      </c>
    </row>
    <row r="118" spans="1:7" ht="15.75" x14ac:dyDescent="0.2">
      <c r="A118" s="11">
        <v>45313</v>
      </c>
      <c r="B118" s="12">
        <v>1204.9000000000001</v>
      </c>
      <c r="C118" s="12">
        <f>表1[[#This Row],[库存（万吨）]]-B117</f>
        <v>6.3000000000001819</v>
      </c>
      <c r="D118" s="12">
        <v>86.52</v>
      </c>
      <c r="E118" s="12">
        <f>表1[[#This Row],[日耗（万吨）]]-D117</f>
        <v>-0.62000000000000455</v>
      </c>
      <c r="F118" s="12">
        <v>13.9</v>
      </c>
      <c r="G118" s="13">
        <f>表1[[#This Row],[可用天数]]-F117</f>
        <v>0.20000000000000107</v>
      </c>
    </row>
    <row r="119" spans="1:7" ht="15.75" x14ac:dyDescent="0.2">
      <c r="A119" s="11">
        <v>45314</v>
      </c>
      <c r="B119" s="12">
        <v>1202.5999999999999</v>
      </c>
      <c r="C119" s="12">
        <f>表1[[#This Row],[库存（万吨）]]-B118</f>
        <v>-2.3000000000001819</v>
      </c>
      <c r="D119" s="12">
        <v>86.65</v>
      </c>
      <c r="E119" s="12">
        <f>表1[[#This Row],[日耗（万吨）]]-D118</f>
        <v>0.13000000000000966</v>
      </c>
      <c r="F119" s="12">
        <v>13.8</v>
      </c>
      <c r="G119" s="13">
        <f>表1[[#This Row],[可用天数]]-F118</f>
        <v>-9.9999999999999645E-2</v>
      </c>
    </row>
    <row r="120" spans="1:7" ht="15.75" x14ac:dyDescent="0.2">
      <c r="A120" s="11">
        <v>45315</v>
      </c>
      <c r="B120" s="12">
        <v>1197.3</v>
      </c>
      <c r="C120" s="12">
        <f>表1[[#This Row],[库存（万吨）]]-B119</f>
        <v>-5.2999999999999545</v>
      </c>
      <c r="D120" s="12">
        <v>86.51</v>
      </c>
      <c r="E120" s="12">
        <f>表1[[#This Row],[日耗（万吨）]]-D119</f>
        <v>-0.14000000000000057</v>
      </c>
      <c r="F120" s="12">
        <v>13.8</v>
      </c>
      <c r="G120" s="13">
        <f>表1[[#This Row],[可用天数]]-F119</f>
        <v>0</v>
      </c>
    </row>
    <row r="121" spans="1:7" ht="15.75" x14ac:dyDescent="0.2">
      <c r="A121" s="11">
        <v>45316</v>
      </c>
      <c r="B121" s="12">
        <v>1202.7</v>
      </c>
      <c r="C121" s="12">
        <f>表1[[#This Row],[库存（万吨）]]-B120</f>
        <v>5.4000000000000909</v>
      </c>
      <c r="D121" s="12">
        <v>86.41</v>
      </c>
      <c r="E121" s="12">
        <f>表1[[#This Row],[日耗（万吨）]]-D120</f>
        <v>-0.10000000000000853</v>
      </c>
      <c r="F121" s="12">
        <v>13.9</v>
      </c>
      <c r="G121" s="13">
        <f>表1[[#This Row],[可用天数]]-F120</f>
        <v>9.9999999999999645E-2</v>
      </c>
    </row>
    <row r="122" spans="1:7" ht="15.75" x14ac:dyDescent="0.2">
      <c r="A122" s="11">
        <v>45319</v>
      </c>
      <c r="B122" s="12">
        <v>1192</v>
      </c>
      <c r="C122" s="12">
        <f>表1[[#This Row],[库存（万吨）]]-B121</f>
        <v>-10.700000000000045</v>
      </c>
      <c r="D122" s="12">
        <v>85.94</v>
      </c>
      <c r="E122" s="12">
        <f>表1[[#This Row],[日耗（万吨）]]-D121</f>
        <v>-0.46999999999999886</v>
      </c>
      <c r="F122" s="12">
        <v>13.8</v>
      </c>
      <c r="G122" s="13">
        <f>表1[[#This Row],[可用天数]]-F121</f>
        <v>-9.9999999999999645E-2</v>
      </c>
    </row>
    <row r="123" spans="1:7" ht="15.75" x14ac:dyDescent="0.2">
      <c r="A123" s="11">
        <v>45320</v>
      </c>
      <c r="B123" s="12">
        <v>1190</v>
      </c>
      <c r="C123" s="12">
        <f>表1[[#This Row],[库存（万吨）]]-B122</f>
        <v>-2</v>
      </c>
      <c r="D123" s="12">
        <v>85.86</v>
      </c>
      <c r="E123" s="12">
        <f>表1[[#This Row],[日耗（万吨）]]-D122</f>
        <v>-7.9999999999998295E-2</v>
      </c>
      <c r="F123" s="12">
        <v>13.8</v>
      </c>
      <c r="G123" s="13">
        <f>表1[[#This Row],[可用天数]]-F122</f>
        <v>0</v>
      </c>
    </row>
    <row r="124" spans="1:7" ht="15.75" x14ac:dyDescent="0.2">
      <c r="A124" s="11">
        <v>45321</v>
      </c>
      <c r="B124" s="12">
        <v>1194.2</v>
      </c>
      <c r="C124" s="12">
        <f>表1[[#This Row],[库存（万吨）]]-B123</f>
        <v>4.2000000000000455</v>
      </c>
      <c r="D124" s="12">
        <v>85.28</v>
      </c>
      <c r="E124" s="12">
        <f>表1[[#This Row],[日耗（万吨）]]-D123</f>
        <v>-0.57999999999999829</v>
      </c>
      <c r="F124" s="12">
        <v>14</v>
      </c>
      <c r="G124" s="13">
        <f>表1[[#This Row],[可用天数]]-F123</f>
        <v>0.19999999999999929</v>
      </c>
    </row>
    <row r="125" spans="1:7" ht="15.75" x14ac:dyDescent="0.2">
      <c r="A125" s="11">
        <v>45322</v>
      </c>
      <c r="B125" s="12">
        <v>1197.5</v>
      </c>
      <c r="C125" s="12">
        <f>表1[[#This Row],[库存（万吨）]]-B124</f>
        <v>3.2999999999999545</v>
      </c>
      <c r="D125" s="12">
        <v>84.69</v>
      </c>
      <c r="E125" s="12">
        <f>表1[[#This Row],[日耗（万吨）]]-D124</f>
        <v>-0.59000000000000341</v>
      </c>
      <c r="F125" s="12">
        <v>14.1</v>
      </c>
      <c r="G125" s="13">
        <f>表1[[#This Row],[可用天数]]-F124</f>
        <v>9.9999999999999645E-2</v>
      </c>
    </row>
    <row r="126" spans="1:7" ht="15.75" x14ac:dyDescent="0.2">
      <c r="A126" s="11">
        <v>45323</v>
      </c>
      <c r="B126" s="12">
        <v>1191.5</v>
      </c>
      <c r="C126" s="12">
        <f>表1[[#This Row],[库存（万吨）]]-B125</f>
        <v>-6</v>
      </c>
      <c r="D126" s="12">
        <v>84.35</v>
      </c>
      <c r="E126" s="12">
        <f>表1[[#This Row],[日耗（万吨）]]-D125</f>
        <v>-0.34000000000000341</v>
      </c>
      <c r="F126" s="12">
        <v>14.1</v>
      </c>
      <c r="G126" s="13">
        <f>表1[[#This Row],[可用天数]]-F125</f>
        <v>0</v>
      </c>
    </row>
    <row r="127" spans="1:7" ht="15.75" x14ac:dyDescent="0.2">
      <c r="A127" s="11">
        <v>45324</v>
      </c>
      <c r="B127" s="9">
        <v>1184.3</v>
      </c>
      <c r="C127" s="9">
        <f>表1[[#This Row],[库存（万吨）]]-B126</f>
        <v>-7.2000000000000455</v>
      </c>
      <c r="D127" s="9">
        <v>84.68</v>
      </c>
      <c r="E127" s="9">
        <f>表1[[#This Row],[日耗（万吨）]]-D126</f>
        <v>0.33000000000001251</v>
      </c>
      <c r="F127" s="9">
        <v>13.9</v>
      </c>
      <c r="G127" s="10">
        <f>表1[[#This Row],[可用天数]]-F126</f>
        <v>-0.19999999999999929</v>
      </c>
    </row>
    <row r="128" spans="1:7" ht="15.75" x14ac:dyDescent="0.2">
      <c r="A128" s="11">
        <v>45325</v>
      </c>
      <c r="B128" s="9">
        <v>1180.4000000000001</v>
      </c>
      <c r="C128" s="9">
        <f>表1[[#This Row],[库存（万吨）]]-B127</f>
        <v>-3.8999999999998636</v>
      </c>
      <c r="D128" s="9">
        <v>84.4</v>
      </c>
      <c r="E128" s="9">
        <f>表1[[#This Row],[日耗（万吨）]]-D127</f>
        <v>-0.28000000000000114</v>
      </c>
      <c r="F128" s="9">
        <v>13.9</v>
      </c>
      <c r="G128" s="10">
        <f>表1[[#This Row],[可用天数]]-F127</f>
        <v>0</v>
      </c>
    </row>
    <row r="129" spans="1:7" ht="15.75" x14ac:dyDescent="0.2">
      <c r="A129" s="11">
        <v>45326</v>
      </c>
      <c r="B129" s="12">
        <v>1173.5999999999999</v>
      </c>
      <c r="C129" s="12">
        <f>表1[[#This Row],[库存（万吨）]]-B128</f>
        <v>-6.8000000000001819</v>
      </c>
      <c r="D129" s="12">
        <v>81.12</v>
      </c>
      <c r="E129" s="12">
        <f>表1[[#This Row],[日耗（万吨）]]-D128</f>
        <v>-3.2800000000000011</v>
      </c>
      <c r="F129" s="12">
        <v>14.4</v>
      </c>
      <c r="G129" s="13">
        <f>表1[[#This Row],[可用天数]]-F128</f>
        <v>0.5</v>
      </c>
    </row>
    <row r="130" spans="1:7" ht="15.75" x14ac:dyDescent="0.2">
      <c r="A130" s="11">
        <v>45327</v>
      </c>
      <c r="B130" s="12">
        <v>1175.9000000000001</v>
      </c>
      <c r="C130" s="12">
        <f>表1[[#This Row],[库存（万吨）]]-B129</f>
        <v>2.3000000000001819</v>
      </c>
      <c r="D130" s="12">
        <v>78.5</v>
      </c>
      <c r="E130" s="12">
        <f>表1[[#This Row],[日耗（万吨）]]-D129</f>
        <v>-2.6200000000000045</v>
      </c>
      <c r="F130" s="12">
        <v>14.9</v>
      </c>
      <c r="G130" s="13">
        <f>表1[[#This Row],[可用天数]]-F129</f>
        <v>0.5</v>
      </c>
    </row>
    <row r="131" spans="1:7" ht="15.75" x14ac:dyDescent="0.2">
      <c r="A131" s="11">
        <v>45328</v>
      </c>
      <c r="B131" s="12">
        <v>1181</v>
      </c>
      <c r="C131" s="12">
        <f>表1[[#This Row],[库存（万吨）]]-B130</f>
        <v>5.0999999999999091</v>
      </c>
      <c r="D131" s="12">
        <v>77.33</v>
      </c>
      <c r="E131" s="12">
        <f>表1[[#This Row],[日耗（万吨）]]-D130</f>
        <v>-1.1700000000000017</v>
      </c>
      <c r="F131" s="12">
        <v>15.2</v>
      </c>
      <c r="G131" s="13">
        <f>表1[[#This Row],[可用天数]]-F130</f>
        <v>0.29999999999999893</v>
      </c>
    </row>
    <row r="132" spans="1:7" ht="15.75" x14ac:dyDescent="0.2">
      <c r="A132" s="11">
        <v>45329</v>
      </c>
      <c r="B132" s="12">
        <v>1197.4000000000001</v>
      </c>
      <c r="C132" s="12">
        <f>表1[[#This Row],[库存（万吨）]]-B131</f>
        <v>16.400000000000091</v>
      </c>
      <c r="D132" s="12">
        <v>69.709999999999994</v>
      </c>
      <c r="E132" s="12">
        <f>表1[[#This Row],[日耗（万吨）]]-D131</f>
        <v>-7.6200000000000045</v>
      </c>
      <c r="F132" s="12">
        <v>17.100000000000001</v>
      </c>
      <c r="G132" s="13">
        <f>表1[[#This Row],[可用天数]]-F131</f>
        <v>1.9000000000000021</v>
      </c>
    </row>
    <row r="133" spans="1:7" ht="15.75" x14ac:dyDescent="0.2">
      <c r="A133" s="11">
        <v>45339</v>
      </c>
      <c r="B133" s="12">
        <v>1256.7</v>
      </c>
      <c r="C133" s="12">
        <f>表1[[#This Row],[库存（万吨）]]-B132</f>
        <v>59.299999999999955</v>
      </c>
      <c r="D133" s="12">
        <v>60.14</v>
      </c>
      <c r="E133" s="12">
        <f>表1[[#This Row],[日耗（万吨）]]-D132</f>
        <v>-9.5699999999999932</v>
      </c>
      <c r="F133" s="12">
        <v>20.8</v>
      </c>
      <c r="G133" s="13">
        <f>表1[[#This Row],[可用天数]]-F132</f>
        <v>3.6999999999999993</v>
      </c>
    </row>
    <row r="134" spans="1:7" ht="15.75" x14ac:dyDescent="0.2">
      <c r="A134" s="11">
        <v>45340</v>
      </c>
      <c r="B134" s="12">
        <v>1259.0999999999999</v>
      </c>
      <c r="C134" s="12">
        <f>表1[[#This Row],[库存（万吨）]]-B133</f>
        <v>2.3999999999998636</v>
      </c>
      <c r="D134" s="12">
        <v>60.37</v>
      </c>
      <c r="E134" s="12">
        <f>表1[[#This Row],[日耗（万吨）]]-D133</f>
        <v>0.22999999999999687</v>
      </c>
      <c r="F134" s="12">
        <v>20.8</v>
      </c>
      <c r="G134" s="13">
        <f>表1[[#This Row],[可用天数]]-F133</f>
        <v>0</v>
      </c>
    </row>
    <row r="135" spans="1:7" ht="15.75" x14ac:dyDescent="0.2">
      <c r="A135" s="11">
        <v>45341</v>
      </c>
      <c r="B135" s="12">
        <v>1261.0999999999999</v>
      </c>
      <c r="C135" s="12">
        <f>表1[[#This Row],[库存（万吨）]]-B134</f>
        <v>2</v>
      </c>
      <c r="D135" s="12">
        <v>61.01</v>
      </c>
      <c r="E135" s="12">
        <f>表1[[#This Row],[日耗（万吨）]]-D134</f>
        <v>0.64000000000000057</v>
      </c>
      <c r="F135" s="12">
        <v>20.6</v>
      </c>
      <c r="G135" s="13">
        <f>表1[[#This Row],[可用天数]]-F134</f>
        <v>-0.19999999999999929</v>
      </c>
    </row>
    <row r="136" spans="1:7" ht="15.75" x14ac:dyDescent="0.2">
      <c r="A136" s="11">
        <v>45342</v>
      </c>
      <c r="B136" s="12">
        <v>1271.9000000000001</v>
      </c>
      <c r="C136" s="12">
        <f>表1[[#This Row],[库存（万吨）]]-B135</f>
        <v>10.800000000000182</v>
      </c>
      <c r="D136" s="12">
        <v>64.459999999999994</v>
      </c>
      <c r="E136" s="12">
        <f>表1[[#This Row],[日耗（万吨）]]-D135</f>
        <v>3.4499999999999957</v>
      </c>
      <c r="F136" s="12">
        <v>19.7</v>
      </c>
      <c r="G136" s="13">
        <f>表1[[#This Row],[可用天数]]-F135</f>
        <v>-0.90000000000000213</v>
      </c>
    </row>
    <row r="137" spans="1:7" ht="15.75" x14ac:dyDescent="0.2">
      <c r="A137" s="11">
        <v>45343</v>
      </c>
      <c r="B137" s="12">
        <v>1272.9000000000001</v>
      </c>
      <c r="C137" s="12">
        <f>表1[[#This Row],[库存（万吨）]]-B136</f>
        <v>1</v>
      </c>
      <c r="D137" s="12">
        <v>65.19</v>
      </c>
      <c r="E137" s="12">
        <f>表1[[#This Row],[日耗（万吨）]]-D136</f>
        <v>0.73000000000000398</v>
      </c>
      <c r="F137" s="12">
        <v>19.5</v>
      </c>
      <c r="G137" s="13">
        <f>表1[[#This Row],[可用天数]]-F136</f>
        <v>-0.19999999999999929</v>
      </c>
    </row>
    <row r="138" spans="1:7" ht="15.75" x14ac:dyDescent="0.2">
      <c r="A138" s="11">
        <v>45344</v>
      </c>
      <c r="B138" s="12">
        <v>1275.7</v>
      </c>
      <c r="C138" s="12">
        <f>表1[[#This Row],[库存（万吨）]]-B137</f>
        <v>2.7999999999999545</v>
      </c>
      <c r="D138" s="12">
        <v>68.3</v>
      </c>
      <c r="E138" s="12">
        <f>表1[[#This Row],[日耗（万吨）]]-D137</f>
        <v>3.1099999999999994</v>
      </c>
      <c r="F138" s="12">
        <v>18.600000000000001</v>
      </c>
      <c r="G138" s="13">
        <f>表1[[#This Row],[可用天数]]-F137</f>
        <v>-0.89999999999999858</v>
      </c>
    </row>
    <row r="139" spans="1:7" ht="15.75" x14ac:dyDescent="0.2">
      <c r="A139" s="11">
        <v>45346</v>
      </c>
      <c r="B139" s="12">
        <v>1263.8</v>
      </c>
      <c r="C139" s="12">
        <f>表1[[#This Row],[库存（万吨）]]-B138</f>
        <v>-11.900000000000091</v>
      </c>
      <c r="D139" s="12">
        <v>71.34</v>
      </c>
      <c r="E139" s="12">
        <f>表1[[#This Row],[日耗（万吨）]]-D138</f>
        <v>3.0400000000000063</v>
      </c>
      <c r="F139" s="12">
        <v>17.7</v>
      </c>
      <c r="G139" s="13">
        <f>表1[[#This Row],[可用天数]]-F138</f>
        <v>-0.90000000000000213</v>
      </c>
    </row>
    <row r="140" spans="1:7" ht="15.75" x14ac:dyDescent="0.2">
      <c r="A140" s="11">
        <v>45347</v>
      </c>
      <c r="B140" s="9">
        <v>1256.8</v>
      </c>
      <c r="C140" s="9">
        <f>表1[[#This Row],[库存（万吨）]]-B139</f>
        <v>-7</v>
      </c>
      <c r="D140" s="9">
        <v>77.11</v>
      </c>
      <c r="E140" s="9">
        <f>表1[[#This Row],[日耗（万吨）]]-D139</f>
        <v>5.769999999999996</v>
      </c>
      <c r="F140" s="9">
        <v>16.2</v>
      </c>
      <c r="G140" s="10">
        <f>表1[[#This Row],[可用天数]]-F139</f>
        <v>-1.5</v>
      </c>
    </row>
    <row r="141" spans="1:7" ht="15.75" x14ac:dyDescent="0.2">
      <c r="A141" s="11">
        <v>45348</v>
      </c>
      <c r="B141" s="12">
        <v>1262</v>
      </c>
      <c r="C141" s="12">
        <f>表1[[#This Row],[库存（万吨）]]-B140</f>
        <v>5.2000000000000455</v>
      </c>
      <c r="D141" s="12">
        <v>78.61</v>
      </c>
      <c r="E141" s="12">
        <f>表1[[#This Row],[日耗（万吨）]]-D140</f>
        <v>1.5</v>
      </c>
      <c r="F141" s="12">
        <v>16</v>
      </c>
      <c r="G141" s="13">
        <f>表1[[#This Row],[可用天数]]-F140</f>
        <v>-0.19999999999999929</v>
      </c>
    </row>
    <row r="142" spans="1:7" ht="15.75" x14ac:dyDescent="0.2">
      <c r="A142" s="11">
        <v>45349</v>
      </c>
      <c r="B142" s="12">
        <v>1256.2</v>
      </c>
      <c r="C142" s="12">
        <f>表1[[#This Row],[库存（万吨）]]-B141</f>
        <v>-5.7999999999999545</v>
      </c>
      <c r="D142" s="12">
        <v>79.260000000000005</v>
      </c>
      <c r="E142" s="12">
        <f>表1[[#This Row],[日耗（万吨）]]-D141</f>
        <v>0.65000000000000568</v>
      </c>
      <c r="F142" s="12">
        <v>15.8</v>
      </c>
      <c r="G142" s="13">
        <f>表1[[#This Row],[可用天数]]-F141</f>
        <v>-0.19999999999999929</v>
      </c>
    </row>
    <row r="143" spans="1:7" ht="15.75" x14ac:dyDescent="0.2">
      <c r="A143" s="11">
        <v>45350</v>
      </c>
      <c r="B143" s="12">
        <v>1249.5999999999999</v>
      </c>
      <c r="C143" s="12">
        <f>表1[[#This Row],[库存（万吨）]]-B142</f>
        <v>-6.6000000000001364</v>
      </c>
      <c r="D143" s="12">
        <v>79.83</v>
      </c>
      <c r="E143" s="12">
        <f>表1[[#This Row],[日耗（万吨）]]-D142</f>
        <v>0.56999999999999318</v>
      </c>
      <c r="F143" s="12">
        <v>15.6</v>
      </c>
      <c r="G143" s="13">
        <f>表1[[#This Row],[可用天数]]-F142</f>
        <v>-0.20000000000000107</v>
      </c>
    </row>
    <row r="144" spans="1:7" ht="15.75" x14ac:dyDescent="0.2">
      <c r="A144" s="11">
        <v>45351</v>
      </c>
      <c r="B144" s="12">
        <v>1256.7</v>
      </c>
      <c r="C144" s="12">
        <f>表1[[#This Row],[库存（万吨）]]-B143</f>
        <v>7.1000000000001364</v>
      </c>
      <c r="D144" s="12">
        <v>80.17</v>
      </c>
      <c r="E144" s="12">
        <f>表1[[#This Row],[日耗（万吨）]]-D143</f>
        <v>0.34000000000000341</v>
      </c>
      <c r="F144" s="12">
        <v>15.6</v>
      </c>
      <c r="G144" s="13">
        <f>表1[[#This Row],[可用天数]]-F143</f>
        <v>0</v>
      </c>
    </row>
    <row r="145" spans="1:7" ht="15.75" x14ac:dyDescent="0.2">
      <c r="A145" s="11">
        <v>45353</v>
      </c>
      <c r="B145" s="9">
        <v>1272.0999999999999</v>
      </c>
      <c r="C145" s="12">
        <f>表1[[#This Row],[库存（万吨）]]-B144</f>
        <v>15.399999999999864</v>
      </c>
      <c r="D145" s="9">
        <v>79.819999999999993</v>
      </c>
      <c r="E145" s="12">
        <f>表1[[#This Row],[日耗（万吨）]]-D144</f>
        <v>-0.35000000000000853</v>
      </c>
      <c r="F145" s="9">
        <v>15.9</v>
      </c>
      <c r="G145" s="13">
        <f>表1[[#This Row],[可用天数]]-F144</f>
        <v>0.30000000000000071</v>
      </c>
    </row>
    <row r="146" spans="1:7" ht="15.75" x14ac:dyDescent="0.2">
      <c r="A146" s="11">
        <v>45354</v>
      </c>
      <c r="B146" s="12">
        <v>1275.2</v>
      </c>
      <c r="C146" s="12">
        <f>表1[[#This Row],[库存（万吨）]]-B145</f>
        <v>3.1000000000001364</v>
      </c>
      <c r="D146" s="12">
        <v>79.209999999999994</v>
      </c>
      <c r="E146" s="12">
        <f>表1[[#This Row],[日耗（万吨）]]-D145</f>
        <v>-0.60999999999999943</v>
      </c>
      <c r="F146" s="12">
        <v>16</v>
      </c>
      <c r="G146" s="13">
        <f>表1[[#This Row],[可用天数]]-F145</f>
        <v>9.9999999999999645E-2</v>
      </c>
    </row>
    <row r="147" spans="1:7" ht="15.75" x14ac:dyDescent="0.2">
      <c r="A147" s="11">
        <v>45355</v>
      </c>
      <c r="B147" s="12">
        <v>1288.2</v>
      </c>
      <c r="C147" s="12">
        <f>表1[[#This Row],[库存（万吨）]]-B146</f>
        <v>13</v>
      </c>
      <c r="D147" s="12">
        <v>79.69</v>
      </c>
      <c r="E147" s="12">
        <f>表1[[#This Row],[日耗（万吨）]]-D146</f>
        <v>0.48000000000000398</v>
      </c>
      <c r="F147" s="12">
        <v>16.100000000000001</v>
      </c>
      <c r="G147" s="13">
        <f>表1[[#This Row],[可用天数]]-F146</f>
        <v>0.10000000000000142</v>
      </c>
    </row>
    <row r="148" spans="1:7" ht="15.75" x14ac:dyDescent="0.2">
      <c r="A148" s="11">
        <v>45356</v>
      </c>
      <c r="B148" s="12">
        <v>1295.0999999999999</v>
      </c>
      <c r="C148" s="12">
        <f>表1[[#This Row],[库存（万吨）]]-B147</f>
        <v>6.8999999999998636</v>
      </c>
      <c r="D148" s="12">
        <v>80.3</v>
      </c>
      <c r="E148" s="12">
        <f>表1[[#This Row],[日耗（万吨）]]-D147</f>
        <v>0.60999999999999943</v>
      </c>
      <c r="F148" s="12">
        <v>16.100000000000001</v>
      </c>
      <c r="G148" s="13">
        <f>表1[[#This Row],[可用天数]]-F147</f>
        <v>0</v>
      </c>
    </row>
    <row r="149" spans="1:7" ht="15.75" x14ac:dyDescent="0.2">
      <c r="A149" s="11">
        <v>45357</v>
      </c>
      <c r="B149" s="12">
        <v>1300.0999999999999</v>
      </c>
      <c r="C149" s="12">
        <f>表1[[#This Row],[库存（万吨）]]-B148</f>
        <v>5</v>
      </c>
      <c r="D149" s="12">
        <v>78.61</v>
      </c>
      <c r="E149" s="12">
        <f>表1[[#This Row],[日耗（万吨）]]-D148</f>
        <v>-1.6899999999999977</v>
      </c>
      <c r="F149" s="12">
        <v>16.5</v>
      </c>
      <c r="G149" s="13">
        <f>表1[[#This Row],[可用天数]]-F148</f>
        <v>0.39999999999999858</v>
      </c>
    </row>
    <row r="150" spans="1:7" ht="15.75" x14ac:dyDescent="0.2">
      <c r="A150" s="11">
        <v>45358</v>
      </c>
      <c r="B150" s="12">
        <v>1303.4000000000001</v>
      </c>
      <c r="C150" s="12">
        <f>表1[[#This Row],[库存（万吨）]]-B149</f>
        <v>3.3000000000001819</v>
      </c>
      <c r="D150" s="12">
        <v>77.739999999999995</v>
      </c>
      <c r="E150" s="12">
        <f>表1[[#This Row],[日耗（万吨）]]-D149</f>
        <v>-0.87000000000000455</v>
      </c>
      <c r="F150" s="12">
        <v>16.7</v>
      </c>
      <c r="G150" s="13">
        <f>表1[[#This Row],[可用天数]]-F149</f>
        <v>0.19999999999999929</v>
      </c>
    </row>
    <row r="151" spans="1:7" ht="15.75" x14ac:dyDescent="0.2">
      <c r="A151" s="11">
        <v>45360</v>
      </c>
      <c r="B151" s="9">
        <v>1309.5</v>
      </c>
      <c r="C151" s="12">
        <f>表1[[#This Row],[库存（万吨）]]-B150</f>
        <v>6.0999999999999091</v>
      </c>
      <c r="D151" s="9">
        <v>78.849999999999994</v>
      </c>
      <c r="E151" s="12">
        <f>表1[[#This Row],[日耗（万吨）]]-D150</f>
        <v>1.1099999999999994</v>
      </c>
      <c r="F151" s="9">
        <v>16.600000000000001</v>
      </c>
      <c r="G151" s="13">
        <f>表1[[#This Row],[可用天数]]-F150</f>
        <v>-9.9999999999997868E-2</v>
      </c>
    </row>
    <row r="152" spans="1:7" ht="15.75" x14ac:dyDescent="0.2">
      <c r="A152" s="11">
        <v>45361</v>
      </c>
      <c r="B152" s="12">
        <v>1295</v>
      </c>
      <c r="C152" s="12">
        <f>表1[[#This Row],[库存（万吨）]]-B151</f>
        <v>-14.5</v>
      </c>
      <c r="D152" s="12">
        <v>80.67</v>
      </c>
      <c r="E152" s="12">
        <f>表1[[#This Row],[日耗（万吨）]]-D151</f>
        <v>1.8200000000000074</v>
      </c>
      <c r="F152" s="12">
        <v>16</v>
      </c>
      <c r="G152" s="13">
        <f>表1[[#This Row],[可用天数]]-F151</f>
        <v>-0.60000000000000142</v>
      </c>
    </row>
    <row r="153" spans="1:7" ht="15.75" x14ac:dyDescent="0.2">
      <c r="A153" s="11">
        <v>45362</v>
      </c>
      <c r="B153" s="12">
        <v>1286.3</v>
      </c>
      <c r="C153" s="12">
        <f>表1[[#This Row],[库存（万吨）]]-B152</f>
        <v>-8.7000000000000455</v>
      </c>
      <c r="D153" s="12">
        <v>81.239999999999995</v>
      </c>
      <c r="E153" s="12">
        <f>表1[[#This Row],[日耗（万吨）]]-D152</f>
        <v>0.56999999999999318</v>
      </c>
      <c r="F153" s="12">
        <v>15.8</v>
      </c>
      <c r="G153" s="13">
        <f>表1[[#This Row],[可用天数]]-F152</f>
        <v>-0.19999999999999929</v>
      </c>
    </row>
    <row r="154" spans="1:7" ht="15.75" x14ac:dyDescent="0.2">
      <c r="A154" s="11">
        <v>45363</v>
      </c>
      <c r="B154" s="12">
        <v>1285.8</v>
      </c>
      <c r="C154" s="12">
        <f>表1[[#This Row],[库存（万吨）]]-B153</f>
        <v>-0.5</v>
      </c>
      <c r="D154" s="12">
        <v>80.72</v>
      </c>
      <c r="E154" s="12">
        <f>表1[[#This Row],[日耗（万吨）]]-D153</f>
        <v>-0.51999999999999602</v>
      </c>
      <c r="F154" s="12">
        <v>15.9</v>
      </c>
      <c r="G154" s="13">
        <f>表1[[#This Row],[可用天数]]-F153</f>
        <v>9.9999999999999645E-2</v>
      </c>
    </row>
    <row r="155" spans="1:7" ht="15.75" x14ac:dyDescent="0.2">
      <c r="A155" s="11">
        <v>45364</v>
      </c>
      <c r="B155" s="12">
        <v>1288.5</v>
      </c>
      <c r="C155" s="12">
        <f>表1[[#This Row],[库存（万吨）]]-B154</f>
        <v>2.7000000000000455</v>
      </c>
      <c r="D155" s="12">
        <v>80.489999999999995</v>
      </c>
      <c r="E155" s="12">
        <f>表1[[#This Row],[日耗（万吨）]]-D154</f>
        <v>-0.23000000000000398</v>
      </c>
      <c r="F155" s="12">
        <v>16</v>
      </c>
      <c r="G155" s="13">
        <f>表1[[#This Row],[可用天数]]-F154</f>
        <v>9.9999999999999645E-2</v>
      </c>
    </row>
    <row r="156" spans="1:7" ht="15.75" x14ac:dyDescent="0.2">
      <c r="A156" s="11">
        <v>45365</v>
      </c>
      <c r="B156" s="12">
        <v>1294.0999999999999</v>
      </c>
      <c r="C156" s="12">
        <f>表1[[#This Row],[库存（万吨）]]-B155</f>
        <v>5.5999999999999091</v>
      </c>
      <c r="D156" s="12">
        <v>77.680000000000007</v>
      </c>
      <c r="E156" s="12">
        <f>表1[[#This Row],[日耗（万吨）]]-D155</f>
        <v>-2.8099999999999881</v>
      </c>
      <c r="F156" s="12">
        <v>16.600000000000001</v>
      </c>
      <c r="G156" s="13">
        <f>表1[[#This Row],[可用天数]]-F155</f>
        <v>0.60000000000000142</v>
      </c>
    </row>
    <row r="157" spans="1:7" ht="15.75" x14ac:dyDescent="0.2">
      <c r="A157" s="11">
        <v>45367</v>
      </c>
      <c r="B157" s="12">
        <v>1308.9000000000001</v>
      </c>
      <c r="C157" s="12">
        <f>表1[[#This Row],[库存（万吨）]]-B156</f>
        <v>14.800000000000182</v>
      </c>
      <c r="D157" s="12">
        <v>76.53</v>
      </c>
      <c r="E157" s="12">
        <f>表1[[#This Row],[日耗（万吨）]]-D156</f>
        <v>-1.1500000000000057</v>
      </c>
      <c r="F157" s="12">
        <v>17</v>
      </c>
      <c r="G157" s="13">
        <f>表1[[#This Row],[可用天数]]-F156</f>
        <v>0.39999999999999858</v>
      </c>
    </row>
    <row r="158" spans="1:7" ht="15.75" x14ac:dyDescent="0.2">
      <c r="A158" s="11">
        <v>45368</v>
      </c>
      <c r="B158" s="12">
        <v>1302.7</v>
      </c>
      <c r="C158" s="12">
        <f>表1[[#This Row],[库存（万吨）]]-B157</f>
        <v>-6.2000000000000455</v>
      </c>
      <c r="D158" s="12">
        <v>78.150000000000006</v>
      </c>
      <c r="E158" s="12">
        <f>表1[[#This Row],[日耗（万吨）]]-D157</f>
        <v>1.6200000000000045</v>
      </c>
      <c r="F158" s="12">
        <v>16.600000000000001</v>
      </c>
      <c r="G158" s="13">
        <f>表1[[#This Row],[可用天数]]-F157</f>
        <v>-0.39999999999999858</v>
      </c>
    </row>
    <row r="159" spans="1:7" ht="15.75" x14ac:dyDescent="0.2">
      <c r="A159" s="11">
        <v>45369</v>
      </c>
      <c r="B159" s="12">
        <v>1295.5</v>
      </c>
      <c r="C159" s="12">
        <f>表1[[#This Row],[库存（万吨）]]-B158</f>
        <v>-7.2000000000000455</v>
      </c>
      <c r="D159" s="12">
        <v>78.78</v>
      </c>
      <c r="E159" s="12">
        <f>表1[[#This Row],[日耗（万吨）]]-D158</f>
        <v>0.62999999999999545</v>
      </c>
      <c r="F159" s="12">
        <v>16.399999999999999</v>
      </c>
      <c r="G159" s="13">
        <f>表1[[#This Row],[可用天数]]-F158</f>
        <v>-0.20000000000000284</v>
      </c>
    </row>
    <row r="160" spans="1:7" ht="15.75" x14ac:dyDescent="0.2">
      <c r="A160" s="11">
        <v>45370</v>
      </c>
      <c r="B160" s="12">
        <v>1287.4000000000001</v>
      </c>
      <c r="C160" s="12">
        <f>表1[[#This Row],[库存（万吨）]]-B159</f>
        <v>-8.0999999999999091</v>
      </c>
      <c r="D160" s="12">
        <v>79.13</v>
      </c>
      <c r="E160" s="12">
        <f>表1[[#This Row],[日耗（万吨）]]-D159</f>
        <v>0.34999999999999432</v>
      </c>
      <c r="F160" s="12">
        <v>16.2</v>
      </c>
      <c r="G160" s="13">
        <f>表1[[#This Row],[可用天数]]-F159</f>
        <v>-0.19999999999999929</v>
      </c>
    </row>
    <row r="161" spans="1:7" ht="15.75" x14ac:dyDescent="0.2">
      <c r="A161" s="11">
        <v>45371</v>
      </c>
      <c r="B161" s="12">
        <v>1281.7</v>
      </c>
      <c r="C161" s="12">
        <f>表1[[#This Row],[库存（万吨）]]-B160</f>
        <v>-5.7000000000000455</v>
      </c>
      <c r="D161" s="12">
        <v>79.239999999999995</v>
      </c>
      <c r="E161" s="12">
        <f>表1[[#This Row],[日耗（万吨）]]-D160</f>
        <v>0.10999999999999943</v>
      </c>
      <c r="F161" s="12">
        <v>16.100000000000001</v>
      </c>
      <c r="G161" s="13">
        <f>表1[[#This Row],[可用天数]]-F160</f>
        <v>-9.9999999999997868E-2</v>
      </c>
    </row>
    <row r="162" spans="1:7" ht="15.75" x14ac:dyDescent="0.2">
      <c r="A162" s="11">
        <v>45372</v>
      </c>
      <c r="B162" s="12">
        <v>1294.3</v>
      </c>
      <c r="C162" s="12">
        <f>表1[[#This Row],[库存（万吨）]]-B161</f>
        <v>12.599999999999909</v>
      </c>
      <c r="D162" s="12">
        <v>76.599999999999994</v>
      </c>
      <c r="E162" s="12">
        <f>表1[[#This Row],[日耗（万吨）]]-D161</f>
        <v>-2.6400000000000006</v>
      </c>
      <c r="F162" s="12">
        <v>16.8</v>
      </c>
      <c r="G162" s="13">
        <f>表1[[#This Row],[可用天数]]-F161</f>
        <v>0.69999999999999929</v>
      </c>
    </row>
    <row r="163" spans="1:7" ht="15.75" x14ac:dyDescent="0.2">
      <c r="A163" s="11">
        <v>45374</v>
      </c>
      <c r="B163" s="12">
        <v>1304.0999999999999</v>
      </c>
      <c r="C163" s="12">
        <f>表1[[#This Row],[库存（万吨）]]-B162</f>
        <v>9.7999999999999545</v>
      </c>
      <c r="D163" s="12">
        <v>75.040000000000006</v>
      </c>
      <c r="E163" s="12">
        <f>表1[[#This Row],[日耗（万吨）]]-D162</f>
        <v>-1.5599999999999881</v>
      </c>
      <c r="F163" s="12">
        <v>17.3</v>
      </c>
      <c r="G163" s="13">
        <f>表1[[#This Row],[可用天数]]-F162</f>
        <v>0.5</v>
      </c>
    </row>
    <row r="164" spans="1:7" ht="15.75" x14ac:dyDescent="0.2">
      <c r="A164" s="11">
        <v>45375</v>
      </c>
      <c r="B164" s="12">
        <v>1301.9000000000001</v>
      </c>
      <c r="C164" s="12">
        <f>表1[[#This Row],[库存（万吨）]]-B163</f>
        <v>-2.1999999999998181</v>
      </c>
      <c r="D164" s="12">
        <v>75.67</v>
      </c>
      <c r="E164" s="12">
        <f>表1[[#This Row],[日耗（万吨）]]-D163</f>
        <v>0.62999999999999545</v>
      </c>
      <c r="F164" s="12">
        <v>17.100000000000001</v>
      </c>
      <c r="G164" s="13">
        <f>表1[[#This Row],[可用天数]]-F163</f>
        <v>-0.19999999999999929</v>
      </c>
    </row>
    <row r="165" spans="1:7" ht="15.75" x14ac:dyDescent="0.2">
      <c r="A165" s="11">
        <v>45376</v>
      </c>
      <c r="B165" s="12">
        <v>1305.5</v>
      </c>
      <c r="C165" s="12">
        <f>表1[[#This Row],[库存（万吨）]]-B164</f>
        <v>3.5999999999999091</v>
      </c>
      <c r="D165" s="12">
        <v>75.81</v>
      </c>
      <c r="E165" s="12">
        <f>表1[[#This Row],[日耗（万吨）]]-D164</f>
        <v>0.14000000000000057</v>
      </c>
      <c r="F165" s="12">
        <v>17.2</v>
      </c>
      <c r="G165" s="13">
        <f>表1[[#This Row],[可用天数]]-F164</f>
        <v>9.9999999999997868E-2</v>
      </c>
    </row>
    <row r="166" spans="1:7" ht="15.75" x14ac:dyDescent="0.2">
      <c r="A166" s="11">
        <v>45377</v>
      </c>
      <c r="B166" s="12">
        <v>1309.8</v>
      </c>
      <c r="C166" s="12">
        <f>表1[[#This Row],[库存（万吨）]]-B165</f>
        <v>4.2999999999999545</v>
      </c>
      <c r="D166" s="12">
        <v>75.8</v>
      </c>
      <c r="E166" s="12">
        <f>表1[[#This Row],[日耗（万吨）]]-D165</f>
        <v>-1.0000000000005116E-2</v>
      </c>
      <c r="F166" s="12">
        <v>17.2</v>
      </c>
      <c r="G166" s="13">
        <f>表1[[#This Row],[可用天数]]-F165</f>
        <v>0</v>
      </c>
    </row>
    <row r="167" spans="1:7" ht="15.75" x14ac:dyDescent="0.2">
      <c r="A167" s="11">
        <v>45378</v>
      </c>
      <c r="B167" s="12">
        <v>1315.9</v>
      </c>
      <c r="C167" s="12">
        <f>表1[[#This Row],[库存（万吨）]]-B166</f>
        <v>6.1000000000001364</v>
      </c>
      <c r="D167" s="12">
        <v>75.900000000000006</v>
      </c>
      <c r="E167" s="12">
        <f>表1[[#This Row],[日耗（万吨）]]-D166</f>
        <v>0.10000000000000853</v>
      </c>
      <c r="F167" s="12">
        <v>17.3</v>
      </c>
      <c r="G167" s="13">
        <f>表1[[#This Row],[可用天数]]-F166</f>
        <v>0.10000000000000142</v>
      </c>
    </row>
    <row r="168" spans="1:7" ht="15.75" x14ac:dyDescent="0.2">
      <c r="A168" s="11">
        <v>45379</v>
      </c>
      <c r="B168" s="12">
        <v>1312.6</v>
      </c>
      <c r="C168" s="12">
        <f>表1[[#This Row],[库存（万吨）]]-B167</f>
        <v>-3.3000000000001819</v>
      </c>
      <c r="D168" s="12">
        <v>74.45</v>
      </c>
      <c r="E168" s="12">
        <f>表1[[#This Row],[日耗（万吨）]]-D167</f>
        <v>-1.4500000000000028</v>
      </c>
      <c r="F168" s="12">
        <v>17.600000000000001</v>
      </c>
      <c r="G168" s="13">
        <f>表1[[#This Row],[可用天数]]-F167</f>
        <v>0.30000000000000071</v>
      </c>
    </row>
    <row r="169" spans="1:7" ht="15.75" x14ac:dyDescent="0.2">
      <c r="A169" s="11">
        <v>45381</v>
      </c>
      <c r="B169" s="12">
        <v>1322.9</v>
      </c>
      <c r="C169" s="12">
        <f>表1[[#This Row],[库存（万吨）]]-B168</f>
        <v>10.300000000000182</v>
      </c>
      <c r="D169" s="12">
        <v>73.41</v>
      </c>
      <c r="E169" s="12">
        <f>表1[[#This Row],[日耗（万吨）]]-D168</f>
        <v>-1.0400000000000063</v>
      </c>
      <c r="F169" s="12">
        <v>18</v>
      </c>
      <c r="G169" s="13">
        <f>表1[[#This Row],[可用天数]]-F168</f>
        <v>0.39999999999999858</v>
      </c>
    </row>
    <row r="170" spans="1:7" ht="15.75" x14ac:dyDescent="0.2">
      <c r="A170" s="11">
        <v>45382</v>
      </c>
      <c r="B170" s="12">
        <v>1325.1</v>
      </c>
      <c r="C170" s="12">
        <f>表1[[#This Row],[库存（万吨）]]-B169</f>
        <v>2.1999999999998181</v>
      </c>
      <c r="D170" s="12">
        <v>73.16</v>
      </c>
      <c r="E170" s="12">
        <f>表1[[#This Row],[日耗（万吨）]]-D169</f>
        <v>-0.25</v>
      </c>
      <c r="F170" s="12">
        <v>18.100000000000001</v>
      </c>
      <c r="G170" s="13">
        <f>表1[[#This Row],[可用天数]]-F169</f>
        <v>0.10000000000000142</v>
      </c>
    </row>
    <row r="171" spans="1:7" ht="15.75" x14ac:dyDescent="0.2">
      <c r="A171" s="11">
        <v>45383</v>
      </c>
      <c r="B171" s="12">
        <v>1320.4</v>
      </c>
      <c r="C171" s="12">
        <f>表1[[#This Row],[库存（万吨）]]-B170</f>
        <v>-4.6999999999998181</v>
      </c>
      <c r="D171" s="12">
        <v>72.94</v>
      </c>
      <c r="E171" s="12">
        <f>表1[[#This Row],[日耗（万吨）]]-D170</f>
        <v>-0.21999999999999886</v>
      </c>
      <c r="F171" s="12">
        <v>18</v>
      </c>
      <c r="G171" s="13">
        <f>表1[[#This Row],[可用天数]]-F170</f>
        <v>-0.10000000000000142</v>
      </c>
    </row>
    <row r="172" spans="1:7" ht="15.75" x14ac:dyDescent="0.2">
      <c r="A172" s="11">
        <v>45384</v>
      </c>
      <c r="B172" s="12">
        <v>1322.1</v>
      </c>
      <c r="C172" s="12">
        <f>表1[[#This Row],[库存（万吨）]]-B171</f>
        <v>1.6999999999998181</v>
      </c>
      <c r="D172" s="12">
        <v>73.290000000000006</v>
      </c>
      <c r="E172" s="12">
        <f>表1[[#This Row],[日耗（万吨）]]-D171</f>
        <v>0.35000000000000853</v>
      </c>
      <c r="F172" s="12">
        <v>18</v>
      </c>
      <c r="G172" s="13">
        <f>表1[[#This Row],[可用天数]]-F171</f>
        <v>0</v>
      </c>
    </row>
    <row r="173" spans="1:7" ht="15.75" x14ac:dyDescent="0.2">
      <c r="A173" s="11">
        <v>45387</v>
      </c>
      <c r="B173" s="12">
        <v>1320.6</v>
      </c>
      <c r="C173" s="12">
        <f>表1[[#This Row],[库存（万吨）]]-B172</f>
        <v>-1.5</v>
      </c>
      <c r="D173" s="12">
        <v>72.41</v>
      </c>
      <c r="E173" s="12">
        <f>表1[[#This Row],[日耗（万吨）]]-D172</f>
        <v>-0.88000000000000966</v>
      </c>
      <c r="F173" s="12">
        <v>18.2</v>
      </c>
      <c r="G173" s="13">
        <f>表1[[#This Row],[可用天数]]-F172</f>
        <v>0.19999999999999929</v>
      </c>
    </row>
    <row r="174" spans="1:7" ht="15.75" x14ac:dyDescent="0.2">
      <c r="A174" s="11">
        <v>45388</v>
      </c>
      <c r="B174" s="12">
        <v>1325.1</v>
      </c>
      <c r="C174" s="12">
        <f>表1[[#This Row],[库存（万吨）]]-B173</f>
        <v>4.5</v>
      </c>
      <c r="D174" s="12">
        <v>72.56</v>
      </c>
      <c r="E174" s="12">
        <f>表1[[#This Row],[日耗（万吨）]]-D173</f>
        <v>0.15000000000000568</v>
      </c>
      <c r="F174" s="12">
        <v>18.2</v>
      </c>
      <c r="G174" s="13">
        <f>表1[[#This Row],[可用天数]]-F173</f>
        <v>0</v>
      </c>
    </row>
    <row r="175" spans="1:7" ht="15.75" x14ac:dyDescent="0.2">
      <c r="A175" s="11">
        <v>45389</v>
      </c>
      <c r="B175" s="12">
        <v>1328.3</v>
      </c>
      <c r="C175" s="12">
        <f>表1[[#This Row],[库存（万吨）]]-B174</f>
        <v>3.2000000000000455</v>
      </c>
      <c r="D175" s="12">
        <v>72.709999999999994</v>
      </c>
      <c r="E175" s="12">
        <f>表1[[#This Row],[日耗（万吨）]]-D174</f>
        <v>0.14999999999999147</v>
      </c>
      <c r="F175" s="12">
        <v>18.2</v>
      </c>
      <c r="G175" s="13">
        <f>表1[[#This Row],[可用天数]]-F174</f>
        <v>0</v>
      </c>
    </row>
    <row r="176" spans="1:7" ht="15.75" x14ac:dyDescent="0.2">
      <c r="A176" s="11">
        <v>45390</v>
      </c>
      <c r="B176" s="12">
        <v>1327</v>
      </c>
      <c r="C176" s="12">
        <f>表1[[#This Row],[库存（万吨）]]-B175</f>
        <v>-1.2999999999999545</v>
      </c>
      <c r="D176" s="12">
        <v>72.8</v>
      </c>
      <c r="E176" s="12">
        <f>表1[[#This Row],[日耗（万吨）]]-D175</f>
        <v>9.0000000000003411E-2</v>
      </c>
      <c r="F176" s="12">
        <v>18.2</v>
      </c>
      <c r="G176" s="13">
        <f>表1[[#This Row],[可用天数]]-F175</f>
        <v>0</v>
      </c>
    </row>
    <row r="177" spans="1:7" ht="15.75" x14ac:dyDescent="0.2">
      <c r="A177" s="11">
        <v>45391</v>
      </c>
      <c r="B177" s="12">
        <v>1331.1</v>
      </c>
      <c r="C177" s="12">
        <f>表1[[#This Row],[库存（万吨）]]-B176</f>
        <v>4.0999999999999091</v>
      </c>
      <c r="D177" s="12">
        <v>72.84</v>
      </c>
      <c r="E177" s="12">
        <f>表1[[#This Row],[日耗（万吨）]]-D176</f>
        <v>4.0000000000006253E-2</v>
      </c>
      <c r="F177" s="12">
        <v>18.2</v>
      </c>
      <c r="G177" s="13">
        <f>表1[[#This Row],[可用天数]]-F176</f>
        <v>0</v>
      </c>
    </row>
    <row r="178" spans="1:7" ht="15.75" x14ac:dyDescent="0.2">
      <c r="A178" s="11">
        <v>45392</v>
      </c>
      <c r="B178" s="12">
        <v>1336.8</v>
      </c>
      <c r="C178" s="12">
        <f>表1[[#This Row],[库存（万吨）]]-B177</f>
        <v>5.7000000000000455</v>
      </c>
      <c r="D178" s="12">
        <v>72.91</v>
      </c>
      <c r="E178" s="12">
        <f>表1[[#This Row],[日耗（万吨）]]-D177</f>
        <v>6.9999999999993179E-2</v>
      </c>
      <c r="F178" s="12">
        <v>18.3</v>
      </c>
      <c r="G178" s="13">
        <f>表1[[#This Row],[可用天数]]-F177</f>
        <v>0.10000000000000142</v>
      </c>
    </row>
    <row r="179" spans="1:7" ht="15.75" x14ac:dyDescent="0.2">
      <c r="A179" s="11">
        <v>45393</v>
      </c>
      <c r="B179" s="12">
        <v>1341.8</v>
      </c>
      <c r="C179" s="12">
        <f>表1[[#This Row],[库存（万吨）]]-B178</f>
        <v>5</v>
      </c>
      <c r="D179" s="12">
        <v>72.95</v>
      </c>
      <c r="E179" s="12">
        <f>表1[[#This Row],[日耗（万吨）]]-D178</f>
        <v>4.0000000000006253E-2</v>
      </c>
      <c r="F179" s="12">
        <v>18.3</v>
      </c>
      <c r="G179" s="13">
        <f>表1[[#This Row],[可用天数]]-F178</f>
        <v>0</v>
      </c>
    </row>
    <row r="180" spans="1:7" ht="15.75" x14ac:dyDescent="0.2">
      <c r="A180" s="11">
        <v>45395</v>
      </c>
      <c r="B180" s="12">
        <v>1348.8</v>
      </c>
      <c r="C180" s="12">
        <f>表1[[#This Row],[库存（万吨）]]-B179</f>
        <v>7</v>
      </c>
      <c r="D180" s="12">
        <v>72.5</v>
      </c>
      <c r="E180" s="12">
        <f>表1[[#This Row],[日耗（万吨）]]-D179</f>
        <v>-0.45000000000000284</v>
      </c>
      <c r="F180" s="12">
        <v>18.5</v>
      </c>
      <c r="G180" s="13">
        <f>表1[[#This Row],[可用天数]]-F179</f>
        <v>0.19999999999999929</v>
      </c>
    </row>
    <row r="181" spans="1:7" ht="15.75" x14ac:dyDescent="0.2">
      <c r="A181" s="11">
        <v>45396</v>
      </c>
      <c r="B181" s="12">
        <v>1352.3</v>
      </c>
      <c r="C181" s="12">
        <f>表1[[#This Row],[库存（万吨）]]-B180</f>
        <v>3.5</v>
      </c>
      <c r="D181" s="12">
        <v>72.650000000000006</v>
      </c>
      <c r="E181" s="12">
        <f>表1[[#This Row],[日耗（万吨）]]-D180</f>
        <v>0.15000000000000568</v>
      </c>
      <c r="F181" s="12">
        <v>18.600000000000001</v>
      </c>
      <c r="G181" s="13">
        <f>表1[[#This Row],[可用天数]]-F180</f>
        <v>0.10000000000000142</v>
      </c>
    </row>
    <row r="182" spans="1:7" ht="15.75" x14ac:dyDescent="0.2">
      <c r="A182" s="11">
        <v>45397</v>
      </c>
      <c r="B182" s="12">
        <v>1352</v>
      </c>
      <c r="C182" s="12">
        <f>表1[[#This Row],[库存（万吨）]]-B181</f>
        <v>-0.29999999999995453</v>
      </c>
      <c r="D182" s="12">
        <v>72.7</v>
      </c>
      <c r="E182" s="12">
        <f>表1[[#This Row],[日耗（万吨）]]-D181</f>
        <v>4.9999999999997158E-2</v>
      </c>
      <c r="F182" s="12">
        <v>18.5</v>
      </c>
      <c r="G182" s="13">
        <f>表1[[#This Row],[可用天数]]-F181</f>
        <v>-0.10000000000000142</v>
      </c>
    </row>
    <row r="183" spans="1:7" ht="15.75" x14ac:dyDescent="0.2">
      <c r="A183" s="11">
        <v>45398</v>
      </c>
      <c r="B183" s="12">
        <v>1350.3</v>
      </c>
      <c r="C183" s="12">
        <f>表1[[#This Row],[库存（万吨）]]-B182</f>
        <v>-1.7000000000000455</v>
      </c>
      <c r="D183" s="12">
        <v>72.95</v>
      </c>
      <c r="E183" s="12">
        <f>表1[[#This Row],[日耗（万吨）]]-D182</f>
        <v>0.25</v>
      </c>
      <c r="F183" s="12">
        <v>18.5</v>
      </c>
      <c r="G183" s="13">
        <f>表1[[#This Row],[可用天数]]-F182</f>
        <v>0</v>
      </c>
    </row>
    <row r="184" spans="1:7" ht="15.75" x14ac:dyDescent="0.2">
      <c r="A184" s="11">
        <v>45399</v>
      </c>
      <c r="B184" s="12">
        <v>1352.9</v>
      </c>
      <c r="C184" s="12">
        <f>表1[[#This Row],[库存（万吨）]]-B183</f>
        <v>2.6000000000001364</v>
      </c>
      <c r="D184" s="12">
        <v>73.069999999999993</v>
      </c>
      <c r="E184" s="12">
        <f>表1[[#This Row],[日耗（万吨）]]-D183</f>
        <v>0.11999999999999034</v>
      </c>
      <c r="F184" s="12">
        <v>18.5</v>
      </c>
      <c r="G184" s="13">
        <f>表1[[#This Row],[可用天数]]-F183</f>
        <v>0</v>
      </c>
    </row>
    <row r="185" spans="1:7" ht="15.75" x14ac:dyDescent="0.2">
      <c r="A185" s="11">
        <v>45400</v>
      </c>
      <c r="B185" s="12">
        <v>1364.6</v>
      </c>
      <c r="C185" s="12">
        <f>表1[[#This Row],[库存（万吨）]]-B184</f>
        <v>11.699999999999818</v>
      </c>
      <c r="D185" s="12">
        <v>72.09</v>
      </c>
      <c r="E185" s="12">
        <f>表1[[#This Row],[日耗（万吨）]]-D184</f>
        <v>-0.97999999999998977</v>
      </c>
      <c r="F185" s="12">
        <v>18.899999999999999</v>
      </c>
      <c r="G185" s="13">
        <f>表1[[#This Row],[可用天数]]-F184</f>
        <v>0.39999999999999858</v>
      </c>
    </row>
    <row r="186" spans="1:7" ht="15.75" x14ac:dyDescent="0.2">
      <c r="A186" s="11">
        <v>45402</v>
      </c>
      <c r="B186" s="9">
        <v>1383.1</v>
      </c>
      <c r="C186" s="12">
        <f>表1[[#This Row],[库存（万吨）]]-B185</f>
        <v>18.5</v>
      </c>
      <c r="D186" s="9">
        <v>71.63</v>
      </c>
      <c r="E186" s="12">
        <f>表1[[#This Row],[日耗（万吨）]]-D185</f>
        <v>-0.46000000000000796</v>
      </c>
      <c r="F186" s="9">
        <v>19.3</v>
      </c>
      <c r="G186" s="13">
        <f>表1[[#This Row],[可用天数]]-F185</f>
        <v>0.40000000000000213</v>
      </c>
    </row>
    <row r="187" spans="1:7" ht="15.75" x14ac:dyDescent="0.2">
      <c r="A187" s="11">
        <v>45403</v>
      </c>
      <c r="B187" s="12">
        <v>1379.5</v>
      </c>
      <c r="C187" s="12">
        <f>表1[[#This Row],[库存（万吨）]]-B186</f>
        <v>-3.5999999999999091</v>
      </c>
      <c r="D187" s="12">
        <v>71.78</v>
      </c>
      <c r="E187" s="12">
        <f>表1[[#This Row],[日耗（万吨）]]-D186</f>
        <v>0.15000000000000568</v>
      </c>
      <c r="F187" s="12">
        <v>19.2</v>
      </c>
      <c r="G187" s="13">
        <f>表1[[#This Row],[可用天数]]-F186</f>
        <v>-0.10000000000000142</v>
      </c>
    </row>
    <row r="188" spans="1:7" ht="15.75" x14ac:dyDescent="0.2">
      <c r="A188" s="11">
        <v>45404</v>
      </c>
      <c r="B188" s="12">
        <v>1382.9</v>
      </c>
      <c r="C188" s="12">
        <f>表1[[#This Row],[库存（万吨）]]-B187</f>
        <v>3.4000000000000909</v>
      </c>
      <c r="D188" s="12">
        <v>72.010000000000005</v>
      </c>
      <c r="E188" s="12">
        <f>表1[[#This Row],[日耗（万吨）]]-D187</f>
        <v>0.23000000000000398</v>
      </c>
      <c r="F188" s="12">
        <v>19.100000000000001</v>
      </c>
      <c r="G188" s="13">
        <f>表1[[#This Row],[可用天数]]-F187</f>
        <v>-9.9999999999997868E-2</v>
      </c>
    </row>
    <row r="189" spans="1:7" ht="15.75" x14ac:dyDescent="0.2">
      <c r="A189" s="11">
        <v>45405</v>
      </c>
      <c r="B189" s="12">
        <v>1386.6</v>
      </c>
      <c r="C189" s="12">
        <f>表1[[#This Row],[库存（万吨）]]-B188</f>
        <v>3.6999999999998181</v>
      </c>
      <c r="D189" s="12">
        <v>72.06</v>
      </c>
      <c r="E189" s="12">
        <f>表1[[#This Row],[日耗（万吨）]]-D188</f>
        <v>4.9999999999997158E-2</v>
      </c>
      <c r="F189" s="12">
        <v>19.2</v>
      </c>
      <c r="G189" s="13">
        <f>表1[[#This Row],[可用天数]]-F188</f>
        <v>9.9999999999997868E-2</v>
      </c>
    </row>
    <row r="190" spans="1:7" ht="15.75" x14ac:dyDescent="0.2">
      <c r="A190" s="11">
        <v>45406</v>
      </c>
      <c r="B190" s="12">
        <v>1390.3</v>
      </c>
      <c r="C190" s="12">
        <f>表1[[#This Row],[库存（万吨）]]-B189</f>
        <v>3.7000000000000455</v>
      </c>
      <c r="D190" s="12">
        <v>72.19</v>
      </c>
      <c r="E190" s="12">
        <f>表1[[#This Row],[日耗（万吨）]]-D189</f>
        <v>0.12999999999999545</v>
      </c>
      <c r="F190" s="12">
        <v>19.2</v>
      </c>
      <c r="G190" s="13">
        <f>表1[[#This Row],[可用天数]]-F189</f>
        <v>0</v>
      </c>
    </row>
    <row r="191" spans="1:7" ht="15.75" x14ac:dyDescent="0.2">
      <c r="A191" s="11">
        <v>45407</v>
      </c>
      <c r="B191" s="12">
        <v>1384.1</v>
      </c>
      <c r="C191" s="12">
        <f>表1[[#This Row],[库存（万吨）]]-B190</f>
        <v>-6.2000000000000455</v>
      </c>
      <c r="D191" s="12">
        <v>72.989999999999995</v>
      </c>
      <c r="E191" s="12">
        <f>表1[[#This Row],[日耗（万吨）]]-D190</f>
        <v>0.79999999999999716</v>
      </c>
      <c r="F191" s="12">
        <v>18.899999999999999</v>
      </c>
      <c r="G191" s="13">
        <f>表1[[#This Row],[可用天数]]-F190</f>
        <v>-0.30000000000000071</v>
      </c>
    </row>
    <row r="192" spans="1:7" ht="15.75" x14ac:dyDescent="0.2">
      <c r="A192" s="11">
        <v>45408</v>
      </c>
      <c r="B192" s="12">
        <v>1383.3</v>
      </c>
      <c r="C192" s="12">
        <f>表1[[#This Row],[库存（万吨）]]-B191</f>
        <v>-0.79999999999995453</v>
      </c>
      <c r="D192" s="12">
        <v>74.040000000000006</v>
      </c>
      <c r="E192" s="12">
        <f>表1[[#This Row],[日耗（万吨）]]-D191</f>
        <v>1.0500000000000114</v>
      </c>
      <c r="F192" s="12">
        <v>18.600000000000001</v>
      </c>
      <c r="G192" s="13">
        <f>表1[[#This Row],[可用天数]]-F191</f>
        <v>-0.29999999999999716</v>
      </c>
    </row>
    <row r="193" spans="1:7" ht="15.75" x14ac:dyDescent="0.2">
      <c r="A193" s="11">
        <v>45409</v>
      </c>
      <c r="B193" s="12">
        <v>1382.2</v>
      </c>
      <c r="C193" s="12">
        <f>表1[[#This Row],[库存（万吨）]]-B192</f>
        <v>-1.0999999999999091</v>
      </c>
      <c r="D193" s="12">
        <v>74.540000000000006</v>
      </c>
      <c r="E193" s="12">
        <f>表1[[#This Row],[日耗（万吨）]]-D192</f>
        <v>0.5</v>
      </c>
      <c r="F193" s="12">
        <v>18.5</v>
      </c>
      <c r="G193" s="13">
        <f>表1[[#This Row],[可用天数]]-F192</f>
        <v>-0.10000000000000142</v>
      </c>
    </row>
    <row r="194" spans="1:7" ht="15.75" x14ac:dyDescent="0.2">
      <c r="A194" s="11">
        <v>45410</v>
      </c>
      <c r="B194" s="12">
        <v>1378</v>
      </c>
      <c r="C194" s="12">
        <f>表1[[#This Row],[库存（万吨）]]-B193</f>
        <v>-4.2000000000000455</v>
      </c>
      <c r="D194" s="12">
        <v>74.69</v>
      </c>
      <c r="E194" s="12">
        <f>表1[[#This Row],[日耗（万吨）]]-D193</f>
        <v>0.14999999999999147</v>
      </c>
      <c r="F194" s="12">
        <v>18.399999999999999</v>
      </c>
      <c r="G194" s="13">
        <f>表1[[#This Row],[可用天数]]-F193</f>
        <v>-0.10000000000000142</v>
      </c>
    </row>
    <row r="195" spans="1:7" ht="15.75" x14ac:dyDescent="0.2">
      <c r="A195" s="11">
        <v>45411</v>
      </c>
      <c r="B195" s="12">
        <v>1376.8</v>
      </c>
      <c r="C195" s="12">
        <f>表1[[#This Row],[库存（万吨）]]-B194</f>
        <v>-1.2000000000000455</v>
      </c>
      <c r="D195" s="12">
        <v>74.98</v>
      </c>
      <c r="E195" s="12">
        <f>表1[[#This Row],[日耗（万吨）]]-D194</f>
        <v>0.29000000000000625</v>
      </c>
      <c r="F195" s="12">
        <v>18.3</v>
      </c>
      <c r="G195" s="13">
        <f>表1[[#This Row],[可用天数]]-F194</f>
        <v>-9.9999999999997868E-2</v>
      </c>
    </row>
    <row r="196" spans="1:7" ht="15.75" x14ac:dyDescent="0.2">
      <c r="A196" s="11">
        <v>45416</v>
      </c>
      <c r="B196" s="12">
        <v>1384.7</v>
      </c>
      <c r="C196" s="12">
        <f>表1[[#This Row],[库存（万吨）]]-B195</f>
        <v>7.9000000000000909</v>
      </c>
      <c r="D196" s="12">
        <v>73.62</v>
      </c>
      <c r="E196" s="12">
        <f>表1[[#This Row],[日耗（万吨）]]-D195</f>
        <v>-1.3599999999999994</v>
      </c>
      <c r="F196" s="12">
        <v>18.7</v>
      </c>
      <c r="G196" s="13">
        <f>表1[[#This Row],[可用天数]]-F195</f>
        <v>0.39999999999999858</v>
      </c>
    </row>
    <row r="197" spans="1:7" ht="15.75" x14ac:dyDescent="0.2">
      <c r="A197" s="11">
        <v>45417</v>
      </c>
      <c r="B197" s="12">
        <v>1389.2</v>
      </c>
      <c r="C197" s="12">
        <f>表1[[#This Row],[库存（万吨）]]-B196</f>
        <v>4.5</v>
      </c>
      <c r="D197" s="12">
        <v>73.81</v>
      </c>
      <c r="E197" s="12">
        <f>表1[[#This Row],[日耗（万吨）]]-D196</f>
        <v>0.18999999999999773</v>
      </c>
      <c r="F197" s="12">
        <v>18.8</v>
      </c>
      <c r="G197" s="13">
        <f>表1[[#This Row],[可用天数]]-F196</f>
        <v>0.10000000000000142</v>
      </c>
    </row>
    <row r="198" spans="1:7" ht="15.75" x14ac:dyDescent="0.2">
      <c r="A198" s="11">
        <v>45418</v>
      </c>
      <c r="B198" s="12">
        <v>1398.1</v>
      </c>
      <c r="C198" s="12">
        <f>表1[[#This Row],[库存（万吨）]]-B197</f>
        <v>8.8999999999998636</v>
      </c>
      <c r="D198" s="12">
        <v>73.849999999999994</v>
      </c>
      <c r="E198" s="12">
        <f>表1[[#This Row],[日耗（万吨）]]-D197</f>
        <v>3.9999999999992042E-2</v>
      </c>
      <c r="F198" s="12">
        <v>18.899999999999999</v>
      </c>
      <c r="G198" s="13">
        <f>表1[[#This Row],[可用天数]]-F197</f>
        <v>9.9999999999997868E-2</v>
      </c>
    </row>
    <row r="199" spans="1:7" ht="15.75" x14ac:dyDescent="0.2">
      <c r="A199" s="11">
        <v>45419</v>
      </c>
      <c r="B199" s="12">
        <v>1394.9</v>
      </c>
      <c r="C199" s="12">
        <f>表1[[#This Row],[库存（万吨）]]-B198</f>
        <v>-3.1999999999998181</v>
      </c>
      <c r="D199" s="12">
        <v>74</v>
      </c>
      <c r="E199" s="12">
        <f>表1[[#This Row],[日耗（万吨）]]-D198</f>
        <v>0.15000000000000568</v>
      </c>
      <c r="F199" s="12">
        <v>18.8</v>
      </c>
      <c r="G199" s="13">
        <f>表1[[#This Row],[可用天数]]-F198</f>
        <v>-9.9999999999997868E-2</v>
      </c>
    </row>
    <row r="200" spans="1:7" ht="15.75" x14ac:dyDescent="0.2">
      <c r="A200" s="11">
        <v>45420</v>
      </c>
      <c r="B200" s="12">
        <v>1399.1</v>
      </c>
      <c r="C200" s="12">
        <f>表1[[#This Row],[库存（万吨）]]-B199</f>
        <v>4.1999999999998181</v>
      </c>
      <c r="D200" s="12">
        <v>74.16</v>
      </c>
      <c r="E200" s="12">
        <f>表1[[#This Row],[日耗（万吨）]]-D199</f>
        <v>0.15999999999999659</v>
      </c>
      <c r="F200" s="12">
        <v>18.8</v>
      </c>
      <c r="G200" s="13">
        <f>表1[[#This Row],[可用天数]]-F199</f>
        <v>0</v>
      </c>
    </row>
    <row r="201" spans="1:7" ht="15.75" x14ac:dyDescent="0.2">
      <c r="A201" s="11">
        <v>45421</v>
      </c>
      <c r="B201" s="12">
        <v>1407.7</v>
      </c>
      <c r="C201" s="12">
        <f>表1[[#This Row],[库存（万吨）]]-B200</f>
        <v>8.6000000000001364</v>
      </c>
      <c r="D201" s="12">
        <v>74.2</v>
      </c>
      <c r="E201" s="12">
        <f>表1[[#This Row],[日耗（万吨）]]-D200</f>
        <v>4.0000000000006253E-2</v>
      </c>
      <c r="F201" s="12">
        <v>18.899999999999999</v>
      </c>
      <c r="G201" s="13">
        <f>表1[[#This Row],[可用天数]]-F200</f>
        <v>9.9999999999997868E-2</v>
      </c>
    </row>
    <row r="202" spans="1:7" ht="15.75" x14ac:dyDescent="0.2">
      <c r="A202" s="11">
        <v>45422</v>
      </c>
      <c r="B202" s="12">
        <v>1409.7</v>
      </c>
      <c r="C202" s="12">
        <f>表1[[#This Row],[库存（万吨）]]-B201</f>
        <v>2</v>
      </c>
      <c r="D202" s="12">
        <v>74.23</v>
      </c>
      <c r="E202" s="12">
        <f>表1[[#This Row],[日耗（万吨）]]-D201</f>
        <v>3.0000000000001137E-2</v>
      </c>
      <c r="F202" s="12">
        <v>18.899999999999999</v>
      </c>
      <c r="G202" s="13">
        <f>表1[[#This Row],[可用天数]]-F201</f>
        <v>0</v>
      </c>
    </row>
    <row r="203" spans="1:7" ht="15.75" x14ac:dyDescent="0.2">
      <c r="A203" s="11">
        <v>45423</v>
      </c>
      <c r="B203" s="12">
        <v>1413.5</v>
      </c>
      <c r="C203" s="12">
        <f>表1[[#This Row],[库存（万吨）]]-B202</f>
        <v>3.7999999999999545</v>
      </c>
      <c r="D203" s="12">
        <v>74.37</v>
      </c>
      <c r="E203" s="12">
        <f>表1[[#This Row],[日耗（万吨）]]-D202</f>
        <v>0.14000000000000057</v>
      </c>
      <c r="F203" s="12">
        <v>18.899999999999999</v>
      </c>
      <c r="G203" s="13">
        <f>表1[[#This Row],[可用天数]]-F202</f>
        <v>0</v>
      </c>
    </row>
    <row r="204" spans="1:7" ht="15.75" x14ac:dyDescent="0.2">
      <c r="A204" s="11">
        <v>45424</v>
      </c>
      <c r="B204" s="12">
        <v>1420.9</v>
      </c>
      <c r="C204" s="12">
        <f>表1[[#This Row],[库存（万吨）]]-B203</f>
        <v>7.4000000000000909</v>
      </c>
      <c r="D204" s="12">
        <v>74.459999999999994</v>
      </c>
      <c r="E204" s="12">
        <f>表1[[#This Row],[日耗（万吨）]]-D203</f>
        <v>8.99999999999892E-2</v>
      </c>
      <c r="F204" s="12">
        <v>19</v>
      </c>
      <c r="G204" s="13">
        <f>表1[[#This Row],[可用天数]]-F203</f>
        <v>0.10000000000000142</v>
      </c>
    </row>
    <row r="205" spans="1:7" ht="15.75" x14ac:dyDescent="0.2">
      <c r="A205" s="11">
        <v>45425</v>
      </c>
      <c r="B205" s="12">
        <v>1423.5</v>
      </c>
      <c r="C205" s="12">
        <f>表1[[#This Row],[库存（万吨）]]-B204</f>
        <v>2.5999999999999091</v>
      </c>
      <c r="D205" s="12">
        <v>74.599999999999994</v>
      </c>
      <c r="E205" s="12">
        <f>表1[[#This Row],[日耗（万吨）]]-D204</f>
        <v>0.14000000000000057</v>
      </c>
      <c r="F205" s="12">
        <v>19</v>
      </c>
      <c r="G205" s="13">
        <f>表1[[#This Row],[可用天数]]-F204</f>
        <v>0</v>
      </c>
    </row>
    <row r="206" spans="1:7" ht="15.75" x14ac:dyDescent="0.2">
      <c r="A206" s="11">
        <v>45426</v>
      </c>
      <c r="B206" s="12">
        <v>1426.3</v>
      </c>
      <c r="C206" s="12">
        <f>表1[[#This Row],[库存（万吨）]]-B205</f>
        <v>2.7999999999999545</v>
      </c>
      <c r="D206" s="12">
        <v>74.599999999999994</v>
      </c>
      <c r="E206" s="12">
        <f>表1[[#This Row],[日耗（万吨）]]-D205</f>
        <v>0</v>
      </c>
      <c r="F206" s="12">
        <v>19.100000000000001</v>
      </c>
      <c r="G206" s="13">
        <f>表1[[#This Row],[可用天数]]-F205</f>
        <v>0.10000000000000142</v>
      </c>
    </row>
    <row r="207" spans="1:7" ht="15.75" x14ac:dyDescent="0.2">
      <c r="A207" s="11">
        <v>45427</v>
      </c>
      <c r="B207" s="12">
        <v>1430</v>
      </c>
      <c r="C207" s="12">
        <f>表1[[#This Row],[库存（万吨）]]-B206</f>
        <v>3.7000000000000455</v>
      </c>
      <c r="D207" s="12">
        <v>74.95</v>
      </c>
      <c r="E207" s="12">
        <f>表1[[#This Row],[日耗（万吨）]]-D206</f>
        <v>0.35000000000000853</v>
      </c>
      <c r="F207" s="12">
        <v>19</v>
      </c>
      <c r="G207" s="13">
        <f>表1[[#This Row],[可用天数]]-F206</f>
        <v>-0.10000000000000142</v>
      </c>
    </row>
    <row r="208" spans="1:7" ht="15.75" x14ac:dyDescent="0.2">
      <c r="A208" s="11">
        <v>45428</v>
      </c>
      <c r="B208" s="12">
        <v>1431.9</v>
      </c>
      <c r="C208" s="12">
        <f>表1[[#This Row],[库存（万吨）]]-B207</f>
        <v>1.9000000000000909</v>
      </c>
      <c r="D208" s="12">
        <v>75.55</v>
      </c>
      <c r="E208" s="12">
        <f>表1[[#This Row],[日耗（万吨）]]-D207</f>
        <v>0.59999999999999432</v>
      </c>
      <c r="F208" s="12">
        <v>18.899999999999999</v>
      </c>
      <c r="G208" s="13">
        <f>表1[[#This Row],[可用天数]]-F207</f>
        <v>-0.10000000000000142</v>
      </c>
    </row>
    <row r="209" spans="1:7" ht="15.75" x14ac:dyDescent="0.2">
      <c r="A209" s="11">
        <v>45430</v>
      </c>
      <c r="B209" s="12">
        <v>1425.2</v>
      </c>
      <c r="C209" s="12">
        <f>表1[[#This Row],[库存（万吨）]]-B208</f>
        <v>-6.7000000000000455</v>
      </c>
      <c r="D209" s="12">
        <v>76.05</v>
      </c>
      <c r="E209" s="12">
        <f>表1[[#This Row],[日耗（万吨）]]-D208</f>
        <v>0.5</v>
      </c>
      <c r="F209" s="12">
        <v>18.7</v>
      </c>
      <c r="G209" s="13">
        <f>表1[[#This Row],[可用天数]]-F208</f>
        <v>-0.19999999999999929</v>
      </c>
    </row>
    <row r="210" spans="1:7" ht="15.75" x14ac:dyDescent="0.2">
      <c r="A210" s="11">
        <v>45431</v>
      </c>
      <c r="B210" s="12">
        <v>1420.9</v>
      </c>
      <c r="C210" s="12">
        <f>表1[[#This Row],[库存（万吨）]]-B209</f>
        <v>-4.2999999999999545</v>
      </c>
      <c r="D210" s="12">
        <v>75.849999999999994</v>
      </c>
      <c r="E210" s="12">
        <f>表1[[#This Row],[日耗（万吨）]]-D209</f>
        <v>-0.20000000000000284</v>
      </c>
      <c r="F210" s="12">
        <v>18.7</v>
      </c>
      <c r="G210" s="13">
        <f>表1[[#This Row],[可用天数]]-F209</f>
        <v>0</v>
      </c>
    </row>
    <row r="211" spans="1:7" ht="15.75" x14ac:dyDescent="0.2">
      <c r="A211" s="11">
        <v>45432</v>
      </c>
      <c r="B211" s="12">
        <v>1423.5</v>
      </c>
      <c r="C211" s="12">
        <f>表1[[#This Row],[库存（万吨）]]-B210</f>
        <v>2.5999999999999091</v>
      </c>
      <c r="D211" s="12">
        <v>75.23</v>
      </c>
      <c r="E211" s="12">
        <f>表1[[#This Row],[日耗（万吨）]]-D210</f>
        <v>-0.61999999999999034</v>
      </c>
      <c r="F211" s="12">
        <v>18.899999999999999</v>
      </c>
      <c r="G211" s="13">
        <f>表1[[#This Row],[可用天数]]-F210</f>
        <v>0.19999999999999929</v>
      </c>
    </row>
    <row r="212" spans="1:7" ht="15.75" x14ac:dyDescent="0.2">
      <c r="A212" s="11">
        <v>45433</v>
      </c>
      <c r="B212" s="12">
        <v>1425.9</v>
      </c>
      <c r="C212" s="12">
        <f>表1[[#This Row],[库存（万吨）]]-B211</f>
        <v>2.4000000000000909</v>
      </c>
      <c r="D212" s="12">
        <v>75.349999999999994</v>
      </c>
      <c r="E212" s="12">
        <f>表1[[#This Row],[日耗（万吨）]]-D211</f>
        <v>0.11999999999999034</v>
      </c>
      <c r="F212" s="12">
        <v>18.899999999999999</v>
      </c>
      <c r="G212" s="13">
        <f>表1[[#This Row],[可用天数]]-F211</f>
        <v>0</v>
      </c>
    </row>
    <row r="213" spans="1:7" ht="15.75" x14ac:dyDescent="0.2">
      <c r="A213" s="11">
        <v>45434</v>
      </c>
      <c r="B213" s="12">
        <v>1419.6</v>
      </c>
      <c r="C213" s="12">
        <f>表1[[#This Row],[库存（万吨）]]-B212</f>
        <v>-6.3000000000001819</v>
      </c>
      <c r="D213" s="12">
        <v>75.599999999999994</v>
      </c>
      <c r="E213" s="12">
        <f>表1[[#This Row],[日耗（万吨）]]-D212</f>
        <v>0.25</v>
      </c>
      <c r="F213" s="12">
        <v>18.7</v>
      </c>
      <c r="G213" s="13">
        <f>表1[[#This Row],[可用天数]]-F212</f>
        <v>-0.19999999999999929</v>
      </c>
    </row>
    <row r="214" spans="1:7" ht="15.75" x14ac:dyDescent="0.2">
      <c r="A214" s="11">
        <v>45435</v>
      </c>
      <c r="B214" s="12">
        <v>1418</v>
      </c>
      <c r="C214" s="12">
        <f>表1[[#This Row],[库存（万吨）]]-B213</f>
        <v>-1.5999999999999091</v>
      </c>
      <c r="D214" s="12">
        <v>75.760000000000005</v>
      </c>
      <c r="E214" s="12">
        <f>表1[[#This Row],[日耗（万吨）]]-D213</f>
        <v>0.1600000000000108</v>
      </c>
      <c r="F214" s="12">
        <v>18.7</v>
      </c>
      <c r="G214" s="13">
        <f>表1[[#This Row],[可用天数]]-F213</f>
        <v>0</v>
      </c>
    </row>
    <row r="215" spans="1:7" ht="15.75" x14ac:dyDescent="0.2">
      <c r="A215" s="11">
        <v>45437</v>
      </c>
      <c r="B215" s="12">
        <v>1421.9</v>
      </c>
      <c r="C215" s="12">
        <f>表1[[#This Row],[库存（万吨）]]-B214</f>
        <v>3.9000000000000909</v>
      </c>
      <c r="D215" s="12">
        <v>75.47</v>
      </c>
      <c r="E215" s="12">
        <f>表1[[#This Row],[日耗（万吨）]]-D214</f>
        <v>-0.29000000000000625</v>
      </c>
      <c r="F215" s="12">
        <v>18.8</v>
      </c>
      <c r="G215" s="13">
        <f>表1[[#This Row],[可用天数]]-F214</f>
        <v>0.10000000000000142</v>
      </c>
    </row>
    <row r="216" spans="1:7" ht="15.75" x14ac:dyDescent="0.2">
      <c r="A216" s="11">
        <v>45438</v>
      </c>
      <c r="B216" s="12">
        <v>1415.6</v>
      </c>
      <c r="C216" s="12">
        <f>表1[[#This Row],[库存（万吨）]]-B215</f>
        <v>-6.3000000000001819</v>
      </c>
      <c r="D216" s="12">
        <v>76.59</v>
      </c>
      <c r="E216" s="12">
        <f>表1[[#This Row],[日耗（万吨）]]-D215</f>
        <v>1.1200000000000045</v>
      </c>
      <c r="F216" s="12">
        <v>18.399999999999999</v>
      </c>
      <c r="G216" s="13">
        <f>表1[[#This Row],[可用天数]]-F215</f>
        <v>-0.40000000000000213</v>
      </c>
    </row>
    <row r="217" spans="1:7" ht="15.75" x14ac:dyDescent="0.2">
      <c r="A217" s="11">
        <v>45439</v>
      </c>
      <c r="B217" s="12">
        <v>1417</v>
      </c>
      <c r="C217" s="12">
        <f>表1[[#This Row],[库存（万吨）]]-B216</f>
        <v>1.4000000000000909</v>
      </c>
      <c r="D217" s="12">
        <v>76.39</v>
      </c>
      <c r="E217" s="12">
        <f>表1[[#This Row],[日耗（万吨）]]-D216</f>
        <v>-0.20000000000000284</v>
      </c>
      <c r="F217" s="12">
        <v>18.5</v>
      </c>
      <c r="G217" s="13">
        <f>表1[[#This Row],[可用天数]]-F216</f>
        <v>0.10000000000000142</v>
      </c>
    </row>
    <row r="218" spans="1:7" ht="15.75" x14ac:dyDescent="0.2">
      <c r="A218" s="11">
        <v>45440</v>
      </c>
      <c r="B218" s="12">
        <v>1416.2</v>
      </c>
      <c r="C218" s="12">
        <f>表1[[#This Row],[库存（万吨）]]-B217</f>
        <v>-0.79999999999995453</v>
      </c>
      <c r="D218" s="12">
        <v>76.53</v>
      </c>
      <c r="E218" s="12">
        <f>表1[[#This Row],[日耗（万吨）]]-D217</f>
        <v>0.14000000000000057</v>
      </c>
      <c r="F218" s="12">
        <v>18.5</v>
      </c>
      <c r="G218" s="13">
        <f>表1[[#This Row],[可用天数]]-F217</f>
        <v>0</v>
      </c>
    </row>
    <row r="219" spans="1:7" ht="15.75" x14ac:dyDescent="0.2">
      <c r="A219" s="11">
        <v>45441</v>
      </c>
      <c r="B219" s="12">
        <v>1416.9</v>
      </c>
      <c r="C219" s="12">
        <f>表1[[#This Row],[库存（万吨）]]-B218</f>
        <v>0.70000000000004547</v>
      </c>
      <c r="D219" s="12">
        <v>76.66</v>
      </c>
      <c r="E219" s="12">
        <f>表1[[#This Row],[日耗（万吨）]]-D218</f>
        <v>0.12999999999999545</v>
      </c>
      <c r="F219" s="12">
        <v>18.399999999999999</v>
      </c>
      <c r="G219" s="13">
        <f>表1[[#This Row],[可用天数]]-F218</f>
        <v>-0.10000000000000142</v>
      </c>
    </row>
    <row r="220" spans="1:7" ht="15.75" x14ac:dyDescent="0.2">
      <c r="A220" s="11">
        <v>45442</v>
      </c>
      <c r="B220" s="12">
        <v>1415.3</v>
      </c>
      <c r="C220" s="12">
        <f>表1[[#This Row],[库存（万吨）]]-B219</f>
        <v>-1.6000000000001364</v>
      </c>
      <c r="D220" s="12">
        <v>76.680000000000007</v>
      </c>
      <c r="E220" s="12">
        <f>表1[[#This Row],[日耗（万吨）]]-D219</f>
        <v>2.0000000000010232E-2</v>
      </c>
      <c r="F220" s="12">
        <v>18.399999999999999</v>
      </c>
      <c r="G220" s="13">
        <f>表1[[#This Row],[可用天数]]-F219</f>
        <v>0</v>
      </c>
    </row>
    <row r="221" spans="1:7" ht="15.75" x14ac:dyDescent="0.2">
      <c r="A221" s="11">
        <v>45444</v>
      </c>
      <c r="B221" s="12">
        <v>1426.4</v>
      </c>
      <c r="C221" s="12">
        <f>表1[[#This Row],[库存（万吨）]]-B220</f>
        <v>11.100000000000136</v>
      </c>
      <c r="D221" s="12">
        <v>76.19</v>
      </c>
      <c r="E221" s="12">
        <f>表1[[#This Row],[日耗（万吨）]]-D220</f>
        <v>-0.49000000000000909</v>
      </c>
      <c r="F221" s="12">
        <v>18.7</v>
      </c>
      <c r="G221" s="13">
        <f>表1[[#This Row],[可用天数]]-F220</f>
        <v>0.30000000000000071</v>
      </c>
    </row>
    <row r="222" spans="1:7" ht="15.75" x14ac:dyDescent="0.2">
      <c r="A222" s="11">
        <v>45445</v>
      </c>
      <c r="B222" s="12">
        <v>1431.6</v>
      </c>
      <c r="C222" s="12">
        <f>表1[[#This Row],[库存（万吨）]]-B221</f>
        <v>5.1999999999998181</v>
      </c>
      <c r="D222" s="12">
        <v>77.03</v>
      </c>
      <c r="E222" s="12">
        <f>表1[[#This Row],[日耗（万吨）]]-D221</f>
        <v>0.84000000000000341</v>
      </c>
      <c r="F222" s="12">
        <v>18.5</v>
      </c>
      <c r="G222" s="13">
        <f>表1[[#This Row],[可用天数]]-F221</f>
        <v>-0.19999999999999929</v>
      </c>
    </row>
    <row r="223" spans="1:7" ht="15.75" x14ac:dyDescent="0.2">
      <c r="A223" s="11">
        <v>45446</v>
      </c>
      <c r="B223" s="12">
        <v>1435.5</v>
      </c>
      <c r="C223" s="12">
        <f>表1[[#This Row],[库存（万吨）]]-B222</f>
        <v>3.9000000000000909</v>
      </c>
      <c r="D223" s="12">
        <v>77.19</v>
      </c>
      <c r="E223" s="12">
        <f>表1[[#This Row],[日耗（万吨）]]-D222</f>
        <v>0.15999999999999659</v>
      </c>
      <c r="F223" s="12">
        <v>18.5</v>
      </c>
      <c r="G223" s="13">
        <f>表1[[#This Row],[可用天数]]-F222</f>
        <v>0</v>
      </c>
    </row>
    <row r="224" spans="1:7" ht="15.75" x14ac:dyDescent="0.2">
      <c r="A224" s="11">
        <v>45447</v>
      </c>
      <c r="B224" s="12">
        <v>1437.4</v>
      </c>
      <c r="C224" s="12">
        <f>表1[[#This Row],[库存（万吨）]]-B223</f>
        <v>1.9000000000000909</v>
      </c>
      <c r="D224" s="12">
        <v>77.239999999999995</v>
      </c>
      <c r="E224" s="12">
        <f>表1[[#This Row],[日耗（万吨）]]-D223</f>
        <v>4.9999999999997158E-2</v>
      </c>
      <c r="F224" s="12">
        <v>18.600000000000001</v>
      </c>
      <c r="G224" s="13">
        <f>表1[[#This Row],[可用天数]]-F223</f>
        <v>0.10000000000000142</v>
      </c>
    </row>
    <row r="225" spans="1:7" ht="15.75" x14ac:dyDescent="0.2">
      <c r="A225" s="11">
        <v>45448</v>
      </c>
      <c r="B225" s="12">
        <v>1446.2</v>
      </c>
      <c r="C225" s="12">
        <f>表1[[#This Row],[库存（万吨）]]-B224</f>
        <v>8.7999999999999545</v>
      </c>
      <c r="D225" s="12">
        <v>77.03</v>
      </c>
      <c r="E225" s="12">
        <f>表1[[#This Row],[日耗（万吨）]]-D224</f>
        <v>-0.20999999999999375</v>
      </c>
      <c r="F225" s="12">
        <v>18.7</v>
      </c>
      <c r="G225" s="13">
        <f>表1[[#This Row],[可用天数]]-F224</f>
        <v>9.9999999999997868E-2</v>
      </c>
    </row>
    <row r="226" spans="1:7" ht="15.75" x14ac:dyDescent="0.2">
      <c r="A226" s="11">
        <v>45449</v>
      </c>
      <c r="B226" s="12">
        <v>1448.1</v>
      </c>
      <c r="C226" s="12">
        <f>表1[[#This Row],[库存（万吨）]]-B225</f>
        <v>1.8999999999998636</v>
      </c>
      <c r="D226" s="12">
        <v>77</v>
      </c>
      <c r="E226" s="12">
        <f>表1[[#This Row],[日耗（万吨）]]-D225</f>
        <v>-3.0000000000001137E-2</v>
      </c>
      <c r="F226" s="12">
        <v>18.8</v>
      </c>
      <c r="G226" s="13">
        <f>表1[[#This Row],[可用天数]]-F225</f>
        <v>0.10000000000000142</v>
      </c>
    </row>
    <row r="227" spans="1:7" ht="15.75" x14ac:dyDescent="0.2">
      <c r="A227" s="11">
        <v>45452</v>
      </c>
      <c r="B227" s="12">
        <v>1452.6</v>
      </c>
      <c r="C227" s="12">
        <f>表1[[#This Row],[库存（万吨）]]-B226</f>
        <v>4.5</v>
      </c>
      <c r="D227" s="12">
        <v>77.75</v>
      </c>
      <c r="E227" s="12">
        <f>表1[[#This Row],[日耗（万吨）]]-D226</f>
        <v>0.75</v>
      </c>
      <c r="F227" s="12">
        <v>18.600000000000001</v>
      </c>
      <c r="G227" s="13">
        <f>表1[[#This Row],[可用天数]]-F226</f>
        <v>-0.19999999999999929</v>
      </c>
    </row>
    <row r="228" spans="1:7" ht="15.75" x14ac:dyDescent="0.2">
      <c r="A228" s="11">
        <v>45453</v>
      </c>
      <c r="B228" s="12">
        <v>1456.6</v>
      </c>
      <c r="C228" s="12">
        <f>表1[[#This Row],[库存（万吨）]]-B227</f>
        <v>4</v>
      </c>
      <c r="D228" s="12">
        <v>77.89</v>
      </c>
      <c r="E228" s="12">
        <f>表1[[#This Row],[日耗（万吨）]]-D227</f>
        <v>0.14000000000000057</v>
      </c>
      <c r="F228" s="12">
        <v>18.600000000000001</v>
      </c>
      <c r="G228" s="13">
        <f>表1[[#This Row],[可用天数]]-F227</f>
        <v>0</v>
      </c>
    </row>
    <row r="229" spans="1:7" ht="15.75" x14ac:dyDescent="0.2">
      <c r="A229" s="11">
        <v>45454</v>
      </c>
      <c r="B229" s="12">
        <v>1464.4</v>
      </c>
      <c r="C229" s="12">
        <f>表1[[#This Row],[库存（万吨）]]-B228</f>
        <v>7.8000000000001819</v>
      </c>
      <c r="D229" s="12">
        <v>78.66</v>
      </c>
      <c r="E229" s="12">
        <f>表1[[#This Row],[日耗（万吨）]]-D228</f>
        <v>0.76999999999999602</v>
      </c>
      <c r="F229" s="12">
        <v>18.600000000000001</v>
      </c>
      <c r="G229" s="13">
        <f>表1[[#This Row],[可用天数]]-F228</f>
        <v>0</v>
      </c>
    </row>
    <row r="230" spans="1:7" ht="15.75" x14ac:dyDescent="0.2">
      <c r="A230" s="11">
        <v>45455</v>
      </c>
      <c r="B230" s="12">
        <v>1461</v>
      </c>
      <c r="C230" s="12">
        <f>表1[[#This Row],[库存（万吨）]]-B229</f>
        <v>-3.4000000000000909</v>
      </c>
      <c r="D230" s="12">
        <v>79.510000000000005</v>
      </c>
      <c r="E230" s="12">
        <f>表1[[#This Row],[日耗（万吨）]]-D229</f>
        <v>0.85000000000000853</v>
      </c>
      <c r="F230" s="12">
        <v>18.3</v>
      </c>
      <c r="G230" s="13">
        <f>表1[[#This Row],[可用天数]]-F229</f>
        <v>-0.30000000000000071</v>
      </c>
    </row>
    <row r="231" spans="1:7" ht="15.75" x14ac:dyDescent="0.2">
      <c r="A231" s="11">
        <v>45456</v>
      </c>
      <c r="B231" s="12">
        <v>1460.2</v>
      </c>
      <c r="C231" s="12">
        <f>表1[[#This Row],[库存（万吨）]]-B230</f>
        <v>-0.79999999999995453</v>
      </c>
      <c r="D231" s="12">
        <v>80.98</v>
      </c>
      <c r="E231" s="12">
        <f>表1[[#This Row],[日耗（万吨）]]-D230</f>
        <v>1.4699999999999989</v>
      </c>
      <c r="F231" s="12">
        <v>18</v>
      </c>
      <c r="G231" s="13">
        <f>表1[[#This Row],[可用天数]]-F230</f>
        <v>-0.30000000000000071</v>
      </c>
    </row>
    <row r="232" spans="1:7" ht="15.75" x14ac:dyDescent="0.2">
      <c r="A232" s="11">
        <v>45459</v>
      </c>
      <c r="B232" s="12">
        <v>1455</v>
      </c>
      <c r="C232" s="12">
        <f>表1[[#This Row],[库存（万吨）]]-B231</f>
        <v>-5.2000000000000455</v>
      </c>
      <c r="D232" s="12">
        <v>81.7</v>
      </c>
      <c r="E232" s="12">
        <f>表1[[#This Row],[日耗（万吨）]]-D231</f>
        <v>0.71999999999999886</v>
      </c>
      <c r="F232" s="12">
        <v>17.8</v>
      </c>
      <c r="G232" s="13">
        <f>表1[[#This Row],[可用天数]]-F231</f>
        <v>-0.19999999999999929</v>
      </c>
    </row>
    <row r="233" spans="1:7" ht="15.75" x14ac:dyDescent="0.2">
      <c r="A233" s="11">
        <v>45460</v>
      </c>
      <c r="B233" s="12">
        <v>1460.2</v>
      </c>
      <c r="C233" s="12">
        <f>表1[[#This Row],[库存（万吨）]]-B232</f>
        <v>5.2000000000000455</v>
      </c>
      <c r="D233" s="12">
        <v>81.5</v>
      </c>
      <c r="E233" s="12">
        <f>表1[[#This Row],[日耗（万吨）]]-D232</f>
        <v>-0.20000000000000284</v>
      </c>
      <c r="F233" s="12">
        <v>17.899999999999999</v>
      </c>
      <c r="G233" s="13">
        <f>表1[[#This Row],[可用天数]]-F232</f>
        <v>9.9999999999997868E-2</v>
      </c>
    </row>
    <row r="234" spans="1:7" ht="15.75" x14ac:dyDescent="0.2">
      <c r="A234" s="11">
        <v>45461</v>
      </c>
      <c r="B234" s="12">
        <v>1465.1</v>
      </c>
      <c r="C234" s="12">
        <f>表1[[#This Row],[库存（万吨）]]-B233</f>
        <v>4.8999999999998636</v>
      </c>
      <c r="D234" s="12">
        <v>82.11</v>
      </c>
      <c r="E234" s="12">
        <f>表1[[#This Row],[日耗（万吨）]]-D233</f>
        <v>0.60999999999999943</v>
      </c>
      <c r="F234" s="12">
        <v>17.8</v>
      </c>
      <c r="G234" s="13">
        <f>表1[[#This Row],[可用天数]]-F233</f>
        <v>-9.9999999999997868E-2</v>
      </c>
    </row>
    <row r="235" spans="1:7" ht="15.75" x14ac:dyDescent="0.2">
      <c r="A235" s="11">
        <v>45462</v>
      </c>
      <c r="B235" s="12">
        <v>1471.7</v>
      </c>
      <c r="C235" s="12">
        <f>表1[[#This Row],[库存（万吨）]]-B234</f>
        <v>6.6000000000001364</v>
      </c>
      <c r="D235" s="12">
        <v>81.92</v>
      </c>
      <c r="E235" s="12">
        <f>表1[[#This Row],[日耗（万吨）]]-D234</f>
        <v>-0.18999999999999773</v>
      </c>
      <c r="F235" s="12">
        <v>17.899999999999999</v>
      </c>
      <c r="G235" s="13">
        <f>表1[[#This Row],[可用天数]]-F234</f>
        <v>9.9999999999997868E-2</v>
      </c>
    </row>
    <row r="236" spans="1:7" ht="15.75" x14ac:dyDescent="0.2">
      <c r="A236" s="11">
        <v>45463</v>
      </c>
      <c r="B236" s="12">
        <v>1476.5</v>
      </c>
      <c r="C236" s="12">
        <f>表1[[#This Row],[库存（万吨）]]-B235</f>
        <v>4.7999999999999545</v>
      </c>
      <c r="D236" s="12">
        <v>82</v>
      </c>
      <c r="E236" s="12">
        <f>表1[[#This Row],[日耗（万吨）]]-D235</f>
        <v>7.9999999999998295E-2</v>
      </c>
      <c r="F236" s="12">
        <v>18</v>
      </c>
      <c r="G236" s="13">
        <f>表1[[#This Row],[可用天数]]-F235</f>
        <v>0.10000000000000142</v>
      </c>
    </row>
    <row r="237" spans="1:7" ht="15.75" x14ac:dyDescent="0.2">
      <c r="A237" s="11">
        <v>45465</v>
      </c>
      <c r="B237" s="12">
        <v>1491.1</v>
      </c>
      <c r="C237" s="12">
        <f>表1[[#This Row],[库存（万吨）]]-B236</f>
        <v>14.599999999999909</v>
      </c>
      <c r="D237" s="12">
        <v>82.09</v>
      </c>
      <c r="E237" s="12">
        <f>表1[[#This Row],[日耗（万吨）]]-D236</f>
        <v>9.0000000000003411E-2</v>
      </c>
      <c r="F237" s="12">
        <v>18.100000000000001</v>
      </c>
      <c r="G237" s="13">
        <f>表1[[#This Row],[可用天数]]-F236</f>
        <v>0.10000000000000142</v>
      </c>
    </row>
    <row r="238" spans="1:7" ht="15.75" x14ac:dyDescent="0.2">
      <c r="A238" s="11">
        <v>45466</v>
      </c>
      <c r="B238" s="12">
        <v>1498.4</v>
      </c>
      <c r="C238" s="12">
        <f>表1[[#This Row],[库存（万吨）]]-B237</f>
        <v>7.3000000000001819</v>
      </c>
      <c r="D238" s="12">
        <v>82.05</v>
      </c>
      <c r="E238" s="12">
        <f>表1[[#This Row],[日耗（万吨）]]-D237</f>
        <v>-4.0000000000006253E-2</v>
      </c>
      <c r="F238" s="12">
        <v>18.2</v>
      </c>
      <c r="G238" s="13">
        <f>表1[[#This Row],[可用天数]]-F237</f>
        <v>9.9999999999997868E-2</v>
      </c>
    </row>
    <row r="239" spans="1:7" ht="15.75" x14ac:dyDescent="0.2">
      <c r="A239" s="11">
        <v>45467</v>
      </c>
      <c r="B239" s="12">
        <v>1502.3</v>
      </c>
      <c r="C239" s="12">
        <f>表1[[#This Row],[库存（万吨）]]-B238</f>
        <v>3.8999999999998636</v>
      </c>
      <c r="D239" s="12">
        <v>81.97</v>
      </c>
      <c r="E239" s="12">
        <f>表1[[#This Row],[日耗（万吨）]]-D238</f>
        <v>-7.9999999999998295E-2</v>
      </c>
      <c r="F239" s="12">
        <v>18.3</v>
      </c>
      <c r="G239" s="13">
        <f>表1[[#This Row],[可用天数]]-F238</f>
        <v>0.10000000000000142</v>
      </c>
    </row>
    <row r="240" spans="1:7" ht="15.75" x14ac:dyDescent="0.2">
      <c r="A240" s="11">
        <v>45468</v>
      </c>
      <c r="B240" s="12">
        <v>1503.1</v>
      </c>
      <c r="C240" s="12">
        <f>表1[[#This Row],[库存（万吨）]]-B239</f>
        <v>0.79999999999995453</v>
      </c>
      <c r="D240" s="12">
        <v>81.16</v>
      </c>
      <c r="E240" s="12">
        <f>表1[[#This Row],[日耗（万吨）]]-D239</f>
        <v>-0.81000000000000227</v>
      </c>
      <c r="F240" s="12">
        <v>18.5</v>
      </c>
      <c r="G240" s="13">
        <f>表1[[#This Row],[可用天数]]-F239</f>
        <v>0.19999999999999929</v>
      </c>
    </row>
    <row r="241" spans="1:7" ht="15.75" x14ac:dyDescent="0.2">
      <c r="A241" s="11">
        <v>45469</v>
      </c>
      <c r="B241" s="12">
        <v>1505.8</v>
      </c>
      <c r="C241" s="12">
        <f>表1[[#This Row],[库存（万吨）]]-B240</f>
        <v>2.7000000000000455</v>
      </c>
      <c r="D241" s="12">
        <v>81.28</v>
      </c>
      <c r="E241" s="12">
        <f>表1[[#This Row],[日耗（万吨）]]-D240</f>
        <v>0.12000000000000455</v>
      </c>
      <c r="F241" s="12">
        <v>18.5</v>
      </c>
      <c r="G241" s="13">
        <f>表1[[#This Row],[可用天数]]-F240</f>
        <v>0</v>
      </c>
    </row>
    <row r="242" spans="1:7" ht="15.75" x14ac:dyDescent="0.2">
      <c r="A242" s="11">
        <v>45470</v>
      </c>
      <c r="B242" s="12">
        <v>1510.1</v>
      </c>
      <c r="C242" s="12">
        <f>表1[[#This Row],[库存（万吨）]]-B241</f>
        <v>4.2999999999999545</v>
      </c>
      <c r="D242" s="12">
        <v>81.430000000000007</v>
      </c>
      <c r="E242" s="12">
        <f>表1[[#This Row],[日耗（万吨）]]-D241</f>
        <v>0.15000000000000568</v>
      </c>
      <c r="F242" s="12">
        <v>18.5</v>
      </c>
      <c r="G242" s="13">
        <f>表1[[#This Row],[可用天数]]-F241</f>
        <v>0</v>
      </c>
    </row>
    <row r="243" spans="1:7" ht="15.75" x14ac:dyDescent="0.2">
      <c r="A243" s="11">
        <v>45472</v>
      </c>
      <c r="B243" s="12">
        <v>1511</v>
      </c>
      <c r="C243" s="12">
        <f>表1[[#This Row],[库存（万吨）]]-B242</f>
        <v>0.90000000000009095</v>
      </c>
      <c r="D243" s="12">
        <v>81.73</v>
      </c>
      <c r="E243" s="12">
        <f>表1[[#This Row],[日耗（万吨）]]-D242</f>
        <v>0.29999999999999716</v>
      </c>
      <c r="F243" s="12">
        <v>18.399999999999999</v>
      </c>
      <c r="G243" s="13">
        <f>表1[[#This Row],[可用天数]]-F242</f>
        <v>-0.10000000000000142</v>
      </c>
    </row>
    <row r="244" spans="1:7" ht="15.75" x14ac:dyDescent="0.2">
      <c r="A244" s="11">
        <v>45473</v>
      </c>
      <c r="B244" s="12">
        <v>1516.1</v>
      </c>
      <c r="C244" s="12">
        <f>表1[[#This Row],[库存（万吨）]]-B243</f>
        <v>5.0999999999999091</v>
      </c>
      <c r="D244" s="12">
        <v>82.27</v>
      </c>
      <c r="E244" s="12">
        <f>表1[[#This Row],[日耗（万吨）]]-D243</f>
        <v>0.53999999999999204</v>
      </c>
      <c r="F244" s="12">
        <v>18.399999999999999</v>
      </c>
      <c r="G244" s="13">
        <f>表1[[#This Row],[可用天数]]-F243</f>
        <v>0</v>
      </c>
    </row>
    <row r="245" spans="1:7" ht="15.75" x14ac:dyDescent="0.2">
      <c r="A245" s="11">
        <v>45474</v>
      </c>
      <c r="B245" s="12">
        <v>1520.5</v>
      </c>
      <c r="C245" s="12">
        <f>表1[[#This Row],[库存（万吨）]]-B244</f>
        <v>4.4000000000000909</v>
      </c>
      <c r="D245" s="12">
        <v>82.59</v>
      </c>
      <c r="E245" s="12">
        <f>表1[[#This Row],[日耗（万吨）]]-D244</f>
        <v>0.32000000000000739</v>
      </c>
      <c r="F245" s="12">
        <v>18.399999999999999</v>
      </c>
      <c r="G245" s="13">
        <f>表1[[#This Row],[可用天数]]-F244</f>
        <v>0</v>
      </c>
    </row>
    <row r="246" spans="1:7" ht="15.75" x14ac:dyDescent="0.2">
      <c r="A246" s="11">
        <v>45475</v>
      </c>
      <c r="B246" s="12">
        <v>1525.1</v>
      </c>
      <c r="C246" s="12">
        <f>表1[[#This Row],[库存（万吨）]]-B245</f>
        <v>4.5999999999999091</v>
      </c>
      <c r="D246" s="12">
        <v>84.72</v>
      </c>
      <c r="E246" s="12">
        <f>表1[[#This Row],[日耗（万吨）]]-D245</f>
        <v>2.1299999999999955</v>
      </c>
      <c r="F246" s="12">
        <v>18</v>
      </c>
      <c r="G246" s="13">
        <f>表1[[#This Row],[可用天数]]-F245</f>
        <v>-0.39999999999999858</v>
      </c>
    </row>
    <row r="247" spans="1:7" ht="15.75" x14ac:dyDescent="0.2">
      <c r="A247" s="11">
        <v>45476</v>
      </c>
      <c r="B247" s="12">
        <v>1520.2</v>
      </c>
      <c r="C247" s="12">
        <f>表1[[#This Row],[库存（万吨）]]-B246</f>
        <v>-4.8999999999998636</v>
      </c>
      <c r="D247" s="12">
        <v>85.84</v>
      </c>
      <c r="E247" s="12">
        <f>表1[[#This Row],[日耗（万吨）]]-D246</f>
        <v>1.1200000000000045</v>
      </c>
      <c r="F247" s="12">
        <v>17.7</v>
      </c>
      <c r="G247" s="13">
        <f>表1[[#This Row],[可用天数]]-F246</f>
        <v>-0.30000000000000071</v>
      </c>
    </row>
    <row r="248" spans="1:7" ht="15.75" x14ac:dyDescent="0.2">
      <c r="A248" s="11">
        <v>45477</v>
      </c>
      <c r="B248" s="12">
        <v>1513.2</v>
      </c>
      <c r="C248" s="12">
        <f>表1[[#This Row],[库存（万吨）]]-B247</f>
        <v>-7</v>
      </c>
      <c r="D248" s="12">
        <v>86.8</v>
      </c>
      <c r="E248" s="12">
        <f>表1[[#This Row],[日耗（万吨）]]-D247</f>
        <v>0.95999999999999375</v>
      </c>
      <c r="F248" s="12">
        <v>17.399999999999999</v>
      </c>
      <c r="G248" s="13">
        <f>表1[[#This Row],[可用天数]]-F247</f>
        <v>-0.30000000000000071</v>
      </c>
    </row>
    <row r="249" spans="1:7" ht="15.75" x14ac:dyDescent="0.2">
      <c r="A249" s="11">
        <v>45479</v>
      </c>
      <c r="B249" s="12">
        <v>1505.7</v>
      </c>
      <c r="C249" s="12">
        <f>表1[[#This Row],[库存（万吨）]]-B248</f>
        <v>-7.5</v>
      </c>
      <c r="D249" s="12">
        <v>88.05</v>
      </c>
      <c r="E249" s="12">
        <f>表1[[#This Row],[日耗（万吨）]]-D248</f>
        <v>1.25</v>
      </c>
      <c r="F249" s="12">
        <v>17</v>
      </c>
      <c r="G249" s="13">
        <f>表1[[#This Row],[可用天数]]-F248</f>
        <v>-0.39999999999999858</v>
      </c>
    </row>
    <row r="250" spans="1:7" ht="15.75" x14ac:dyDescent="0.2">
      <c r="A250" s="11">
        <v>45480</v>
      </c>
      <c r="B250" s="12">
        <v>1499.4</v>
      </c>
      <c r="C250" s="12">
        <f>表1[[#This Row],[库存（万吨）]]-B249</f>
        <v>-6.2999999999999545</v>
      </c>
      <c r="D250" s="12">
        <v>89.49</v>
      </c>
      <c r="E250" s="12">
        <f>表1[[#This Row],[日耗（万吨）]]-D249</f>
        <v>1.4399999999999977</v>
      </c>
      <c r="F250" s="12">
        <v>16.7</v>
      </c>
      <c r="G250" s="13">
        <f>表1[[#This Row],[可用天数]]-F249</f>
        <v>-0.30000000000000071</v>
      </c>
    </row>
    <row r="251" spans="1:7" ht="15.75" x14ac:dyDescent="0.2">
      <c r="A251" s="11">
        <v>45481</v>
      </c>
      <c r="B251" s="12">
        <v>1495.2</v>
      </c>
      <c r="C251" s="12">
        <f>表1[[#This Row],[库存（万吨）]]-B250</f>
        <v>-4.2000000000000455</v>
      </c>
      <c r="D251" s="12">
        <v>89.66</v>
      </c>
      <c r="E251" s="12">
        <f>表1[[#This Row],[日耗（万吨）]]-D250</f>
        <v>0.17000000000000171</v>
      </c>
      <c r="F251" s="12">
        <v>16.600000000000001</v>
      </c>
      <c r="G251" s="13">
        <f>表1[[#This Row],[可用天数]]-F250</f>
        <v>-9.9999999999997868E-2</v>
      </c>
    </row>
    <row r="252" spans="1:7" ht="15.75" x14ac:dyDescent="0.2">
      <c r="A252" s="11">
        <v>45482</v>
      </c>
      <c r="B252" s="12">
        <v>1491.4</v>
      </c>
      <c r="C252" s="12">
        <f>表1[[#This Row],[库存（万吨）]]-B251</f>
        <v>-3.7999999999999545</v>
      </c>
      <c r="D252" s="12">
        <v>90</v>
      </c>
      <c r="E252" s="12">
        <f>表1[[#This Row],[日耗（万吨）]]-D251</f>
        <v>0.34000000000000341</v>
      </c>
      <c r="F252" s="12">
        <v>16.5</v>
      </c>
      <c r="G252" s="13">
        <f>表1[[#This Row],[可用天数]]-F251</f>
        <v>-0.10000000000000142</v>
      </c>
    </row>
    <row r="253" spans="1:7" ht="15.75" x14ac:dyDescent="0.2">
      <c r="A253" s="11">
        <v>45483</v>
      </c>
      <c r="B253" s="12">
        <v>1486.6</v>
      </c>
      <c r="C253" s="12">
        <f>表1[[#This Row],[库存（万吨）]]-B252</f>
        <v>-4.8000000000001819</v>
      </c>
      <c r="D253" s="12">
        <v>90.04</v>
      </c>
      <c r="E253" s="12">
        <f>表1[[#This Row],[日耗（万吨）]]-D252</f>
        <v>4.0000000000006253E-2</v>
      </c>
      <c r="F253" s="12">
        <v>16.5</v>
      </c>
      <c r="G253" s="13">
        <f>表1[[#This Row],[可用天数]]-F252</f>
        <v>0</v>
      </c>
    </row>
    <row r="254" spans="1:7" ht="15.75" x14ac:dyDescent="0.2">
      <c r="A254" s="11">
        <v>45484</v>
      </c>
      <c r="B254" s="12">
        <v>1483.9</v>
      </c>
      <c r="C254" s="12">
        <f>表1[[#This Row],[库存（万吨）]]-B253</f>
        <v>-2.6999999999998181</v>
      </c>
      <c r="D254" s="12">
        <v>90.28</v>
      </c>
      <c r="E254" s="12">
        <f>表1[[#This Row],[日耗（万吨）]]-D253</f>
        <v>0.23999999999999488</v>
      </c>
      <c r="F254" s="12">
        <v>16.399999999999999</v>
      </c>
      <c r="G254" s="13">
        <f>表1[[#This Row],[可用天数]]-F253</f>
        <v>-0.10000000000000142</v>
      </c>
    </row>
    <row r="255" spans="1:7" ht="15.75" x14ac:dyDescent="0.2">
      <c r="A255" s="11">
        <v>45486</v>
      </c>
      <c r="B255" s="12">
        <v>1482.4</v>
      </c>
      <c r="C255" s="12">
        <f>表1[[#This Row],[库存（万吨）]]-B254</f>
        <v>-1.5</v>
      </c>
      <c r="D255" s="12">
        <v>90.19</v>
      </c>
      <c r="E255" s="12">
        <f>表1[[#This Row],[日耗（万吨）]]-D254</f>
        <v>-9.0000000000003411E-2</v>
      </c>
      <c r="F255" s="12">
        <v>16.399999999999999</v>
      </c>
      <c r="G255" s="13">
        <f>表1[[#This Row],[可用天数]]-F254</f>
        <v>0</v>
      </c>
    </row>
    <row r="256" spans="1:7" ht="15.75" x14ac:dyDescent="0.2">
      <c r="A256" s="11">
        <v>45487</v>
      </c>
      <c r="B256" s="12">
        <v>1475.3</v>
      </c>
      <c r="C256" s="12">
        <f>表1[[#This Row],[库存（万吨）]]-B255</f>
        <v>-7.1000000000001364</v>
      </c>
      <c r="D256" s="12">
        <v>91.56</v>
      </c>
      <c r="E256" s="12">
        <f>表1[[#This Row],[日耗（万吨）]]-D255</f>
        <v>1.3700000000000045</v>
      </c>
      <c r="F256" s="12">
        <v>16.100000000000001</v>
      </c>
      <c r="G256" s="13">
        <f>表1[[#This Row],[可用天数]]-F255</f>
        <v>-0.29999999999999716</v>
      </c>
    </row>
    <row r="257" spans="1:7" ht="15.75" x14ac:dyDescent="0.2">
      <c r="A257" s="11">
        <v>45488</v>
      </c>
      <c r="B257" s="12">
        <v>1471</v>
      </c>
      <c r="C257" s="12">
        <f>表1[[#This Row],[库存（万吨）]]-B256</f>
        <v>-4.2999999999999545</v>
      </c>
      <c r="D257" s="12">
        <v>91.68</v>
      </c>
      <c r="E257" s="12">
        <f>表1[[#This Row],[日耗（万吨）]]-D256</f>
        <v>0.12000000000000455</v>
      </c>
      <c r="F257" s="12">
        <v>16</v>
      </c>
      <c r="G257" s="13">
        <f>表1[[#This Row],[可用天数]]-F256</f>
        <v>-0.10000000000000142</v>
      </c>
    </row>
    <row r="258" spans="1:7" ht="15.75" x14ac:dyDescent="0.2">
      <c r="A258" s="11">
        <v>45489</v>
      </c>
      <c r="B258" s="12">
        <v>1465.1</v>
      </c>
      <c r="C258" s="12">
        <f>表1[[#This Row],[库存（万吨）]]-B257</f>
        <v>-5.9000000000000909</v>
      </c>
      <c r="D258" s="12">
        <v>91.81</v>
      </c>
      <c r="E258" s="12">
        <f>表1[[#This Row],[日耗（万吨）]]-D257</f>
        <v>0.12999999999999545</v>
      </c>
      <c r="F258" s="12">
        <v>15.9</v>
      </c>
      <c r="G258" s="13">
        <f>表1[[#This Row],[可用天数]]-F257</f>
        <v>-9.9999999999999645E-2</v>
      </c>
    </row>
    <row r="259" spans="1:7" ht="15.75" x14ac:dyDescent="0.2">
      <c r="A259" s="11">
        <v>45490</v>
      </c>
      <c r="B259" s="12">
        <v>1462</v>
      </c>
      <c r="C259" s="12">
        <f>表1[[#This Row],[库存（万吨）]]-B258</f>
        <v>-3.0999999999999091</v>
      </c>
      <c r="D259" s="12">
        <v>92.75</v>
      </c>
      <c r="E259" s="12">
        <f>表1[[#This Row],[日耗（万吨）]]-D258</f>
        <v>0.93999999999999773</v>
      </c>
      <c r="F259" s="12">
        <v>15.7</v>
      </c>
      <c r="G259" s="13">
        <f>表1[[#This Row],[可用天数]]-F258</f>
        <v>-0.20000000000000107</v>
      </c>
    </row>
    <row r="260" spans="1:7" ht="15.75" x14ac:dyDescent="0.2">
      <c r="A260" s="11">
        <v>45491</v>
      </c>
      <c r="B260" s="12">
        <v>1463.1</v>
      </c>
      <c r="C260" s="12">
        <f>表1[[#This Row],[库存（万吨）]]-B259</f>
        <v>1.0999999999999091</v>
      </c>
      <c r="D260" s="12">
        <v>92.68</v>
      </c>
      <c r="E260" s="12">
        <f>表1[[#This Row],[日耗（万吨）]]-D259</f>
        <v>-6.9999999999993179E-2</v>
      </c>
      <c r="F260" s="12">
        <v>15.7</v>
      </c>
      <c r="G260" s="13">
        <f>表1[[#This Row],[可用天数]]-F259</f>
        <v>0</v>
      </c>
    </row>
    <row r="261" spans="1:7" ht="15.75" x14ac:dyDescent="0.2">
      <c r="A261" s="11">
        <v>45493</v>
      </c>
      <c r="B261" s="12">
        <v>1463</v>
      </c>
      <c r="C261" s="12">
        <f>表1[[#This Row],[库存（万吨）]]-B260</f>
        <v>-9.9999999999909051E-2</v>
      </c>
      <c r="D261" s="12">
        <v>91.83</v>
      </c>
      <c r="E261" s="12">
        <f>表1[[#This Row],[日耗（万吨）]]-D260</f>
        <v>-0.85000000000000853</v>
      </c>
      <c r="F261" s="12">
        <v>15.9</v>
      </c>
      <c r="G261" s="13">
        <f>表1[[#This Row],[可用天数]]-F260</f>
        <v>0.20000000000000107</v>
      </c>
    </row>
    <row r="262" spans="1:7" ht="15.75" x14ac:dyDescent="0.2">
      <c r="A262" s="11">
        <v>45494</v>
      </c>
      <c r="B262" s="12">
        <v>1467.4</v>
      </c>
      <c r="C262" s="12">
        <f>表1[[#This Row],[库存（万吨）]]-B261</f>
        <v>4.4000000000000909</v>
      </c>
      <c r="D262" s="12">
        <v>94.75</v>
      </c>
      <c r="E262" s="12">
        <f>表1[[#This Row],[日耗（万吨）]]-D261</f>
        <v>2.9200000000000017</v>
      </c>
      <c r="F262" s="12">
        <v>15.4</v>
      </c>
      <c r="G262" s="13">
        <f>表1[[#This Row],[可用天数]]-F261</f>
        <v>-0.5</v>
      </c>
    </row>
    <row r="263" spans="1:7" ht="15.75" x14ac:dyDescent="0.2">
      <c r="A263" s="11">
        <v>45495</v>
      </c>
      <c r="B263" s="12">
        <v>1463.8</v>
      </c>
      <c r="C263" s="16">
        <f>表1[[#This Row],[库存（万吨）]]-B262</f>
        <v>-3.6000000000001364</v>
      </c>
      <c r="D263" s="12">
        <v>94.6</v>
      </c>
      <c r="E263" s="16">
        <f>表1[[#This Row],[日耗（万吨）]]-D262</f>
        <v>-0.15000000000000568</v>
      </c>
      <c r="F263" s="12">
        <v>15.4</v>
      </c>
      <c r="G263" s="17">
        <f>表1[[#This Row],[可用天数]]-F262</f>
        <v>0</v>
      </c>
    </row>
  </sheetData>
  <mergeCells count="1">
    <mergeCell ref="A1:F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AD17-A190-4AF5-ADED-797A924DD642}">
  <dimension ref="A1:C27"/>
  <sheetViews>
    <sheetView workbookViewId="0">
      <selection activeCell="D34" sqref="D34"/>
    </sheetView>
  </sheetViews>
  <sheetFormatPr defaultRowHeight="14.25" x14ac:dyDescent="0.2"/>
  <cols>
    <col min="1" max="1" width="10" bestFit="1" customWidth="1"/>
    <col min="2" max="2" width="13.625" bestFit="1" customWidth="1"/>
    <col min="3" max="3" width="6.5" bestFit="1" customWidth="1"/>
    <col min="4" max="4" width="9.5" bestFit="1" customWidth="1"/>
    <col min="5" max="5" width="15.625" bestFit="1" customWidth="1"/>
  </cols>
  <sheetData>
    <row r="1" spans="1:3" x14ac:dyDescent="0.2">
      <c r="A1" s="1" t="s">
        <v>10</v>
      </c>
      <c r="B1" s="2" t="s">
        <v>8</v>
      </c>
      <c r="C1" s="2" t="s">
        <v>11</v>
      </c>
    </row>
    <row r="2" spans="1:3" x14ac:dyDescent="0.2">
      <c r="A2" s="3">
        <v>45292</v>
      </c>
      <c r="B2" s="2">
        <v>1278.9000000000001</v>
      </c>
      <c r="C2" s="2">
        <v>-7.7999999999999545</v>
      </c>
    </row>
    <row r="3" spans="1:3" x14ac:dyDescent="0.2">
      <c r="A3" s="3">
        <v>45293</v>
      </c>
      <c r="B3" s="2">
        <v>1276.2</v>
      </c>
      <c r="C3" s="2">
        <v>-2.7000000000000455</v>
      </c>
    </row>
    <row r="4" spans="1:3" x14ac:dyDescent="0.2">
      <c r="A4" s="3">
        <v>45294</v>
      </c>
      <c r="B4" s="2">
        <v>1274.9000000000001</v>
      </c>
      <c r="C4" s="2">
        <v>-1.2999999999999545</v>
      </c>
    </row>
    <row r="5" spans="1:3" x14ac:dyDescent="0.2">
      <c r="A5" s="3">
        <v>45295</v>
      </c>
      <c r="B5" s="2">
        <v>1268</v>
      </c>
      <c r="C5" s="2">
        <v>-6.9000000000000909</v>
      </c>
    </row>
    <row r="6" spans="1:3" x14ac:dyDescent="0.2">
      <c r="A6" s="3">
        <v>45297</v>
      </c>
      <c r="B6" s="2">
        <v>1270.3</v>
      </c>
      <c r="C6" s="2">
        <v>2.2999999999999545</v>
      </c>
    </row>
    <row r="7" spans="1:3" x14ac:dyDescent="0.2">
      <c r="A7" s="3">
        <v>45298</v>
      </c>
      <c r="B7" s="2">
        <v>1261.7</v>
      </c>
      <c r="C7" s="2">
        <v>-8.5999999999999091</v>
      </c>
    </row>
    <row r="8" spans="1:3" x14ac:dyDescent="0.2">
      <c r="A8" s="3">
        <v>45299</v>
      </c>
      <c r="B8" s="2">
        <v>1267.7</v>
      </c>
      <c r="C8" s="2">
        <v>6</v>
      </c>
    </row>
    <row r="9" spans="1:3" x14ac:dyDescent="0.2">
      <c r="A9" s="3">
        <v>45300</v>
      </c>
      <c r="B9" s="2">
        <v>1270.9000000000001</v>
      </c>
      <c r="C9" s="2">
        <v>3.2000000000000455</v>
      </c>
    </row>
    <row r="10" spans="1:3" x14ac:dyDescent="0.2">
      <c r="A10" s="3">
        <v>45301</v>
      </c>
      <c r="B10" s="2">
        <v>1270.5</v>
      </c>
      <c r="C10" s="2">
        <v>-0.40000000000009095</v>
      </c>
    </row>
    <row r="11" spans="1:3" x14ac:dyDescent="0.2">
      <c r="A11" s="3">
        <v>45302</v>
      </c>
      <c r="B11" s="2">
        <v>1257.7</v>
      </c>
      <c r="C11" s="2">
        <v>-12.799999999999955</v>
      </c>
    </row>
    <row r="12" spans="1:3" x14ac:dyDescent="0.2">
      <c r="A12" s="3">
        <v>45304</v>
      </c>
      <c r="B12" s="2">
        <v>1242.0999999999999</v>
      </c>
      <c r="C12" s="2">
        <v>-15.600000000000136</v>
      </c>
    </row>
    <row r="13" spans="1:3" x14ac:dyDescent="0.2">
      <c r="A13" s="3">
        <v>45305</v>
      </c>
      <c r="B13" s="2">
        <v>1237.0999999999999</v>
      </c>
      <c r="C13" s="2">
        <v>-5</v>
      </c>
    </row>
    <row r="14" spans="1:3" x14ac:dyDescent="0.2">
      <c r="A14" s="3">
        <v>45306</v>
      </c>
      <c r="B14" s="2">
        <v>1234.3</v>
      </c>
      <c r="C14" s="2">
        <v>-2.7999999999999545</v>
      </c>
    </row>
    <row r="15" spans="1:3" x14ac:dyDescent="0.2">
      <c r="A15" s="3">
        <v>45307</v>
      </c>
      <c r="B15" s="2">
        <v>1237.9000000000001</v>
      </c>
      <c r="C15" s="2">
        <v>3.6000000000001364</v>
      </c>
    </row>
    <row r="16" spans="1:3" x14ac:dyDescent="0.2">
      <c r="A16" s="3">
        <v>45308</v>
      </c>
      <c r="B16" s="2">
        <v>1236.7</v>
      </c>
      <c r="C16" s="2">
        <v>-1.2000000000000455</v>
      </c>
    </row>
    <row r="17" spans="1:3" x14ac:dyDescent="0.2">
      <c r="A17" s="3">
        <v>45309</v>
      </c>
      <c r="B17" s="2">
        <v>1217.0999999999999</v>
      </c>
      <c r="C17" s="2">
        <v>-19.600000000000136</v>
      </c>
    </row>
    <row r="18" spans="1:3" x14ac:dyDescent="0.2">
      <c r="A18" s="3">
        <v>45312</v>
      </c>
      <c r="B18" s="2">
        <v>1198.5999999999999</v>
      </c>
      <c r="C18" s="2">
        <v>-18.5</v>
      </c>
    </row>
    <row r="19" spans="1:3" x14ac:dyDescent="0.2">
      <c r="A19" s="3">
        <v>45313</v>
      </c>
      <c r="B19" s="2">
        <v>1204.9000000000001</v>
      </c>
      <c r="C19" s="2">
        <v>6.3000000000001819</v>
      </c>
    </row>
    <row r="20" spans="1:3" x14ac:dyDescent="0.2">
      <c r="A20" s="3">
        <v>45314</v>
      </c>
      <c r="B20" s="2">
        <v>1202.5999999999999</v>
      </c>
      <c r="C20" s="2">
        <v>-2.3000000000001819</v>
      </c>
    </row>
    <row r="21" spans="1:3" x14ac:dyDescent="0.2">
      <c r="A21" s="3">
        <v>45315</v>
      </c>
      <c r="B21" s="2">
        <v>1197.3</v>
      </c>
      <c r="C21" s="2">
        <v>-5.2999999999999545</v>
      </c>
    </row>
    <row r="22" spans="1:3" x14ac:dyDescent="0.2">
      <c r="A22" s="3">
        <v>45316</v>
      </c>
      <c r="B22" s="2">
        <v>1202.7</v>
      </c>
      <c r="C22" s="2">
        <v>5.4000000000000909</v>
      </c>
    </row>
    <row r="23" spans="1:3" x14ac:dyDescent="0.2">
      <c r="A23" s="3">
        <v>45319</v>
      </c>
      <c r="B23" s="2">
        <v>1192</v>
      </c>
      <c r="C23" s="2">
        <v>-10.700000000000045</v>
      </c>
    </row>
    <row r="24" spans="1:3" x14ac:dyDescent="0.2">
      <c r="A24" s="3">
        <v>45320</v>
      </c>
      <c r="B24" s="2">
        <v>1190</v>
      </c>
      <c r="C24" s="2">
        <v>-2</v>
      </c>
    </row>
    <row r="25" spans="1:3" x14ac:dyDescent="0.2">
      <c r="A25" s="3">
        <v>45321</v>
      </c>
      <c r="B25" s="2">
        <v>1194.2</v>
      </c>
      <c r="C25" s="2">
        <v>4.2000000000000455</v>
      </c>
    </row>
    <row r="26" spans="1:3" x14ac:dyDescent="0.2">
      <c r="A26" s="3">
        <v>45322</v>
      </c>
      <c r="B26" s="2">
        <v>1197.5</v>
      </c>
      <c r="C26" s="2">
        <v>3.2999999999999545</v>
      </c>
    </row>
    <row r="27" spans="1:3" x14ac:dyDescent="0.2">
      <c r="A27" s="3" t="s">
        <v>7</v>
      </c>
      <c r="B27" s="2">
        <v>30881.800000000003</v>
      </c>
      <c r="C27" s="2">
        <v>-89.200000000000045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B4C5-CC54-4D3B-9E1D-41FADEAF64B8}">
  <dimension ref="A1:C27"/>
  <sheetViews>
    <sheetView workbookViewId="0">
      <selection activeCell="I26" sqref="I26"/>
    </sheetView>
  </sheetViews>
  <sheetFormatPr defaultRowHeight="14.25" x14ac:dyDescent="0.2"/>
  <cols>
    <col min="1" max="1" width="10" bestFit="1" customWidth="1"/>
    <col min="2" max="2" width="13.625" bestFit="1" customWidth="1"/>
    <col min="3" max="3" width="6.5" bestFit="1" customWidth="1"/>
  </cols>
  <sheetData>
    <row r="1" spans="1:3" x14ac:dyDescent="0.2">
      <c r="A1" s="1" t="s">
        <v>10</v>
      </c>
      <c r="B1" s="2" t="s">
        <v>9</v>
      </c>
      <c r="C1" s="2" t="s">
        <v>11</v>
      </c>
    </row>
    <row r="2" spans="1:3" x14ac:dyDescent="0.2">
      <c r="A2" s="3">
        <v>45292</v>
      </c>
      <c r="B2" s="2">
        <v>86.91</v>
      </c>
      <c r="C2" s="2">
        <v>0.20999999999999375</v>
      </c>
    </row>
    <row r="3" spans="1:3" x14ac:dyDescent="0.2">
      <c r="A3" s="3">
        <v>45293</v>
      </c>
      <c r="B3" s="2">
        <v>86.71</v>
      </c>
      <c r="C3" s="2">
        <v>-0.20000000000000284</v>
      </c>
    </row>
    <row r="4" spans="1:3" x14ac:dyDescent="0.2">
      <c r="A4" s="3">
        <v>45294</v>
      </c>
      <c r="B4" s="2">
        <v>86.78</v>
      </c>
      <c r="C4" s="2">
        <v>7.000000000000739E-2</v>
      </c>
    </row>
    <row r="5" spans="1:3" x14ac:dyDescent="0.2">
      <c r="A5" s="3">
        <v>45295</v>
      </c>
      <c r="B5" s="2">
        <v>86.05</v>
      </c>
      <c r="C5" s="2">
        <v>-0.73000000000000398</v>
      </c>
    </row>
    <row r="6" spans="1:3" x14ac:dyDescent="0.2">
      <c r="A6" s="3">
        <v>45297</v>
      </c>
      <c r="B6" s="2">
        <v>85.69</v>
      </c>
      <c r="C6" s="2">
        <v>-0.35999999999999943</v>
      </c>
    </row>
    <row r="7" spans="1:3" x14ac:dyDescent="0.2">
      <c r="A7" s="3">
        <v>45298</v>
      </c>
      <c r="B7" s="2">
        <v>86.2</v>
      </c>
      <c r="C7" s="2">
        <v>0.51000000000000512</v>
      </c>
    </row>
    <row r="8" spans="1:3" x14ac:dyDescent="0.2">
      <c r="A8" s="3">
        <v>45299</v>
      </c>
      <c r="B8" s="2">
        <v>86.18</v>
      </c>
      <c r="C8" s="2">
        <v>-1.9999999999996021E-2</v>
      </c>
    </row>
    <row r="9" spans="1:3" x14ac:dyDescent="0.2">
      <c r="A9" s="3">
        <v>45300</v>
      </c>
      <c r="B9" s="2">
        <v>85.9</v>
      </c>
      <c r="C9" s="2">
        <v>-0.28000000000000114</v>
      </c>
    </row>
    <row r="10" spans="1:3" x14ac:dyDescent="0.2">
      <c r="A10" s="3">
        <v>45301</v>
      </c>
      <c r="B10" s="2">
        <v>86.26</v>
      </c>
      <c r="C10" s="2">
        <v>0.35999999999999943</v>
      </c>
    </row>
    <row r="11" spans="1:3" x14ac:dyDescent="0.2">
      <c r="A11" s="3">
        <v>45302</v>
      </c>
      <c r="B11" s="2">
        <v>85.86</v>
      </c>
      <c r="C11" s="2">
        <v>-0.40000000000000568</v>
      </c>
    </row>
    <row r="12" spans="1:3" x14ac:dyDescent="0.2">
      <c r="A12" s="3">
        <v>45304</v>
      </c>
      <c r="B12" s="2">
        <v>86.01</v>
      </c>
      <c r="C12" s="2">
        <v>0.15000000000000568</v>
      </c>
    </row>
    <row r="13" spans="1:3" x14ac:dyDescent="0.2">
      <c r="A13" s="3">
        <v>45305</v>
      </c>
      <c r="B13" s="2">
        <v>85.74</v>
      </c>
      <c r="C13" s="2">
        <v>-0.27000000000001023</v>
      </c>
    </row>
    <row r="14" spans="1:3" x14ac:dyDescent="0.2">
      <c r="A14" s="3">
        <v>45306</v>
      </c>
      <c r="B14" s="2">
        <v>85.48</v>
      </c>
      <c r="C14" s="2">
        <v>-0.25999999999999091</v>
      </c>
    </row>
    <row r="15" spans="1:3" x14ac:dyDescent="0.2">
      <c r="A15" s="3">
        <v>45307</v>
      </c>
      <c r="B15" s="2">
        <v>85.28</v>
      </c>
      <c r="C15" s="2">
        <v>-0.20000000000000284</v>
      </c>
    </row>
    <row r="16" spans="1:3" x14ac:dyDescent="0.2">
      <c r="A16" s="3">
        <v>45308</v>
      </c>
      <c r="B16" s="2">
        <v>85.15</v>
      </c>
      <c r="C16" s="2">
        <v>-0.12999999999999545</v>
      </c>
    </row>
    <row r="17" spans="1:3" x14ac:dyDescent="0.2">
      <c r="A17" s="3">
        <v>45309</v>
      </c>
      <c r="B17" s="2">
        <v>85.6</v>
      </c>
      <c r="C17" s="2">
        <v>0.44999999999998863</v>
      </c>
    </row>
    <row r="18" spans="1:3" x14ac:dyDescent="0.2">
      <c r="A18" s="3">
        <v>45312</v>
      </c>
      <c r="B18" s="2">
        <v>87.14</v>
      </c>
      <c r="C18" s="2">
        <v>1.5400000000000063</v>
      </c>
    </row>
    <row r="19" spans="1:3" x14ac:dyDescent="0.2">
      <c r="A19" s="3">
        <v>45313</v>
      </c>
      <c r="B19" s="2">
        <v>86.52</v>
      </c>
      <c r="C19" s="2">
        <v>-0.62000000000000455</v>
      </c>
    </row>
    <row r="20" spans="1:3" x14ac:dyDescent="0.2">
      <c r="A20" s="3">
        <v>45314</v>
      </c>
      <c r="B20" s="2">
        <v>86.65</v>
      </c>
      <c r="C20" s="2">
        <v>0.13000000000000966</v>
      </c>
    </row>
    <row r="21" spans="1:3" x14ac:dyDescent="0.2">
      <c r="A21" s="3">
        <v>45315</v>
      </c>
      <c r="B21" s="2">
        <v>86.51</v>
      </c>
      <c r="C21" s="2">
        <v>-0.14000000000000057</v>
      </c>
    </row>
    <row r="22" spans="1:3" x14ac:dyDescent="0.2">
      <c r="A22" s="3">
        <v>45316</v>
      </c>
      <c r="B22" s="2">
        <v>86.41</v>
      </c>
      <c r="C22" s="2">
        <v>-0.10000000000000853</v>
      </c>
    </row>
    <row r="23" spans="1:3" x14ac:dyDescent="0.2">
      <c r="A23" s="3">
        <v>45319</v>
      </c>
      <c r="B23" s="2">
        <v>85.94</v>
      </c>
      <c r="C23" s="2">
        <v>-0.46999999999999886</v>
      </c>
    </row>
    <row r="24" spans="1:3" x14ac:dyDescent="0.2">
      <c r="A24" s="3">
        <v>45320</v>
      </c>
      <c r="B24" s="2">
        <v>85.86</v>
      </c>
      <c r="C24" s="2">
        <v>-7.9999999999998295E-2</v>
      </c>
    </row>
    <row r="25" spans="1:3" x14ac:dyDescent="0.2">
      <c r="A25" s="3">
        <v>45321</v>
      </c>
      <c r="B25" s="2">
        <v>85.28</v>
      </c>
      <c r="C25" s="2">
        <v>-0.57999999999999829</v>
      </c>
    </row>
    <row r="26" spans="1:3" x14ac:dyDescent="0.2">
      <c r="A26" s="3">
        <v>45322</v>
      </c>
      <c r="B26" s="2">
        <v>84.69</v>
      </c>
      <c r="C26" s="2">
        <v>-0.59000000000000341</v>
      </c>
    </row>
    <row r="27" spans="1:3" x14ac:dyDescent="0.2">
      <c r="A27" s="3" t="s">
        <v>7</v>
      </c>
      <c r="B27" s="2">
        <v>2150.8000000000002</v>
      </c>
      <c r="C27" s="2">
        <v>-2.0100000000000051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138-9274-47E5-894E-8B4CCF0B7735}">
  <dimension ref="A1:W37"/>
  <sheetViews>
    <sheetView workbookViewId="0">
      <selection activeCell="G32" sqref="G32"/>
    </sheetView>
  </sheetViews>
  <sheetFormatPr defaultRowHeight="14.25" x14ac:dyDescent="0.2"/>
  <sheetData>
    <row r="1" spans="1:23" ht="60" customHeight="1" x14ac:dyDescent="0.2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</sheetData>
  <mergeCells count="1">
    <mergeCell ref="A1:V1"/>
  </mergeCells>
  <phoneticPr fontId="1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沿海六大电厂库存</vt:lpstr>
      <vt:lpstr>库存透视</vt:lpstr>
      <vt:lpstr>日耗透视</vt:lpstr>
      <vt:lpstr>看板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2024-07-23T10:14:06Z</dcterms:modified>
</cp:coreProperties>
</file>