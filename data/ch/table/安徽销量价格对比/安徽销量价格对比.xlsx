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</sheets>
  <definedNames>
    <definedName name="_xlnm._FilterDatabase" localSheetId="0" hidden="1">Sheet1!$A$2:$I$87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<sst xmlns="http://schemas.openxmlformats.org/spreadsheetml/2006/main" count="214" uniqueCount="155">
  <si>
    <t>安徽区两年销量、结算价对比</t>
  </si>
  <si>
    <t>单位：万公斤、元/公斤</t>
  </si>
  <si>
    <t>序号</t>
  </si>
  <si>
    <t>县市</t>
  </si>
  <si>
    <t>客户</t>
  </si>
  <si>
    <t>2022-2023</t>
  </si>
  <si>
    <t>优惠后价格</t>
  </si>
  <si>
    <t>2023-2024</t>
  </si>
  <si>
    <t>销量差额</t>
  </si>
  <si>
    <t>价格差额</t>
  </si>
  <si>
    <t>怀远县</t>
  </si>
  <si>
    <t>张春辉</t>
  </si>
  <si>
    <t>平均价格</t>
  </si>
  <si>
    <t>骆保连</t>
  </si>
  <si>
    <t>寿县</t>
  </si>
  <si>
    <t>陈跃</t>
  </si>
  <si>
    <t>钱益龙</t>
  </si>
  <si>
    <t>吴长保</t>
  </si>
  <si>
    <t>阜南</t>
  </si>
  <si>
    <t>侯家生</t>
  </si>
  <si>
    <t>崔同辉</t>
  </si>
  <si>
    <t>张杰</t>
  </si>
  <si>
    <t>五河县</t>
  </si>
  <si>
    <t>丁井坤</t>
  </si>
  <si>
    <t>刘金凤</t>
  </si>
  <si>
    <t>颍上</t>
  </si>
  <si>
    <t>张兴义</t>
  </si>
  <si>
    <t>吴兆生</t>
  </si>
  <si>
    <t>六安市</t>
  </si>
  <si>
    <t>王勇</t>
  </si>
  <si>
    <t>张飞</t>
  </si>
  <si>
    <t>蔡长营</t>
  </si>
  <si>
    <t>定远县</t>
  </si>
  <si>
    <t>李学成</t>
  </si>
  <si>
    <t>霍邱</t>
  </si>
  <si>
    <t>李启贵</t>
  </si>
  <si>
    <t>王志柱</t>
  </si>
  <si>
    <t>罗伟</t>
  </si>
  <si>
    <t>长丰</t>
  </si>
  <si>
    <t>康丽丽</t>
  </si>
  <si>
    <t>刘玉虎</t>
  </si>
  <si>
    <t>舒发志</t>
  </si>
  <si>
    <t>淮南潘集</t>
  </si>
  <si>
    <t>杨坤</t>
  </si>
  <si>
    <t>王献毅</t>
  </si>
  <si>
    <t>宋志勇</t>
  </si>
  <si>
    <t>淮南</t>
  </si>
  <si>
    <t>王廷成</t>
  </si>
  <si>
    <t>裕安区</t>
  </si>
  <si>
    <t>梁允伟</t>
  </si>
  <si>
    <t>姜玉松</t>
  </si>
  <si>
    <t>郑先国</t>
  </si>
  <si>
    <t>肥东</t>
  </si>
  <si>
    <t>王春梅</t>
  </si>
  <si>
    <t>凤阳县</t>
  </si>
  <si>
    <t>王行标</t>
  </si>
  <si>
    <t>李光柱</t>
  </si>
  <si>
    <t>-</t>
  </si>
  <si>
    <t>凌明珍</t>
  </si>
  <si>
    <t>明光市</t>
  </si>
  <si>
    <t>杨立友</t>
  </si>
  <si>
    <t>韩卫东</t>
  </si>
  <si>
    <t>荃银农产</t>
  </si>
  <si>
    <t>张学成</t>
  </si>
  <si>
    <t>周斌</t>
  </si>
  <si>
    <t>铜陵市</t>
  </si>
  <si>
    <t>王新文</t>
  </si>
  <si>
    <t>朱晓彬</t>
  </si>
  <si>
    <t>俞恒兵</t>
  </si>
  <si>
    <t>周盛进</t>
  </si>
  <si>
    <t>望江县</t>
  </si>
  <si>
    <t>肖学军</t>
  </si>
  <si>
    <t>枞阳县</t>
  </si>
  <si>
    <t>徐华平</t>
  </si>
  <si>
    <t>李家春</t>
  </si>
  <si>
    <t>朱伏生</t>
  </si>
  <si>
    <t>和县</t>
  </si>
  <si>
    <t>琚为民</t>
  </si>
  <si>
    <t>池州市</t>
  </si>
  <si>
    <t>胡四清</t>
  </si>
  <si>
    <t>张进</t>
  </si>
  <si>
    <t>庐江县</t>
  </si>
  <si>
    <t>查海宁</t>
  </si>
  <si>
    <t>孟永</t>
  </si>
  <si>
    <t>王孝喜</t>
  </si>
  <si>
    <t>蚌埠市</t>
  </si>
  <si>
    <t>许诗兵</t>
  </si>
  <si>
    <t>东至县</t>
  </si>
  <si>
    <t>凤台</t>
  </si>
  <si>
    <t>王磊</t>
  </si>
  <si>
    <t>赵陈敏</t>
  </si>
  <si>
    <t>王井瑞</t>
  </si>
  <si>
    <t>胡恒泰</t>
  </si>
  <si>
    <t>金安区</t>
  </si>
  <si>
    <t>张文舟</t>
  </si>
  <si>
    <t>李曦芬</t>
  </si>
  <si>
    <t>舒城县</t>
  </si>
  <si>
    <t>马泾良</t>
  </si>
  <si>
    <t>宿松县</t>
  </si>
  <si>
    <t>肖伟信</t>
  </si>
  <si>
    <t>宣城市</t>
  </si>
  <si>
    <t>陈钦建</t>
  </si>
  <si>
    <t>全椒县</t>
  </si>
  <si>
    <t>付昌勇</t>
  </si>
  <si>
    <t>周俊强</t>
  </si>
  <si>
    <t>南陵县</t>
  </si>
  <si>
    <t>杨秋平</t>
  </si>
  <si>
    <t>无为县</t>
  </si>
  <si>
    <t>张斌</t>
  </si>
  <si>
    <t>当涂县</t>
  </si>
  <si>
    <t>杜少飞</t>
  </si>
  <si>
    <t>桐城市</t>
  </si>
  <si>
    <t>桐城市众信农业科技有限公司</t>
  </si>
  <si>
    <t>肥西县</t>
  </si>
  <si>
    <t>刘庆举</t>
  </si>
  <si>
    <t>高希武</t>
  </si>
  <si>
    <t>潜山</t>
  </si>
  <si>
    <t>吴斌</t>
  </si>
  <si>
    <t>安庆市</t>
  </si>
  <si>
    <t>濉溪县</t>
  </si>
  <si>
    <t>于海涛</t>
  </si>
  <si>
    <t>泗县</t>
  </si>
  <si>
    <t>刘振宇</t>
  </si>
  <si>
    <t>胡荣前</t>
  </si>
  <si>
    <t>石宏民</t>
  </si>
  <si>
    <t>太湖县</t>
  </si>
  <si>
    <t>利辛</t>
  </si>
  <si>
    <t>潘卫</t>
  </si>
  <si>
    <t>筑农丰宝</t>
  </si>
  <si>
    <t>农管家</t>
  </si>
  <si>
    <t>金寨县</t>
  </si>
  <si>
    <t>张润红</t>
  </si>
  <si>
    <t>霍山县</t>
  </si>
  <si>
    <t>谢家祥</t>
  </si>
  <si>
    <t>刘群</t>
  </si>
  <si>
    <t>赵健</t>
  </si>
  <si>
    <t>芜湖</t>
  </si>
  <si>
    <t>赵陈敏/芜湖天地农资经营部</t>
  </si>
  <si>
    <t>安徽农业大学</t>
  </si>
  <si>
    <t>合肥农业科学院</t>
  </si>
  <si>
    <t>合肥大圣</t>
  </si>
  <si>
    <t>马智慧</t>
  </si>
  <si>
    <t>铜陵县</t>
  </si>
  <si>
    <t>胡文辉</t>
  </si>
  <si>
    <t>王树桥</t>
  </si>
  <si>
    <t>郭兴立</t>
  </si>
  <si>
    <t>来安</t>
  </si>
  <si>
    <t>邱鑫</t>
  </si>
  <si>
    <t>泾县</t>
  </si>
  <si>
    <t>吴锡</t>
  </si>
  <si>
    <t>秦朗</t>
  </si>
  <si>
    <t>蒋传功</t>
  </si>
  <si>
    <t>岳西</t>
  </si>
  <si>
    <t>左言龙</t>
  </si>
  <si>
    <t>马辉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</si>
</sst>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name val="仿宋"/>
      <charset val="134"/>
    </font>
    <font>
      <sz val="10"/>
      <color theme="1"/>
      <name val="宋体"/>
      <charset val="134"/>
      <scheme val="minor"/>
    </font>
    <font>
      <sz val="10"/>
      <color rgb="FF000000"/>
      <name val="仿宋"/>
      <charset val="134"/>
    </font>
    <font>
      <sz val="10"/>
      <color theme="1"/>
      <name val="仿宋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rgb="FF002060"/>
      <name val="宋体"/>
      <charset val="134"/>
      <scheme val="minor"/>
    </font>
    <font>
      <sz val="10"/>
      <color rgb="FF002060"/>
      <name val="仿宋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0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3" fontId="4" fillId="0" borderId="1" xfId="1" applyNumberFormat="1" applyFont="1" applyFill="1" applyBorder="1" applyAlignment="1" applyProtection="1">
      <alignment horizontal="center" vertical="center"/>
      <protection locked="0"/>
    </xf>
    <xf numFmtId="43" fontId="4" fillId="0" borderId="1" xfId="1" applyNumberFormat="1" applyFont="1" applyBorder="1" applyAlignment="1" applyProtection="1">
      <alignment horizontal="center" vertical="center"/>
      <protection locked="0"/>
    </xf>
    <xf numFmtId="43" fontId="4" fillId="0" borderId="1" xfId="1" applyNumberFormat="1" applyFont="1" applyBorder="1" applyAlignment="1" applyProtection="1">
      <alignment horizontal="center" vertical="center" wrapText="1"/>
      <protection locked="0"/>
    </xf>
    <xf numFmtId="43" fontId="4" fillId="0" borderId="1" xfId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76" fontId="0" fillId="0" borderId="1" xfId="0" applyNumberForma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3"/>
  <sheetViews>
    <sheetView tabSelected="1" topLeftCell="A13" workbookViewId="0">
      <selection activeCell="F25" sqref="F25"/>
    </sheetView>
  </sheetViews>
  <sheetFormatPr defaultColWidth="9.64545454545454" defaultRowHeight="14"/>
  <cols>
    <col min="3" max="3" width="10.7545454545455" customWidth="1"/>
    <col min="4" max="4" width="11.8181818181818"/>
    <col min="5" max="5" width="14"/>
    <col min="6" max="6" width="13.8727272727273" customWidth="1"/>
    <col min="7" max="8" width="11.2727272727273" customWidth="1"/>
    <col min="9" max="9" width="16.0909090909091" customWidth="1"/>
    <col min="10" max="10" width="9.64545454545454" customWidth="1"/>
    <col min="11" max="11" width="14" hidden="1" customWidth="1"/>
    <col min="12" max="12" width="9.64545454545454" hidden="1" customWidth="1"/>
    <col min="13" max="13" width="14" hidden="1" customWidth="1"/>
    <col min="14" max="14" width="9.64545454545454" customWidth="1"/>
    <col min="15" max="21" width="9.64545454545454" hidden="1" customWidth="1"/>
  </cols>
  <sheetData>
    <row r="1" ht="23" customHeight="1" spans="1:9">
      <c r="A1" s="2" t="s">
        <v>0</v>
      </c>
      <c r="B1" s="2"/>
      <c r="C1" s="2"/>
      <c r="D1" s="2"/>
      <c r="E1" s="2"/>
      <c r="F1" s="2"/>
      <c r="G1" s="2"/>
      <c r="H1" s="2"/>
      <c r="I1" t="s">
        <v>1</v>
      </c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4" t="s">
        <v>6</v>
      </c>
      <c r="H2" s="4" t="s">
        <v>8</v>
      </c>
      <c r="I2" s="4" t="s">
        <v>9</v>
      </c>
    </row>
    <row r="3" s="1" customFormat="1" spans="1:21">
      <c r="A3" s="3">
        <v>1</v>
      </c>
      <c r="B3" s="5" t="s">
        <v>10</v>
      </c>
      <c r="C3" s="5" t="s">
        <v>11</v>
      </c>
      <c r="D3" s="6">
        <f>132982.2-3527.1</f>
        <v>129455.1</v>
      </c>
      <c r="E3" s="6">
        <v>34.11</v>
      </c>
      <c r="F3" s="6">
        <v>160030.8</v>
      </c>
      <c r="G3" s="6">
        <v>31.83</v>
      </c>
      <c r="H3" s="6">
        <f t="shared" ref="H3:H18" si="0">F3-D3</f>
        <v>30575.7</v>
      </c>
      <c r="I3" s="11">
        <f t="shared" ref="I3:I18" si="1">G3-E3</f>
        <v>-2.28</v>
      </c>
      <c r="K3" s="1">
        <f>D3*E3</f>
        <v>4415713.461</v>
      </c>
      <c r="M3" s="1">
        <f>F3*G3</f>
        <v>5093780.364</v>
      </c>
      <c r="O3" s="16" t="s">
        <v>4</v>
      </c>
      <c r="P3" s="16">
        <v>2022</v>
      </c>
      <c r="Q3" s="16" t="s">
        <v>12</v>
      </c>
      <c r="R3" s="16">
        <v>2023</v>
      </c>
      <c r="S3" s="24" t="s">
        <v>12</v>
      </c>
      <c r="T3" s="16" t="s">
        <v>13</v>
      </c>
      <c r="U3" s="16">
        <v>237.5</v>
      </c>
    </row>
    <row r="4" s="1" customFormat="1" spans="1:21">
      <c r="A4" s="3">
        <v>2</v>
      </c>
      <c r="B4" s="5" t="s">
        <v>14</v>
      </c>
      <c r="C4" s="5" t="s">
        <v>15</v>
      </c>
      <c r="D4" s="6">
        <f>137733-5565.6</f>
        <v>132167.4</v>
      </c>
      <c r="E4" s="6">
        <v>34</v>
      </c>
      <c r="F4" s="6">
        <v>149142.6</v>
      </c>
      <c r="G4" s="6">
        <v>32.2</v>
      </c>
      <c r="H4" s="6">
        <f t="shared" si="0"/>
        <v>16975.2</v>
      </c>
      <c r="I4" s="11">
        <f t="shared" si="1"/>
        <v>-1.8</v>
      </c>
      <c r="K4" s="1">
        <f t="shared" ref="K4:K67" si="2">D4*E4</f>
        <v>4493691.6</v>
      </c>
      <c r="M4" s="1">
        <f t="shared" ref="M4:M67" si="3">F4*G4</f>
        <v>4802391.72</v>
      </c>
      <c r="O4" s="16" t="s">
        <v>16</v>
      </c>
      <c r="P4" s="16">
        <v>1350</v>
      </c>
      <c r="Q4" s="16">
        <v>37.42</v>
      </c>
      <c r="R4" s="16">
        <v>162</v>
      </c>
      <c r="S4" s="24">
        <v>38</v>
      </c>
      <c r="T4" s="16" t="s">
        <v>17</v>
      </c>
      <c r="U4" s="16">
        <v>59</v>
      </c>
    </row>
    <row r="5" s="1" customFormat="1" spans="1:21">
      <c r="A5" s="3">
        <v>3</v>
      </c>
      <c r="B5" s="7" t="s">
        <v>18</v>
      </c>
      <c r="C5" s="7" t="s">
        <v>19</v>
      </c>
      <c r="D5" s="6">
        <f>70026.3-2919.6+60-600</f>
        <v>66566.7</v>
      </c>
      <c r="E5" s="6">
        <v>34.28</v>
      </c>
      <c r="F5" s="6">
        <v>55956.7</v>
      </c>
      <c r="G5" s="6">
        <v>33.09</v>
      </c>
      <c r="H5" s="6">
        <f t="shared" si="0"/>
        <v>-10610</v>
      </c>
      <c r="I5" s="11">
        <f t="shared" si="1"/>
        <v>-1.19</v>
      </c>
      <c r="K5" s="1">
        <f t="shared" si="2"/>
        <v>2281906.476</v>
      </c>
      <c r="M5" s="1">
        <f t="shared" si="3"/>
        <v>1851607.203</v>
      </c>
      <c r="O5" s="16" t="s">
        <v>20</v>
      </c>
      <c r="P5" s="16">
        <v>7500</v>
      </c>
      <c r="Q5" s="16">
        <v>34.74</v>
      </c>
      <c r="R5" s="16">
        <v>7515.9</v>
      </c>
      <c r="S5" s="24">
        <v>34.43</v>
      </c>
      <c r="T5" s="16" t="s">
        <v>21</v>
      </c>
      <c r="U5" s="16">
        <v>1785.5</v>
      </c>
    </row>
    <row r="6" s="1" customFormat="1" spans="1:21">
      <c r="A6" s="3">
        <v>4</v>
      </c>
      <c r="B6" s="3" t="s">
        <v>22</v>
      </c>
      <c r="C6" s="5" t="s">
        <v>23</v>
      </c>
      <c r="D6" s="6">
        <f>45865.35-3716.1</f>
        <v>42149.25</v>
      </c>
      <c r="E6" s="6">
        <v>35.52</v>
      </c>
      <c r="F6" s="6">
        <v>35609.25</v>
      </c>
      <c r="G6" s="8">
        <v>34.63</v>
      </c>
      <c r="H6" s="6">
        <f t="shared" si="0"/>
        <v>-6540</v>
      </c>
      <c r="I6" s="11">
        <f t="shared" si="1"/>
        <v>-0.890000000000001</v>
      </c>
      <c r="K6" s="1">
        <f t="shared" si="2"/>
        <v>1497141.36</v>
      </c>
      <c r="M6" s="1">
        <f t="shared" si="3"/>
        <v>1233148.3275</v>
      </c>
      <c r="O6" s="16" t="s">
        <v>19</v>
      </c>
      <c r="P6" s="16">
        <v>4500</v>
      </c>
      <c r="Q6" s="16">
        <v>34.2</v>
      </c>
      <c r="R6" s="16">
        <v>2919.6</v>
      </c>
      <c r="S6" s="24">
        <v>33.93</v>
      </c>
      <c r="T6" s="16" t="s">
        <v>24</v>
      </c>
      <c r="U6" s="16">
        <v>973</v>
      </c>
    </row>
    <row r="7" s="1" customFormat="1" spans="1:21">
      <c r="A7" s="3">
        <v>5</v>
      </c>
      <c r="B7" s="5" t="s">
        <v>25</v>
      </c>
      <c r="C7" s="5" t="s">
        <v>20</v>
      </c>
      <c r="D7" s="6">
        <f>48105.8-7515.9+119</f>
        <v>40708.9</v>
      </c>
      <c r="E7" s="6">
        <v>35.2</v>
      </c>
      <c r="F7" s="6">
        <v>55628.25</v>
      </c>
      <c r="G7" s="6">
        <v>33.02</v>
      </c>
      <c r="H7" s="6">
        <f t="shared" si="0"/>
        <v>14919.35</v>
      </c>
      <c r="I7" s="11">
        <f t="shared" si="1"/>
        <v>-2.18</v>
      </c>
      <c r="K7" s="1">
        <f t="shared" si="2"/>
        <v>1432953.28</v>
      </c>
      <c r="M7" s="1">
        <f t="shared" si="3"/>
        <v>1836844.815</v>
      </c>
      <c r="O7" s="16" t="s">
        <v>26</v>
      </c>
      <c r="P7" s="16">
        <v>3188</v>
      </c>
      <c r="Q7" s="16">
        <v>37.6</v>
      </c>
      <c r="R7" s="16">
        <v>990.9</v>
      </c>
      <c r="S7" s="24">
        <v>36.7794429306691</v>
      </c>
      <c r="T7" s="16" t="s">
        <v>27</v>
      </c>
      <c r="U7" s="16">
        <v>300</v>
      </c>
    </row>
    <row r="8" s="1" customFormat="1" spans="1:21">
      <c r="A8" s="3">
        <v>6</v>
      </c>
      <c r="B8" s="5" t="s">
        <v>28</v>
      </c>
      <c r="C8" s="7" t="s">
        <v>29</v>
      </c>
      <c r="D8" s="6">
        <v>43451.25</v>
      </c>
      <c r="E8" s="6">
        <v>35.83</v>
      </c>
      <c r="F8" s="6">
        <v>30836.15</v>
      </c>
      <c r="G8" s="6">
        <v>34.7</v>
      </c>
      <c r="H8" s="6">
        <f t="shared" si="0"/>
        <v>-12615.1</v>
      </c>
      <c r="I8" s="11">
        <f t="shared" si="1"/>
        <v>-1.13</v>
      </c>
      <c r="K8" s="1">
        <f t="shared" si="2"/>
        <v>1556858.2875</v>
      </c>
      <c r="M8" s="1">
        <f t="shared" si="3"/>
        <v>1070014.405</v>
      </c>
      <c r="O8" s="16" t="s">
        <v>30</v>
      </c>
      <c r="P8" s="16">
        <v>780</v>
      </c>
      <c r="Q8" s="16">
        <v>38</v>
      </c>
      <c r="R8" s="16">
        <v>2532.6</v>
      </c>
      <c r="S8" s="24">
        <v>37.219252941641</v>
      </c>
      <c r="T8" s="16" t="s">
        <v>31</v>
      </c>
      <c r="U8" s="16">
        <v>2080.5</v>
      </c>
    </row>
    <row r="9" s="1" customFormat="1" spans="1:21">
      <c r="A9" s="3">
        <v>7</v>
      </c>
      <c r="B9" s="5" t="s">
        <v>32</v>
      </c>
      <c r="C9" s="5" t="s">
        <v>13</v>
      </c>
      <c r="D9" s="6">
        <f>21950.55+237.5</f>
        <v>22188.05</v>
      </c>
      <c r="E9" s="6">
        <v>36.6</v>
      </c>
      <c r="F9" s="6">
        <v>28272</v>
      </c>
      <c r="G9" s="6">
        <v>34.3703735144312</v>
      </c>
      <c r="H9" s="6">
        <f t="shared" si="0"/>
        <v>6083.95</v>
      </c>
      <c r="I9" s="11">
        <f t="shared" si="1"/>
        <v>-2.2296264855688</v>
      </c>
      <c r="K9" s="1">
        <f t="shared" si="2"/>
        <v>812082.63</v>
      </c>
      <c r="M9" s="1">
        <f t="shared" si="3"/>
        <v>971719.199999999</v>
      </c>
      <c r="O9" s="16" t="s">
        <v>11</v>
      </c>
      <c r="P9" s="16">
        <v>2915</v>
      </c>
      <c r="Q9" s="16">
        <v>33.34</v>
      </c>
      <c r="R9" s="16">
        <v>3527.1</v>
      </c>
      <c r="S9" s="24">
        <v>33.1811601599047</v>
      </c>
      <c r="T9" s="16" t="s">
        <v>33</v>
      </c>
      <c r="U9" s="16">
        <v>208.5</v>
      </c>
    </row>
    <row r="10" s="1" customFormat="1" spans="1:21">
      <c r="A10" s="3">
        <v>8</v>
      </c>
      <c r="B10" s="3" t="s">
        <v>34</v>
      </c>
      <c r="C10" s="3" t="s">
        <v>35</v>
      </c>
      <c r="D10" s="6">
        <v>31875.6</v>
      </c>
      <c r="E10" s="6">
        <v>36.45</v>
      </c>
      <c r="F10" s="6">
        <v>30521.1</v>
      </c>
      <c r="G10" s="6">
        <v>34.54</v>
      </c>
      <c r="H10" s="6">
        <f t="shared" si="0"/>
        <v>-1354.5</v>
      </c>
      <c r="I10" s="11">
        <f t="shared" si="1"/>
        <v>-1.91</v>
      </c>
      <c r="K10" s="1">
        <f t="shared" si="2"/>
        <v>1161865.62</v>
      </c>
      <c r="M10" s="1">
        <f t="shared" si="3"/>
        <v>1054198.794</v>
      </c>
      <c r="O10" s="16" t="s">
        <v>36</v>
      </c>
      <c r="P10" s="16">
        <v>1180</v>
      </c>
      <c r="Q10" s="16">
        <v>35.64</v>
      </c>
      <c r="R10" s="16">
        <v>3213</v>
      </c>
      <c r="S10" s="24">
        <v>35.330573809816</v>
      </c>
      <c r="T10" s="16" t="s">
        <v>37</v>
      </c>
      <c r="U10" s="16">
        <v>52</v>
      </c>
    </row>
    <row r="11" s="1" customFormat="1" spans="1:21">
      <c r="A11" s="3">
        <v>9</v>
      </c>
      <c r="B11" s="5" t="s">
        <v>38</v>
      </c>
      <c r="C11" s="5" t="s">
        <v>39</v>
      </c>
      <c r="D11" s="6">
        <v>42253.6</v>
      </c>
      <c r="E11" s="6">
        <v>36.4</v>
      </c>
      <c r="F11" s="6">
        <v>56557.8</v>
      </c>
      <c r="G11" s="6">
        <v>33.19</v>
      </c>
      <c r="H11" s="6">
        <f t="shared" si="0"/>
        <v>14304.2</v>
      </c>
      <c r="I11" s="11">
        <f t="shared" si="1"/>
        <v>-3.21</v>
      </c>
      <c r="K11" s="1">
        <f t="shared" si="2"/>
        <v>1538031.04</v>
      </c>
      <c r="M11" s="1">
        <f t="shared" si="3"/>
        <v>1877153.382</v>
      </c>
      <c r="O11" s="16" t="s">
        <v>40</v>
      </c>
      <c r="P11" s="16">
        <v>1832</v>
      </c>
      <c r="Q11" s="16">
        <v>37.34</v>
      </c>
      <c r="R11" s="16">
        <v>1769.4</v>
      </c>
      <c r="S11" s="24">
        <v>37.4684299762631</v>
      </c>
      <c r="T11" s="16" t="s">
        <v>41</v>
      </c>
      <c r="U11" s="16">
        <v>641.5</v>
      </c>
    </row>
    <row r="12" s="1" customFormat="1" spans="1:21">
      <c r="A12" s="3">
        <v>10</v>
      </c>
      <c r="B12" s="5" t="s">
        <v>42</v>
      </c>
      <c r="C12" s="7" t="s">
        <v>43</v>
      </c>
      <c r="D12" s="6">
        <v>25100.8</v>
      </c>
      <c r="E12" s="6">
        <v>35.83</v>
      </c>
      <c r="F12" s="6">
        <v>41534.1</v>
      </c>
      <c r="G12" s="6">
        <v>33.34</v>
      </c>
      <c r="H12" s="6">
        <f t="shared" si="0"/>
        <v>16433.3</v>
      </c>
      <c r="I12" s="11">
        <f t="shared" si="1"/>
        <v>-2.48999999999999</v>
      </c>
      <c r="K12" s="1">
        <f t="shared" si="2"/>
        <v>899361.664</v>
      </c>
      <c r="M12" s="1">
        <f t="shared" si="3"/>
        <v>1384746.894</v>
      </c>
      <c r="O12" s="16" t="s">
        <v>44</v>
      </c>
      <c r="P12" s="16">
        <v>15045</v>
      </c>
      <c r="Q12" s="16">
        <v>36.87</v>
      </c>
      <c r="R12" s="16">
        <v>11328.3</v>
      </c>
      <c r="S12" s="24">
        <v>36.3782721149687</v>
      </c>
      <c r="T12" s="16" t="s">
        <v>45</v>
      </c>
      <c r="U12" s="16">
        <v>92</v>
      </c>
    </row>
    <row r="13" s="1" customFormat="1" spans="1:21">
      <c r="A13" s="3">
        <v>11</v>
      </c>
      <c r="B13" s="5" t="s">
        <v>46</v>
      </c>
      <c r="C13" s="7" t="s">
        <v>36</v>
      </c>
      <c r="D13" s="6">
        <f>26402.7-3213</f>
        <v>23189.7</v>
      </c>
      <c r="E13" s="9">
        <v>36</v>
      </c>
      <c r="F13" s="6">
        <v>25391.1</v>
      </c>
      <c r="G13" s="6">
        <v>35.91</v>
      </c>
      <c r="H13" s="6">
        <f t="shared" si="0"/>
        <v>2201.4</v>
      </c>
      <c r="I13" s="11">
        <f t="shared" si="1"/>
        <v>-0.0900000000000034</v>
      </c>
      <c r="K13" s="1">
        <f t="shared" si="2"/>
        <v>834829.2</v>
      </c>
      <c r="M13" s="1">
        <f t="shared" si="3"/>
        <v>911794.401</v>
      </c>
      <c r="O13" s="16" t="s">
        <v>23</v>
      </c>
      <c r="P13" s="16">
        <v>2220</v>
      </c>
      <c r="Q13" s="16">
        <v>34.81</v>
      </c>
      <c r="R13" s="16">
        <v>3716.1</v>
      </c>
      <c r="S13" s="24">
        <v>35.3181938053336</v>
      </c>
      <c r="T13" s="16" t="s">
        <v>47</v>
      </c>
      <c r="U13" s="16">
        <v>96</v>
      </c>
    </row>
    <row r="14" s="1" customFormat="1" spans="1:21">
      <c r="A14" s="3">
        <v>12</v>
      </c>
      <c r="B14" s="5" t="s">
        <v>48</v>
      </c>
      <c r="C14" s="7" t="s">
        <v>49</v>
      </c>
      <c r="D14" s="6">
        <f>23544.9-22886</f>
        <v>658.900000000001</v>
      </c>
      <c r="E14" s="9">
        <v>35.79</v>
      </c>
      <c r="F14" s="6">
        <v>3068</v>
      </c>
      <c r="G14" s="6">
        <v>33.23</v>
      </c>
      <c r="H14" s="6">
        <f t="shared" si="0"/>
        <v>2409.1</v>
      </c>
      <c r="I14" s="11">
        <f t="shared" si="1"/>
        <v>-2.56</v>
      </c>
      <c r="K14" s="1">
        <f t="shared" si="2"/>
        <v>23582.031</v>
      </c>
      <c r="M14" s="1">
        <f t="shared" si="3"/>
        <v>101949.64</v>
      </c>
      <c r="O14" s="16" t="s">
        <v>50</v>
      </c>
      <c r="P14" s="16">
        <v>4110</v>
      </c>
      <c r="Q14" s="16">
        <v>37.21</v>
      </c>
      <c r="R14" s="16">
        <v>4911.75</v>
      </c>
      <c r="S14" s="24">
        <v>37.72</v>
      </c>
      <c r="T14" s="16" t="s">
        <v>51</v>
      </c>
      <c r="U14" s="16">
        <v>60</v>
      </c>
    </row>
    <row r="15" s="1" customFormat="1" spans="1:21">
      <c r="A15" s="3">
        <v>13</v>
      </c>
      <c r="B15" s="5" t="s">
        <v>52</v>
      </c>
      <c r="C15" s="7" t="s">
        <v>53</v>
      </c>
      <c r="D15" s="6">
        <v>20007</v>
      </c>
      <c r="E15" s="9">
        <v>36.75</v>
      </c>
      <c r="F15" s="6">
        <v>25020</v>
      </c>
      <c r="G15" s="6">
        <v>34.8420463629097</v>
      </c>
      <c r="H15" s="6">
        <f t="shared" si="0"/>
        <v>5013</v>
      </c>
      <c r="I15" s="11">
        <f t="shared" si="1"/>
        <v>-1.9079536370903</v>
      </c>
      <c r="K15" s="1">
        <f t="shared" si="2"/>
        <v>735257.25</v>
      </c>
      <c r="M15" s="1">
        <f t="shared" si="3"/>
        <v>871748.000000001</v>
      </c>
      <c r="O15" s="16" t="s">
        <v>49</v>
      </c>
      <c r="P15" s="16">
        <v>23807</v>
      </c>
      <c r="Q15" s="16">
        <v>36.21</v>
      </c>
      <c r="R15" s="16">
        <v>22886</v>
      </c>
      <c r="S15" s="16">
        <v>35.76</v>
      </c>
      <c r="T15" s="16" t="s">
        <v>19</v>
      </c>
      <c r="U15" s="16">
        <v>60</v>
      </c>
    </row>
    <row r="16" s="1" customFormat="1" spans="1:21">
      <c r="A16" s="3">
        <v>14</v>
      </c>
      <c r="B16" s="5" t="s">
        <v>54</v>
      </c>
      <c r="C16" s="5" t="s">
        <v>55</v>
      </c>
      <c r="D16" s="6">
        <v>21562.8</v>
      </c>
      <c r="E16" s="10">
        <v>36.74</v>
      </c>
      <c r="F16" s="6">
        <v>32940</v>
      </c>
      <c r="G16" s="6">
        <v>34.37</v>
      </c>
      <c r="H16" s="6">
        <f t="shared" si="0"/>
        <v>11377.2</v>
      </c>
      <c r="I16" s="11">
        <f t="shared" si="1"/>
        <v>-2.37</v>
      </c>
      <c r="K16" s="1">
        <f t="shared" si="2"/>
        <v>792217.272</v>
      </c>
      <c r="M16" s="1">
        <f t="shared" si="3"/>
        <v>1132147.8</v>
      </c>
      <c r="O16" s="16" t="s">
        <v>56</v>
      </c>
      <c r="P16" s="16">
        <v>0</v>
      </c>
      <c r="Q16" s="16" t="s">
        <v>57</v>
      </c>
      <c r="R16" s="16">
        <v>1013</v>
      </c>
      <c r="S16" s="16">
        <v>36.83</v>
      </c>
      <c r="T16" s="16" t="s">
        <v>58</v>
      </c>
      <c r="U16" s="16">
        <v>119</v>
      </c>
    </row>
    <row r="17" s="1" customFormat="1" spans="1:21">
      <c r="A17" s="3">
        <v>15</v>
      </c>
      <c r="B17" s="5" t="s">
        <v>59</v>
      </c>
      <c r="C17" s="5" t="s">
        <v>60</v>
      </c>
      <c r="D17" s="6">
        <v>20034</v>
      </c>
      <c r="E17" s="9">
        <v>36.0101799940986</v>
      </c>
      <c r="F17" s="6">
        <v>23137.7</v>
      </c>
      <c r="G17" s="6">
        <v>36.33</v>
      </c>
      <c r="H17" s="6">
        <f t="shared" si="0"/>
        <v>3103.7</v>
      </c>
      <c r="I17" s="11">
        <f t="shared" si="1"/>
        <v>0.319820005901398</v>
      </c>
      <c r="K17" s="1">
        <f t="shared" si="2"/>
        <v>721427.946001771</v>
      </c>
      <c r="M17" s="1">
        <f t="shared" si="3"/>
        <v>840592.641</v>
      </c>
      <c r="O17" s="16" t="s">
        <v>61</v>
      </c>
      <c r="P17" s="16">
        <v>877</v>
      </c>
      <c r="Q17" s="16">
        <v>37.34</v>
      </c>
      <c r="R17" s="16">
        <v>648</v>
      </c>
      <c r="S17" s="16">
        <v>36.46</v>
      </c>
      <c r="T17" s="16" t="s">
        <v>62</v>
      </c>
      <c r="U17" s="16">
        <v>400</v>
      </c>
    </row>
    <row r="18" s="1" customFormat="1" spans="1:19">
      <c r="A18" s="3">
        <v>16</v>
      </c>
      <c r="B18" s="5" t="s">
        <v>14</v>
      </c>
      <c r="C18" s="7" t="s">
        <v>63</v>
      </c>
      <c r="D18" s="6">
        <v>7821</v>
      </c>
      <c r="E18" s="6">
        <v>36.51</v>
      </c>
      <c r="F18" s="6">
        <v>8316</v>
      </c>
      <c r="G18" s="6">
        <v>37.86</v>
      </c>
      <c r="H18" s="6">
        <f t="shared" si="0"/>
        <v>495</v>
      </c>
      <c r="I18" s="11">
        <f t="shared" si="1"/>
        <v>1.35</v>
      </c>
      <c r="K18" s="1">
        <f t="shared" si="2"/>
        <v>285544.71</v>
      </c>
      <c r="M18" s="1">
        <f t="shared" si="3"/>
        <v>314843.76</v>
      </c>
      <c r="O18" s="16" t="s">
        <v>64</v>
      </c>
      <c r="P18" s="16">
        <v>750</v>
      </c>
      <c r="Q18" s="16">
        <v>36.85</v>
      </c>
      <c r="R18" s="16">
        <v>1089.9</v>
      </c>
      <c r="S18" s="16">
        <v>36.35</v>
      </c>
    </row>
    <row r="19" s="1" customFormat="1" spans="1:19">
      <c r="A19" s="3">
        <v>17</v>
      </c>
      <c r="B19" s="5" t="s">
        <v>65</v>
      </c>
      <c r="C19" s="7" t="s">
        <v>66</v>
      </c>
      <c r="D19" s="11">
        <f>6078.15</f>
        <v>6078.15</v>
      </c>
      <c r="E19" s="11">
        <v>36.78</v>
      </c>
      <c r="F19" s="6">
        <v>10184.4</v>
      </c>
      <c r="G19" s="6">
        <v>34.92</v>
      </c>
      <c r="H19" s="6">
        <f t="shared" ref="H19:H41" si="4">F19-D19</f>
        <v>4106.25</v>
      </c>
      <c r="I19" s="11">
        <f t="shared" ref="I19:I41" si="5">G19-E19</f>
        <v>-1.86</v>
      </c>
      <c r="K19" s="1">
        <f t="shared" si="2"/>
        <v>223554.357</v>
      </c>
      <c r="M19" s="1">
        <f t="shared" si="3"/>
        <v>355639.248</v>
      </c>
      <c r="O19" s="16" t="s">
        <v>67</v>
      </c>
      <c r="P19" s="16">
        <v>450</v>
      </c>
      <c r="Q19" s="16">
        <v>38.62</v>
      </c>
      <c r="R19" s="16">
        <v>375.3</v>
      </c>
      <c r="S19" s="16">
        <v>38.52</v>
      </c>
    </row>
    <row r="20" s="1" customFormat="1" spans="1:19">
      <c r="A20" s="3">
        <v>18</v>
      </c>
      <c r="B20" s="5" t="s">
        <v>32</v>
      </c>
      <c r="C20" s="5" t="s">
        <v>68</v>
      </c>
      <c r="D20" s="6">
        <f>9133.1-2133</f>
        <v>7000.1</v>
      </c>
      <c r="E20" s="6">
        <v>37.66</v>
      </c>
      <c r="F20" s="6">
        <v>5088</v>
      </c>
      <c r="G20" s="6">
        <v>37.5207547169811</v>
      </c>
      <c r="H20" s="6">
        <f t="shared" si="4"/>
        <v>-1912.1</v>
      </c>
      <c r="I20" s="11">
        <f t="shared" si="5"/>
        <v>-0.139245283018894</v>
      </c>
      <c r="K20" s="1">
        <f t="shared" si="2"/>
        <v>263623.766</v>
      </c>
      <c r="M20" s="1">
        <f t="shared" si="3"/>
        <v>190905.6</v>
      </c>
      <c r="O20" s="16" t="s">
        <v>69</v>
      </c>
      <c r="P20" s="16">
        <v>120</v>
      </c>
      <c r="Q20" s="16">
        <v>38</v>
      </c>
      <c r="R20" s="16">
        <v>675</v>
      </c>
      <c r="S20" s="16">
        <v>38</v>
      </c>
    </row>
    <row r="21" s="1" customFormat="1" spans="1:19">
      <c r="A21" s="3">
        <v>19</v>
      </c>
      <c r="B21" s="5" t="s">
        <v>70</v>
      </c>
      <c r="C21" s="7" t="s">
        <v>71</v>
      </c>
      <c r="D21" s="6">
        <f>10521.6-163.8</f>
        <v>10357.8</v>
      </c>
      <c r="E21" s="6">
        <v>37.26</v>
      </c>
      <c r="F21" s="6">
        <v>15179.2</v>
      </c>
      <c r="G21" s="6">
        <v>35.27</v>
      </c>
      <c r="H21" s="6">
        <f t="shared" si="4"/>
        <v>4821.4</v>
      </c>
      <c r="I21" s="11">
        <f t="shared" si="5"/>
        <v>-1.98999999999999</v>
      </c>
      <c r="K21" s="1">
        <f t="shared" si="2"/>
        <v>385931.628</v>
      </c>
      <c r="M21" s="1">
        <f t="shared" si="3"/>
        <v>535370.384</v>
      </c>
      <c r="O21" s="16" t="s">
        <v>71</v>
      </c>
      <c r="P21" s="16">
        <v>1843.5</v>
      </c>
      <c r="Q21" s="16">
        <v>36.87</v>
      </c>
      <c r="R21" s="16">
        <v>163.8</v>
      </c>
      <c r="S21" s="16">
        <v>36.23</v>
      </c>
    </row>
    <row r="22" s="1" customFormat="1" spans="1:19">
      <c r="A22" s="3">
        <v>20</v>
      </c>
      <c r="B22" s="5" t="s">
        <v>72</v>
      </c>
      <c r="C22" s="7" t="s">
        <v>64</v>
      </c>
      <c r="D22" s="6">
        <f>9567.45-1089.9</f>
        <v>8477.55</v>
      </c>
      <c r="E22" s="6">
        <v>37.13</v>
      </c>
      <c r="F22" s="6">
        <v>11143.8</v>
      </c>
      <c r="G22" s="6">
        <v>34.85</v>
      </c>
      <c r="H22" s="6">
        <f t="shared" si="4"/>
        <v>2666.25</v>
      </c>
      <c r="I22" s="11">
        <f t="shared" si="5"/>
        <v>-2.28</v>
      </c>
      <c r="K22" s="1">
        <f t="shared" si="2"/>
        <v>314771.4315</v>
      </c>
      <c r="M22" s="1">
        <f t="shared" si="3"/>
        <v>388361.43</v>
      </c>
      <c r="O22" s="16" t="s">
        <v>73</v>
      </c>
      <c r="P22" s="16">
        <v>881</v>
      </c>
      <c r="Q22" s="16">
        <v>37.6</v>
      </c>
      <c r="R22" s="16">
        <v>106.2</v>
      </c>
      <c r="S22" s="16">
        <v>36.2</v>
      </c>
    </row>
    <row r="23" s="1" customFormat="1" spans="1:19">
      <c r="A23" s="3">
        <v>21</v>
      </c>
      <c r="B23" s="5" t="s">
        <v>14</v>
      </c>
      <c r="C23" s="7" t="s">
        <v>74</v>
      </c>
      <c r="D23" s="6">
        <v>3720</v>
      </c>
      <c r="E23" s="6">
        <v>38.79</v>
      </c>
      <c r="F23" s="6">
        <v>0</v>
      </c>
      <c r="G23" s="6">
        <v>0</v>
      </c>
      <c r="H23" s="6"/>
      <c r="I23" s="11"/>
      <c r="K23" s="1">
        <f t="shared" si="2"/>
        <v>144298.8</v>
      </c>
      <c r="M23" s="1">
        <f t="shared" si="3"/>
        <v>0</v>
      </c>
      <c r="O23" s="16" t="s">
        <v>75</v>
      </c>
      <c r="P23" s="16">
        <v>135</v>
      </c>
      <c r="Q23" s="16">
        <v>38</v>
      </c>
      <c r="R23" s="16">
        <v>370.8</v>
      </c>
      <c r="S23" s="16">
        <v>37.45</v>
      </c>
    </row>
    <row r="24" spans="1:19">
      <c r="A24" s="3">
        <v>22</v>
      </c>
      <c r="B24" s="5" t="s">
        <v>76</v>
      </c>
      <c r="C24" s="7" t="s">
        <v>17</v>
      </c>
      <c r="D24" s="6">
        <f>8458.45-658.8+59</f>
        <v>7858.65</v>
      </c>
      <c r="E24" s="6">
        <v>37.7</v>
      </c>
      <c r="F24" s="6">
        <v>10462.5</v>
      </c>
      <c r="G24" s="6">
        <v>35.5527522102748</v>
      </c>
      <c r="H24" s="6">
        <f t="shared" si="4"/>
        <v>2603.85</v>
      </c>
      <c r="I24" s="11">
        <f t="shared" si="5"/>
        <v>-2.14724778972521</v>
      </c>
      <c r="K24" s="1">
        <f t="shared" si="2"/>
        <v>296271.105</v>
      </c>
      <c r="M24" s="1">
        <f t="shared" si="3"/>
        <v>371970.67</v>
      </c>
      <c r="O24" s="16" t="s">
        <v>77</v>
      </c>
      <c r="P24" s="16">
        <v>0</v>
      </c>
      <c r="Q24" s="16" t="s">
        <v>57</v>
      </c>
      <c r="R24" s="16">
        <v>602.1</v>
      </c>
      <c r="S24" s="16">
        <v>38.24</v>
      </c>
    </row>
    <row r="25" s="1" customFormat="1" spans="1:19">
      <c r="A25" s="3">
        <v>23</v>
      </c>
      <c r="B25" s="5" t="s">
        <v>78</v>
      </c>
      <c r="C25" s="7" t="s">
        <v>79</v>
      </c>
      <c r="D25" s="11">
        <v>4887</v>
      </c>
      <c r="E25" s="11">
        <v>37.98</v>
      </c>
      <c r="F25" s="6">
        <v>7455.6</v>
      </c>
      <c r="G25" s="6">
        <v>35.16</v>
      </c>
      <c r="H25" s="6">
        <f t="shared" si="4"/>
        <v>2568.6</v>
      </c>
      <c r="I25" s="11">
        <f t="shared" si="5"/>
        <v>-2.82</v>
      </c>
      <c r="K25" s="1">
        <f t="shared" si="2"/>
        <v>185608.26</v>
      </c>
      <c r="M25" s="1">
        <f t="shared" si="3"/>
        <v>262138.896</v>
      </c>
      <c r="O25" s="16" t="s">
        <v>80</v>
      </c>
      <c r="P25" s="16">
        <v>0</v>
      </c>
      <c r="Q25" s="16" t="s">
        <v>57</v>
      </c>
      <c r="R25" s="16">
        <v>535.05</v>
      </c>
      <c r="S25" s="16">
        <v>38.27</v>
      </c>
    </row>
    <row r="26" spans="1:19">
      <c r="A26" s="3">
        <v>24</v>
      </c>
      <c r="B26" s="3" t="s">
        <v>81</v>
      </c>
      <c r="C26" s="7" t="s">
        <v>61</v>
      </c>
      <c r="D26" s="9">
        <f>4979.7-648</f>
        <v>4331.7</v>
      </c>
      <c r="E26" s="9">
        <v>37.16</v>
      </c>
      <c r="F26" s="6">
        <v>5224.5</v>
      </c>
      <c r="G26" s="6">
        <v>36.21</v>
      </c>
      <c r="H26" s="6">
        <f t="shared" si="4"/>
        <v>892.8</v>
      </c>
      <c r="I26" s="11">
        <f t="shared" si="5"/>
        <v>-0.949999999999996</v>
      </c>
      <c r="K26" s="1">
        <f t="shared" si="2"/>
        <v>160965.972</v>
      </c>
      <c r="M26" s="1">
        <f t="shared" si="3"/>
        <v>189179.145</v>
      </c>
      <c r="O26" s="16" t="s">
        <v>82</v>
      </c>
      <c r="P26" s="16">
        <v>0</v>
      </c>
      <c r="Q26" s="16" t="s">
        <v>57</v>
      </c>
      <c r="R26" s="16">
        <v>540</v>
      </c>
      <c r="S26" s="16">
        <v>38</v>
      </c>
    </row>
    <row r="27" spans="1:19">
      <c r="A27" s="3">
        <v>25</v>
      </c>
      <c r="B27" s="5" t="s">
        <v>38</v>
      </c>
      <c r="C27" s="5" t="s">
        <v>83</v>
      </c>
      <c r="D27" s="6">
        <f>4053.6-3087.9</f>
        <v>965.7</v>
      </c>
      <c r="E27" s="6">
        <v>37.6</v>
      </c>
      <c r="F27" s="6">
        <v>2575.3</v>
      </c>
      <c r="G27" s="6">
        <v>38.8350871743098</v>
      </c>
      <c r="H27" s="6">
        <f t="shared" si="4"/>
        <v>1609.6</v>
      </c>
      <c r="I27" s="11">
        <f t="shared" si="5"/>
        <v>1.2350871743098</v>
      </c>
      <c r="K27" s="1">
        <f t="shared" si="2"/>
        <v>36310.32</v>
      </c>
      <c r="M27" s="1">
        <f t="shared" si="3"/>
        <v>100012</v>
      </c>
      <c r="O27" s="17" t="s">
        <v>15</v>
      </c>
      <c r="P27" s="18">
        <v>9491</v>
      </c>
      <c r="Q27" s="16">
        <v>33.21</v>
      </c>
      <c r="R27" s="18">
        <v>5565.6</v>
      </c>
      <c r="S27" s="16">
        <v>33.09</v>
      </c>
    </row>
    <row r="28" spans="1:19">
      <c r="A28" s="3">
        <v>26</v>
      </c>
      <c r="B28" s="5" t="s">
        <v>25</v>
      </c>
      <c r="C28" s="5" t="s">
        <v>84</v>
      </c>
      <c r="D28" s="11">
        <v>1614</v>
      </c>
      <c r="E28" s="11">
        <v>37.66</v>
      </c>
      <c r="F28" s="6">
        <v>7311.6</v>
      </c>
      <c r="G28" s="6">
        <v>35.67</v>
      </c>
      <c r="H28" s="6">
        <f t="shared" si="4"/>
        <v>5697.6</v>
      </c>
      <c r="I28" s="11">
        <f t="shared" si="5"/>
        <v>-1.98999999999999</v>
      </c>
      <c r="K28" s="1">
        <f t="shared" si="2"/>
        <v>60783.24</v>
      </c>
      <c r="M28" s="1">
        <f t="shared" si="3"/>
        <v>260804.772</v>
      </c>
      <c r="O28" s="16" t="s">
        <v>68</v>
      </c>
      <c r="P28" s="19">
        <v>3199</v>
      </c>
      <c r="Q28" s="16">
        <v>36.31</v>
      </c>
      <c r="R28" s="19">
        <v>2133</v>
      </c>
      <c r="S28" s="16">
        <v>37.51</v>
      </c>
    </row>
    <row r="29" spans="1:19">
      <c r="A29" s="3">
        <v>27</v>
      </c>
      <c r="B29" s="3" t="s">
        <v>85</v>
      </c>
      <c r="C29" s="5" t="s">
        <v>26</v>
      </c>
      <c r="D29" s="11">
        <f>5550.8-990.9</f>
        <v>4559.9</v>
      </c>
      <c r="E29" s="11">
        <v>37.51</v>
      </c>
      <c r="F29" s="6">
        <v>10254.6</v>
      </c>
      <c r="G29" s="6">
        <v>34.29</v>
      </c>
      <c r="H29" s="6">
        <f t="shared" si="4"/>
        <v>5694.7</v>
      </c>
      <c r="I29" s="11">
        <f t="shared" si="5"/>
        <v>-3.22</v>
      </c>
      <c r="K29" s="1">
        <f t="shared" si="2"/>
        <v>171041.849</v>
      </c>
      <c r="M29" s="1">
        <f t="shared" si="3"/>
        <v>351630.234</v>
      </c>
      <c r="O29" s="16" t="s">
        <v>83</v>
      </c>
      <c r="P29" s="20">
        <v>2708</v>
      </c>
      <c r="Q29" s="16">
        <v>37.6</v>
      </c>
      <c r="R29" s="19">
        <v>3087.9</v>
      </c>
      <c r="S29" s="16">
        <v>38.13</v>
      </c>
    </row>
    <row r="30" spans="1:19">
      <c r="A30" s="3">
        <v>28</v>
      </c>
      <c r="B30" s="5" t="s">
        <v>52</v>
      </c>
      <c r="C30" s="7" t="s">
        <v>86</v>
      </c>
      <c r="D30" s="6">
        <f>2232.9-1381.5</f>
        <v>851.4</v>
      </c>
      <c r="E30" s="6">
        <v>30.8</v>
      </c>
      <c r="F30" s="6">
        <v>0</v>
      </c>
      <c r="G30" s="6">
        <v>0</v>
      </c>
      <c r="H30" s="6"/>
      <c r="I30" s="11"/>
      <c r="K30" s="1">
        <f t="shared" si="2"/>
        <v>26223.12</v>
      </c>
      <c r="M30" s="1">
        <f t="shared" si="3"/>
        <v>0</v>
      </c>
      <c r="O30" s="16" t="s">
        <v>86</v>
      </c>
      <c r="P30" s="21">
        <v>1668</v>
      </c>
      <c r="Q30" s="16">
        <v>37.96</v>
      </c>
      <c r="R30" s="21">
        <v>1381.5</v>
      </c>
      <c r="S30" s="16">
        <v>30.54</v>
      </c>
    </row>
    <row r="31" spans="1:19">
      <c r="A31" s="3">
        <v>29</v>
      </c>
      <c r="B31" s="3" t="s">
        <v>87</v>
      </c>
      <c r="C31" s="3" t="s">
        <v>73</v>
      </c>
      <c r="D31" s="9">
        <f>1113.3-106.2</f>
        <v>1007.1</v>
      </c>
      <c r="E31" s="9">
        <v>37.45</v>
      </c>
      <c r="F31" s="6">
        <v>4158.2</v>
      </c>
      <c r="G31" s="6">
        <v>36.04</v>
      </c>
      <c r="H31" s="6">
        <f t="shared" si="4"/>
        <v>3151.1</v>
      </c>
      <c r="I31" s="11">
        <f t="shared" si="5"/>
        <v>-1.41</v>
      </c>
      <c r="K31" s="1">
        <f t="shared" si="2"/>
        <v>37715.895</v>
      </c>
      <c r="M31" s="1">
        <f t="shared" si="3"/>
        <v>149861.528</v>
      </c>
      <c r="O31" s="16" t="s">
        <v>17</v>
      </c>
      <c r="P31" s="18">
        <v>810</v>
      </c>
      <c r="Q31" s="16">
        <v>37.32</v>
      </c>
      <c r="R31" s="18">
        <v>658.8</v>
      </c>
      <c r="S31" s="16">
        <v>36.86</v>
      </c>
    </row>
    <row r="32" spans="1:19">
      <c r="A32" s="3">
        <v>30</v>
      </c>
      <c r="B32" s="3" t="s">
        <v>88</v>
      </c>
      <c r="C32" s="7" t="s">
        <v>89</v>
      </c>
      <c r="D32" s="11">
        <v>3740.7</v>
      </c>
      <c r="E32" s="11">
        <v>38.2</v>
      </c>
      <c r="F32" s="6">
        <v>3225.6</v>
      </c>
      <c r="G32" s="6">
        <v>38.76</v>
      </c>
      <c r="H32" s="6">
        <f t="shared" si="4"/>
        <v>-515.1</v>
      </c>
      <c r="I32" s="11">
        <f t="shared" si="5"/>
        <v>0.559999999999995</v>
      </c>
      <c r="K32" s="1">
        <f t="shared" si="2"/>
        <v>142894.74</v>
      </c>
      <c r="M32" s="1">
        <f t="shared" si="3"/>
        <v>125024.256</v>
      </c>
      <c r="O32" s="16" t="s">
        <v>90</v>
      </c>
      <c r="P32" s="21">
        <v>341.5</v>
      </c>
      <c r="Q32" s="16">
        <v>38.15</v>
      </c>
      <c r="R32" s="21">
        <v>240.3</v>
      </c>
      <c r="S32" s="16">
        <v>37.93</v>
      </c>
    </row>
    <row r="33" spans="1:19">
      <c r="A33" s="3">
        <v>31</v>
      </c>
      <c r="B33" s="3" t="s">
        <v>46</v>
      </c>
      <c r="C33" s="3" t="s">
        <v>91</v>
      </c>
      <c r="D33" s="11">
        <v>4079.5</v>
      </c>
      <c r="E33" s="11">
        <v>37.85</v>
      </c>
      <c r="F33" s="6">
        <v>2241</v>
      </c>
      <c r="G33" s="6">
        <v>37.66</v>
      </c>
      <c r="H33" s="6">
        <f t="shared" si="4"/>
        <v>-1838.5</v>
      </c>
      <c r="I33" s="11">
        <f t="shared" si="5"/>
        <v>-0.190000000000005</v>
      </c>
      <c r="K33" s="1">
        <f t="shared" si="2"/>
        <v>154409.075</v>
      </c>
      <c r="M33" s="1">
        <f t="shared" si="3"/>
        <v>84396.06</v>
      </c>
      <c r="O33" s="16" t="s">
        <v>92</v>
      </c>
      <c r="P33" s="21">
        <v>1440</v>
      </c>
      <c r="Q33" s="16">
        <v>38</v>
      </c>
      <c r="R33" s="21">
        <v>1561.5</v>
      </c>
      <c r="S33" s="16">
        <v>38.15</v>
      </c>
    </row>
    <row r="34" spans="1:19">
      <c r="A34" s="3">
        <v>32</v>
      </c>
      <c r="B34" s="5" t="s">
        <v>93</v>
      </c>
      <c r="C34" s="7" t="s">
        <v>94</v>
      </c>
      <c r="D34" s="9">
        <v>2088.1</v>
      </c>
      <c r="E34" s="9">
        <v>35.52</v>
      </c>
      <c r="F34" s="6">
        <v>3981.5</v>
      </c>
      <c r="G34" s="6">
        <v>37.83</v>
      </c>
      <c r="H34" s="6">
        <f t="shared" si="4"/>
        <v>1893.4</v>
      </c>
      <c r="I34" s="11">
        <f t="shared" si="5"/>
        <v>2.31</v>
      </c>
      <c r="K34" s="1">
        <f t="shared" si="2"/>
        <v>74169.312</v>
      </c>
      <c r="M34" s="1">
        <f t="shared" si="3"/>
        <v>150620.145</v>
      </c>
      <c r="O34" s="16" t="s">
        <v>95</v>
      </c>
      <c r="P34" s="19">
        <v>689</v>
      </c>
      <c r="Q34" s="16">
        <v>37.59</v>
      </c>
      <c r="R34" s="19">
        <v>2180.25</v>
      </c>
      <c r="S34" s="16">
        <v>37.89</v>
      </c>
    </row>
    <row r="35" spans="1:19">
      <c r="A35" s="3">
        <v>33</v>
      </c>
      <c r="B35" s="5" t="s">
        <v>96</v>
      </c>
      <c r="C35" s="7" t="s">
        <v>56</v>
      </c>
      <c r="D35" s="9">
        <f>2994.2-1013</f>
        <v>1981.2</v>
      </c>
      <c r="E35" s="9">
        <v>37.19</v>
      </c>
      <c r="F35" s="6">
        <v>2048.85</v>
      </c>
      <c r="G35" s="6">
        <v>37.7</v>
      </c>
      <c r="H35" s="6">
        <f t="shared" si="4"/>
        <v>67.6499999999999</v>
      </c>
      <c r="I35" s="11">
        <f t="shared" si="5"/>
        <v>0.510000000000005</v>
      </c>
      <c r="K35" s="1">
        <f t="shared" si="2"/>
        <v>73680.828</v>
      </c>
      <c r="M35" s="1">
        <f t="shared" si="3"/>
        <v>77241.645</v>
      </c>
      <c r="O35" s="16" t="s">
        <v>97</v>
      </c>
      <c r="P35" s="16">
        <v>210</v>
      </c>
      <c r="Q35" s="16">
        <v>39</v>
      </c>
      <c r="R35" s="21">
        <v>270</v>
      </c>
      <c r="S35" s="16">
        <v>41</v>
      </c>
    </row>
    <row r="36" spans="1:19">
      <c r="A36" s="3">
        <v>34</v>
      </c>
      <c r="B36" s="3" t="s">
        <v>98</v>
      </c>
      <c r="C36" s="7" t="s">
        <v>75</v>
      </c>
      <c r="D36" s="9">
        <f>644.4-370.8</f>
        <v>273.6</v>
      </c>
      <c r="E36" s="9">
        <v>36.37</v>
      </c>
      <c r="F36" s="6">
        <v>270</v>
      </c>
      <c r="G36" s="6">
        <v>38</v>
      </c>
      <c r="H36" s="6">
        <f t="shared" si="4"/>
        <v>-3.60000000000002</v>
      </c>
      <c r="I36" s="11">
        <f t="shared" si="5"/>
        <v>1.63</v>
      </c>
      <c r="K36" s="1">
        <f t="shared" si="2"/>
        <v>9950.832</v>
      </c>
      <c r="M36" s="1">
        <f t="shared" si="3"/>
        <v>10260</v>
      </c>
      <c r="O36" s="16" t="s">
        <v>99</v>
      </c>
      <c r="P36" s="16"/>
      <c r="Q36" s="16"/>
      <c r="R36" s="16">
        <v>540</v>
      </c>
      <c r="S36" s="24">
        <v>38</v>
      </c>
    </row>
    <row r="37" spans="1:19">
      <c r="A37" s="3">
        <v>35</v>
      </c>
      <c r="B37" s="5" t="s">
        <v>100</v>
      </c>
      <c r="C37" s="7" t="s">
        <v>95</v>
      </c>
      <c r="D37" s="6">
        <f>2821.05-2180.25</f>
        <v>640.8</v>
      </c>
      <c r="E37" s="6">
        <v>37.1132468407153</v>
      </c>
      <c r="F37" s="6">
        <v>0</v>
      </c>
      <c r="G37" s="6">
        <v>0</v>
      </c>
      <c r="H37" s="6"/>
      <c r="I37" s="11"/>
      <c r="K37" s="1">
        <f t="shared" si="2"/>
        <v>23782.1685755304</v>
      </c>
      <c r="M37" s="1">
        <f t="shared" si="3"/>
        <v>0</v>
      </c>
      <c r="O37" s="16" t="s">
        <v>101</v>
      </c>
      <c r="P37" s="16"/>
      <c r="Q37" s="16"/>
      <c r="R37" s="16">
        <v>81</v>
      </c>
      <c r="S37" s="24">
        <v>41</v>
      </c>
    </row>
    <row r="38" spans="1:19">
      <c r="A38" s="3">
        <v>36</v>
      </c>
      <c r="B38" s="3" t="s">
        <v>102</v>
      </c>
      <c r="C38" s="5" t="s">
        <v>103</v>
      </c>
      <c r="D38" s="6">
        <v>1658.7</v>
      </c>
      <c r="E38" s="6">
        <v>40.8392476035449</v>
      </c>
      <c r="F38" s="6">
        <v>2295</v>
      </c>
      <c r="G38" s="6">
        <v>39.5642701525054</v>
      </c>
      <c r="H38" s="6">
        <f t="shared" si="4"/>
        <v>636.3</v>
      </c>
      <c r="I38" s="11">
        <f t="shared" si="5"/>
        <v>-1.2749774510395</v>
      </c>
      <c r="K38" s="1">
        <f t="shared" si="2"/>
        <v>67740.0599999999</v>
      </c>
      <c r="M38" s="1">
        <f t="shared" si="3"/>
        <v>90799.9999999999</v>
      </c>
      <c r="O38" s="16" t="s">
        <v>104</v>
      </c>
      <c r="P38" s="16">
        <v>120</v>
      </c>
      <c r="Q38" s="16">
        <v>38</v>
      </c>
      <c r="R38" s="16">
        <v>548.1</v>
      </c>
      <c r="S38" s="24">
        <v>38.08</v>
      </c>
    </row>
    <row r="39" spans="1:19">
      <c r="A39" s="3">
        <v>37</v>
      </c>
      <c r="B39" s="3" t="s">
        <v>105</v>
      </c>
      <c r="C39" s="3" t="s">
        <v>92</v>
      </c>
      <c r="D39" s="6">
        <f>1611.5-1561.5</f>
        <v>50</v>
      </c>
      <c r="E39" s="6">
        <v>37.2</v>
      </c>
      <c r="F39" s="6">
        <v>0</v>
      </c>
      <c r="G39" s="6">
        <v>0</v>
      </c>
      <c r="H39" s="6"/>
      <c r="I39" s="11"/>
      <c r="K39" s="1">
        <f t="shared" si="2"/>
        <v>1860</v>
      </c>
      <c r="M39" s="1">
        <f t="shared" si="3"/>
        <v>0</v>
      </c>
      <c r="O39" s="16" t="s">
        <v>106</v>
      </c>
      <c r="P39" s="16"/>
      <c r="Q39" s="16"/>
      <c r="R39" s="16">
        <v>81</v>
      </c>
      <c r="S39" s="24">
        <v>41</v>
      </c>
    </row>
    <row r="40" spans="1:19">
      <c r="A40" s="3">
        <v>38</v>
      </c>
      <c r="B40" s="5" t="s">
        <v>107</v>
      </c>
      <c r="C40" s="7" t="s">
        <v>108</v>
      </c>
      <c r="D40" s="6">
        <v>810</v>
      </c>
      <c r="E40" s="6">
        <v>39</v>
      </c>
      <c r="F40" s="6">
        <v>0</v>
      </c>
      <c r="G40" s="6">
        <v>0</v>
      </c>
      <c r="H40" s="6"/>
      <c r="I40" s="11"/>
      <c r="K40" s="1">
        <f t="shared" si="2"/>
        <v>31590</v>
      </c>
      <c r="M40" s="1">
        <f t="shared" si="3"/>
        <v>0</v>
      </c>
      <c r="O40" s="22"/>
      <c r="P40" s="22">
        <v>94160</v>
      </c>
      <c r="Q40" s="25">
        <v>0</v>
      </c>
      <c r="R40" s="22">
        <v>89920.75</v>
      </c>
      <c r="S40" s="25">
        <v>0</v>
      </c>
    </row>
    <row r="41" spans="1:13">
      <c r="A41" s="3">
        <v>39</v>
      </c>
      <c r="B41" s="3" t="s">
        <v>109</v>
      </c>
      <c r="C41" s="7" t="s">
        <v>110</v>
      </c>
      <c r="D41" s="6">
        <v>1539</v>
      </c>
      <c r="E41" s="6">
        <v>38.99</v>
      </c>
      <c r="F41" s="6">
        <v>5049</v>
      </c>
      <c r="G41" s="6">
        <v>35.8222024163201</v>
      </c>
      <c r="H41" s="6">
        <f t="shared" si="4"/>
        <v>3510</v>
      </c>
      <c r="I41" s="11">
        <f t="shared" si="5"/>
        <v>-3.1677975836799</v>
      </c>
      <c r="K41" s="1">
        <f t="shared" si="2"/>
        <v>60005.61</v>
      </c>
      <c r="M41" s="1">
        <f t="shared" si="3"/>
        <v>180866.3</v>
      </c>
    </row>
    <row r="42" spans="1:13">
      <c r="A42" s="3">
        <v>40</v>
      </c>
      <c r="B42" s="3" t="s">
        <v>111</v>
      </c>
      <c r="C42" s="3" t="s">
        <v>112</v>
      </c>
      <c r="D42" s="9">
        <v>602.1</v>
      </c>
      <c r="E42" s="9">
        <v>38.24</v>
      </c>
      <c r="F42" s="6">
        <v>0</v>
      </c>
      <c r="G42" s="6">
        <v>0</v>
      </c>
      <c r="H42" s="6"/>
      <c r="I42" s="11"/>
      <c r="K42" s="1">
        <f t="shared" si="2"/>
        <v>23024.304</v>
      </c>
      <c r="M42" s="1">
        <f t="shared" si="3"/>
        <v>0</v>
      </c>
    </row>
    <row r="43" spans="1:13">
      <c r="A43" s="3">
        <v>42</v>
      </c>
      <c r="B43" s="5" t="s">
        <v>113</v>
      </c>
      <c r="C43" s="7" t="s">
        <v>114</v>
      </c>
      <c r="D43" s="9">
        <v>1063.2</v>
      </c>
      <c r="E43" s="9">
        <v>37.64</v>
      </c>
      <c r="F43" s="6">
        <v>6750</v>
      </c>
      <c r="G43" s="6">
        <v>35.62</v>
      </c>
      <c r="H43" s="6">
        <f t="shared" ref="H42:H74" si="6">F43-D43</f>
        <v>5686.8</v>
      </c>
      <c r="I43" s="11">
        <f t="shared" ref="I42:I74" si="7">G43-E43</f>
        <v>-2.02</v>
      </c>
      <c r="K43" s="1">
        <f t="shared" si="2"/>
        <v>40018.848</v>
      </c>
      <c r="M43" s="1">
        <f t="shared" si="3"/>
        <v>240435</v>
      </c>
    </row>
    <row r="44" spans="1:13">
      <c r="A44" s="3">
        <v>43</v>
      </c>
      <c r="B44" s="5" t="s">
        <v>105</v>
      </c>
      <c r="C44" s="7" t="s">
        <v>115</v>
      </c>
      <c r="D44" s="6">
        <v>1312.65</v>
      </c>
      <c r="E44" s="6">
        <v>37.4763646059498</v>
      </c>
      <c r="F44" s="6">
        <v>0</v>
      </c>
      <c r="G44" s="6">
        <v>0</v>
      </c>
      <c r="H44" s="6"/>
      <c r="I44" s="11"/>
      <c r="K44" s="1">
        <f t="shared" si="2"/>
        <v>49193.35</v>
      </c>
      <c r="M44" s="1">
        <f t="shared" si="3"/>
        <v>0</v>
      </c>
    </row>
    <row r="45" spans="1:13">
      <c r="A45" s="3">
        <v>44</v>
      </c>
      <c r="B45" s="3" t="s">
        <v>116</v>
      </c>
      <c r="C45" s="3" t="s">
        <v>117</v>
      </c>
      <c r="D45" s="9">
        <v>1003.5</v>
      </c>
      <c r="E45" s="9">
        <v>37.51</v>
      </c>
      <c r="F45" s="6">
        <v>1002.6</v>
      </c>
      <c r="G45" s="6">
        <v>38.01</v>
      </c>
      <c r="H45" s="6">
        <f t="shared" si="6"/>
        <v>-0.899999999999977</v>
      </c>
      <c r="I45" s="11">
        <f t="shared" si="7"/>
        <v>0.5</v>
      </c>
      <c r="K45" s="1">
        <f t="shared" si="2"/>
        <v>37641.285</v>
      </c>
      <c r="M45" s="1">
        <f t="shared" si="3"/>
        <v>38108.826</v>
      </c>
    </row>
    <row r="46" spans="1:13">
      <c r="A46" s="3">
        <v>45</v>
      </c>
      <c r="B46" s="5" t="s">
        <v>118</v>
      </c>
      <c r="C46" s="7" t="s">
        <v>24</v>
      </c>
      <c r="D46" s="9">
        <f>1306.3+973</f>
        <v>2279.3</v>
      </c>
      <c r="E46" s="9">
        <v>38.54</v>
      </c>
      <c r="F46" s="6">
        <v>576</v>
      </c>
      <c r="G46" s="6">
        <v>28</v>
      </c>
      <c r="H46" s="6">
        <f t="shared" si="6"/>
        <v>-1703.3</v>
      </c>
      <c r="I46" s="11">
        <f t="shared" si="7"/>
        <v>-10.54</v>
      </c>
      <c r="K46" s="1">
        <f t="shared" si="2"/>
        <v>87844.222</v>
      </c>
      <c r="M46" s="1">
        <f t="shared" si="3"/>
        <v>16128</v>
      </c>
    </row>
    <row r="47" spans="1:13">
      <c r="A47" s="3">
        <v>46</v>
      </c>
      <c r="B47" s="5" t="s">
        <v>119</v>
      </c>
      <c r="C47" s="5" t="s">
        <v>120</v>
      </c>
      <c r="D47" s="11">
        <v>726</v>
      </c>
      <c r="E47" s="11">
        <v>37.62</v>
      </c>
      <c r="F47" s="6">
        <v>1053</v>
      </c>
      <c r="G47" s="6">
        <v>39.05</v>
      </c>
      <c r="H47" s="6">
        <f t="shared" si="6"/>
        <v>327</v>
      </c>
      <c r="I47" s="11">
        <f t="shared" si="7"/>
        <v>1.43</v>
      </c>
      <c r="K47" s="1">
        <f t="shared" si="2"/>
        <v>27312.12</v>
      </c>
      <c r="M47" s="1">
        <f t="shared" si="3"/>
        <v>41119.65</v>
      </c>
    </row>
    <row r="48" spans="1:13">
      <c r="A48" s="3">
        <v>47</v>
      </c>
      <c r="B48" s="5" t="s">
        <v>121</v>
      </c>
      <c r="C48" s="5" t="s">
        <v>122</v>
      </c>
      <c r="D48" s="11">
        <v>324</v>
      </c>
      <c r="E48" s="11">
        <v>39</v>
      </c>
      <c r="F48" s="6">
        <v>0</v>
      </c>
      <c r="G48" s="6">
        <v>0</v>
      </c>
      <c r="H48" s="6"/>
      <c r="I48" s="11"/>
      <c r="K48" s="1">
        <f t="shared" si="2"/>
        <v>12636</v>
      </c>
      <c r="M48" s="1">
        <f t="shared" si="3"/>
        <v>0</v>
      </c>
    </row>
    <row r="49" spans="1:13">
      <c r="A49" s="3">
        <v>48</v>
      </c>
      <c r="B49" s="5"/>
      <c r="C49" s="7" t="s">
        <v>123</v>
      </c>
      <c r="D49" s="6">
        <v>5022</v>
      </c>
      <c r="E49" s="9">
        <v>37.7</v>
      </c>
      <c r="F49" s="6">
        <v>0</v>
      </c>
      <c r="G49" s="6">
        <v>0</v>
      </c>
      <c r="H49" s="6"/>
      <c r="I49" s="11"/>
      <c r="K49" s="1">
        <f t="shared" si="2"/>
        <v>189329.4</v>
      </c>
      <c r="M49" s="1">
        <f t="shared" si="3"/>
        <v>0</v>
      </c>
    </row>
    <row r="50" spans="1:15">
      <c r="A50" s="3">
        <v>49</v>
      </c>
      <c r="B50" s="5" t="s">
        <v>111</v>
      </c>
      <c r="C50" s="7" t="s">
        <v>124</v>
      </c>
      <c r="D50" s="9">
        <v>775.8</v>
      </c>
      <c r="E50" s="9">
        <v>39</v>
      </c>
      <c r="F50" s="6">
        <v>0</v>
      </c>
      <c r="G50" s="6">
        <v>0</v>
      </c>
      <c r="H50" s="6"/>
      <c r="I50" s="11"/>
      <c r="J50" s="23"/>
      <c r="K50" s="1">
        <f t="shared" si="2"/>
        <v>30256.2</v>
      </c>
      <c r="L50" s="23"/>
      <c r="M50" s="1">
        <f t="shared" si="3"/>
        <v>0</v>
      </c>
      <c r="N50" s="23"/>
      <c r="O50" s="23"/>
    </row>
    <row r="51" spans="1:13">
      <c r="A51" s="3">
        <v>50</v>
      </c>
      <c r="B51" s="5" t="s">
        <v>125</v>
      </c>
      <c r="C51" s="7" t="s">
        <v>69</v>
      </c>
      <c r="D51" s="9">
        <f>810-675</f>
        <v>135</v>
      </c>
      <c r="E51" s="9">
        <v>37.42</v>
      </c>
      <c r="F51" s="6">
        <v>0</v>
      </c>
      <c r="G51" s="6">
        <v>0</v>
      </c>
      <c r="H51" s="6"/>
      <c r="I51" s="11"/>
      <c r="K51" s="1">
        <f t="shared" si="2"/>
        <v>5051.7</v>
      </c>
      <c r="M51" s="1">
        <f t="shared" si="3"/>
        <v>0</v>
      </c>
    </row>
    <row r="52" spans="1:13">
      <c r="A52" s="3">
        <v>51</v>
      </c>
      <c r="B52" s="5" t="s">
        <v>116</v>
      </c>
      <c r="C52" s="12" t="s">
        <v>67</v>
      </c>
      <c r="D52" s="9">
        <f>437.8-375.3</f>
        <v>62.5</v>
      </c>
      <c r="E52" s="9">
        <v>37.72</v>
      </c>
      <c r="F52" s="6">
        <v>0</v>
      </c>
      <c r="G52" s="6">
        <v>0</v>
      </c>
      <c r="H52" s="6"/>
      <c r="I52" s="11"/>
      <c r="K52" s="1">
        <f t="shared" si="2"/>
        <v>2357.5</v>
      </c>
      <c r="M52" s="1">
        <f t="shared" si="3"/>
        <v>0</v>
      </c>
    </row>
    <row r="53" spans="1:13">
      <c r="A53" s="3">
        <v>52</v>
      </c>
      <c r="B53" s="7" t="s">
        <v>126</v>
      </c>
      <c r="C53" s="7" t="s">
        <v>127</v>
      </c>
      <c r="D53" s="11">
        <v>1112.85</v>
      </c>
      <c r="E53" s="13">
        <v>37.9</v>
      </c>
      <c r="F53" s="6">
        <v>2356.2</v>
      </c>
      <c r="G53" s="6">
        <v>35.44</v>
      </c>
      <c r="H53" s="6">
        <f t="shared" si="6"/>
        <v>1243.35</v>
      </c>
      <c r="I53" s="11">
        <f t="shared" si="7"/>
        <v>-2.46</v>
      </c>
      <c r="K53" s="1">
        <f t="shared" si="2"/>
        <v>42177.015</v>
      </c>
      <c r="M53" s="1">
        <f t="shared" si="3"/>
        <v>83503.728</v>
      </c>
    </row>
    <row r="54" spans="1:13">
      <c r="A54" s="3">
        <v>55</v>
      </c>
      <c r="B54" s="5"/>
      <c r="C54" s="7" t="s">
        <v>128</v>
      </c>
      <c r="D54" s="6">
        <v>1081</v>
      </c>
      <c r="E54" s="10">
        <v>36.8</v>
      </c>
      <c r="F54" s="6">
        <v>0</v>
      </c>
      <c r="G54" s="6">
        <v>0</v>
      </c>
      <c r="H54" s="6">
        <f t="shared" si="6"/>
        <v>-1081</v>
      </c>
      <c r="I54" s="11">
        <f t="shared" si="7"/>
        <v>-36.8</v>
      </c>
      <c r="K54" s="1">
        <f t="shared" si="2"/>
        <v>39780.8</v>
      </c>
      <c r="M54" s="1">
        <f t="shared" si="3"/>
        <v>0</v>
      </c>
    </row>
    <row r="55" spans="1:13">
      <c r="A55" s="3">
        <v>56</v>
      </c>
      <c r="B55" s="5" t="s">
        <v>46</v>
      </c>
      <c r="C55" s="7" t="s">
        <v>129</v>
      </c>
      <c r="D55" s="6">
        <v>891</v>
      </c>
      <c r="E55" s="10">
        <v>43</v>
      </c>
      <c r="F55" s="6">
        <v>0</v>
      </c>
      <c r="G55" s="6">
        <v>0</v>
      </c>
      <c r="H55" s="6">
        <f t="shared" si="6"/>
        <v>-891</v>
      </c>
      <c r="I55" s="11">
        <f t="shared" si="7"/>
        <v>-43</v>
      </c>
      <c r="K55" s="1">
        <f t="shared" si="2"/>
        <v>38313</v>
      </c>
      <c r="M55" s="1">
        <f t="shared" si="3"/>
        <v>0</v>
      </c>
    </row>
    <row r="56" spans="1:13">
      <c r="A56" s="3">
        <v>58</v>
      </c>
      <c r="B56" s="5" t="s">
        <v>118</v>
      </c>
      <c r="C56" s="5" t="s">
        <v>82</v>
      </c>
      <c r="D56" s="9">
        <v>0</v>
      </c>
      <c r="E56" s="9">
        <v>0</v>
      </c>
      <c r="F56" s="6">
        <v>5016.15</v>
      </c>
      <c r="G56" s="6">
        <v>36.11</v>
      </c>
      <c r="H56" s="6">
        <f t="shared" si="6"/>
        <v>5016.15</v>
      </c>
      <c r="I56" s="11">
        <f t="shared" si="7"/>
        <v>36.11</v>
      </c>
      <c r="K56" s="1">
        <f t="shared" si="2"/>
        <v>0</v>
      </c>
      <c r="M56" s="1">
        <f t="shared" si="3"/>
        <v>181133.1765</v>
      </c>
    </row>
    <row r="57" spans="1:13">
      <c r="A57" s="3">
        <v>59</v>
      </c>
      <c r="B57" s="5" t="s">
        <v>81</v>
      </c>
      <c r="C57" s="5" t="s">
        <v>27</v>
      </c>
      <c r="D57" s="9">
        <v>300</v>
      </c>
      <c r="E57" s="9">
        <v>30</v>
      </c>
      <c r="F57" s="6">
        <v>405</v>
      </c>
      <c r="G57" s="6">
        <v>40</v>
      </c>
      <c r="H57" s="6">
        <f t="shared" si="6"/>
        <v>105</v>
      </c>
      <c r="I57" s="11">
        <f t="shared" si="7"/>
        <v>10</v>
      </c>
      <c r="K57" s="1">
        <f t="shared" si="2"/>
        <v>9000</v>
      </c>
      <c r="M57" s="1">
        <f t="shared" si="3"/>
        <v>16200</v>
      </c>
    </row>
    <row r="58" spans="1:13">
      <c r="A58" s="3">
        <v>62</v>
      </c>
      <c r="B58" s="5" t="s">
        <v>130</v>
      </c>
      <c r="C58" s="5" t="s">
        <v>131</v>
      </c>
      <c r="D58" s="5">
        <v>75</v>
      </c>
      <c r="E58" s="5">
        <v>40.32</v>
      </c>
      <c r="F58" s="6">
        <v>0</v>
      </c>
      <c r="G58" s="6">
        <v>0</v>
      </c>
      <c r="H58" s="6"/>
      <c r="I58" s="11"/>
      <c r="K58" s="1">
        <f t="shared" si="2"/>
        <v>3024</v>
      </c>
      <c r="M58" s="1">
        <f t="shared" si="3"/>
        <v>0</v>
      </c>
    </row>
    <row r="59" spans="1:13">
      <c r="A59" s="3">
        <v>63</v>
      </c>
      <c r="B59" s="5" t="s">
        <v>132</v>
      </c>
      <c r="C59" s="5" t="s">
        <v>133</v>
      </c>
      <c r="D59" s="5">
        <v>81</v>
      </c>
      <c r="E59" s="5">
        <v>42</v>
      </c>
      <c r="F59" s="6">
        <v>0</v>
      </c>
      <c r="G59" s="6">
        <v>0</v>
      </c>
      <c r="H59" s="6"/>
      <c r="I59" s="11"/>
      <c r="K59" s="1">
        <f t="shared" si="2"/>
        <v>3402</v>
      </c>
      <c r="M59" s="1">
        <f t="shared" si="3"/>
        <v>0</v>
      </c>
    </row>
    <row r="60" spans="1:13">
      <c r="A60" s="3">
        <v>64</v>
      </c>
      <c r="B60" s="5" t="s">
        <v>98</v>
      </c>
      <c r="C60" s="5" t="s">
        <v>134</v>
      </c>
      <c r="D60" s="5">
        <v>60</v>
      </c>
      <c r="E60" s="5">
        <v>50</v>
      </c>
      <c r="F60" s="6">
        <v>0</v>
      </c>
      <c r="G60" s="6">
        <v>0</v>
      </c>
      <c r="H60" s="6"/>
      <c r="I60" s="11"/>
      <c r="K60" s="1">
        <f t="shared" si="2"/>
        <v>3000</v>
      </c>
      <c r="M60" s="1">
        <f t="shared" si="3"/>
        <v>0</v>
      </c>
    </row>
    <row r="61" spans="1:13">
      <c r="A61" s="3">
        <v>65</v>
      </c>
      <c r="B61" s="5" t="s">
        <v>38</v>
      </c>
      <c r="C61" s="5" t="s">
        <v>135</v>
      </c>
      <c r="D61" s="14">
        <v>0</v>
      </c>
      <c r="E61" s="15">
        <v>0</v>
      </c>
      <c r="F61" s="6">
        <v>1686</v>
      </c>
      <c r="G61" s="6">
        <v>12.4673784104389</v>
      </c>
      <c r="H61" s="6"/>
      <c r="I61" s="11"/>
      <c r="K61" s="1">
        <f t="shared" si="2"/>
        <v>0</v>
      </c>
      <c r="M61" s="1">
        <f t="shared" si="3"/>
        <v>21020</v>
      </c>
    </row>
    <row r="62" spans="1:13">
      <c r="A62" s="3">
        <v>66</v>
      </c>
      <c r="B62" s="5" t="s">
        <v>52</v>
      </c>
      <c r="C62" s="5" t="s">
        <v>21</v>
      </c>
      <c r="D62" s="14">
        <v>1785.5</v>
      </c>
      <c r="E62" s="15">
        <v>30</v>
      </c>
      <c r="F62" s="6">
        <v>3115</v>
      </c>
      <c r="G62" s="6">
        <v>25.76886035313</v>
      </c>
      <c r="H62" s="6">
        <f t="shared" si="6"/>
        <v>1329.5</v>
      </c>
      <c r="I62" s="11">
        <f t="shared" si="7"/>
        <v>-4.23113964687</v>
      </c>
      <c r="K62" s="1">
        <f t="shared" si="2"/>
        <v>53565</v>
      </c>
      <c r="M62" s="1">
        <f t="shared" si="3"/>
        <v>80269.9999999999</v>
      </c>
    </row>
    <row r="63" spans="1:13">
      <c r="A63" s="3">
        <v>67</v>
      </c>
      <c r="B63" s="5" t="s">
        <v>136</v>
      </c>
      <c r="C63" s="5" t="s">
        <v>137</v>
      </c>
      <c r="D63" s="14">
        <f>949.95-240.3</f>
        <v>709.65</v>
      </c>
      <c r="E63" s="10">
        <v>38.5</v>
      </c>
      <c r="F63" s="6">
        <v>729</v>
      </c>
      <c r="G63" s="6">
        <v>40</v>
      </c>
      <c r="H63" s="6">
        <f t="shared" si="6"/>
        <v>19.35</v>
      </c>
      <c r="I63" s="11">
        <f t="shared" si="7"/>
        <v>1.5</v>
      </c>
      <c r="K63" s="1">
        <f t="shared" si="2"/>
        <v>27321.525</v>
      </c>
      <c r="M63" s="1">
        <f t="shared" si="3"/>
        <v>29160</v>
      </c>
    </row>
    <row r="64" spans="1:13">
      <c r="A64" s="3">
        <v>70</v>
      </c>
      <c r="B64" s="7"/>
      <c r="C64" s="7" t="s">
        <v>138</v>
      </c>
      <c r="D64" s="7">
        <v>5</v>
      </c>
      <c r="E64" s="7">
        <v>40</v>
      </c>
      <c r="F64" s="6">
        <v>60</v>
      </c>
      <c r="G64" s="6">
        <v>33.33</v>
      </c>
      <c r="H64" s="6">
        <f t="shared" si="6"/>
        <v>55</v>
      </c>
      <c r="I64" s="11">
        <f t="shared" si="7"/>
        <v>-6.67</v>
      </c>
      <c r="K64" s="1">
        <f t="shared" si="2"/>
        <v>200</v>
      </c>
      <c r="M64" s="1">
        <f t="shared" si="3"/>
        <v>1999.8</v>
      </c>
    </row>
    <row r="65" spans="1:13">
      <c r="A65" s="3">
        <v>71</v>
      </c>
      <c r="B65" s="7"/>
      <c r="C65" s="7" t="s">
        <v>139</v>
      </c>
      <c r="D65" s="7">
        <v>5</v>
      </c>
      <c r="E65" s="7">
        <v>40</v>
      </c>
      <c r="F65" s="6">
        <v>1</v>
      </c>
      <c r="G65" s="6">
        <v>60</v>
      </c>
      <c r="H65" s="6">
        <f t="shared" si="6"/>
        <v>-4</v>
      </c>
      <c r="I65" s="11">
        <f t="shared" si="7"/>
        <v>20</v>
      </c>
      <c r="K65" s="1">
        <f t="shared" si="2"/>
        <v>200</v>
      </c>
      <c r="M65" s="1">
        <f t="shared" si="3"/>
        <v>60</v>
      </c>
    </row>
    <row r="66" spans="1:13">
      <c r="A66" s="3">
        <v>72</v>
      </c>
      <c r="B66" s="7"/>
      <c r="C66" s="7" t="s">
        <v>62</v>
      </c>
      <c r="D66" s="7">
        <v>400</v>
      </c>
      <c r="E66" s="7">
        <v>22</v>
      </c>
      <c r="F66" s="6">
        <v>450</v>
      </c>
      <c r="G66" s="6">
        <v>22</v>
      </c>
      <c r="H66" s="6">
        <f t="shared" si="6"/>
        <v>50</v>
      </c>
      <c r="I66" s="11">
        <f t="shared" si="7"/>
        <v>0</v>
      </c>
      <c r="K66" s="1">
        <f t="shared" si="2"/>
        <v>8800</v>
      </c>
      <c r="M66" s="1">
        <f t="shared" si="3"/>
        <v>9900</v>
      </c>
    </row>
    <row r="67" spans="1:13">
      <c r="A67" s="3">
        <v>76</v>
      </c>
      <c r="B67" s="7"/>
      <c r="C67" s="7" t="s">
        <v>140</v>
      </c>
      <c r="D67" s="7">
        <v>0</v>
      </c>
      <c r="E67" s="7">
        <v>0</v>
      </c>
      <c r="F67" s="6">
        <v>240</v>
      </c>
      <c r="G67" s="6">
        <v>39</v>
      </c>
      <c r="H67" s="6"/>
      <c r="I67" s="11"/>
      <c r="K67" s="1">
        <f t="shared" si="2"/>
        <v>0</v>
      </c>
      <c r="M67" s="1">
        <f t="shared" si="3"/>
        <v>9360</v>
      </c>
    </row>
    <row r="68" spans="1:13">
      <c r="A68" s="3">
        <v>77</v>
      </c>
      <c r="B68" s="7" t="s">
        <v>72</v>
      </c>
      <c r="C68" s="7" t="s">
        <v>141</v>
      </c>
      <c r="D68" s="7">
        <v>0</v>
      </c>
      <c r="E68" s="7">
        <v>0</v>
      </c>
      <c r="F68" s="6">
        <v>630</v>
      </c>
      <c r="G68" s="6">
        <v>37.48</v>
      </c>
      <c r="H68" s="6"/>
      <c r="I68" s="11"/>
      <c r="K68" s="1">
        <f>D68*E68</f>
        <v>0</v>
      </c>
      <c r="M68" s="1">
        <f t="shared" ref="M68:M78" si="8">F68*G68</f>
        <v>23612.4</v>
      </c>
    </row>
    <row r="69" spans="1:13">
      <c r="A69" s="3">
        <v>78</v>
      </c>
      <c r="B69" s="7" t="s">
        <v>142</v>
      </c>
      <c r="C69" s="7" t="s">
        <v>143</v>
      </c>
      <c r="D69" s="7">
        <v>0</v>
      </c>
      <c r="E69" s="7">
        <v>0</v>
      </c>
      <c r="F69" s="6">
        <v>1402.5</v>
      </c>
      <c r="G69" s="6">
        <v>26</v>
      </c>
      <c r="H69" s="6"/>
      <c r="I69" s="11"/>
      <c r="K69" s="1">
        <f>D69*E69</f>
        <v>0</v>
      </c>
      <c r="M69" s="1">
        <f t="shared" si="8"/>
        <v>36465</v>
      </c>
    </row>
    <row r="70" customFormat="1" spans="1:13">
      <c r="A70" s="7"/>
      <c r="B70" s="7"/>
      <c r="C70" s="7" t="s">
        <v>144</v>
      </c>
      <c r="D70" s="7">
        <v>2934.9</v>
      </c>
      <c r="E70" s="7">
        <v>37.64</v>
      </c>
      <c r="F70" s="7">
        <v>4495.5</v>
      </c>
      <c r="G70" s="7">
        <v>37.96</v>
      </c>
      <c r="H70" s="6">
        <f t="shared" si="6"/>
        <v>1560.6</v>
      </c>
      <c r="I70" s="11">
        <f t="shared" si="7"/>
        <v>0.32</v>
      </c>
      <c r="K70" s="1">
        <f>D70*E70</f>
        <v>110469.636</v>
      </c>
      <c r="M70" s="1">
        <f t="shared" si="8"/>
        <v>170649.18</v>
      </c>
    </row>
    <row r="71" spans="1:13">
      <c r="A71" s="7"/>
      <c r="B71" s="7" t="s">
        <v>100</v>
      </c>
      <c r="C71" s="7" t="s">
        <v>145</v>
      </c>
      <c r="D71" s="7">
        <v>0</v>
      </c>
      <c r="E71" s="7">
        <v>0</v>
      </c>
      <c r="F71" s="6">
        <v>2970</v>
      </c>
      <c r="G71" s="6">
        <v>38</v>
      </c>
      <c r="H71" s="6">
        <f t="shared" si="6"/>
        <v>2970</v>
      </c>
      <c r="I71" s="11">
        <f t="shared" si="7"/>
        <v>38</v>
      </c>
      <c r="K71" s="1">
        <f t="shared" ref="K71:K78" si="9">D71*E71</f>
        <v>0</v>
      </c>
      <c r="M71" s="1">
        <f t="shared" si="8"/>
        <v>112860</v>
      </c>
    </row>
    <row r="72" spans="1:13">
      <c r="A72" s="7"/>
      <c r="B72" s="7" t="s">
        <v>146</v>
      </c>
      <c r="C72" s="7" t="s">
        <v>99</v>
      </c>
      <c r="D72" s="7">
        <v>0</v>
      </c>
      <c r="E72" s="7">
        <v>0</v>
      </c>
      <c r="F72" s="6">
        <v>1026</v>
      </c>
      <c r="G72" s="6">
        <v>40.91</v>
      </c>
      <c r="H72" s="6">
        <f t="shared" si="6"/>
        <v>1026</v>
      </c>
      <c r="I72" s="11">
        <f t="shared" si="7"/>
        <v>40.91</v>
      </c>
      <c r="K72" s="1">
        <f t="shared" si="9"/>
        <v>0</v>
      </c>
      <c r="M72" s="1">
        <f t="shared" si="8"/>
        <v>41973.66</v>
      </c>
    </row>
    <row r="73" spans="1:13">
      <c r="A73" s="7"/>
      <c r="B73" s="7" t="s">
        <v>14</v>
      </c>
      <c r="C73" s="7" t="s">
        <v>147</v>
      </c>
      <c r="D73" s="7">
        <v>0</v>
      </c>
      <c r="E73" s="7">
        <v>0</v>
      </c>
      <c r="F73" s="6">
        <v>6415.2</v>
      </c>
      <c r="G73" s="6">
        <v>37.3</v>
      </c>
      <c r="H73" s="6">
        <f t="shared" si="6"/>
        <v>6415.2</v>
      </c>
      <c r="I73" s="11">
        <f t="shared" si="7"/>
        <v>37.3</v>
      </c>
      <c r="K73" s="1">
        <f t="shared" si="9"/>
        <v>0</v>
      </c>
      <c r="M73" s="1">
        <f t="shared" si="8"/>
        <v>239286.96</v>
      </c>
    </row>
    <row r="74" spans="1:13">
      <c r="A74" s="7"/>
      <c r="B74" s="7" t="s">
        <v>148</v>
      </c>
      <c r="C74" s="7" t="s">
        <v>149</v>
      </c>
      <c r="D74" s="7">
        <v>0</v>
      </c>
      <c r="E74" s="7">
        <v>0</v>
      </c>
      <c r="F74" s="6">
        <v>486</v>
      </c>
      <c r="G74" s="6">
        <v>40</v>
      </c>
      <c r="H74" s="6">
        <f t="shared" si="6"/>
        <v>486</v>
      </c>
      <c r="I74" s="11">
        <f t="shared" si="7"/>
        <v>40</v>
      </c>
      <c r="K74" s="1">
        <f t="shared" si="9"/>
        <v>0</v>
      </c>
      <c r="M74" s="1">
        <f t="shared" si="8"/>
        <v>19440</v>
      </c>
    </row>
    <row r="75" spans="1:13">
      <c r="A75" s="7"/>
      <c r="B75" s="7" t="s">
        <v>34</v>
      </c>
      <c r="C75" s="7" t="s">
        <v>150</v>
      </c>
      <c r="D75" s="7"/>
      <c r="E75" s="26"/>
      <c r="F75" s="7">
        <v>2889</v>
      </c>
      <c r="G75" s="26">
        <v>37</v>
      </c>
      <c r="H75" s="7"/>
      <c r="I75" s="7"/>
      <c r="K75" s="1">
        <f t="shared" si="9"/>
        <v>0</v>
      </c>
      <c r="M75" s="1">
        <f t="shared" si="8"/>
        <v>106893</v>
      </c>
    </row>
    <row r="76" spans="1:13">
      <c r="A76" s="7"/>
      <c r="B76" s="7" t="s">
        <v>34</v>
      </c>
      <c r="C76" s="7" t="s">
        <v>151</v>
      </c>
      <c r="D76" s="7"/>
      <c r="E76" s="26"/>
      <c r="F76" s="7">
        <v>300</v>
      </c>
      <c r="G76" s="26">
        <v>40</v>
      </c>
      <c r="H76" s="7"/>
      <c r="I76" s="7"/>
      <c r="K76" s="1">
        <f t="shared" si="9"/>
        <v>0</v>
      </c>
      <c r="M76" s="1">
        <f t="shared" si="8"/>
        <v>12000</v>
      </c>
    </row>
    <row r="77" spans="1:13">
      <c r="A77" s="7"/>
      <c r="B77" s="7" t="s">
        <v>152</v>
      </c>
      <c r="C77" s="7" t="s">
        <v>153</v>
      </c>
      <c r="D77" s="7"/>
      <c r="E77" s="26"/>
      <c r="F77" s="7">
        <v>850</v>
      </c>
      <c r="G77" s="26">
        <v>38.6</v>
      </c>
      <c r="H77" s="7"/>
      <c r="I77" s="7"/>
      <c r="K77" s="1">
        <f t="shared" si="9"/>
        <v>0</v>
      </c>
      <c r="M77" s="1">
        <f t="shared" si="8"/>
        <v>32810</v>
      </c>
    </row>
    <row r="78" spans="1:13">
      <c r="A78" s="7"/>
      <c r="B78" s="7" t="s">
        <v>22</v>
      </c>
      <c r="C78" s="7" t="s">
        <v>154</v>
      </c>
      <c r="D78" s="7"/>
      <c r="E78" s="7"/>
      <c r="F78" s="6">
        <v>30</v>
      </c>
      <c r="G78" s="6">
        <v>42</v>
      </c>
      <c r="H78" s="7"/>
      <c r="I78" s="7"/>
      <c r="K78" s="1">
        <f t="shared" si="9"/>
        <v>0</v>
      </c>
      <c r="M78" s="1">
        <f t="shared" si="8"/>
        <v>1260</v>
      </c>
    </row>
    <row r="79" spans="1:9">
      <c r="A79" s="7"/>
      <c r="B79" s="7"/>
      <c r="C79" s="7"/>
      <c r="D79" s="7">
        <f>SUM(D3:D78)</f>
        <v>770507.65</v>
      </c>
      <c r="E79" s="26">
        <f>K83/D79</f>
        <v>35.3968764639485</v>
      </c>
      <c r="F79" s="7">
        <f>SUM(F3:F78)</f>
        <v>915044.35</v>
      </c>
      <c r="G79" s="26">
        <f>M83/F79</f>
        <v>33.6479997281006</v>
      </c>
      <c r="H79" s="7"/>
      <c r="I79" s="26">
        <f>G79-E79</f>
        <v>-1.74887673584791</v>
      </c>
    </row>
    <row r="80" spans="1:1">
      <c r="A80" s="7"/>
    </row>
    <row r="81" spans="1:1">
      <c r="A81" s="7"/>
    </row>
    <row r="82" spans="1:1">
      <c r="A82" s="7"/>
    </row>
    <row r="83" spans="1:13">
      <c r="A83" s="7"/>
      <c r="K83">
        <f>SUM(K3:K82)</f>
        <v>27273564.1015773</v>
      </c>
      <c r="M83">
        <f>SUM(M3:M82)</f>
        <v>30789412.04</v>
      </c>
    </row>
  </sheetData>
  <autoFilter ref="A2:I87">
    <extLst/>
  </autoFilter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程峰</dc:creator>
  <cp:lastModifiedBy>朱敬乐</cp:lastModifiedBy>
  <dcterms:created xsi:type="dcterms:W3CDTF">2023-06-21T05:15:00Z</dcterms:created>
  <dcterms:modified xsi:type="dcterms:W3CDTF">2024-07-14T16:12:19Z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E457222DDF1E4F34904961EA09162830_13</vt:lpwstr>
  </property>
  <property fmtid="{D5CDD505-2E9C-101B-9397-08002B2CF9AE}" pid="3" name="KSOProductBuildVer">
    <vt:lpwstr>2052-12.1.0.16929</vt:lpwstr>
  </property>
  <property fmtid="{D5CDD505-2E9C-101B-9397-08002B2CF9AE}" pid="4" name="CWM31009e105ab111ef8000370300003703">
    <vt:lpwstr>CWMuZN0j0PmEj8ncd19r2UIjh7XBQeDUEdmwRs4mCdAYFIv251Yflo+SymZ/y0QcfT+vMdqbAEEFGnZuTVUWRN/nA==</vt:lpwstr>
  </property>
</Properties>
</file>