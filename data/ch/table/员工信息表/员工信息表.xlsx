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9B098A1-6109-4C63-AF09-4B1754E3BB9E}" xr6:coauthVersionLast="47" xr6:coauthVersionMax="47" xr10:uidLastSave="{00000000-0000-0000-0000-000000000000}"/>
  <bookViews>
    <workbookView xWindow="-120" yWindow="-120" windowWidth="29040" windowHeight="15840" xr2:uid="{21A8BBA5-8ED7-49D8-BFC1-F27B2CD23C8D}"/>
  </bookViews>
  <sheets>
    <sheet name="汇总表" sheetId="1" r:id="rId1"/>
  </sheets>
  <externalReferences>
    <externalReference r:id="rId2"/>
    <externalReference r:id="rId3"/>
  </externalReferences>
  <definedNames>
    <definedName name="BM">[1]学历!$B$2:$B$100</definedName>
    <definedName name="DW">[1]所属单位!$A:$A</definedName>
    <definedName name="JIGUAN">[1]籍贯!$A:$A</definedName>
    <definedName name="JW">[1]学历!$C$2:$C$100</definedName>
    <definedName name="ZC">[1]学历!$D$2:$D$100</definedName>
    <definedName name="zy">[1]学历!$E$2:$E$100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32" i="1" l="1"/>
  <c r="J232" i="1"/>
  <c r="I232" i="1" s="1"/>
  <c r="H232" i="1"/>
  <c r="A232" i="1"/>
  <c r="Y231" i="1"/>
  <c r="J231" i="1"/>
  <c r="I231" i="1" s="1"/>
  <c r="H231" i="1"/>
  <c r="A231" i="1"/>
  <c r="Y230" i="1"/>
  <c r="J230" i="1"/>
  <c r="I230" i="1" s="1"/>
  <c r="H230" i="1"/>
  <c r="A230" i="1"/>
  <c r="Y229" i="1"/>
  <c r="J229" i="1"/>
  <c r="I229" i="1" s="1"/>
  <c r="H229" i="1"/>
  <c r="A229" i="1"/>
  <c r="Y228" i="1"/>
  <c r="J228" i="1"/>
  <c r="I228" i="1" s="1"/>
  <c r="H228" i="1"/>
  <c r="A228" i="1"/>
  <c r="Y227" i="1"/>
  <c r="J227" i="1"/>
  <c r="I227" i="1" s="1"/>
  <c r="H227" i="1"/>
  <c r="A227" i="1"/>
  <c r="Y226" i="1"/>
  <c r="J226" i="1"/>
  <c r="I226" i="1" s="1"/>
  <c r="H226" i="1"/>
  <c r="A226" i="1"/>
  <c r="Y225" i="1"/>
  <c r="J225" i="1"/>
  <c r="I225" i="1"/>
  <c r="H225" i="1"/>
  <c r="A225" i="1"/>
  <c r="Y224" i="1"/>
  <c r="J224" i="1"/>
  <c r="I224" i="1"/>
  <c r="H224" i="1"/>
  <c r="A224" i="1"/>
  <c r="Y223" i="1"/>
  <c r="J223" i="1"/>
  <c r="I223" i="1" s="1"/>
  <c r="H223" i="1"/>
  <c r="A223" i="1"/>
  <c r="Y222" i="1"/>
  <c r="J222" i="1"/>
  <c r="I222" i="1"/>
  <c r="H222" i="1"/>
  <c r="A222" i="1"/>
  <c r="Y221" i="1"/>
  <c r="J221" i="1"/>
  <c r="I221" i="1" s="1"/>
  <c r="H221" i="1"/>
  <c r="A221" i="1"/>
  <c r="Y220" i="1"/>
  <c r="J220" i="1"/>
  <c r="I220" i="1" s="1"/>
  <c r="H220" i="1"/>
  <c r="A220" i="1"/>
  <c r="Y219" i="1"/>
  <c r="J219" i="1"/>
  <c r="I219" i="1" s="1"/>
  <c r="H219" i="1"/>
  <c r="A219" i="1"/>
  <c r="Y218" i="1"/>
  <c r="J218" i="1"/>
  <c r="I218" i="1" s="1"/>
  <c r="H218" i="1"/>
  <c r="A218" i="1"/>
  <c r="Y217" i="1"/>
  <c r="J217" i="1"/>
  <c r="I217" i="1" s="1"/>
  <c r="H217" i="1"/>
  <c r="A217" i="1"/>
  <c r="Y216" i="1"/>
  <c r="J216" i="1"/>
  <c r="I216" i="1" s="1"/>
  <c r="H216" i="1"/>
  <c r="A216" i="1"/>
  <c r="Y215" i="1"/>
  <c r="J215" i="1"/>
  <c r="I215" i="1" s="1"/>
  <c r="H215" i="1"/>
  <c r="A215" i="1"/>
  <c r="Y214" i="1"/>
  <c r="J214" i="1"/>
  <c r="I214" i="1"/>
  <c r="H214" i="1"/>
  <c r="A214" i="1"/>
  <c r="Y213" i="1"/>
  <c r="J213" i="1"/>
  <c r="I213" i="1"/>
  <c r="H213" i="1"/>
  <c r="A213" i="1"/>
  <c r="Y212" i="1"/>
  <c r="J212" i="1"/>
  <c r="I212" i="1"/>
  <c r="H212" i="1"/>
  <c r="A212" i="1"/>
  <c r="Y211" i="1"/>
  <c r="J211" i="1"/>
  <c r="I211" i="1" s="1"/>
  <c r="H211" i="1"/>
  <c r="A211" i="1"/>
  <c r="Y210" i="1"/>
  <c r="J210" i="1"/>
  <c r="I210" i="1"/>
  <c r="H210" i="1"/>
  <c r="A210" i="1"/>
  <c r="Y209" i="1"/>
  <c r="J209" i="1"/>
  <c r="I209" i="1"/>
  <c r="H209" i="1"/>
  <c r="A209" i="1"/>
  <c r="Y208" i="1"/>
  <c r="J208" i="1"/>
  <c r="I208" i="1" s="1"/>
  <c r="H208" i="1"/>
  <c r="A208" i="1"/>
  <c r="Y207" i="1"/>
  <c r="J207" i="1"/>
  <c r="I207" i="1" s="1"/>
  <c r="H207" i="1"/>
  <c r="A207" i="1"/>
  <c r="Y206" i="1"/>
  <c r="J206" i="1"/>
  <c r="I206" i="1" s="1"/>
  <c r="H206" i="1"/>
  <c r="A206" i="1"/>
  <c r="Y205" i="1"/>
  <c r="J205" i="1"/>
  <c r="I205" i="1" s="1"/>
  <c r="H205" i="1"/>
  <c r="A205" i="1"/>
  <c r="Y204" i="1"/>
  <c r="J204" i="1"/>
  <c r="I204" i="1" s="1"/>
  <c r="H204" i="1"/>
  <c r="A204" i="1"/>
  <c r="Y203" i="1"/>
  <c r="J203" i="1"/>
  <c r="I203" i="1" s="1"/>
  <c r="H203" i="1"/>
  <c r="A203" i="1"/>
  <c r="Y202" i="1"/>
  <c r="J202" i="1"/>
  <c r="I202" i="1"/>
  <c r="H202" i="1"/>
  <c r="A202" i="1"/>
  <c r="Y201" i="1"/>
  <c r="J201" i="1"/>
  <c r="I201" i="1"/>
  <c r="H201" i="1"/>
  <c r="A201" i="1"/>
  <c r="Y200" i="1"/>
  <c r="J200" i="1"/>
  <c r="I200" i="1"/>
  <c r="H200" i="1"/>
  <c r="A200" i="1"/>
  <c r="Y199" i="1"/>
  <c r="J199" i="1"/>
  <c r="I199" i="1" s="1"/>
  <c r="H199" i="1"/>
  <c r="A199" i="1"/>
  <c r="Y198" i="1"/>
  <c r="J198" i="1"/>
  <c r="I198" i="1"/>
  <c r="H198" i="1"/>
  <c r="A198" i="1"/>
  <c r="Y197" i="1"/>
  <c r="J197" i="1"/>
  <c r="I197" i="1"/>
  <c r="H197" i="1"/>
  <c r="A197" i="1"/>
  <c r="Y196" i="1"/>
  <c r="J196" i="1"/>
  <c r="I196" i="1" s="1"/>
  <c r="H196" i="1"/>
  <c r="A196" i="1"/>
  <c r="Y195" i="1"/>
  <c r="J195" i="1"/>
  <c r="I195" i="1" s="1"/>
  <c r="H195" i="1"/>
  <c r="A195" i="1"/>
  <c r="Y194" i="1"/>
  <c r="J194" i="1"/>
  <c r="I194" i="1" s="1"/>
  <c r="H194" i="1"/>
  <c r="A194" i="1"/>
  <c r="Y193" i="1"/>
  <c r="J193" i="1"/>
  <c r="I193" i="1" s="1"/>
  <c r="H193" i="1"/>
  <c r="A193" i="1"/>
  <c r="Y192" i="1"/>
  <c r="J192" i="1"/>
  <c r="I192" i="1"/>
  <c r="H192" i="1"/>
  <c r="A192" i="1"/>
  <c r="Y191" i="1"/>
  <c r="J191" i="1"/>
  <c r="I191" i="1" s="1"/>
  <c r="H191" i="1"/>
  <c r="A191" i="1"/>
  <c r="Y190" i="1"/>
  <c r="J190" i="1"/>
  <c r="I190" i="1"/>
  <c r="H190" i="1"/>
  <c r="A190" i="1"/>
  <c r="Y189" i="1"/>
  <c r="J189" i="1"/>
  <c r="I189" i="1"/>
  <c r="H189" i="1"/>
  <c r="A189" i="1"/>
  <c r="Y188" i="1"/>
  <c r="J188" i="1"/>
  <c r="I188" i="1"/>
  <c r="H188" i="1"/>
  <c r="A188" i="1"/>
  <c r="Y187" i="1"/>
  <c r="J187" i="1"/>
  <c r="I187" i="1" s="1"/>
  <c r="H187" i="1"/>
  <c r="A187" i="1"/>
  <c r="Y186" i="1"/>
  <c r="J186" i="1"/>
  <c r="I186" i="1"/>
  <c r="H186" i="1"/>
  <c r="A186" i="1"/>
  <c r="Y185" i="1"/>
  <c r="J185" i="1"/>
  <c r="I185" i="1"/>
  <c r="H185" i="1"/>
  <c r="A185" i="1"/>
  <c r="Y184" i="1"/>
  <c r="J184" i="1"/>
  <c r="I184" i="1" s="1"/>
  <c r="H184" i="1"/>
  <c r="A184" i="1"/>
  <c r="Y183" i="1"/>
  <c r="J183" i="1"/>
  <c r="I183" i="1" s="1"/>
  <c r="H183" i="1"/>
  <c r="A183" i="1"/>
  <c r="Y182" i="1"/>
  <c r="J182" i="1"/>
  <c r="I182" i="1" s="1"/>
  <c r="H182" i="1"/>
  <c r="A182" i="1"/>
  <c r="Y181" i="1"/>
  <c r="J181" i="1"/>
  <c r="I181" i="1" s="1"/>
  <c r="H181" i="1"/>
  <c r="A181" i="1"/>
  <c r="Y180" i="1"/>
  <c r="J180" i="1"/>
  <c r="I180" i="1"/>
  <c r="H180" i="1"/>
  <c r="A180" i="1"/>
  <c r="Y179" i="1"/>
  <c r="J179" i="1"/>
  <c r="I179" i="1"/>
  <c r="H179" i="1"/>
  <c r="A179" i="1"/>
  <c r="Y178" i="1"/>
  <c r="J178" i="1"/>
  <c r="I178" i="1"/>
  <c r="H178" i="1"/>
  <c r="A178" i="1"/>
  <c r="Y177" i="1"/>
  <c r="J177" i="1"/>
  <c r="I177" i="1"/>
  <c r="H177" i="1"/>
  <c r="A177" i="1"/>
  <c r="Y176" i="1"/>
  <c r="J176" i="1"/>
  <c r="I176" i="1"/>
  <c r="H176" i="1"/>
  <c r="A176" i="1"/>
  <c r="Y175" i="1"/>
  <c r="J175" i="1"/>
  <c r="I175" i="1" s="1"/>
  <c r="H175" i="1"/>
  <c r="A175" i="1"/>
  <c r="Y174" i="1"/>
  <c r="J174" i="1"/>
  <c r="I174" i="1"/>
  <c r="H174" i="1"/>
  <c r="A174" i="1"/>
  <c r="Y173" i="1"/>
  <c r="J173" i="1"/>
  <c r="I173" i="1"/>
  <c r="H173" i="1"/>
  <c r="A173" i="1"/>
  <c r="Y172" i="1"/>
  <c r="J172" i="1"/>
  <c r="I172" i="1" s="1"/>
  <c r="H172" i="1"/>
  <c r="A172" i="1"/>
  <c r="Y171" i="1"/>
  <c r="J171" i="1"/>
  <c r="I171" i="1" s="1"/>
  <c r="H171" i="1"/>
  <c r="A171" i="1"/>
  <c r="Y170" i="1"/>
  <c r="J170" i="1"/>
  <c r="I170" i="1" s="1"/>
  <c r="H170" i="1"/>
  <c r="A170" i="1"/>
  <c r="Y169" i="1"/>
  <c r="J169" i="1"/>
  <c r="I169" i="1" s="1"/>
  <c r="H169" i="1"/>
  <c r="A169" i="1"/>
  <c r="Y168" i="1"/>
  <c r="J168" i="1"/>
  <c r="I168" i="1"/>
  <c r="H168" i="1"/>
  <c r="A168" i="1"/>
  <c r="Y167" i="1"/>
  <c r="J167" i="1"/>
  <c r="I167" i="1"/>
  <c r="H167" i="1"/>
  <c r="A167" i="1"/>
  <c r="Y166" i="1"/>
  <c r="J166" i="1"/>
  <c r="I166" i="1"/>
  <c r="H166" i="1"/>
  <c r="A166" i="1"/>
  <c r="Y165" i="1"/>
  <c r="J165" i="1"/>
  <c r="I165" i="1"/>
  <c r="H165" i="1"/>
  <c r="A165" i="1"/>
  <c r="Y164" i="1"/>
  <c r="J164" i="1"/>
  <c r="I164" i="1"/>
  <c r="H164" i="1"/>
  <c r="A164" i="1"/>
  <c r="Y163" i="1"/>
  <c r="J163" i="1"/>
  <c r="I163" i="1" s="1"/>
  <c r="H163" i="1"/>
  <c r="A163" i="1"/>
  <c r="Y162" i="1"/>
  <c r="J162" i="1"/>
  <c r="I162" i="1"/>
  <c r="H162" i="1"/>
  <c r="A162" i="1"/>
  <c r="Y161" i="1"/>
  <c r="J161" i="1"/>
  <c r="I161" i="1"/>
  <c r="H161" i="1"/>
  <c r="A161" i="1"/>
  <c r="Y160" i="1"/>
  <c r="J160" i="1"/>
  <c r="I160" i="1" s="1"/>
  <c r="H160" i="1"/>
  <c r="A160" i="1"/>
  <c r="Y159" i="1"/>
  <c r="J159" i="1"/>
  <c r="I159" i="1" s="1"/>
  <c r="H159" i="1"/>
  <c r="A159" i="1"/>
  <c r="Y158" i="1"/>
  <c r="J158" i="1"/>
  <c r="I158" i="1" s="1"/>
  <c r="H158" i="1"/>
  <c r="A158" i="1"/>
  <c r="Y157" i="1"/>
  <c r="J157" i="1"/>
  <c r="I157" i="1" s="1"/>
  <c r="H157" i="1"/>
  <c r="A157" i="1"/>
  <c r="Y156" i="1"/>
  <c r="J156" i="1"/>
  <c r="I156" i="1"/>
  <c r="H156" i="1"/>
  <c r="A156" i="1"/>
  <c r="Y155" i="1"/>
  <c r="J155" i="1"/>
  <c r="I155" i="1"/>
  <c r="H155" i="1"/>
  <c r="A155" i="1"/>
  <c r="Y154" i="1"/>
  <c r="J154" i="1"/>
  <c r="I154" i="1"/>
  <c r="H154" i="1"/>
  <c r="A154" i="1"/>
  <c r="Y153" i="1"/>
  <c r="J153" i="1"/>
  <c r="I153" i="1" s="1"/>
  <c r="H153" i="1"/>
  <c r="A153" i="1"/>
  <c r="Y152" i="1"/>
  <c r="J152" i="1"/>
  <c r="I152" i="1" s="1"/>
  <c r="H152" i="1"/>
  <c r="A152" i="1"/>
  <c r="Y151" i="1"/>
  <c r="J151" i="1"/>
  <c r="I151" i="1" s="1"/>
  <c r="H151" i="1"/>
  <c r="A151" i="1"/>
  <c r="Y150" i="1"/>
  <c r="J150" i="1"/>
  <c r="I150" i="1"/>
  <c r="H150" i="1"/>
  <c r="A150" i="1"/>
  <c r="Y149" i="1"/>
  <c r="J149" i="1"/>
  <c r="I149" i="1"/>
  <c r="H149" i="1"/>
  <c r="A149" i="1"/>
  <c r="Y148" i="1"/>
  <c r="J148" i="1"/>
  <c r="I148" i="1" s="1"/>
  <c r="H148" i="1"/>
  <c r="A148" i="1"/>
  <c r="Y147" i="1"/>
  <c r="J147" i="1"/>
  <c r="I147" i="1"/>
  <c r="H147" i="1"/>
  <c r="A147" i="1"/>
  <c r="Y146" i="1"/>
  <c r="J146" i="1"/>
  <c r="I146" i="1" s="1"/>
  <c r="H146" i="1"/>
  <c r="A146" i="1"/>
  <c r="Y145" i="1"/>
  <c r="J145" i="1"/>
  <c r="I145" i="1" s="1"/>
  <c r="H145" i="1"/>
  <c r="A145" i="1"/>
  <c r="Y144" i="1"/>
  <c r="J144" i="1"/>
  <c r="I144" i="1"/>
  <c r="H144" i="1"/>
  <c r="A144" i="1"/>
  <c r="Y143" i="1"/>
  <c r="J143" i="1"/>
  <c r="I143" i="1"/>
  <c r="H143" i="1"/>
  <c r="A143" i="1"/>
  <c r="Y142" i="1"/>
  <c r="J142" i="1"/>
  <c r="I142" i="1"/>
  <c r="H142" i="1"/>
  <c r="A142" i="1"/>
  <c r="Y141" i="1"/>
  <c r="J141" i="1"/>
  <c r="I141" i="1"/>
  <c r="H141" i="1"/>
  <c r="A141" i="1"/>
  <c r="Y140" i="1"/>
  <c r="J140" i="1"/>
  <c r="I140" i="1" s="1"/>
  <c r="H140" i="1"/>
  <c r="A140" i="1"/>
  <c r="Y139" i="1"/>
  <c r="J139" i="1"/>
  <c r="I139" i="1"/>
  <c r="H139" i="1"/>
  <c r="A139" i="1"/>
  <c r="Y138" i="1"/>
  <c r="J138" i="1"/>
  <c r="I138" i="1"/>
  <c r="H138" i="1"/>
  <c r="A138" i="1"/>
  <c r="Y137" i="1"/>
  <c r="J137" i="1"/>
  <c r="I137" i="1"/>
  <c r="H137" i="1"/>
  <c r="A137" i="1"/>
  <c r="Y136" i="1"/>
  <c r="J136" i="1"/>
  <c r="I136" i="1" s="1"/>
  <c r="H136" i="1"/>
  <c r="A136" i="1"/>
  <c r="Y135" i="1"/>
  <c r="J135" i="1"/>
  <c r="I135" i="1"/>
  <c r="H135" i="1"/>
  <c r="A135" i="1"/>
  <c r="Y134" i="1"/>
  <c r="J134" i="1"/>
  <c r="I134" i="1" s="1"/>
  <c r="H134" i="1"/>
  <c r="A134" i="1"/>
  <c r="Y133" i="1"/>
  <c r="J133" i="1"/>
  <c r="I133" i="1" s="1"/>
  <c r="H133" i="1"/>
  <c r="A133" i="1"/>
  <c r="Y132" i="1"/>
  <c r="J132" i="1"/>
  <c r="I132" i="1"/>
  <c r="H132" i="1"/>
  <c r="A132" i="1"/>
  <c r="Y131" i="1"/>
  <c r="J131" i="1"/>
  <c r="I131" i="1"/>
  <c r="H131" i="1"/>
  <c r="A131" i="1"/>
  <c r="Y130" i="1"/>
  <c r="J130" i="1"/>
  <c r="I130" i="1"/>
  <c r="H130" i="1"/>
  <c r="A130" i="1"/>
  <c r="Y129" i="1"/>
  <c r="J129" i="1"/>
  <c r="I129" i="1"/>
  <c r="H129" i="1"/>
  <c r="A129" i="1"/>
  <c r="Y128" i="1"/>
  <c r="J128" i="1"/>
  <c r="I128" i="1" s="1"/>
  <c r="H128" i="1"/>
  <c r="A128" i="1"/>
  <c r="Y127" i="1"/>
  <c r="J127" i="1"/>
  <c r="I127" i="1"/>
  <c r="H127" i="1"/>
  <c r="A127" i="1"/>
  <c r="Y126" i="1"/>
  <c r="J126" i="1"/>
  <c r="I126" i="1"/>
  <c r="H126" i="1"/>
  <c r="A126" i="1"/>
  <c r="Y125" i="1"/>
  <c r="J125" i="1"/>
  <c r="I125" i="1"/>
  <c r="H125" i="1"/>
  <c r="A125" i="1"/>
  <c r="Y124" i="1"/>
  <c r="J124" i="1"/>
  <c r="I124" i="1" s="1"/>
  <c r="H124" i="1"/>
  <c r="A124" i="1"/>
  <c r="Y123" i="1"/>
  <c r="J123" i="1"/>
  <c r="I123" i="1"/>
  <c r="H123" i="1"/>
  <c r="A123" i="1"/>
  <c r="Y122" i="1"/>
  <c r="J122" i="1"/>
  <c r="I122" i="1" s="1"/>
  <c r="H122" i="1"/>
  <c r="A122" i="1"/>
  <c r="Y121" i="1"/>
  <c r="J121" i="1"/>
  <c r="I121" i="1" s="1"/>
  <c r="H121" i="1"/>
  <c r="A121" i="1"/>
  <c r="Y120" i="1"/>
  <c r="J120" i="1"/>
  <c r="I120" i="1"/>
  <c r="H120" i="1"/>
  <c r="A120" i="1"/>
  <c r="Y119" i="1"/>
  <c r="J119" i="1"/>
  <c r="I119" i="1"/>
  <c r="H119" i="1"/>
  <c r="A119" i="1"/>
  <c r="Y118" i="1"/>
  <c r="J118" i="1"/>
  <c r="I118" i="1"/>
  <c r="H118" i="1"/>
  <c r="A118" i="1"/>
  <c r="Y117" i="1"/>
  <c r="J117" i="1"/>
  <c r="I117" i="1"/>
  <c r="H117" i="1"/>
  <c r="A117" i="1"/>
  <c r="Y116" i="1"/>
  <c r="J116" i="1"/>
  <c r="I116" i="1" s="1"/>
  <c r="H116" i="1"/>
  <c r="A116" i="1"/>
  <c r="Y115" i="1"/>
  <c r="J115" i="1"/>
  <c r="I115" i="1"/>
  <c r="H115" i="1"/>
  <c r="A115" i="1"/>
  <c r="Y114" i="1"/>
  <c r="J114" i="1"/>
  <c r="I114" i="1"/>
  <c r="H114" i="1"/>
  <c r="A114" i="1"/>
  <c r="Y113" i="1"/>
  <c r="J113" i="1"/>
  <c r="I113" i="1"/>
  <c r="H113" i="1"/>
  <c r="A113" i="1"/>
  <c r="Y112" i="1"/>
  <c r="J112" i="1"/>
  <c r="I112" i="1" s="1"/>
  <c r="H112" i="1"/>
  <c r="A112" i="1"/>
  <c r="Y111" i="1"/>
  <c r="J111" i="1"/>
  <c r="I111" i="1"/>
  <c r="H111" i="1"/>
  <c r="A111" i="1"/>
  <c r="Y110" i="1"/>
  <c r="J110" i="1"/>
  <c r="I110" i="1" s="1"/>
  <c r="H110" i="1"/>
  <c r="A110" i="1"/>
  <c r="Y109" i="1"/>
  <c r="J109" i="1"/>
  <c r="I109" i="1" s="1"/>
  <c r="H109" i="1"/>
  <c r="A109" i="1"/>
  <c r="Y108" i="1"/>
  <c r="J108" i="1"/>
  <c r="I108" i="1"/>
  <c r="H108" i="1"/>
  <c r="A108" i="1"/>
  <c r="Y107" i="1"/>
  <c r="J107" i="1"/>
  <c r="I107" i="1"/>
  <c r="H107" i="1"/>
  <c r="A107" i="1"/>
  <c r="Y106" i="1"/>
  <c r="J106" i="1"/>
  <c r="I106" i="1"/>
  <c r="H106" i="1"/>
  <c r="A106" i="1"/>
  <c r="Y105" i="1"/>
  <c r="J105" i="1"/>
  <c r="I105" i="1"/>
  <c r="H105" i="1"/>
  <c r="A105" i="1"/>
  <c r="Y104" i="1"/>
  <c r="J104" i="1"/>
  <c r="I104" i="1" s="1"/>
  <c r="H104" i="1"/>
  <c r="A104" i="1"/>
  <c r="Y103" i="1"/>
  <c r="J103" i="1"/>
  <c r="I103" i="1"/>
  <c r="H103" i="1"/>
  <c r="A103" i="1"/>
  <c r="Y102" i="1"/>
  <c r="J102" i="1"/>
  <c r="I102" i="1"/>
  <c r="H102" i="1"/>
  <c r="A102" i="1"/>
  <c r="Y101" i="1"/>
  <c r="J101" i="1"/>
  <c r="I101" i="1"/>
  <c r="H101" i="1"/>
  <c r="A101" i="1"/>
  <c r="Y100" i="1"/>
  <c r="J100" i="1"/>
  <c r="I100" i="1" s="1"/>
  <c r="H100" i="1"/>
  <c r="A100" i="1"/>
  <c r="Y99" i="1"/>
  <c r="J99" i="1"/>
  <c r="I99" i="1"/>
  <c r="H99" i="1"/>
  <c r="A99" i="1"/>
  <c r="Y98" i="1"/>
  <c r="J98" i="1"/>
  <c r="I98" i="1" s="1"/>
  <c r="H98" i="1"/>
  <c r="A98" i="1"/>
  <c r="Y97" i="1"/>
  <c r="J97" i="1"/>
  <c r="I97" i="1" s="1"/>
  <c r="H97" i="1"/>
  <c r="A97" i="1"/>
  <c r="Y96" i="1"/>
  <c r="J96" i="1"/>
  <c r="I96" i="1"/>
  <c r="H96" i="1"/>
  <c r="A96" i="1"/>
  <c r="Y95" i="1"/>
  <c r="J95" i="1"/>
  <c r="I95" i="1"/>
  <c r="H95" i="1"/>
  <c r="A95" i="1"/>
  <c r="Y94" i="1"/>
  <c r="J94" i="1"/>
  <c r="I94" i="1"/>
  <c r="H94" i="1"/>
  <c r="A94" i="1"/>
  <c r="Y93" i="1"/>
  <c r="J93" i="1"/>
  <c r="I93" i="1"/>
  <c r="H93" i="1"/>
  <c r="A93" i="1"/>
  <c r="Y92" i="1"/>
  <c r="J92" i="1"/>
  <c r="I92" i="1" s="1"/>
  <c r="H92" i="1"/>
  <c r="A92" i="1"/>
  <c r="Y91" i="1"/>
  <c r="J91" i="1"/>
  <c r="I91" i="1"/>
  <c r="H91" i="1"/>
  <c r="A91" i="1"/>
  <c r="Y90" i="1"/>
  <c r="J90" i="1"/>
  <c r="I90" i="1"/>
  <c r="H90" i="1"/>
  <c r="A90" i="1"/>
  <c r="Y89" i="1"/>
  <c r="J89" i="1"/>
  <c r="I89" i="1"/>
  <c r="H89" i="1"/>
  <c r="A89" i="1"/>
  <c r="Y88" i="1"/>
  <c r="J88" i="1"/>
  <c r="I88" i="1" s="1"/>
  <c r="H88" i="1"/>
  <c r="A88" i="1"/>
  <c r="Y87" i="1"/>
  <c r="J87" i="1"/>
  <c r="I87" i="1"/>
  <c r="H87" i="1"/>
  <c r="A87" i="1"/>
  <c r="Y86" i="1"/>
  <c r="J86" i="1"/>
  <c r="I86" i="1" s="1"/>
  <c r="H86" i="1"/>
  <c r="A86" i="1"/>
  <c r="Y85" i="1"/>
  <c r="J85" i="1"/>
  <c r="I85" i="1" s="1"/>
  <c r="H85" i="1"/>
  <c r="A85" i="1"/>
  <c r="Y84" i="1"/>
  <c r="J84" i="1"/>
  <c r="I84" i="1"/>
  <c r="H84" i="1"/>
  <c r="A84" i="1"/>
  <c r="Y83" i="1"/>
  <c r="J83" i="1"/>
  <c r="I83" i="1"/>
  <c r="H83" i="1"/>
  <c r="A83" i="1"/>
  <c r="Y82" i="1"/>
  <c r="J82" i="1"/>
  <c r="I82" i="1"/>
  <c r="H82" i="1"/>
  <c r="A82" i="1"/>
  <c r="Y81" i="1"/>
  <c r="J81" i="1"/>
  <c r="I81" i="1"/>
  <c r="H81" i="1"/>
  <c r="A81" i="1"/>
  <c r="Y80" i="1"/>
  <c r="J80" i="1"/>
  <c r="I80" i="1" s="1"/>
  <c r="H80" i="1"/>
  <c r="A80" i="1"/>
  <c r="Y79" i="1"/>
  <c r="J79" i="1"/>
  <c r="I79" i="1"/>
  <c r="H79" i="1"/>
  <c r="A79" i="1"/>
  <c r="Y78" i="1"/>
  <c r="J78" i="1"/>
  <c r="I78" i="1"/>
  <c r="H78" i="1"/>
  <c r="A78" i="1"/>
  <c r="Y77" i="1"/>
  <c r="J77" i="1"/>
  <c r="I77" i="1"/>
  <c r="H77" i="1"/>
  <c r="A77" i="1"/>
  <c r="Y76" i="1"/>
  <c r="J76" i="1"/>
  <c r="I76" i="1" s="1"/>
  <c r="H76" i="1"/>
  <c r="A76" i="1"/>
  <c r="Y75" i="1"/>
  <c r="J75" i="1"/>
  <c r="I75" i="1"/>
  <c r="H75" i="1"/>
  <c r="A75" i="1"/>
  <c r="Y74" i="1"/>
  <c r="J74" i="1"/>
  <c r="I74" i="1" s="1"/>
  <c r="H74" i="1"/>
  <c r="A74" i="1"/>
  <c r="Y73" i="1"/>
  <c r="J73" i="1"/>
  <c r="I73" i="1" s="1"/>
  <c r="H73" i="1"/>
  <c r="A73" i="1"/>
  <c r="Y72" i="1"/>
  <c r="J72" i="1"/>
  <c r="I72" i="1"/>
  <c r="H72" i="1"/>
  <c r="A72" i="1"/>
  <c r="Y71" i="1"/>
  <c r="J71" i="1"/>
  <c r="I71" i="1"/>
  <c r="H71" i="1"/>
  <c r="A71" i="1"/>
  <c r="Y70" i="1"/>
  <c r="J70" i="1"/>
  <c r="I70" i="1"/>
  <c r="H70" i="1"/>
  <c r="A70" i="1"/>
  <c r="Y69" i="1"/>
  <c r="J69" i="1"/>
  <c r="I69" i="1"/>
  <c r="H69" i="1"/>
  <c r="A69" i="1"/>
  <c r="Y68" i="1"/>
  <c r="J68" i="1"/>
  <c r="I68" i="1" s="1"/>
  <c r="H68" i="1"/>
  <c r="A68" i="1"/>
  <c r="Y67" i="1"/>
  <c r="J67" i="1"/>
  <c r="I67" i="1"/>
  <c r="H67" i="1"/>
  <c r="A67" i="1"/>
  <c r="Y66" i="1"/>
  <c r="J66" i="1"/>
  <c r="I66" i="1"/>
  <c r="H66" i="1"/>
  <c r="A66" i="1"/>
  <c r="Y65" i="1"/>
  <c r="J65" i="1"/>
  <c r="I65" i="1"/>
  <c r="H65" i="1"/>
  <c r="A65" i="1"/>
  <c r="Y64" i="1"/>
  <c r="J64" i="1"/>
  <c r="I64" i="1" s="1"/>
  <c r="H64" i="1"/>
  <c r="A64" i="1"/>
  <c r="Y63" i="1"/>
  <c r="J63" i="1"/>
  <c r="I63" i="1"/>
  <c r="H63" i="1"/>
  <c r="A63" i="1"/>
  <c r="Y62" i="1"/>
  <c r="J62" i="1"/>
  <c r="I62" i="1" s="1"/>
  <c r="H62" i="1"/>
  <c r="A62" i="1"/>
  <c r="Y61" i="1"/>
  <c r="J61" i="1"/>
  <c r="I61" i="1" s="1"/>
  <c r="H61" i="1"/>
  <c r="A61" i="1"/>
  <c r="Y60" i="1"/>
  <c r="J60" i="1"/>
  <c r="I60" i="1"/>
  <c r="H60" i="1"/>
  <c r="A60" i="1"/>
  <c r="Y59" i="1"/>
  <c r="J59" i="1"/>
  <c r="I59" i="1"/>
  <c r="H59" i="1"/>
  <c r="A59" i="1"/>
  <c r="Y58" i="1"/>
  <c r="J58" i="1"/>
  <c r="I58" i="1"/>
  <c r="H58" i="1"/>
  <c r="A58" i="1"/>
  <c r="Y57" i="1"/>
  <c r="J57" i="1"/>
  <c r="I57" i="1"/>
  <c r="H57" i="1"/>
  <c r="A57" i="1"/>
  <c r="Y56" i="1"/>
  <c r="J56" i="1"/>
  <c r="I56" i="1" s="1"/>
  <c r="H56" i="1"/>
  <c r="A56" i="1"/>
  <c r="Y55" i="1"/>
  <c r="J55" i="1"/>
  <c r="I55" i="1"/>
  <c r="H55" i="1"/>
  <c r="A55" i="1"/>
  <c r="Y54" i="1"/>
  <c r="J54" i="1"/>
  <c r="I54" i="1"/>
  <c r="H54" i="1"/>
  <c r="A54" i="1"/>
  <c r="Y53" i="1"/>
  <c r="J53" i="1"/>
  <c r="I53" i="1"/>
  <c r="H53" i="1"/>
  <c r="A53" i="1"/>
  <c r="Y52" i="1"/>
  <c r="J52" i="1"/>
  <c r="I52" i="1" s="1"/>
  <c r="H52" i="1"/>
  <c r="A52" i="1"/>
  <c r="Y51" i="1"/>
  <c r="J51" i="1"/>
  <c r="I51" i="1"/>
  <c r="H51" i="1"/>
  <c r="A51" i="1"/>
  <c r="Y50" i="1"/>
  <c r="J50" i="1"/>
  <c r="I50" i="1" s="1"/>
  <c r="H50" i="1"/>
  <c r="A50" i="1"/>
  <c r="Y49" i="1"/>
  <c r="J49" i="1"/>
  <c r="I49" i="1" s="1"/>
  <c r="H49" i="1"/>
  <c r="A49" i="1"/>
  <c r="Y48" i="1"/>
  <c r="J48" i="1"/>
  <c r="I48" i="1"/>
  <c r="H48" i="1"/>
  <c r="A48" i="1"/>
  <c r="Y47" i="1"/>
  <c r="J47" i="1"/>
  <c r="I47" i="1"/>
  <c r="H47" i="1"/>
  <c r="A47" i="1"/>
  <c r="Y46" i="1"/>
  <c r="J46" i="1"/>
  <c r="I46" i="1"/>
  <c r="H46" i="1"/>
  <c r="A46" i="1"/>
  <c r="Y45" i="1"/>
  <c r="J45" i="1"/>
  <c r="I45" i="1"/>
  <c r="H45" i="1"/>
  <c r="A45" i="1"/>
  <c r="Y44" i="1"/>
  <c r="J44" i="1"/>
  <c r="I44" i="1" s="1"/>
  <c r="H44" i="1"/>
  <c r="A44" i="1"/>
  <c r="Y43" i="1"/>
  <c r="J43" i="1"/>
  <c r="I43" i="1"/>
  <c r="H43" i="1"/>
  <c r="A43" i="1"/>
  <c r="Y42" i="1"/>
  <c r="J42" i="1"/>
  <c r="I42" i="1"/>
  <c r="H42" i="1"/>
  <c r="A42" i="1"/>
  <c r="Y41" i="1"/>
  <c r="J41" i="1"/>
  <c r="I41" i="1"/>
  <c r="H41" i="1"/>
  <c r="A41" i="1"/>
  <c r="Y40" i="1"/>
  <c r="J40" i="1"/>
  <c r="I40" i="1" s="1"/>
  <c r="H40" i="1"/>
  <c r="A40" i="1"/>
  <c r="Y39" i="1"/>
  <c r="J39" i="1"/>
  <c r="I39" i="1"/>
  <c r="H39" i="1"/>
  <c r="A39" i="1"/>
  <c r="Y38" i="1"/>
  <c r="J38" i="1"/>
  <c r="I38" i="1" s="1"/>
  <c r="H38" i="1"/>
  <c r="A38" i="1"/>
  <c r="Y37" i="1"/>
  <c r="J37" i="1"/>
  <c r="I37" i="1" s="1"/>
  <c r="H37" i="1"/>
  <c r="A37" i="1"/>
  <c r="Y36" i="1"/>
  <c r="J36" i="1"/>
  <c r="I36" i="1"/>
  <c r="H36" i="1"/>
  <c r="A36" i="1"/>
  <c r="Y35" i="1"/>
  <c r="J35" i="1"/>
  <c r="I35" i="1"/>
  <c r="H35" i="1"/>
  <c r="A35" i="1"/>
  <c r="Y34" i="1"/>
  <c r="J34" i="1"/>
  <c r="I34" i="1"/>
  <c r="H34" i="1"/>
  <c r="A34" i="1"/>
  <c r="Y33" i="1"/>
  <c r="J33" i="1"/>
  <c r="I33" i="1"/>
  <c r="H33" i="1"/>
  <c r="A33" i="1"/>
  <c r="Y32" i="1"/>
  <c r="J32" i="1"/>
  <c r="I32" i="1" s="1"/>
  <c r="H32" i="1"/>
  <c r="A32" i="1"/>
  <c r="Y31" i="1"/>
  <c r="J31" i="1"/>
  <c r="I31" i="1"/>
  <c r="H31" i="1"/>
  <c r="A31" i="1"/>
  <c r="Y30" i="1"/>
  <c r="J30" i="1"/>
  <c r="I30" i="1"/>
  <c r="H30" i="1"/>
  <c r="A30" i="1"/>
  <c r="Y29" i="1"/>
  <c r="J29" i="1"/>
  <c r="I29" i="1"/>
  <c r="H29" i="1"/>
  <c r="A29" i="1"/>
  <c r="Y28" i="1"/>
  <c r="J28" i="1"/>
  <c r="I28" i="1" s="1"/>
  <c r="H28" i="1"/>
  <c r="A28" i="1"/>
  <c r="Y27" i="1"/>
  <c r="J27" i="1"/>
  <c r="I27" i="1"/>
  <c r="H27" i="1"/>
  <c r="A27" i="1"/>
  <c r="Y26" i="1"/>
  <c r="J26" i="1"/>
  <c r="I26" i="1" s="1"/>
  <c r="H26" i="1"/>
  <c r="A26" i="1"/>
  <c r="Y25" i="1"/>
  <c r="J25" i="1"/>
  <c r="I25" i="1" s="1"/>
  <c r="H25" i="1"/>
  <c r="A25" i="1"/>
  <c r="Y24" i="1"/>
  <c r="J24" i="1"/>
  <c r="I24" i="1"/>
  <c r="H24" i="1"/>
  <c r="A24" i="1"/>
  <c r="Y23" i="1"/>
  <c r="J23" i="1"/>
  <c r="I23" i="1"/>
  <c r="H23" i="1"/>
  <c r="A23" i="1"/>
  <c r="Y22" i="1"/>
  <c r="J22" i="1"/>
  <c r="I22" i="1"/>
  <c r="H22" i="1"/>
  <c r="A22" i="1"/>
  <c r="Y21" i="1"/>
  <c r="J21" i="1"/>
  <c r="I21" i="1"/>
  <c r="H21" i="1"/>
  <c r="A21" i="1"/>
  <c r="Y20" i="1"/>
  <c r="J20" i="1"/>
  <c r="I20" i="1" s="1"/>
  <c r="H20" i="1"/>
  <c r="A20" i="1"/>
  <c r="Y19" i="1"/>
  <c r="J19" i="1"/>
  <c r="I19" i="1"/>
  <c r="H19" i="1"/>
  <c r="A19" i="1"/>
  <c r="Y18" i="1"/>
  <c r="J18" i="1"/>
  <c r="I18" i="1"/>
  <c r="H18" i="1"/>
  <c r="A18" i="1"/>
  <c r="Y17" i="1"/>
  <c r="J17" i="1"/>
  <c r="I17" i="1"/>
  <c r="H17" i="1"/>
  <c r="A17" i="1"/>
  <c r="Y16" i="1"/>
  <c r="J16" i="1"/>
  <c r="I16" i="1" s="1"/>
  <c r="H16" i="1"/>
  <c r="A16" i="1"/>
  <c r="Y15" i="1"/>
  <c r="J15" i="1"/>
  <c r="I15" i="1"/>
  <c r="H15" i="1"/>
  <c r="A15" i="1"/>
  <c r="Y14" i="1"/>
  <c r="J14" i="1"/>
  <c r="I14" i="1" s="1"/>
  <c r="H14" i="1"/>
  <c r="A14" i="1"/>
  <c r="Y13" i="1"/>
  <c r="J13" i="1"/>
  <c r="I13" i="1" s="1"/>
  <c r="H13" i="1"/>
  <c r="A13" i="1"/>
  <c r="Y12" i="1"/>
  <c r="J12" i="1"/>
  <c r="I12" i="1"/>
  <c r="H12" i="1"/>
  <c r="A12" i="1"/>
  <c r="Y11" i="1"/>
  <c r="J11" i="1"/>
  <c r="I11" i="1"/>
  <c r="H11" i="1"/>
  <c r="A11" i="1"/>
  <c r="Y10" i="1"/>
  <c r="J10" i="1"/>
  <c r="I10" i="1"/>
  <c r="H10" i="1"/>
  <c r="A10" i="1"/>
  <c r="Y9" i="1"/>
  <c r="J9" i="1"/>
  <c r="I9" i="1"/>
  <c r="H9" i="1"/>
  <c r="A9" i="1"/>
  <c r="Y8" i="1"/>
  <c r="J8" i="1"/>
  <c r="I8" i="1" s="1"/>
  <c r="H8" i="1"/>
  <c r="A8" i="1"/>
  <c r="Y7" i="1"/>
  <c r="J7" i="1"/>
  <c r="I7" i="1"/>
  <c r="H7" i="1"/>
  <c r="A7" i="1"/>
  <c r="Y6" i="1"/>
  <c r="J6" i="1"/>
  <c r="I6" i="1"/>
  <c r="H6" i="1"/>
  <c r="A6" i="1"/>
  <c r="Y5" i="1"/>
  <c r="J5" i="1"/>
  <c r="I5" i="1"/>
  <c r="H5" i="1"/>
  <c r="A5" i="1"/>
  <c r="Y4" i="1"/>
  <c r="J4" i="1"/>
  <c r="I4" i="1" s="1"/>
  <c r="H4" i="1"/>
  <c r="A4" i="1"/>
  <c r="Y3" i="1"/>
  <c r="J3" i="1"/>
  <c r="I3" i="1"/>
  <c r="H3" i="1"/>
  <c r="A3" i="1"/>
</calcChain>
</file>

<file path=xl/sharedStrings.xml><?xml version="1.0" encoding="utf-8"?>
<sst xmlns="http://schemas.openxmlformats.org/spreadsheetml/2006/main" count="3094" uniqueCount="948">
  <si>
    <t>序</t>
  </si>
  <si>
    <t>姓名</t>
    <phoneticPr fontId="3" type="noConversion"/>
  </si>
  <si>
    <t>办公地点</t>
    <phoneticPr fontId="3" type="noConversion"/>
  </si>
  <si>
    <t>性别</t>
    <phoneticPr fontId="3" type="noConversion"/>
  </si>
  <si>
    <t>证件号码</t>
    <phoneticPr fontId="3" type="noConversion"/>
  </si>
  <si>
    <t>入职时间</t>
    <phoneticPr fontId="3" type="noConversion"/>
  </si>
  <si>
    <t>就职状态</t>
  </si>
  <si>
    <t>工龄</t>
  </si>
  <si>
    <t>年龄</t>
  </si>
  <si>
    <t>出生日期</t>
    <phoneticPr fontId="3" type="noConversion"/>
  </si>
  <si>
    <t>就读院校</t>
    <phoneticPr fontId="2" type="noConversion"/>
  </si>
  <si>
    <t>是否一本</t>
    <phoneticPr fontId="2" type="noConversion"/>
  </si>
  <si>
    <t>第一学历</t>
    <phoneticPr fontId="2" type="noConversion"/>
  </si>
  <si>
    <t>最高学历</t>
    <phoneticPr fontId="3" type="noConversion"/>
  </si>
  <si>
    <t>所学专业</t>
    <phoneticPr fontId="3" type="noConversion"/>
  </si>
  <si>
    <t>资格证</t>
    <phoneticPr fontId="3" type="noConversion"/>
  </si>
  <si>
    <t>所属体系</t>
    <phoneticPr fontId="3" type="noConversion"/>
  </si>
  <si>
    <t>部门</t>
  </si>
  <si>
    <t>职位</t>
    <phoneticPr fontId="3" type="noConversion"/>
  </si>
  <si>
    <t>岗位职级</t>
    <phoneticPr fontId="3" type="noConversion"/>
  </si>
  <si>
    <t>标准薪资</t>
    <phoneticPr fontId="3" type="noConversion"/>
  </si>
  <si>
    <t>23年绩效综合分</t>
    <phoneticPr fontId="3" type="noConversion"/>
  </si>
  <si>
    <t>潜力评估</t>
    <phoneticPr fontId="2" type="noConversion"/>
  </si>
  <si>
    <t>能力素质</t>
    <phoneticPr fontId="2" type="noConversion"/>
  </si>
  <si>
    <t>素质总分</t>
    <phoneticPr fontId="2" type="noConversion"/>
  </si>
  <si>
    <t>康伟</t>
  </si>
  <si>
    <t>长沙</t>
  </si>
  <si>
    <t>男</t>
  </si>
  <si>
    <t>360313198208190090</t>
  </si>
  <si>
    <t>在职</t>
  </si>
  <si>
    <t>东北大学</t>
  </si>
  <si>
    <t>本科</t>
  </si>
  <si>
    <t>电子信息</t>
  </si>
  <si>
    <t>系统集成项目管理工程师、  信息安全工程师</t>
    <phoneticPr fontId="2" type="noConversion"/>
  </si>
  <si>
    <t>技术支持体系</t>
  </si>
  <si>
    <t>系统运维部</t>
  </si>
  <si>
    <t>运维经理</t>
  </si>
  <si>
    <t>C</t>
  </si>
  <si>
    <t>蒋晶</t>
  </si>
  <si>
    <t>女</t>
  </si>
  <si>
    <t>430304198712192281</t>
  </si>
  <si>
    <t>重庆大学网络学院</t>
    <phoneticPr fontId="2" type="noConversion"/>
  </si>
  <si>
    <t>大专</t>
  </si>
  <si>
    <t>计算机科学与技术</t>
  </si>
  <si>
    <t>产品研发体系</t>
  </si>
  <si>
    <t>研发中心</t>
  </si>
  <si>
    <t>总监助理</t>
  </si>
  <si>
    <t>B</t>
  </si>
  <si>
    <t>王明刚</t>
  </si>
  <si>
    <t>北京</t>
  </si>
  <si>
    <t>210283198703204630</t>
  </si>
  <si>
    <t>北京人文大学</t>
    <phoneticPr fontId="2" type="noConversion"/>
  </si>
  <si>
    <t>本科</t>
    <phoneticPr fontId="2" type="noConversion"/>
  </si>
  <si>
    <t>计算机应用</t>
  </si>
  <si>
    <t>营销体系</t>
  </si>
  <si>
    <t>集团业务部</t>
  </si>
  <si>
    <t>集团客户部一组总监</t>
  </si>
  <si>
    <t>薛艳</t>
  </si>
  <si>
    <t>410222198911125624</t>
  </si>
  <si>
    <t>河北建材职业技术学院</t>
    <phoneticPr fontId="2" type="noConversion"/>
  </si>
  <si>
    <t>大专</t>
    <phoneticPr fontId="2" type="noConversion"/>
  </si>
  <si>
    <t>行政管理与办公自动化</t>
  </si>
  <si>
    <t>管理体系</t>
  </si>
  <si>
    <t>财务部</t>
  </si>
  <si>
    <t>出纳</t>
  </si>
  <si>
    <t>D</t>
  </si>
  <si>
    <t>张艳龙</t>
  </si>
  <si>
    <t>371424198912083632</t>
  </si>
  <si>
    <t>德州市新星计算机学校</t>
    <phoneticPr fontId="2" type="noConversion"/>
  </si>
  <si>
    <t>中专</t>
    <phoneticPr fontId="2" type="noConversion"/>
  </si>
  <si>
    <t>中专</t>
  </si>
  <si>
    <t>政府业务部</t>
  </si>
  <si>
    <t>销售经理</t>
  </si>
  <si>
    <t>李颖</t>
  </si>
  <si>
    <t>430422198910230056</t>
  </si>
  <si>
    <t>湖南理工学院</t>
  </si>
  <si>
    <t>信息与计算科学</t>
  </si>
  <si>
    <t>VC开发工程师</t>
  </si>
  <si>
    <t>周意</t>
  </si>
  <si>
    <t>431081199004231376</t>
  </si>
  <si>
    <t>长沙航空职业技术学院</t>
  </si>
  <si>
    <t>java工程师</t>
  </si>
  <si>
    <t>刘亮亮</t>
  </si>
  <si>
    <t>郑州</t>
  </si>
  <si>
    <t>410822198009032012</t>
  </si>
  <si>
    <t>解放军信息工程大学</t>
    <phoneticPr fontId="2" type="noConversion"/>
  </si>
  <si>
    <t>计算机科学技术</t>
  </si>
  <si>
    <t>北方区域</t>
  </si>
  <si>
    <t>销售经理/办事处行政主管</t>
  </si>
  <si>
    <t>张波</t>
  </si>
  <si>
    <t>140226198912015013</t>
  </si>
  <si>
    <t>中央民族大学</t>
  </si>
  <si>
    <t>数字媒体艺术</t>
  </si>
  <si>
    <t>售前咨询部</t>
  </si>
  <si>
    <t>售前工程师</t>
  </si>
  <si>
    <t>邓灿娟</t>
  </si>
  <si>
    <t>430923198909123863</t>
  </si>
  <si>
    <t>湖南商务职业技术学院</t>
  </si>
  <si>
    <t>网络工程</t>
  </si>
  <si>
    <t>技术服务部</t>
  </si>
  <si>
    <t>部门经理</t>
  </si>
  <si>
    <t>张海洋</t>
  </si>
  <si>
    <t>43018119900811741X</t>
  </si>
  <si>
    <t>湖南科技大学</t>
  </si>
  <si>
    <t>侯小龙</t>
  </si>
  <si>
    <t>340621198808091654</t>
  </si>
  <si>
    <t>安徽新华学院</t>
    <phoneticPr fontId="2" type="noConversion"/>
  </si>
  <si>
    <t>机电一体化</t>
  </si>
  <si>
    <t>集团客户部二组总监</t>
  </si>
  <si>
    <t>全世杰</t>
  </si>
  <si>
    <t>武汉</t>
  </si>
  <si>
    <t>420881199405246131</t>
  </si>
  <si>
    <t>河南师范大学</t>
  </si>
  <si>
    <t>企业管理</t>
  </si>
  <si>
    <t>高级软件工程师</t>
    <phoneticPr fontId="2" type="noConversion"/>
  </si>
  <si>
    <t>项目实施部</t>
  </si>
  <si>
    <t>实施工程师</t>
  </si>
  <si>
    <t>李慧</t>
  </si>
  <si>
    <t>431023199001164549</t>
  </si>
  <si>
    <t>湖南人文科技学院</t>
    <phoneticPr fontId="2" type="noConversion"/>
  </si>
  <si>
    <t>通信工程</t>
  </si>
  <si>
    <t>1.CMMI3认证证书
2.金碟云苍穹应用开发认证证书
3.计算机证书
4.B端产品经理课程培训结业证</t>
    <phoneticPr fontId="2" type="noConversion"/>
  </si>
  <si>
    <t>产品中心</t>
  </si>
  <si>
    <t>产品经理</t>
  </si>
  <si>
    <t>黄兵</t>
  </si>
  <si>
    <t>430722199102138172</t>
  </si>
  <si>
    <t>湖南科技学院</t>
  </si>
  <si>
    <t>数字媒体技术</t>
  </si>
  <si>
    <t>iOS应用开发；HarmonyOS应用开发者高级认证</t>
    <phoneticPr fontId="2" type="noConversion"/>
  </si>
  <si>
    <t>ios开发工程师</t>
  </si>
  <si>
    <t>王景辉</t>
  </si>
  <si>
    <t>411081199108298395</t>
  </si>
  <si>
    <t>河南科技大学</t>
  </si>
  <si>
    <t>计算机应用技术</t>
  </si>
  <si>
    <t>项目副总监</t>
  </si>
  <si>
    <t>罗付</t>
  </si>
  <si>
    <t>430525198410204315</t>
  </si>
  <si>
    <t>北京吉利大学</t>
  </si>
  <si>
    <t>计算机网络技术</t>
  </si>
  <si>
    <t>系统集成项目管理工程师证书
OSTA网络工程师认证</t>
    <phoneticPr fontId="2" type="noConversion"/>
  </si>
  <si>
    <t>夏华魁</t>
  </si>
  <si>
    <t>43090319880512302X</t>
  </si>
  <si>
    <t>怀化学院</t>
    <phoneticPr fontId="2" type="noConversion"/>
  </si>
  <si>
    <t>电子信息科学与技术</t>
  </si>
  <si>
    <t>计算机省二级</t>
    <phoneticPr fontId="2" type="noConversion"/>
  </si>
  <si>
    <t>客户服务中心</t>
  </si>
  <si>
    <t>客服专员</t>
  </si>
  <si>
    <t>葛巍</t>
  </si>
  <si>
    <t>110108197906192736</t>
  </si>
  <si>
    <t>中共中央党校</t>
    <phoneticPr fontId="2" type="noConversion"/>
  </si>
  <si>
    <t>商务管理</t>
    <phoneticPr fontId="2" type="noConversion"/>
  </si>
  <si>
    <t>李腾飞</t>
  </si>
  <si>
    <t>412722198909048710</t>
  </si>
  <si>
    <t>郑州财经学院</t>
    <phoneticPr fontId="2" type="noConversion"/>
  </si>
  <si>
    <t>会计</t>
  </si>
  <si>
    <t>罗志亚</t>
  </si>
  <si>
    <t>430381199011039513</t>
  </si>
  <si>
    <t>贺晓禹</t>
  </si>
  <si>
    <t>43028119931112102X</t>
  </si>
  <si>
    <t>湖南工业大学</t>
    <phoneticPr fontId="2" type="noConversion"/>
  </si>
  <si>
    <t>电子信息工程</t>
  </si>
  <si>
    <t>刘红</t>
  </si>
  <si>
    <t>上海</t>
  </si>
  <si>
    <t>320621198203108122</t>
  </si>
  <si>
    <t>上海市静安业余大学</t>
    <phoneticPr fontId="2" type="noConversion"/>
  </si>
  <si>
    <t>行政管理</t>
  </si>
  <si>
    <t>卿播辉</t>
  </si>
  <si>
    <t>430624199003269318</t>
  </si>
  <si>
    <t>湖南生物机电职业技术学院</t>
  </si>
  <si>
    <t>测试工程师</t>
  </si>
  <si>
    <t>梁雄峰</t>
  </si>
  <si>
    <t>432503199011096554</t>
  </si>
  <si>
    <t>中央广播电视大学</t>
  </si>
  <si>
    <t>计算机信息管理</t>
  </si>
  <si>
    <t>研发部经理</t>
  </si>
  <si>
    <t>欧北平</t>
  </si>
  <si>
    <t>131082197906281037</t>
  </si>
  <si>
    <t>河北三河市职教中心</t>
  </si>
  <si>
    <t>驻场实施工程师</t>
  </si>
  <si>
    <t>王海明</t>
  </si>
  <si>
    <t>62272319811104381x</t>
  </si>
  <si>
    <t>中国管理软件学院</t>
    <phoneticPr fontId="2" type="noConversion"/>
  </si>
  <si>
    <t>电子商务</t>
  </si>
  <si>
    <t>助理电子商务师</t>
    <phoneticPr fontId="2" type="noConversion"/>
  </si>
  <si>
    <t>建设事业部副总监</t>
  </si>
  <si>
    <t>杨选</t>
  </si>
  <si>
    <t>430281199306054678</t>
  </si>
  <si>
    <t>湘潭大学</t>
  </si>
  <si>
    <t>阳艳华</t>
  </si>
  <si>
    <t>430503198412232522</t>
  </si>
  <si>
    <t>邵阳市计算机学校</t>
    <phoneticPr fontId="2" type="noConversion"/>
  </si>
  <si>
    <t>财政金融</t>
  </si>
  <si>
    <t>南方区域</t>
  </si>
  <si>
    <t>袁寸方</t>
  </si>
  <si>
    <t>412722199411082035</t>
  </si>
  <si>
    <t>河南工业大学</t>
  </si>
  <si>
    <t>华建</t>
  </si>
  <si>
    <t>南京</t>
  </si>
  <si>
    <t>32108819901031509X</t>
  </si>
  <si>
    <t>三江学院</t>
    <phoneticPr fontId="2" type="noConversion"/>
  </si>
  <si>
    <t xml:space="preserve">计算机二级证书  </t>
    <phoneticPr fontId="2" type="noConversion"/>
  </si>
  <si>
    <t>第二战区总监</t>
  </si>
  <si>
    <t>戴彪</t>
  </si>
  <si>
    <t>430122198908141154</t>
  </si>
  <si>
    <t>河南理工大学</t>
  </si>
  <si>
    <t>矿物加工</t>
  </si>
  <si>
    <t>研究院</t>
  </si>
  <si>
    <t>金祖柳</t>
  </si>
  <si>
    <t>431227199201206033</t>
  </si>
  <si>
    <t>怀化学院</t>
  </si>
  <si>
    <t>全国信息技术人才培养工程职业技术证书（高级软件工程师）</t>
    <phoneticPr fontId="2" type="noConversion"/>
  </si>
  <si>
    <t>祁高兵</t>
  </si>
  <si>
    <t>130429199601027116</t>
  </si>
  <si>
    <t>廊坊职业技术学院</t>
  </si>
  <si>
    <t>移动通信技术</t>
  </si>
  <si>
    <t>PMP
计算机软件安全三级检测员</t>
    <phoneticPr fontId="2" type="noConversion"/>
  </si>
  <si>
    <t>售前副总监</t>
  </si>
  <si>
    <t>刘赢</t>
  </si>
  <si>
    <t>430903199112066311</t>
  </si>
  <si>
    <t>湖南农业大学</t>
  </si>
  <si>
    <t>模具设计与制造</t>
  </si>
  <si>
    <t>售后工程师</t>
  </si>
  <si>
    <t>殷萍</t>
  </si>
  <si>
    <t>430482198608176542</t>
  </si>
  <si>
    <t>中南林业科技大学</t>
  </si>
  <si>
    <t>初级程序员证</t>
    <phoneticPr fontId="2" type="noConversion"/>
  </si>
  <si>
    <t>周鹏</t>
  </si>
  <si>
    <t>431128199405234619</t>
  </si>
  <si>
    <t>湖南警察学院</t>
    <phoneticPr fontId="2" type="noConversion"/>
  </si>
  <si>
    <t>技术客服</t>
  </si>
  <si>
    <t>彭外平</t>
  </si>
  <si>
    <t>430224199310272718</t>
  </si>
  <si>
    <t>中南林业科技大学涉外学院</t>
  </si>
  <si>
    <t>园林</t>
  </si>
  <si>
    <t>许宏波</t>
  </si>
  <si>
    <t>41052319850707651X</t>
  </si>
  <si>
    <t>平顶山学院</t>
    <phoneticPr fontId="2" type="noConversion"/>
  </si>
  <si>
    <t>计算科学与技术</t>
  </si>
  <si>
    <t>卜正斌</t>
  </si>
  <si>
    <t>430703199305047159</t>
  </si>
  <si>
    <t>邵阳学院</t>
  </si>
  <si>
    <t>刘景霞</t>
  </si>
  <si>
    <t>37292319790501146X</t>
  </si>
  <si>
    <t>对外经济贸易学院</t>
    <phoneticPr fontId="2" type="noConversion"/>
  </si>
  <si>
    <t>工商管理</t>
  </si>
  <si>
    <t>人力资源法务咨询师
质量管理体系内审员</t>
    <phoneticPr fontId="2" type="noConversion"/>
  </si>
  <si>
    <t>行政管理部</t>
  </si>
  <si>
    <t>资深人资专员</t>
  </si>
  <si>
    <t>张秀英</t>
  </si>
  <si>
    <t>430281199302010723</t>
  </si>
  <si>
    <t>南华大学</t>
    <phoneticPr fontId="2" type="noConversion"/>
  </si>
  <si>
    <t>中级会计职称</t>
    <phoneticPr fontId="2" type="noConversion"/>
  </si>
  <si>
    <t>出纳/会计</t>
  </si>
  <si>
    <t>扶玲玉</t>
  </si>
  <si>
    <t>430225199311235528</t>
  </si>
  <si>
    <t>湖南商学院</t>
    <phoneticPr fontId="2" type="noConversion"/>
  </si>
  <si>
    <t>市场营销</t>
  </si>
  <si>
    <t>殷毅</t>
  </si>
  <si>
    <t>430424199908104621</t>
  </si>
  <si>
    <t>广州番禺职业技术学院</t>
  </si>
  <si>
    <t>计算机应用与技术</t>
  </si>
  <si>
    <t>王雷</t>
  </si>
  <si>
    <t>430724199409133627</t>
  </si>
  <si>
    <t>/</t>
    <phoneticPr fontId="2" type="noConversion"/>
  </si>
  <si>
    <t>高中</t>
    <phoneticPr fontId="2" type="noConversion"/>
  </si>
  <si>
    <t>高中</t>
  </si>
  <si>
    <t>谢添锋</t>
  </si>
  <si>
    <t>43112419990417423X</t>
  </si>
  <si>
    <t>湖南软件职业学院</t>
  </si>
  <si>
    <t>网络管理员</t>
    <phoneticPr fontId="2" type="noConversion"/>
  </si>
  <si>
    <t>谭荣华</t>
  </si>
  <si>
    <t>430724198706240512</t>
  </si>
  <si>
    <t>湖南信息职业技术学院</t>
  </si>
  <si>
    <t>计算机科技与技术</t>
    <phoneticPr fontId="2" type="noConversion"/>
  </si>
  <si>
    <t>安呈立</t>
  </si>
  <si>
    <t>372924198608011536</t>
  </si>
  <si>
    <t>首都经济贸易大学</t>
    <phoneticPr fontId="2" type="noConversion"/>
  </si>
  <si>
    <t>文小宇</t>
  </si>
  <si>
    <t>430524198809077796</t>
  </si>
  <si>
    <t>衡阳师范学院</t>
  </si>
  <si>
    <t>陈明</t>
  </si>
  <si>
    <t>431281199707126215</t>
  </si>
  <si>
    <t>湖南科技职业学院</t>
  </si>
  <si>
    <t>李武亮</t>
  </si>
  <si>
    <t>360124199308171818</t>
  </si>
  <si>
    <t>衡阳师范学院南岳学院</t>
  </si>
  <si>
    <t>电子信息科学</t>
  </si>
  <si>
    <t>李靓冰</t>
  </si>
  <si>
    <t>430111198602131720</t>
  </si>
  <si>
    <t>湖南科技大学</t>
    <phoneticPr fontId="2" type="noConversion"/>
  </si>
  <si>
    <t>美术学</t>
  </si>
  <si>
    <t>高级中学美术教师资格证</t>
    <phoneticPr fontId="2" type="noConversion"/>
  </si>
  <si>
    <t>UI设计师</t>
  </si>
  <si>
    <t>谢文博</t>
  </si>
  <si>
    <t>430381198603092639</t>
  </si>
  <si>
    <t>湖南工学院</t>
  </si>
  <si>
    <t>周佳玲</t>
  </si>
  <si>
    <t>430722199506127920</t>
  </si>
  <si>
    <t>湖南第一师范学院</t>
  </si>
  <si>
    <t>书法学</t>
  </si>
  <si>
    <t>前端开发工程师</t>
  </si>
  <si>
    <t>曾利剑</t>
  </si>
  <si>
    <t>431022198811250413</t>
  </si>
  <si>
    <t>湖南机电职业技术学院</t>
    <phoneticPr fontId="2" type="noConversion"/>
  </si>
  <si>
    <t>应用电子技术</t>
  </si>
  <si>
    <t>中级电工证</t>
    <phoneticPr fontId="2" type="noConversion"/>
  </si>
  <si>
    <t>彭倩钰</t>
  </si>
  <si>
    <t>430511199704217521</t>
  </si>
  <si>
    <t>吉首大学</t>
  </si>
  <si>
    <t>欧阳慧</t>
  </si>
  <si>
    <t>430481199001100208</t>
  </si>
  <si>
    <t>长沙航空职业技术学院</t>
    <phoneticPr fontId="2" type="noConversion"/>
  </si>
  <si>
    <t>MCP、微软认证专家、
全国计算机等级一级</t>
    <phoneticPr fontId="2" type="noConversion"/>
  </si>
  <si>
    <t>邓开强</t>
  </si>
  <si>
    <t>430522199806184870</t>
  </si>
  <si>
    <t>湖南电子科技职业学院</t>
  </si>
  <si>
    <t>软件技术</t>
  </si>
  <si>
    <t>郑翠攒</t>
  </si>
  <si>
    <t>130635198412034425</t>
  </si>
  <si>
    <t>南昌航空大学</t>
    <phoneticPr fontId="2" type="noConversion"/>
  </si>
  <si>
    <t>经济学</t>
  </si>
  <si>
    <t>会计中级证书</t>
    <phoneticPr fontId="2" type="noConversion"/>
  </si>
  <si>
    <t>总账会计</t>
  </si>
  <si>
    <t>许燕</t>
  </si>
  <si>
    <t>430602199508066024</t>
  </si>
  <si>
    <t>长沙理工大学</t>
  </si>
  <si>
    <t>人力资源管理</t>
  </si>
  <si>
    <t>周冉頔</t>
  </si>
  <si>
    <t>430202198802271022</t>
  </si>
  <si>
    <t>南京师范大学</t>
    <phoneticPr fontId="2" type="noConversion"/>
  </si>
  <si>
    <t>是</t>
    <phoneticPr fontId="2" type="noConversion"/>
  </si>
  <si>
    <t>硕士</t>
  </si>
  <si>
    <t>心理咨询与测量</t>
  </si>
  <si>
    <t>国家二级心理咨询师</t>
    <phoneticPr fontId="2" type="noConversion"/>
  </si>
  <si>
    <t>何少峰</t>
  </si>
  <si>
    <t>431128198812225918</t>
  </si>
  <si>
    <t>湖南机电职业技术学院</t>
  </si>
  <si>
    <t>冯威旗</t>
  </si>
  <si>
    <t>430203199404226016</t>
  </si>
  <si>
    <t>园林设计</t>
  </si>
  <si>
    <t>陈锦深</t>
  </si>
  <si>
    <t>431128199309295032</t>
  </si>
  <si>
    <t>中南林业科技大学涉外学院</t>
    <phoneticPr fontId="2" type="noConversion"/>
  </si>
  <si>
    <t>金融学</t>
  </si>
  <si>
    <t>SaaS销售</t>
  </si>
  <si>
    <t>龚杰</t>
  </si>
  <si>
    <t>43090219930601701X</t>
  </si>
  <si>
    <t>欧阳剑</t>
  </si>
  <si>
    <t>430404197806021134</t>
  </si>
  <si>
    <t>湖南计算机高等专科学校</t>
  </si>
  <si>
    <t>计算机通信</t>
  </si>
  <si>
    <t>熊志中</t>
  </si>
  <si>
    <t>412723198405100075</t>
  </si>
  <si>
    <t>黄淮学院</t>
  </si>
  <si>
    <t>李丹江</t>
  </si>
  <si>
    <t>610125198407130011</t>
  </si>
  <si>
    <t>解放军西安通信学院</t>
    <phoneticPr fontId="2" type="noConversion"/>
  </si>
  <si>
    <t>法学</t>
    <phoneticPr fontId="2" type="noConversion"/>
  </si>
  <si>
    <t>第三战区总监</t>
  </si>
  <si>
    <t>何伟</t>
  </si>
  <si>
    <t>430122198712072134</t>
  </si>
  <si>
    <t>湘南学院</t>
  </si>
  <si>
    <t>李碧华</t>
  </si>
  <si>
    <t>43070319871104686X</t>
  </si>
  <si>
    <t>湖南同德职业学院</t>
    <phoneticPr fontId="2" type="noConversion"/>
  </si>
  <si>
    <t>罗燕美</t>
  </si>
  <si>
    <t>431026199902213626</t>
  </si>
  <si>
    <t>张旭</t>
  </si>
  <si>
    <t>广州</t>
  </si>
  <si>
    <t>230708198909110411</t>
  </si>
  <si>
    <t>哈尔滨职业技术学院</t>
  </si>
  <si>
    <t>软件技术专业</t>
  </si>
  <si>
    <t>叶雄</t>
  </si>
  <si>
    <t>430522199805097839</t>
  </si>
  <si>
    <t>长沙学院</t>
  </si>
  <si>
    <t>伍烽沅</t>
  </si>
  <si>
    <t>430528199410134090</t>
  </si>
  <si>
    <t>湖南涉外经济学院</t>
    <phoneticPr fontId="2" type="noConversion"/>
  </si>
  <si>
    <t>日语托业jest-E级等级证书</t>
    <phoneticPr fontId="2" type="noConversion"/>
  </si>
  <si>
    <t>于伶渊</t>
  </si>
  <si>
    <t>430181199209190322</t>
  </si>
  <si>
    <t>湖南商学院</t>
  </si>
  <si>
    <t>销售管理</t>
  </si>
  <si>
    <t>高级系统分析师证书
高级软件测试工程师证书</t>
    <phoneticPr fontId="2" type="noConversion"/>
  </si>
  <si>
    <t>曾小姣</t>
  </si>
  <si>
    <t>430521198604157320</t>
  </si>
  <si>
    <t>湖南科技职业技术学院</t>
    <phoneticPr fontId="2" type="noConversion"/>
  </si>
  <si>
    <t>艺术设计</t>
  </si>
  <si>
    <t>罗月焕</t>
  </si>
  <si>
    <t>452724199210022124</t>
  </si>
  <si>
    <t>盐城工学院</t>
    <phoneticPr fontId="2" type="noConversion"/>
  </si>
  <si>
    <t>化学工程与工艺</t>
  </si>
  <si>
    <t>邓晶</t>
  </si>
  <si>
    <t>430523199807151524</t>
  </si>
  <si>
    <t>湖南汽车工程职业技术学院</t>
    <phoneticPr fontId="2" type="noConversion"/>
  </si>
  <si>
    <t>国家信息化计算机教育认证证书、办公软件应用证书</t>
    <phoneticPr fontId="2" type="noConversion"/>
  </si>
  <si>
    <t>曾小芹</t>
  </si>
  <si>
    <t>430581198410120542</t>
  </si>
  <si>
    <t>广告设计</t>
  </si>
  <si>
    <t>行政专员</t>
  </si>
  <si>
    <t>赵献波</t>
  </si>
  <si>
    <t>372925199102103397</t>
  </si>
  <si>
    <t>北京理工大学</t>
  </si>
  <si>
    <t>李淑艳</t>
  </si>
  <si>
    <t>430528199701078228</t>
  </si>
  <si>
    <t>周雨</t>
  </si>
  <si>
    <t>430781199106190533</t>
  </si>
  <si>
    <t>计算机科学与应用</t>
  </si>
  <si>
    <t>谭开乐</t>
  </si>
  <si>
    <t>439004199510089039</t>
  </si>
  <si>
    <t>导弹维修</t>
  </si>
  <si>
    <t>李双喜</t>
  </si>
  <si>
    <t>430224199610251222</t>
  </si>
  <si>
    <t>湖南文理学院</t>
  </si>
  <si>
    <t>徐飞</t>
  </si>
  <si>
    <t>321023199106010815</t>
  </si>
  <si>
    <t>南京邮电大学</t>
    <phoneticPr fontId="2" type="noConversion"/>
  </si>
  <si>
    <t>软件工程初级证书</t>
    <phoneticPr fontId="2" type="noConversion"/>
  </si>
  <si>
    <t>朱思维</t>
  </si>
  <si>
    <t>432522199110070690</t>
  </si>
  <si>
    <t>湖南城建职业技术学院</t>
    <phoneticPr fontId="2" type="noConversion"/>
  </si>
  <si>
    <t>徐军</t>
  </si>
  <si>
    <t>320122197510053234</t>
  </si>
  <si>
    <t>空军气象学院</t>
    <phoneticPr fontId="2" type="noConversion"/>
  </si>
  <si>
    <t>丁贝贝</t>
  </si>
  <si>
    <t>370921199701191512</t>
  </si>
  <si>
    <t>北京外国语大学</t>
  </si>
  <si>
    <t>信息管理与信息技术</t>
  </si>
  <si>
    <t>谌浩</t>
  </si>
  <si>
    <t>430682200110212316</t>
  </si>
  <si>
    <t>湖南工业大学科技学院</t>
  </si>
  <si>
    <t>宋炆璟</t>
  </si>
  <si>
    <t>430723199611222416</t>
  </si>
  <si>
    <t>国家开放大学</t>
  </si>
  <si>
    <t>人力资源管理</t>
    <phoneticPr fontId="2" type="noConversion"/>
  </si>
  <si>
    <t>马翊桓</t>
  </si>
  <si>
    <t>430781198706206039</t>
  </si>
  <si>
    <t>长沙南方职业学院</t>
    <phoneticPr fontId="2" type="noConversion"/>
  </si>
  <si>
    <t>信息系统项目管理师
信息系统监理师
网络工程师
二级建造师</t>
    <phoneticPr fontId="2" type="noConversion"/>
  </si>
  <si>
    <t>吴成俊</t>
  </si>
  <si>
    <t>342625198812283277</t>
  </si>
  <si>
    <t>中国农业大学</t>
  </si>
  <si>
    <t>高级软件工程师  PMP</t>
    <phoneticPr fontId="2" type="noConversion"/>
  </si>
  <si>
    <t>陈淼</t>
  </si>
  <si>
    <t>430903200007286027</t>
  </si>
  <si>
    <t>长沙南方职业学院</t>
  </si>
  <si>
    <t>彭泽祥</t>
  </si>
  <si>
    <t>430521200101035719</t>
  </si>
  <si>
    <t>湖南电子科技技术学院</t>
    <phoneticPr fontId="2" type="noConversion"/>
  </si>
  <si>
    <t>杜毅</t>
  </si>
  <si>
    <t>411381198403204533</t>
  </si>
  <si>
    <t>开封大学</t>
    <phoneticPr fontId="2" type="noConversion"/>
  </si>
  <si>
    <t>道路与桥梁工程</t>
  </si>
  <si>
    <t>销售总监</t>
  </si>
  <si>
    <t>李志远</t>
  </si>
  <si>
    <t>220183199305146018</t>
  </si>
  <si>
    <t>白城师范学院</t>
  </si>
  <si>
    <t>周港</t>
  </si>
  <si>
    <t>430122199804234510</t>
  </si>
  <si>
    <t>湖南理工学院南湖学院</t>
  </si>
  <si>
    <t>张建</t>
  </si>
  <si>
    <t>431226199103166617</t>
  </si>
  <si>
    <t>湖南师范大学树达学院</t>
    <phoneticPr fontId="2" type="noConversion"/>
  </si>
  <si>
    <t>艺术设计学</t>
  </si>
  <si>
    <t>PMP</t>
    <phoneticPr fontId="2" type="noConversion"/>
  </si>
  <si>
    <t>市场与产品副总监</t>
  </si>
  <si>
    <t>唐军山</t>
  </si>
  <si>
    <t>431102198505067792</t>
  </si>
  <si>
    <t>湖南经济科技学院</t>
    <phoneticPr fontId="2" type="noConversion"/>
  </si>
  <si>
    <t>软件测试工程师</t>
    <phoneticPr fontId="2" type="noConversion"/>
  </si>
  <si>
    <t>测试经理</t>
  </si>
  <si>
    <t>王彩慧</t>
  </si>
  <si>
    <t>140602199508191520</t>
  </si>
  <si>
    <t>中国石油大学</t>
  </si>
  <si>
    <t>黎慧华</t>
  </si>
  <si>
    <t>430124199702142941</t>
  </si>
  <si>
    <t>大众传媒</t>
    <phoneticPr fontId="2" type="noConversion"/>
  </si>
  <si>
    <t>金融管理与实务</t>
  </si>
  <si>
    <t>刘洋洋</t>
  </si>
  <si>
    <t>411403199605026318</t>
  </si>
  <si>
    <t>河南应用技术职业学院</t>
  </si>
  <si>
    <t>软件工程</t>
  </si>
  <si>
    <t>王亚萍</t>
  </si>
  <si>
    <t>430523199007068829</t>
  </si>
  <si>
    <t>长沙商贸旅游职业学院</t>
    <phoneticPr fontId="2" type="noConversion"/>
  </si>
  <si>
    <t>初级会计师</t>
    <phoneticPr fontId="2" type="noConversion"/>
  </si>
  <si>
    <t>郭英</t>
  </si>
  <si>
    <t>511324199210015729</t>
  </si>
  <si>
    <t>北京航天航空大学</t>
    <phoneticPr fontId="2" type="noConversion"/>
  </si>
  <si>
    <t>人力资源</t>
  </si>
  <si>
    <t>商务专员</t>
  </si>
  <si>
    <t>陈德华</t>
  </si>
  <si>
    <t>430223198410238313</t>
  </si>
  <si>
    <t>江南大学</t>
  </si>
  <si>
    <t>架构师</t>
  </si>
  <si>
    <t>骆乐</t>
  </si>
  <si>
    <t>430122199811244530</t>
  </si>
  <si>
    <t>电子科技大学</t>
  </si>
  <si>
    <t>郑佳滨</t>
  </si>
  <si>
    <t>44058219920806165X</t>
  </si>
  <si>
    <t>广东信息工程职业学院</t>
  </si>
  <si>
    <t>夏鸿章</t>
  </si>
  <si>
    <t>430321199005259513</t>
  </si>
  <si>
    <t>湖南工艺美术职业学院</t>
  </si>
  <si>
    <t>工业设计</t>
  </si>
  <si>
    <t>平面设计师</t>
  </si>
  <si>
    <t>张正杰</t>
  </si>
  <si>
    <t>430304199804012051</t>
  </si>
  <si>
    <t>周虹鸿</t>
  </si>
  <si>
    <t>360313198604040027</t>
  </si>
  <si>
    <t>井冈山大学</t>
    <phoneticPr fontId="2" type="noConversion"/>
  </si>
  <si>
    <t>教育技术</t>
  </si>
  <si>
    <t>招培经理</t>
  </si>
  <si>
    <t>夏明</t>
  </si>
  <si>
    <t>360732199711151537</t>
  </si>
  <si>
    <t>江西现代职业技术学院</t>
    <phoneticPr fontId="2" type="noConversion"/>
  </si>
  <si>
    <t>系统架构师证书</t>
    <phoneticPr fontId="2" type="noConversion"/>
  </si>
  <si>
    <t>陈伦</t>
  </si>
  <si>
    <t>431221199106020427</t>
  </si>
  <si>
    <t>湖南财政经济学院</t>
    <phoneticPr fontId="2" type="noConversion"/>
  </si>
  <si>
    <t>金融英语</t>
  </si>
  <si>
    <t>大学英语四级证书 、全国普通话二乙证书、C1驾驶证</t>
    <phoneticPr fontId="2" type="noConversion"/>
  </si>
  <si>
    <t>杨进波</t>
  </si>
  <si>
    <t>430527199212290918</t>
  </si>
  <si>
    <t>北京财贸职业学院</t>
    <phoneticPr fontId="2" type="noConversion"/>
  </si>
  <si>
    <t>服装设计</t>
    <phoneticPr fontId="2" type="noConversion"/>
  </si>
  <si>
    <t>徐鹏</t>
  </si>
  <si>
    <t>320123198209060014</t>
  </si>
  <si>
    <t>南京工业大学</t>
  </si>
  <si>
    <t>信息系统项目管理师；
二级建造师；CCNP</t>
    <phoneticPr fontId="2" type="noConversion"/>
  </si>
  <si>
    <t>区域技术经理</t>
  </si>
  <si>
    <t>雷毅冬</t>
  </si>
  <si>
    <t>430104199211220639</t>
  </si>
  <si>
    <t>中南大学</t>
  </si>
  <si>
    <t>罗芳</t>
  </si>
  <si>
    <t>430721198706155263</t>
  </si>
  <si>
    <t>刘植敏</t>
  </si>
  <si>
    <t>421023198612055257</t>
  </si>
  <si>
    <t>湖北工业大学</t>
  </si>
  <si>
    <t>唐炜</t>
  </si>
  <si>
    <t>430481199802240016</t>
  </si>
  <si>
    <t>SaaS业务部</t>
  </si>
  <si>
    <t>陈星君</t>
  </si>
  <si>
    <t>43112119990124474X</t>
  </si>
  <si>
    <t>湖南女子学院</t>
    <phoneticPr fontId="2" type="noConversion"/>
  </si>
  <si>
    <t>经营管理部</t>
  </si>
  <si>
    <t>刘国</t>
  </si>
  <si>
    <t>430922199007035811</t>
  </si>
  <si>
    <t>何求军</t>
  </si>
  <si>
    <t>430527199710052111</t>
  </si>
  <si>
    <t>计算机二级证书</t>
    <phoneticPr fontId="2" type="noConversion"/>
  </si>
  <si>
    <t>向端</t>
  </si>
  <si>
    <t>430626198906088030</t>
  </si>
  <si>
    <t>陶卓</t>
  </si>
  <si>
    <t>430111199308031715</t>
  </si>
  <si>
    <t>湖南城市学院</t>
  </si>
  <si>
    <t>建筑设备与能源应用工程</t>
  </si>
  <si>
    <t>祝秋萍</t>
  </si>
  <si>
    <t>430524199009238664</t>
  </si>
  <si>
    <t>广州大学</t>
  </si>
  <si>
    <t>环境工程</t>
  </si>
  <si>
    <t>信息系统项目管理师</t>
    <phoneticPr fontId="2" type="noConversion"/>
  </si>
  <si>
    <t>李海冉</t>
  </si>
  <si>
    <t>41052219940603583X</t>
  </si>
  <si>
    <t>商丘师范学院</t>
  </si>
  <si>
    <t>信息管理与信息系统</t>
  </si>
  <si>
    <t>吴宏</t>
  </si>
  <si>
    <t>360428199312080056</t>
  </si>
  <si>
    <t>南昌理工大学</t>
    <phoneticPr fontId="2" type="noConversion"/>
  </si>
  <si>
    <t>梁莹莹</t>
  </si>
  <si>
    <t>430525199906028524</t>
  </si>
  <si>
    <t>黄明洁</t>
  </si>
  <si>
    <t>430426198909038265</t>
  </si>
  <si>
    <t>长沙民政职业技术学院</t>
    <phoneticPr fontId="2" type="noConversion"/>
  </si>
  <si>
    <t>项目经理</t>
  </si>
  <si>
    <t>佟鑫</t>
  </si>
  <si>
    <t>231084199312102228</t>
  </si>
  <si>
    <t>湖南农业大学</t>
    <phoneticPr fontId="2" type="noConversion"/>
  </si>
  <si>
    <t>市场部</t>
  </si>
  <si>
    <t>市场策划</t>
  </si>
  <si>
    <t>刘利</t>
  </si>
  <si>
    <t>430421199807064430</t>
  </si>
  <si>
    <t>计算机应用技术证书</t>
    <phoneticPr fontId="2" type="noConversion"/>
  </si>
  <si>
    <t>汪威成</t>
  </si>
  <si>
    <t>43052420011029157X</t>
  </si>
  <si>
    <t>国家开放大学</t>
    <phoneticPr fontId="2" type="noConversion"/>
  </si>
  <si>
    <t>计算机</t>
  </si>
  <si>
    <t>朱元希</t>
  </si>
  <si>
    <t>430111199811101311</t>
  </si>
  <si>
    <t>王宁博</t>
  </si>
  <si>
    <t>610527199401073617</t>
  </si>
  <si>
    <t>陕西铁路工程职业技术学院</t>
  </si>
  <si>
    <t>地下工程与隧道工程技术</t>
  </si>
  <si>
    <t>龙枫芬</t>
  </si>
  <si>
    <t>432503199410103205</t>
  </si>
  <si>
    <t>湖南女子学院</t>
  </si>
  <si>
    <t>数据库工程师</t>
  </si>
  <si>
    <t>李超</t>
  </si>
  <si>
    <t>430902199512185532</t>
  </si>
  <si>
    <t>数学与计算机应用</t>
  </si>
  <si>
    <t>吴新</t>
  </si>
  <si>
    <t>430104198911130613</t>
  </si>
  <si>
    <t>湖南信息职业技术学院</t>
    <phoneticPr fontId="2" type="noConversion"/>
  </si>
  <si>
    <t>Android开发工程师</t>
  </si>
  <si>
    <t>李灿辉</t>
  </si>
  <si>
    <t>430621199904269498</t>
  </si>
  <si>
    <t>杨超</t>
  </si>
  <si>
    <t>合肥</t>
  </si>
  <si>
    <t>342601199611254318</t>
  </si>
  <si>
    <t>安徽农业大学经济技术学院</t>
  </si>
  <si>
    <t>许志刚</t>
  </si>
  <si>
    <t>340404199709052219</t>
  </si>
  <si>
    <t>安徽国防科技职业技术学院</t>
  </si>
  <si>
    <t>陈尽全</t>
  </si>
  <si>
    <t>130532199009092035</t>
  </si>
  <si>
    <t>青岛黄海学院</t>
  </si>
  <si>
    <t>计算机网络</t>
  </si>
  <si>
    <t>闫斌辉</t>
  </si>
  <si>
    <t>西安</t>
  </si>
  <si>
    <t>61032819900312121X</t>
  </si>
  <si>
    <t>中央广播电视大学</t>
    <phoneticPr fontId="2" type="noConversion"/>
  </si>
  <si>
    <t>法学</t>
  </si>
  <si>
    <t>第五战区主管</t>
  </si>
  <si>
    <t>王美魁</t>
  </si>
  <si>
    <t>430621199803243336</t>
  </si>
  <si>
    <t>姚雯雯</t>
  </si>
  <si>
    <t>430502199611226529</t>
  </si>
  <si>
    <t>陈卓鑫</t>
  </si>
  <si>
    <t>430223199704038338</t>
  </si>
  <si>
    <t>湖南都市职业学院</t>
  </si>
  <si>
    <t>李书琦</t>
  </si>
  <si>
    <t>430703199901079317</t>
  </si>
  <si>
    <t>湖南文理学院</t>
    <phoneticPr fontId="2" type="noConversion"/>
  </si>
  <si>
    <t>唐丹</t>
  </si>
  <si>
    <t>430821199108234412</t>
  </si>
  <si>
    <t>湖南化工职业技术学院</t>
    <phoneticPr fontId="2" type="noConversion"/>
  </si>
  <si>
    <t>软考高级-系统架构设计师</t>
    <phoneticPr fontId="2" type="noConversion"/>
  </si>
  <si>
    <t>罗威</t>
  </si>
  <si>
    <t>431027200009123152</t>
  </si>
  <si>
    <t>湖南工程职业技术学院</t>
  </si>
  <si>
    <t>戴求林</t>
  </si>
  <si>
    <t>430581199908043016</t>
  </si>
  <si>
    <t>湖南财经工业职业技术学院</t>
  </si>
  <si>
    <t>机械设计与制造</t>
  </si>
  <si>
    <t>唐浩</t>
  </si>
  <si>
    <t>431127199701136056</t>
  </si>
  <si>
    <t>计算机科学与技术</t>
    <phoneticPr fontId="2" type="noConversion"/>
  </si>
  <si>
    <t>张阳</t>
  </si>
  <si>
    <t>433101200010178015</t>
  </si>
  <si>
    <t>湘西民族职业技术学院</t>
  </si>
  <si>
    <t>谢帅云</t>
  </si>
  <si>
    <t>430422199502141059</t>
  </si>
  <si>
    <t>湖南涉外经济学院</t>
  </si>
  <si>
    <t>喻媛</t>
  </si>
  <si>
    <t>430124198801114749</t>
  </si>
  <si>
    <t>娄底职业技术学院</t>
    <phoneticPr fontId="2" type="noConversion"/>
  </si>
  <si>
    <t>数控技术</t>
  </si>
  <si>
    <t>陈龙</t>
  </si>
  <si>
    <t>421002199809295054</t>
  </si>
  <si>
    <t>武汉外语外事职业学院</t>
  </si>
  <si>
    <t>工业和信息化人才能力提示证书</t>
    <phoneticPr fontId="2" type="noConversion"/>
  </si>
  <si>
    <t>温祖彪</t>
  </si>
  <si>
    <t>360123199407112411</t>
  </si>
  <si>
    <t>新余学院</t>
  </si>
  <si>
    <t>罗文</t>
  </si>
  <si>
    <t>43012219960913555X</t>
  </si>
  <si>
    <t>黄嘉莹</t>
  </si>
  <si>
    <t>440681199604152026</t>
  </si>
  <si>
    <t>广告学</t>
  </si>
  <si>
    <t>文案</t>
  </si>
  <si>
    <t>王希明</t>
  </si>
  <si>
    <t>430521199307126872</t>
  </si>
  <si>
    <t>工程造价管理</t>
  </si>
  <si>
    <t>肖重文</t>
  </si>
  <si>
    <t>43052319970306643X</t>
  </si>
  <si>
    <t>湖南信息学院</t>
  </si>
  <si>
    <t>国家二级计算资格证书</t>
  </si>
  <si>
    <t>彭胜楠</t>
  </si>
  <si>
    <t>362323199412205447</t>
  </si>
  <si>
    <t>浙江中医药大学</t>
    <phoneticPr fontId="2" type="noConversion"/>
  </si>
  <si>
    <t>文滔</t>
  </si>
  <si>
    <t>430725199410200328</t>
  </si>
  <si>
    <t>天津工业大学</t>
    <phoneticPr fontId="2" type="noConversion"/>
  </si>
  <si>
    <t>平面设计</t>
  </si>
  <si>
    <t>黄达标</t>
  </si>
  <si>
    <t>430124199309010416</t>
  </si>
  <si>
    <t>湖南文理学院芙蓉学院</t>
  </si>
  <si>
    <t>机械设计制造及自动化</t>
  </si>
  <si>
    <t>武建峰</t>
  </si>
  <si>
    <t>130427199305156711</t>
  </si>
  <si>
    <t>中国人民大学</t>
  </si>
  <si>
    <t>saas业务部组长</t>
  </si>
  <si>
    <t>袁文琪</t>
  </si>
  <si>
    <t>成都</t>
  </si>
  <si>
    <t>513002199412100013</t>
  </si>
  <si>
    <t>宜宾职业技术学院</t>
    <phoneticPr fontId="2" type="noConversion"/>
  </si>
  <si>
    <t>财务管理</t>
  </si>
  <si>
    <t>第九战区主管</t>
  </si>
  <si>
    <t>汪洁</t>
  </si>
  <si>
    <t>430623198909110062</t>
  </si>
  <si>
    <t>中南林业科技大学</t>
    <phoneticPr fontId="2" type="noConversion"/>
  </si>
  <si>
    <t>经济信息管理</t>
  </si>
  <si>
    <t>金碟云苍穹应用开发认证证书</t>
    <phoneticPr fontId="2" type="noConversion"/>
  </si>
  <si>
    <t>产品助理</t>
  </si>
  <si>
    <t>朱亚</t>
  </si>
  <si>
    <t>43012419911004327X</t>
  </si>
  <si>
    <t>湖南生物机电职业技术学院</t>
    <phoneticPr fontId="2" type="noConversion"/>
  </si>
  <si>
    <t>机电一体化技术</t>
  </si>
  <si>
    <t>政府与公共事业部销售副总监（南方）</t>
  </si>
  <si>
    <t>昌维</t>
  </si>
  <si>
    <t>43092219910919053X</t>
  </si>
  <si>
    <t>湖南师范大学</t>
  </si>
  <si>
    <t>钟理壮</t>
  </si>
  <si>
    <t>430611199809244513</t>
  </si>
  <si>
    <t>郭力行</t>
  </si>
  <si>
    <t>610528198811207210</t>
  </si>
  <si>
    <t>陕西国防学院</t>
    <phoneticPr fontId="2" type="noConversion"/>
  </si>
  <si>
    <t>数电</t>
  </si>
  <si>
    <t>邹磊</t>
  </si>
  <si>
    <t>430103198911070511</t>
  </si>
  <si>
    <t>湖南科技职业学院</t>
    <phoneticPr fontId="2" type="noConversion"/>
  </si>
  <si>
    <t>NIIT专业 证书</t>
    <phoneticPr fontId="2" type="noConversion"/>
  </si>
  <si>
    <t>陈大伟</t>
  </si>
  <si>
    <t>长春</t>
  </si>
  <si>
    <t>211382198702074619</t>
  </si>
  <si>
    <t>吉林化工学院</t>
    <phoneticPr fontId="2" type="noConversion"/>
  </si>
  <si>
    <t>过程装备与控制工程</t>
  </si>
  <si>
    <t>区域销售主管</t>
  </si>
  <si>
    <t>杨珍</t>
  </si>
  <si>
    <t>430181199901108460</t>
  </si>
  <si>
    <t>湖南理工学院</t>
    <phoneticPr fontId="2" type="noConversion"/>
  </si>
  <si>
    <t>刘剑</t>
  </si>
  <si>
    <t>410381199807283016</t>
  </si>
  <si>
    <t>黄河科技学院</t>
  </si>
  <si>
    <t>黄文斌</t>
  </si>
  <si>
    <t>432501199806230013</t>
  </si>
  <si>
    <t>余梦伊</t>
  </si>
  <si>
    <t>430602199309107444</t>
  </si>
  <si>
    <t>武汉大学</t>
    <phoneticPr fontId="2" type="noConversion"/>
  </si>
  <si>
    <t>社会学</t>
  </si>
  <si>
    <t>宁杰华</t>
  </si>
  <si>
    <t>430521200102077531</t>
  </si>
  <si>
    <t>湖南商学院北津学院</t>
  </si>
  <si>
    <t>运维工程师</t>
  </si>
  <si>
    <t>骈帅松</t>
  </si>
  <si>
    <t>130429199402264610</t>
  </si>
  <si>
    <t>北京八维研修学院</t>
    <phoneticPr fontId="2" type="noConversion"/>
  </si>
  <si>
    <t>大数据技术与应用</t>
  </si>
  <si>
    <t>生态渠道部</t>
  </si>
  <si>
    <t>生态合作经理</t>
  </si>
  <si>
    <t>何立雄</t>
  </si>
  <si>
    <t>430721199711181938</t>
  </si>
  <si>
    <t>常州工学院</t>
  </si>
  <si>
    <t>邹宗焱</t>
  </si>
  <si>
    <t>430524198211030715</t>
  </si>
  <si>
    <t>武汉科技大学</t>
    <phoneticPr fontId="2" type="noConversion"/>
  </si>
  <si>
    <t>陈勋笛</t>
  </si>
  <si>
    <t>430481198608220578</t>
  </si>
  <si>
    <t>湖南工商大学</t>
    <phoneticPr fontId="2" type="noConversion"/>
  </si>
  <si>
    <t>常奇飞</t>
  </si>
  <si>
    <t>410327199206076013</t>
  </si>
  <si>
    <t>建筑工程技术</t>
  </si>
  <si>
    <t>黄鑫炜</t>
  </si>
  <si>
    <t>360521199108207014</t>
  </si>
  <si>
    <t>江西理工大学</t>
  </si>
  <si>
    <t>席培</t>
  </si>
  <si>
    <t>新疆</t>
  </si>
  <si>
    <t>654223198609120018</t>
  </si>
  <si>
    <t>北京交通大学</t>
    <phoneticPr fontId="2" type="noConversion"/>
  </si>
  <si>
    <t>余强</t>
  </si>
  <si>
    <t>429006198701100612</t>
  </si>
  <si>
    <t>张港高中</t>
    <phoneticPr fontId="2" type="noConversion"/>
  </si>
  <si>
    <t>JAVA</t>
  </si>
  <si>
    <t>高级软件开发工程师</t>
    <phoneticPr fontId="2" type="noConversion"/>
  </si>
  <si>
    <t>谢维智</t>
  </si>
  <si>
    <t>432501199606192518</t>
  </si>
  <si>
    <t>湖南警察学院</t>
  </si>
  <si>
    <t>信息安全</t>
  </si>
  <si>
    <t>万志伟</t>
  </si>
  <si>
    <t>430225199409131516</t>
  </si>
  <si>
    <t>湖南环境生物职业技术学院</t>
    <phoneticPr fontId="2" type="noConversion"/>
  </si>
  <si>
    <t>生物技术</t>
  </si>
  <si>
    <t>王宇琛</t>
  </si>
  <si>
    <t>232326199505313535</t>
  </si>
  <si>
    <t>成都理工大学工程技术学院</t>
  </si>
  <si>
    <t>土木工程</t>
  </si>
  <si>
    <t>陈鹏</t>
  </si>
  <si>
    <t>32010519851002081X</t>
  </si>
  <si>
    <t>南京航空航天大学继续教育学院</t>
  </si>
  <si>
    <t>RHCE\OCP\PMP\劳动部认证软件工程师\中国移动认证云售前工程师\IBM天工计划结业证书</t>
    <phoneticPr fontId="2" type="noConversion"/>
  </si>
  <si>
    <t>周子熠</t>
  </si>
  <si>
    <t>430703199509195057</t>
  </si>
  <si>
    <t>湖南工程学院</t>
  </si>
  <si>
    <t>刘晓娟</t>
  </si>
  <si>
    <t>220402197901021448</t>
  </si>
  <si>
    <t>东北师范大学</t>
    <phoneticPr fontId="2" type="noConversion"/>
  </si>
  <si>
    <t>专科</t>
    <phoneticPr fontId="2" type="noConversion"/>
  </si>
  <si>
    <t>会计学</t>
  </si>
  <si>
    <t>全国计算机等级二级证书</t>
    <phoneticPr fontId="2" type="noConversion"/>
  </si>
  <si>
    <t>余佳</t>
  </si>
  <si>
    <t>430621198908104135</t>
  </si>
  <si>
    <t>湖南石油化工职业技术学院</t>
    <phoneticPr fontId="2" type="noConversion"/>
  </si>
  <si>
    <t>化工设备维修技术</t>
  </si>
  <si>
    <t>企业侧销售副总监（南方）</t>
  </si>
  <si>
    <t>胡浩亮</t>
  </si>
  <si>
    <t>411023198803084518</t>
  </si>
  <si>
    <t>新乡学院</t>
    <phoneticPr fontId="2" type="noConversion"/>
  </si>
  <si>
    <t>计算机科学</t>
  </si>
  <si>
    <t>CCNA 、CCNP、RHCA、中级工程师</t>
    <phoneticPr fontId="2" type="noConversion"/>
  </si>
  <si>
    <t>销售主管</t>
  </si>
  <si>
    <t>袁天翔</t>
  </si>
  <si>
    <t>430122200610253217</t>
  </si>
  <si>
    <t>湖南省工业贸易学校</t>
  </si>
  <si>
    <t>机器人技术应用</t>
  </si>
  <si>
    <t>实习生</t>
  </si>
  <si>
    <t>袁准</t>
  </si>
  <si>
    <t>430121199110024133</t>
  </si>
  <si>
    <t>宋卓功</t>
  </si>
  <si>
    <t>320826197802170217</t>
  </si>
  <si>
    <t>院校河海大学</t>
    <phoneticPr fontId="2" type="noConversion"/>
  </si>
  <si>
    <t>文鑫伟</t>
  </si>
  <si>
    <t>431103199610292730</t>
  </si>
  <si>
    <t>颜学金</t>
  </si>
  <si>
    <t>430408199105103019</t>
  </si>
  <si>
    <t>辽宁科技大学</t>
    <phoneticPr fontId="2" type="noConversion"/>
  </si>
  <si>
    <t>机械设计制造及其自动化</t>
  </si>
  <si>
    <t>行业销售总监-政务</t>
  </si>
  <si>
    <t>马艳青</t>
  </si>
  <si>
    <t>430528200111094063</t>
  </si>
  <si>
    <t>助理测试工程师</t>
  </si>
  <si>
    <t>吴涵</t>
  </si>
  <si>
    <t>430122199812301138</t>
  </si>
  <si>
    <t>长沙民政职业技术学院</t>
  </si>
  <si>
    <t>前端工程师</t>
  </si>
  <si>
    <t>于洋</t>
  </si>
  <si>
    <t>黑龙江</t>
  </si>
  <si>
    <t>230402199201040112</t>
  </si>
  <si>
    <t>北京国际工商管理学院</t>
    <phoneticPr fontId="2" type="noConversion"/>
  </si>
  <si>
    <t>魏延涛</t>
  </si>
  <si>
    <t>济南</t>
  </si>
  <si>
    <t>320721198905280811</t>
  </si>
  <si>
    <t>对外经济贸易大学</t>
    <phoneticPr fontId="2" type="noConversion"/>
  </si>
  <si>
    <t>物流管理</t>
  </si>
  <si>
    <t>谭勇</t>
  </si>
  <si>
    <t>430124199006107130</t>
  </si>
  <si>
    <t>国际经济与贸易</t>
  </si>
  <si>
    <t>计算机二级、C1驾驶证、财务管理实操证</t>
    <phoneticPr fontId="2" type="noConversion"/>
  </si>
  <si>
    <t>张向阳</t>
  </si>
  <si>
    <t>410526198609033798</t>
  </si>
  <si>
    <t>河南工程学院</t>
    <phoneticPr fontId="2" type="noConversion"/>
  </si>
  <si>
    <t>梁琪</t>
  </si>
  <si>
    <t>430481199303167192</t>
  </si>
  <si>
    <t>裴芳芳</t>
  </si>
  <si>
    <t>411522199707067529</t>
  </si>
  <si>
    <t>湖南涉外经济</t>
    <phoneticPr fontId="2" type="noConversion"/>
  </si>
  <si>
    <t>何伟乐</t>
  </si>
  <si>
    <t>429006198601244053</t>
  </si>
  <si>
    <t>东华理工大学</t>
    <phoneticPr fontId="2" type="noConversion"/>
  </si>
  <si>
    <t>尹子威</t>
  </si>
  <si>
    <t>430422199908289299</t>
  </si>
  <si>
    <t>湖南工商大学北津学院</t>
  </si>
  <si>
    <t>计算机二级</t>
    <phoneticPr fontId="2" type="noConversion"/>
  </si>
  <si>
    <t>杨京</t>
  </si>
  <si>
    <t>430523199810201510</t>
  </si>
  <si>
    <t>软件技术（软件开发方向）</t>
  </si>
  <si>
    <t>软件售后工程师</t>
  </si>
  <si>
    <t>姚洁</t>
  </si>
  <si>
    <t>43062420001030704X</t>
  </si>
  <si>
    <t>南昌理工学院</t>
    <phoneticPr fontId="2" type="noConversion"/>
  </si>
  <si>
    <t>陈景涛</t>
  </si>
  <si>
    <t>342425199410270012</t>
  </si>
  <si>
    <t>安徽交通职业技术学院</t>
    <phoneticPr fontId="2" type="noConversion"/>
  </si>
  <si>
    <t>刘志诚</t>
  </si>
  <si>
    <t>43068220000122312</t>
  </si>
  <si>
    <t>长沙学院</t>
    <phoneticPr fontId="2" type="noConversion"/>
  </si>
  <si>
    <t>客户成功专员</t>
  </si>
  <si>
    <t>杨雄</t>
  </si>
  <si>
    <t>43072619931025101X</t>
  </si>
  <si>
    <t>刘鹏鹏</t>
  </si>
  <si>
    <t>41142219991025181X</t>
  </si>
  <si>
    <t>新乡职业技术学院</t>
  </si>
  <si>
    <t>涂燕飞</t>
  </si>
  <si>
    <t>430726199905070023</t>
  </si>
  <si>
    <t>物联网工程</t>
  </si>
  <si>
    <t>邹存远</t>
  </si>
  <si>
    <t>甘肃</t>
  </si>
  <si>
    <t>232301199410275719</t>
  </si>
  <si>
    <t>中国地质大学</t>
    <phoneticPr fontId="2" type="noConversion"/>
  </si>
  <si>
    <t>渠道销售</t>
  </si>
  <si>
    <t>夏洪伟</t>
  </si>
  <si>
    <t>232301199303075711</t>
  </si>
  <si>
    <t>东北石油大学</t>
    <phoneticPr fontId="2" type="noConversion"/>
  </si>
  <si>
    <t>油气储运</t>
  </si>
  <si>
    <t>唐琴</t>
  </si>
  <si>
    <t>511527199805232941</t>
  </si>
  <si>
    <t>谭福林</t>
  </si>
  <si>
    <t>431226200208072452</t>
  </si>
  <si>
    <t>蒋李</t>
  </si>
  <si>
    <t>511023199008177617</t>
  </si>
  <si>
    <t>成都大学</t>
  </si>
  <si>
    <t>1、系统集成项目管理工程师
2、注册信息安全管理人员
3、数据安全治理工程师</t>
    <phoneticPr fontId="2" type="noConversion"/>
  </si>
  <si>
    <t>阎丽杰</t>
  </si>
  <si>
    <t>230281199303242123</t>
  </si>
  <si>
    <t>哈尔滨商业大学</t>
    <phoneticPr fontId="2" type="noConversion"/>
  </si>
  <si>
    <t>建筑环境与设备工程</t>
  </si>
  <si>
    <t>曲婉</t>
  </si>
  <si>
    <t>411325199305140744</t>
  </si>
  <si>
    <t>郑州大学</t>
    <phoneticPr fontId="2" type="noConversion"/>
  </si>
  <si>
    <t>网络系统管理</t>
  </si>
  <si>
    <t>企业级软件开发能力二级证书       茶艺师证    电子商务师证</t>
    <phoneticPr fontId="2" type="noConversion"/>
  </si>
  <si>
    <t>战区销售经理</t>
  </si>
  <si>
    <t>肖欢伟</t>
  </si>
  <si>
    <t>430525198710063518</t>
  </si>
  <si>
    <t>湖南机电职院</t>
    <phoneticPr fontId="2" type="noConversion"/>
  </si>
  <si>
    <t>程序员中级、ISTQB软测认证证书</t>
    <phoneticPr fontId="2" type="noConversion"/>
  </si>
  <si>
    <t>李雨晴</t>
  </si>
  <si>
    <t>430381200005262327</t>
  </si>
  <si>
    <t>硕士</t>
    <phoneticPr fontId="2" type="noConversion"/>
  </si>
  <si>
    <t>英语六级证书</t>
    <phoneticPr fontId="2" type="noConversion"/>
  </si>
  <si>
    <t>姚述文</t>
  </si>
  <si>
    <t>430511199806044756</t>
  </si>
  <si>
    <t>邵阳职业技术学院</t>
  </si>
  <si>
    <t>移动互联网应用技术</t>
  </si>
  <si>
    <t>马敏</t>
  </si>
  <si>
    <t>152632199202080934</t>
  </si>
  <si>
    <t>北京邮电大学</t>
    <phoneticPr fontId="2" type="noConversion"/>
  </si>
  <si>
    <t>陈小亮</t>
  </si>
  <si>
    <t>230621199309012156</t>
  </si>
  <si>
    <t>大数据开发工程师</t>
  </si>
  <si>
    <t>刘斌</t>
  </si>
  <si>
    <t>430423199305105135</t>
  </si>
  <si>
    <t>李青峰</t>
  </si>
  <si>
    <t>513030199906032335</t>
  </si>
  <si>
    <t>四川航天职业技术学院</t>
  </si>
  <si>
    <t>陈海</t>
  </si>
  <si>
    <t>430621199905049470</t>
  </si>
  <si>
    <t>廖德斌</t>
  </si>
  <si>
    <t>430124199810261710</t>
  </si>
  <si>
    <t>工程管理</t>
  </si>
  <si>
    <t>RHSA、RHCE</t>
    <phoneticPr fontId="2" type="noConversion"/>
  </si>
  <si>
    <t>系统运维部</t>
    <phoneticPr fontId="2" type="noConversion"/>
  </si>
  <si>
    <t>运维工程师</t>
    <phoneticPr fontId="2" type="noConversion"/>
  </si>
  <si>
    <t>李权</t>
    <phoneticPr fontId="2" type="noConversion"/>
  </si>
  <si>
    <t>430903198812184000</t>
    <phoneticPr fontId="2" type="noConversion"/>
  </si>
  <si>
    <t>印刷工程</t>
    <phoneticPr fontId="2" type="noConversion"/>
  </si>
  <si>
    <t>项目实施部</t>
    <phoneticPr fontId="2" type="noConversion"/>
  </si>
  <si>
    <t>项目经理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</si>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</sst>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);[Red]\(0.0\)"/>
    <numFmt numFmtId="177" formatCode="yyyy&quot;年&quot;m&quot;月&quot;d&quot;日&quot;;@"/>
    <numFmt numFmtId="178" formatCode="0.00_ "/>
    <numFmt numFmtId="179" formatCode="[=0]&quot;&quot;;General"/>
    <numFmt numFmtId="180" formatCode="[$-F800]dddd\,\ mmmm\ dd\,\ yyyy"/>
    <numFmt numFmtId="181" formatCode="0_ "/>
  </numFmts>
  <fonts count="8" x14ac:knownFonts="1">
    <font>
      <sz val="11"/>
      <color theme="1"/>
      <name val="等线"/>
      <family val="2"/>
      <scheme val="minor"/>
    </font>
    <font>
      <sz val="9"/>
      <color indexed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8.5"/>
      <name val="宋体"/>
      <family val="3"/>
      <charset val="134"/>
    </font>
    <font>
      <sz val="8"/>
      <color indexed="8"/>
      <name val="宋体"/>
      <family val="3"/>
      <charset val="134"/>
    </font>
    <font>
      <sz val="8.5"/>
      <color rgb="FF0000FF"/>
      <name val="宋体"/>
      <family val="3"/>
      <charset val="134"/>
    </font>
    <font>
      <sz val="8.5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176" fontId="1" fillId="2" borderId="2" xfId="0" applyNumberFormat="1" applyFont="1" applyFill="1" applyBorder="1" applyAlignment="1" applyProtection="1">
      <alignment horizontal="center" vertical="center"/>
      <protection hidden="1"/>
    </xf>
    <xf numFmtId="49" fontId="1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177" fontId="1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shrinkToFit="1"/>
      <protection hidden="1"/>
    </xf>
    <xf numFmtId="0" fontId="1" fillId="2" borderId="2" xfId="0" applyFont="1" applyFill="1" applyBorder="1" applyAlignment="1" applyProtection="1">
      <alignment horizontal="center" vertical="center" shrinkToFit="1"/>
      <protection hidden="1"/>
    </xf>
    <xf numFmtId="49" fontId="1" fillId="2" borderId="3" xfId="0" applyNumberFormat="1" applyFont="1" applyFill="1" applyBorder="1" applyAlignment="1" applyProtection="1">
      <alignment horizontal="center" vertical="center" wrapText="1"/>
      <protection hidden="1"/>
    </xf>
    <xf numFmtId="49" fontId="1" fillId="2" borderId="4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center" vertical="center" shrinkToFit="1"/>
      <protection hidden="1"/>
    </xf>
    <xf numFmtId="177" fontId="4" fillId="0" borderId="6" xfId="0" applyNumberFormat="1" applyFont="1" applyBorder="1" applyAlignment="1" applyProtection="1">
      <alignment vertical="center"/>
      <protection locked="0"/>
    </xf>
    <xf numFmtId="0" fontId="4" fillId="3" borderId="6" xfId="0" applyFont="1" applyFill="1" applyBorder="1" applyAlignment="1" applyProtection="1">
      <alignment horizontal="center" vertical="center"/>
      <protection hidden="1"/>
    </xf>
    <xf numFmtId="178" fontId="4" fillId="3" borderId="6" xfId="0" applyNumberFormat="1" applyFont="1" applyFill="1" applyBorder="1" applyAlignment="1" applyProtection="1">
      <alignment vertical="center"/>
      <protection hidden="1"/>
    </xf>
    <xf numFmtId="179" fontId="4" fillId="3" borderId="7" xfId="0" applyNumberFormat="1" applyFont="1" applyFill="1" applyBorder="1" applyAlignment="1" applyProtection="1">
      <alignment horizontal="center" vertical="center"/>
      <protection hidden="1"/>
    </xf>
    <xf numFmtId="180" fontId="4" fillId="4" borderId="8" xfId="0" applyNumberFormat="1" applyFont="1" applyFill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center" vertical="center" shrinkToFit="1"/>
      <protection locked="0"/>
    </xf>
    <xf numFmtId="0" fontId="6" fillId="0" borderId="6" xfId="0" applyFont="1" applyBorder="1" applyAlignment="1" applyProtection="1">
      <alignment horizontal="center" vertical="center" wrapText="1" shrinkToFit="1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181" fontId="4" fillId="0" borderId="7" xfId="0" applyNumberFormat="1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0" borderId="5" xfId="0" applyFont="1" applyBorder="1" applyAlignment="1" applyProtection="1">
      <alignment horizontal="center" vertical="center" shrinkToFit="1"/>
      <protection locked="0"/>
    </xf>
    <xf numFmtId="0" fontId="6" fillId="0" borderId="6" xfId="0" applyFont="1" applyBorder="1" applyAlignment="1" applyProtection="1">
      <alignment horizontal="left" vertical="center" wrapText="1" shrinkToFit="1"/>
      <protection locked="0"/>
    </xf>
    <xf numFmtId="0" fontId="4" fillId="0" borderId="5" xfId="0" applyFont="1" applyBorder="1" applyAlignment="1" applyProtection="1">
      <alignment horizontal="center" vertical="center" wrapText="1" shrinkToFit="1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 shrinkToFit="1"/>
      <protection hidden="1"/>
    </xf>
    <xf numFmtId="176" fontId="5" fillId="0" borderId="6" xfId="0" applyNumberFormat="1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 wrapText="1"/>
    </xf>
    <xf numFmtId="177" fontId="4" fillId="0" borderId="10" xfId="0" applyNumberFormat="1" applyFont="1" applyBorder="1" applyAlignment="1" applyProtection="1">
      <alignment vertical="center"/>
      <protection locked="0"/>
    </xf>
    <xf numFmtId="0" fontId="4" fillId="3" borderId="10" xfId="0" applyFont="1" applyFill="1" applyBorder="1" applyAlignment="1" applyProtection="1">
      <alignment horizontal="center" vertical="center"/>
      <protection hidden="1"/>
    </xf>
    <xf numFmtId="178" fontId="4" fillId="3" borderId="10" xfId="0" applyNumberFormat="1" applyFont="1" applyFill="1" applyBorder="1" applyAlignment="1" applyProtection="1">
      <alignment vertical="center"/>
      <protection hidden="1"/>
    </xf>
    <xf numFmtId="179" fontId="4" fillId="3" borderId="11" xfId="0" applyNumberFormat="1" applyFont="1" applyFill="1" applyBorder="1" applyAlignment="1" applyProtection="1">
      <alignment horizontal="center" vertical="center"/>
      <protection hidden="1"/>
    </xf>
    <xf numFmtId="180" fontId="4" fillId="4" borderId="4" xfId="0" applyNumberFormat="1" applyFont="1" applyFill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horizontal="center" vertical="center" shrinkToFit="1"/>
      <protection locked="0"/>
    </xf>
    <xf numFmtId="0" fontId="6" fillId="0" borderId="10" xfId="0" applyFont="1" applyBorder="1" applyAlignment="1" applyProtection="1">
      <alignment horizontal="center" vertical="center" shrinkToFit="1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49" fontId="4" fillId="0" borderId="10" xfId="0" applyNumberFormat="1" applyFont="1" applyBorder="1" applyAlignment="1" applyProtection="1">
      <alignment horizontal="left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178" fontId="4" fillId="3" borderId="10" xfId="0" applyNumberFormat="1" applyFont="1" applyFill="1" applyBorder="1" applyProtection="1">
      <protection hidden="1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10" xfId="0" applyFont="1" applyBorder="1" applyAlignment="1" applyProtection="1">
      <alignment horizontal="center" vertical="center" shrinkToFi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81" fontId="4" fillId="0" borderId="10" xfId="0" applyNumberFormat="1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</cellXfs>
  <cellStyles count="1">
    <cellStyle name="常规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0" formatCode="General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FF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rgb="FF0000FF"/>
        <name val="宋体"/>
        <family val="3"/>
        <charset val="134"/>
        <scheme val="none"/>
      </font>
      <numFmt numFmtId="181" formatCode="0_ 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181" formatCode="0_ 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180" formatCode="[$-F800]dddd\,\ mmmm\ dd\,\ yyyy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179" formatCode="[=0]&quot;&quot;;General"/>
      <fill>
        <patternFill patternType="solid">
          <fgColor indexed="64"/>
          <bgColor indexed="2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178" formatCode="0.00_ "/>
      <fill>
        <patternFill patternType="solid">
          <fgColor indexed="64"/>
          <bgColor indexed="2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fill>
        <patternFill patternType="solid">
          <fgColor indexed="64"/>
          <bgColor indexed="2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177" formatCode="yyyy&quot;年&quot;m&quot;月&quot;d&quot;日&quot;;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宋体"/>
        <family val="3"/>
        <charset val="134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1" hidden="1"/>
    </dxf>
    <dxf>
      <border outline="0">
        <bottom style="double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宋体"/>
        <family val="3"/>
        <charset val="134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宋体"/>
        <family val="3"/>
        <charset val="134"/>
        <scheme val="none"/>
      </font>
      <numFmt numFmtId="30" formatCode="@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1521;&#20809;&#26126;\AZT\1-&#20154;&#21147;&#36164;&#28304;\11-&#20154;&#20107;&#26723;&#26696;\1-&#33457;&#21517;&#20876;\1-&#20154;&#20107;&#31649;&#29702;&#31995;&#32479;-azt123456-&#27599;&#26376;&#26356;&#26032;-2024&#24180;1&#23395;&#24230;&#24322;&#21160;&#20998;&#26512;.xlsm" TargetMode="External"/><Relationship Id="rId1" Type="http://schemas.openxmlformats.org/officeDocument/2006/relationships/externalLinkPath" Target="file:///F:\&#21521;&#20809;&#26126;\AZT\1-&#20154;&#21147;&#36164;&#28304;\11-&#20154;&#20107;&#26723;&#26696;\1-&#33457;&#21517;&#20876;\1-&#20154;&#20107;&#31649;&#29702;&#31995;&#32479;-azt123456-&#27599;&#26376;&#26356;&#26032;-2024&#24180;1&#23395;&#24230;&#24322;&#21160;&#20998;&#26512;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1521;&#20809;&#26126;\AZT\1-&#20154;&#21147;&#36164;&#28304;\11-&#20154;&#20107;&#26723;&#26696;\1-&#33457;&#21517;&#20876;\1-&#20154;&#20107;&#31649;&#29702;&#31995;&#32479;-azt123456-&#27599;&#26376;&#26356;&#26032;20240603.xlsm" TargetMode="External"/><Relationship Id="rId1" Type="http://schemas.openxmlformats.org/officeDocument/2006/relationships/externalLinkPath" Target="file:///F:\&#21521;&#20809;&#26126;\AZT\1-&#20154;&#21147;&#36164;&#28304;\11-&#20154;&#20107;&#26723;&#26696;\1-&#33457;&#21517;&#20876;\1-&#20154;&#20107;&#31649;&#29702;&#31995;&#32479;-azt123456-&#27599;&#26376;&#26356;&#26032;202406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菜单"/>
      <sheetName val="帮助"/>
      <sheetName val="报表"/>
      <sheetName val="员工查询"/>
      <sheetName val="在职人员查询"/>
      <sheetName val="统计"/>
      <sheetName val="打印"/>
      <sheetName val="员工信息"/>
      <sheetName val="工作经历"/>
      <sheetName val="所属单位"/>
      <sheetName val="学历"/>
      <sheetName val="籍贯"/>
      <sheetName val="教育及培训经历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营销体系</v>
          </cell>
        </row>
        <row r="2">
          <cell r="A2" t="str">
            <v>产品研发体系</v>
          </cell>
        </row>
        <row r="3">
          <cell r="A3" t="str">
            <v>技术支持体系</v>
          </cell>
        </row>
        <row r="4">
          <cell r="A4" t="str">
            <v>管理体系</v>
          </cell>
        </row>
        <row r="5">
          <cell r="A5" t="str">
            <v>总裁办</v>
          </cell>
        </row>
      </sheetData>
      <sheetData sheetId="10">
        <row r="2">
          <cell r="B2" t="str">
            <v>研发中心</v>
          </cell>
          <cell r="C2" t="str">
            <v>董事长兼CEO</v>
          </cell>
        </row>
        <row r="3">
          <cell r="B3" t="str">
            <v>产品中心</v>
          </cell>
          <cell r="C3" t="str">
            <v>常务副总裁</v>
          </cell>
        </row>
        <row r="4">
          <cell r="B4" t="str">
            <v>研究院</v>
          </cell>
          <cell r="C4" t="str">
            <v>副总裁/技术总监</v>
          </cell>
        </row>
        <row r="5">
          <cell r="B5" t="str">
            <v>售前咨询部</v>
          </cell>
          <cell r="C5" t="str">
            <v>总裁商务助理/生态渠道副总监</v>
          </cell>
        </row>
        <row r="6">
          <cell r="B6" t="str">
            <v>系统运维部</v>
          </cell>
          <cell r="C6" t="str">
            <v>运维经理</v>
          </cell>
        </row>
        <row r="7">
          <cell r="B7" t="str">
            <v>项目实施部</v>
          </cell>
          <cell r="C7" t="str">
            <v>总监助理</v>
          </cell>
        </row>
        <row r="8">
          <cell r="B8" t="str">
            <v>技术服务部</v>
          </cell>
          <cell r="C8" t="str">
            <v>集团客户部一组总监</v>
          </cell>
        </row>
        <row r="9">
          <cell r="B9" t="str">
            <v>北方区域</v>
          </cell>
          <cell r="C9" t="str">
            <v>副总裁</v>
          </cell>
        </row>
        <row r="10">
          <cell r="B10" t="str">
            <v>集团业务部</v>
          </cell>
          <cell r="C10" t="str">
            <v>出纳</v>
          </cell>
        </row>
        <row r="11">
          <cell r="B11" t="str">
            <v>政府业务部</v>
          </cell>
          <cell r="C11" t="str">
            <v>销售经理/交通行业总监</v>
          </cell>
        </row>
        <row r="12">
          <cell r="B12" t="str">
            <v>生态渠道部</v>
          </cell>
          <cell r="C12" t="str">
            <v>财务副总监</v>
          </cell>
        </row>
        <row r="13">
          <cell r="B13" t="str">
            <v>南方区域</v>
          </cell>
          <cell r="C13" t="str">
            <v>VC开发工程师</v>
          </cell>
        </row>
        <row r="14">
          <cell r="B14" t="str">
            <v>SaaS事业部</v>
          </cell>
          <cell r="C14" t="str">
            <v>java工程师</v>
          </cell>
        </row>
        <row r="15">
          <cell r="B15" t="str">
            <v>市场部</v>
          </cell>
          <cell r="C15" t="str">
            <v>销售经理/河南区域总监</v>
          </cell>
        </row>
        <row r="16">
          <cell r="B16" t="str">
            <v>客户服务中心</v>
          </cell>
          <cell r="C16" t="str">
            <v>售前工程师</v>
          </cell>
        </row>
        <row r="17">
          <cell r="B17" t="str">
            <v>财务管理部</v>
          </cell>
          <cell r="C17" t="str">
            <v>部门经理</v>
          </cell>
        </row>
        <row r="18">
          <cell r="B18" t="str">
            <v>行政管理部</v>
          </cell>
          <cell r="C18" t="str">
            <v>集团客户部二组总监</v>
          </cell>
        </row>
        <row r="19">
          <cell r="B19" t="str">
            <v>总裁办</v>
          </cell>
          <cell r="C19" t="str">
            <v>实施工程师</v>
          </cell>
        </row>
        <row r="20">
          <cell r="B20" t="str">
            <v>经营管理部</v>
          </cell>
          <cell r="C20" t="str">
            <v>产品经理</v>
          </cell>
        </row>
        <row r="21">
          <cell r="C21" t="str">
            <v>ios开发工程师</v>
          </cell>
        </row>
        <row r="22">
          <cell r="C22" t="str">
            <v>项目副总监</v>
          </cell>
        </row>
        <row r="23">
          <cell r="C23" t="str">
            <v>客服专员</v>
          </cell>
        </row>
        <row r="24">
          <cell r="C24" t="str">
            <v>销售经理</v>
          </cell>
        </row>
        <row r="25">
          <cell r="C25" t="str">
            <v>测试工程师</v>
          </cell>
        </row>
        <row r="26">
          <cell r="C26" t="str">
            <v>商务专员</v>
          </cell>
        </row>
        <row r="27">
          <cell r="C27" t="str">
            <v>研发部经理</v>
          </cell>
        </row>
        <row r="28">
          <cell r="C28" t="str">
            <v>驻场实施工程师</v>
          </cell>
        </row>
        <row r="29">
          <cell r="C29" t="str">
            <v>政府与公共事业部总监</v>
          </cell>
        </row>
        <row r="30">
          <cell r="C30" t="str">
            <v>第二战区总监</v>
          </cell>
        </row>
        <row r="31">
          <cell r="C31" t="str">
            <v>售后工程师</v>
          </cell>
        </row>
        <row r="32">
          <cell r="C32" t="str">
            <v>技术客服</v>
          </cell>
        </row>
        <row r="33">
          <cell r="C33" t="str">
            <v>驻场售后工程师</v>
          </cell>
        </row>
        <row r="34">
          <cell r="C34" t="str">
            <v>会计</v>
          </cell>
        </row>
        <row r="35">
          <cell r="C35" t="str">
            <v>人事经理</v>
          </cell>
        </row>
        <row r="36">
          <cell r="C36" t="str">
            <v>出纳/会计</v>
          </cell>
        </row>
        <row r="37">
          <cell r="C37" t="str">
            <v>销售经理/政法行业总监</v>
          </cell>
        </row>
        <row r="38">
          <cell r="C38" t="str">
            <v>UI设计师</v>
          </cell>
        </row>
        <row r="39">
          <cell r="C39" t="str">
            <v>前端开发工程师</v>
          </cell>
        </row>
        <row r="40">
          <cell r="C40" t="str">
            <v>总账会计</v>
          </cell>
        </row>
        <row r="41">
          <cell r="C41" t="str">
            <v>SEM网络推广专员</v>
          </cell>
        </row>
        <row r="42">
          <cell r="C42" t="str">
            <v>运维工程师</v>
          </cell>
        </row>
        <row r="43">
          <cell r="C43" t="str">
            <v>第三战区总监</v>
          </cell>
        </row>
        <row r="44">
          <cell r="C44" t="str">
            <v>人力资源经理</v>
          </cell>
        </row>
        <row r="45">
          <cell r="C45" t="str">
            <v>行政专员</v>
          </cell>
        </row>
        <row r="46">
          <cell r="C46" t="str">
            <v>人事专员</v>
          </cell>
        </row>
        <row r="47">
          <cell r="C47" t="str">
            <v>销售总监</v>
          </cell>
        </row>
        <row r="48">
          <cell r="C48" t="str">
            <v>产品部副总监</v>
          </cell>
        </row>
        <row r="49">
          <cell r="C49" t="str">
            <v>测试经理</v>
          </cell>
        </row>
        <row r="50">
          <cell r="C50" t="str">
            <v>SaaS销售</v>
          </cell>
        </row>
        <row r="51">
          <cell r="C51" t="str">
            <v>架构师</v>
          </cell>
        </row>
        <row r="52">
          <cell r="C52" t="str">
            <v>第七战区企业组主管</v>
          </cell>
        </row>
        <row r="53">
          <cell r="C53" t="str">
            <v>总裁秘书</v>
          </cell>
        </row>
        <row r="54">
          <cell r="C54" t="str">
            <v>平面设计</v>
          </cell>
        </row>
        <row r="55">
          <cell r="C55" t="str">
            <v>招培经理</v>
          </cell>
        </row>
        <row r="56">
          <cell r="C56" t="str">
            <v>项目经理</v>
          </cell>
        </row>
        <row r="57">
          <cell r="C57" t="str">
            <v>第八战区主管</v>
          </cell>
        </row>
        <row r="58">
          <cell r="C58" t="str">
            <v>区域技术经理</v>
          </cell>
        </row>
        <row r="59">
          <cell r="C59" t="str">
            <v>策划专员</v>
          </cell>
        </row>
        <row r="60">
          <cell r="C60" t="str">
            <v>见习售前副总监</v>
          </cell>
        </row>
        <row r="61">
          <cell r="C61" t="str">
            <v>市场策划</v>
          </cell>
        </row>
        <row r="62">
          <cell r="C62" t="str">
            <v>数据库工程师</v>
          </cell>
        </row>
        <row r="63">
          <cell r="C63" t="str">
            <v>Android开发工程师</v>
          </cell>
        </row>
        <row r="64">
          <cell r="C64" t="str">
            <v>北方大区销售总监</v>
          </cell>
        </row>
        <row r="65">
          <cell r="C65" t="str">
            <v>渠道销售</v>
          </cell>
        </row>
        <row r="66">
          <cell r="C66" t="str">
            <v>第五战区主管</v>
          </cell>
        </row>
        <row r="67">
          <cell r="C67" t="str">
            <v>文案</v>
          </cell>
        </row>
        <row r="68">
          <cell r="C68" t="str">
            <v>研究院副院长</v>
          </cell>
        </row>
        <row r="69">
          <cell r="C69" t="str">
            <v>生态渠道部副总监</v>
          </cell>
        </row>
        <row r="70">
          <cell r="C70" t="str">
            <v>活动策划</v>
          </cell>
        </row>
        <row r="71">
          <cell r="C71" t="str">
            <v>saas业务部组长</v>
          </cell>
        </row>
        <row r="72">
          <cell r="C72" t="str">
            <v>第九战区主管</v>
          </cell>
        </row>
        <row r="73">
          <cell r="C73" t="str">
            <v>第六战区主管</v>
          </cell>
        </row>
        <row r="74">
          <cell r="C74" t="str">
            <v>产品助理</v>
          </cell>
        </row>
        <row r="75">
          <cell r="C75" t="str">
            <v>政府与公共事业部销售副总监（南方）</v>
          </cell>
        </row>
        <row r="76">
          <cell r="C76" t="str">
            <v>前端工程师</v>
          </cell>
        </row>
        <row r="77">
          <cell r="C77" t="str">
            <v>生态合作助理</v>
          </cell>
        </row>
        <row r="78">
          <cell r="C78" t="str">
            <v>销售经理/行业总监</v>
          </cell>
        </row>
        <row r="79">
          <cell r="C79" t="str">
            <v>生态合作经理</v>
          </cell>
        </row>
        <row r="80">
          <cell r="C80" t="str">
            <v>售前副总监</v>
          </cell>
        </row>
        <row r="81">
          <cell r="C81" t="str">
            <v>区域销售主管</v>
          </cell>
        </row>
        <row r="82">
          <cell r="C82" t="str">
            <v>技术经理</v>
          </cell>
        </row>
        <row r="83">
          <cell r="C83" t="str">
            <v>华北战区销售总监</v>
          </cell>
        </row>
        <row r="84">
          <cell r="C84" t="str">
            <v>企业侧销售副总监（南方）</v>
          </cell>
        </row>
        <row r="85">
          <cell r="C85" t="str">
            <v>销售主管</v>
          </cell>
        </row>
        <row r="86">
          <cell r="C86" t="str">
            <v>实习生</v>
          </cell>
        </row>
        <row r="87">
          <cell r="C87" t="str">
            <v>区域销售总监</v>
          </cell>
        </row>
        <row r="88">
          <cell r="C88" t="str">
            <v>产品经理助理</v>
          </cell>
        </row>
        <row r="89">
          <cell r="C89" t="str">
            <v>行业销售总监-政务</v>
          </cell>
        </row>
        <row r="90">
          <cell r="C90" t="str">
            <v>区域销售总监-政务</v>
          </cell>
        </row>
        <row r="91">
          <cell r="C91" t="str">
            <v>助理测试工程师</v>
          </cell>
        </row>
        <row r="92">
          <cell r="C92" t="str">
            <v>见习行业销售总监（施工）</v>
          </cell>
        </row>
        <row r="93">
          <cell r="C93" t="str">
            <v>企业销售管培生</v>
          </cell>
        </row>
        <row r="94">
          <cell r="C94" t="str">
            <v>SaaS渠道销售</v>
          </cell>
        </row>
      </sheetData>
      <sheetData sheetId="11">
        <row r="1">
          <cell r="A1" t="str">
            <v>广东省</v>
          </cell>
        </row>
        <row r="2">
          <cell r="A2" t="str">
            <v>广西省</v>
          </cell>
        </row>
        <row r="3">
          <cell r="A3" t="str">
            <v>海南省</v>
          </cell>
        </row>
        <row r="4">
          <cell r="A4" t="str">
            <v>湖南省</v>
          </cell>
        </row>
        <row r="5">
          <cell r="A5" t="str">
            <v>湖北省</v>
          </cell>
        </row>
        <row r="6">
          <cell r="A6" t="str">
            <v>云南省</v>
          </cell>
        </row>
        <row r="7">
          <cell r="A7" t="str">
            <v>河南省</v>
          </cell>
        </row>
        <row r="8">
          <cell r="A8" t="str">
            <v>江西省</v>
          </cell>
        </row>
        <row r="9">
          <cell r="A9" t="str">
            <v>福建省</v>
          </cell>
        </row>
        <row r="10">
          <cell r="A10" t="str">
            <v>山东省</v>
          </cell>
        </row>
        <row r="11">
          <cell r="A11" t="str">
            <v>吉林省</v>
          </cell>
        </row>
        <row r="12">
          <cell r="A12" t="str">
            <v>黑龙江省</v>
          </cell>
        </row>
        <row r="13">
          <cell r="A13" t="str">
            <v>贵州省</v>
          </cell>
        </row>
        <row r="14">
          <cell r="A14" t="str">
            <v>四川省</v>
          </cell>
        </row>
        <row r="15">
          <cell r="A15" t="str">
            <v>甘肃省</v>
          </cell>
        </row>
        <row r="16">
          <cell r="A16" t="str">
            <v>内蒙古</v>
          </cell>
        </row>
        <row r="17">
          <cell r="A17" t="str">
            <v>陕西省</v>
          </cell>
        </row>
        <row r="18">
          <cell r="A18" t="str">
            <v>山西省</v>
          </cell>
        </row>
        <row r="19">
          <cell r="A19" t="str">
            <v>河北省</v>
          </cell>
        </row>
        <row r="20">
          <cell r="A20" t="str">
            <v>北京市</v>
          </cell>
        </row>
        <row r="21">
          <cell r="A21" t="str">
            <v>上海市</v>
          </cell>
        </row>
        <row r="22">
          <cell r="A22" t="str">
            <v>重庆市</v>
          </cell>
        </row>
        <row r="23">
          <cell r="A23" t="str">
            <v>天津市</v>
          </cell>
        </row>
        <row r="24">
          <cell r="A24" t="str">
            <v>辽宁省</v>
          </cell>
        </row>
        <row r="25">
          <cell r="A25" t="str">
            <v>江苏省</v>
          </cell>
        </row>
        <row r="26">
          <cell r="A26" t="str">
            <v>安徽省</v>
          </cell>
        </row>
        <row r="27">
          <cell r="A27" t="str">
            <v>浙江省</v>
          </cell>
        </row>
        <row r="28">
          <cell r="A28" t="str">
            <v>新疆</v>
          </cell>
        </row>
        <row r="29">
          <cell r="A29" t="str">
            <v>西藏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菜单"/>
      <sheetName val="帮助"/>
      <sheetName val="报表"/>
      <sheetName val="员工查询"/>
      <sheetName val="在职人员查询"/>
      <sheetName val="统计"/>
      <sheetName val="打印"/>
      <sheetName val="员工信息"/>
      <sheetName val="工作经历"/>
      <sheetName val="所属单位"/>
      <sheetName val="学历"/>
      <sheetName val="籍贯"/>
      <sheetName val="教育及培训经历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A148B-0F72-4B96-96A2-594D211DAF8D}" name="表1" displayName="表1" ref="A2:Y232" totalsRowShown="0" headerRowDxfId="28" dataDxfId="27" headerRowBorderDxfId="25" tableBorderDxfId="26">
  <autoFilter ref="A2:Y232" xr:uid="{C9F2DD89-C058-4EF2-9ED0-AA1E12AC9A93}"/>
  <sortState xmlns:xlrd2="http://schemas.microsoft.com/office/spreadsheetml/2017/richdata2" ref="A3:V231">
    <sortCondition ref="Q3:Q231"/>
    <sortCondition ref="R3:R231"/>
    <sortCondition ref="T3:T231"/>
    <sortCondition ref="S3:S231"/>
  </sortState>
  <tableColumns count="25">
    <tableColumn id="1" xr3:uid="{2133B8B0-D06F-4F99-BEE0-35E0A0BCD53E}" name="序" dataDxfId="24">
      <calculatedColumnFormula>ROW()-2</calculatedColumnFormula>
    </tableColumn>
    <tableColumn id="3" xr3:uid="{B2F4AA45-B1F8-4C3A-9277-1070C5A413D4}" name="姓名" dataDxfId="23"/>
    <tableColumn id="4" xr3:uid="{DA205FD3-7843-4558-A5E4-D716D21468AB}" name="办公地点" dataDxfId="22"/>
    <tableColumn id="5" xr3:uid="{75570EBC-DD00-4510-B166-D1161F7F8144}" name="性别" dataDxfId="21"/>
    <tableColumn id="28" xr3:uid="{12A59ECF-F539-49B7-8996-C65F21E48E28}" name="证件号码" dataDxfId="20">
      <calculatedColumnFormula>IF(ISERROR($AZ3),"",INDEX([2]员工信息!E:E,$AZ3))</calculatedColumnFormula>
    </tableColumn>
    <tableColumn id="6" xr3:uid="{66AB100A-239A-4122-862E-55789A7F7B72}" name="入职时间" dataDxfId="19"/>
    <tableColumn id="9" xr3:uid="{3B13F4CB-15D7-4B49-96A8-88679CFE3A85}" name="就职状态" dataDxfId="18"/>
    <tableColumn id="10" xr3:uid="{22A492DC-CAC9-4FF0-B2FA-0E56FB03D8D7}" name="工龄" dataDxfId="17">
      <calculatedColumnFormula>IF(G3="","",IF(G3="离职",(DATEDIF(F3,#REF!,"y")*100+DATEDIF(F3,#REF!,"ym"))/100,(DATEDIF(F3,NOW(),"y")*100+DATEDIF(F3,NOW(),"ym"))/100))</calculatedColumnFormula>
    </tableColumn>
    <tableColumn id="11" xr3:uid="{C62A0FA0-4E7F-4ECC-81F0-9CDD9DB126B0}" name="年龄" dataDxfId="16">
      <calculatedColumnFormula>IF(J3="",0,YEAR(TODAY())-YEAR(J3))</calculatedColumnFormula>
    </tableColumn>
    <tableColumn id="29" xr3:uid="{5F51B6F5-122C-4B5F-85F1-1BBA37B4E3B8}" name="出生日期" dataDxfId="15">
      <calculatedColumnFormula>IF(表1[[#This Row],[证件号码]]="","",SUBSTITUTE(TEXT(--MID(表1[[#This Row],[证件号码]],7,8),"0000-00-00"),"-","/"))</calculatedColumnFormula>
    </tableColumn>
    <tableColumn id="7" xr3:uid="{1184B4EA-2A07-4012-8BDC-96F7A6CDF671}" name="就读院校" dataDxfId="14"/>
    <tableColumn id="12" xr3:uid="{AE2A8EF4-117E-476A-AF6D-B966B9B6B155}" name="是否一本" dataDxfId="13"/>
    <tableColumn id="8" xr3:uid="{D30F8C7D-DFFE-4075-83CF-BB5DF08144A3}" name="第一学历" dataDxfId="12"/>
    <tableColumn id="13" xr3:uid="{A912D103-9BCB-4D74-8D3A-11D1D0B6B981}" name="最高学历" dataDxfId="11"/>
    <tableColumn id="14" xr3:uid="{4C8CC428-F22B-4BD2-B348-2E24E8EB533F}" name="所学专业" dataDxfId="10"/>
    <tableColumn id="24" xr3:uid="{1614D086-0539-4AF7-ACDC-F49A79AA443A}" name="资格证" dataDxfId="9"/>
    <tableColumn id="18" xr3:uid="{7212DFE6-7075-4645-8EF8-41D9CF0278C8}" name="所属体系" dataDxfId="8"/>
    <tableColumn id="19" xr3:uid="{70F18650-3E1C-4686-A927-2CA2D5ADD2D0}" name="部门" dataDxfId="7"/>
    <tableColumn id="20" xr3:uid="{568FD510-4D4D-42E5-A651-84E120ABFD81}" name="职位" dataDxfId="6"/>
    <tableColumn id="22" xr3:uid="{221FE706-E4B6-4A4C-B29D-2365F43C4494}" name="岗位职级" dataDxfId="5"/>
    <tableColumn id="51" xr3:uid="{68011D6D-E7C0-4B06-96FF-1FDEC608F0A5}" name="标准薪资" dataDxfId="4"/>
    <tableColumn id="53" xr3:uid="{46B917E9-F95F-4D29-93E0-37A60A5907BE}" name="23年绩效综合分" dataDxfId="3"/>
    <tableColumn id="16" xr3:uid="{114D7CDC-B1E7-4436-B751-3D62AB8D3081}" name="潜力评估" dataDxfId="2"/>
    <tableColumn id="15" xr3:uid="{6C0B5D9C-58C3-4B39-B83F-F80461CB6AFC}" name="能力素质" dataDxfId="1"/>
    <tableColumn id="2" xr3:uid="{BC6E17D1-28E4-4618-89B3-A41164286552}" name="素质总分" dataDxfId="0">
      <calculatedColumnFormula>(表1[[#This Row],[能力素质]]*0.6+表1[[#This Row],[潜力评估]]*0.4)*2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308A-4647-4387-B9A3-175E79944AA3}">
  <dimension ref="A2:Y232"/>
  <sheetViews>
    <sheetView tabSelected="1" topLeftCell="A148" zoomScale="115" zoomScaleNormal="115" workbookViewId="0">
      <selection activeCell="R214" sqref="R214"/>
    </sheetView>
  </sheetViews>
  <sheetFormatPr defaultRowHeight="14.25" x14ac:dyDescent="0.2"/>
  <cols>
    <col min="1" max="1" width="3.375" customWidth="1"/>
    <col min="2" max="2" width="5.875" customWidth="1"/>
    <col min="3" max="3" width="4.375" customWidth="1"/>
    <col min="4" max="4" width="3.625" customWidth="1"/>
    <col min="5" max="5" width="13.5" customWidth="1"/>
    <col min="6" max="6" width="11.75" customWidth="1"/>
    <col min="7" max="7" width="4.625" customWidth="1"/>
    <col min="8" max="8" width="5.25" customWidth="1"/>
    <col min="9" max="9" width="5" customWidth="1"/>
    <col min="10" max="10" width="12.25" customWidth="1"/>
    <col min="11" max="11" width="13.75" customWidth="1"/>
    <col min="12" max="12" width="7.75" hidden="1" customWidth="1"/>
    <col min="13" max="13" width="7.75" customWidth="1"/>
    <col min="14" max="14" width="7.375" customWidth="1"/>
    <col min="15" max="15" width="7.25" customWidth="1"/>
    <col min="16" max="16" width="11.875" customWidth="1"/>
    <col min="17" max="17" width="9.625" customWidth="1"/>
    <col min="18" max="18" width="8.875" customWidth="1"/>
    <col min="20" max="20" width="8.125" customWidth="1"/>
    <col min="21" max="21" width="7.75" customWidth="1"/>
    <col min="22" max="22" width="8.125" customWidth="1"/>
    <col min="26" max="26" width="4.5" customWidth="1"/>
  </cols>
  <sheetData>
    <row r="2" spans="1:25" ht="23.25" thickBot="1" x14ac:dyDescent="0.2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2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7" t="s">
        <v>14</v>
      </c>
      <c r="P2" s="8" t="s">
        <v>15</v>
      </c>
      <c r="Q2" s="4" t="s">
        <v>16</v>
      </c>
      <c r="R2" s="2" t="s">
        <v>17</v>
      </c>
      <c r="S2" s="4" t="s">
        <v>18</v>
      </c>
      <c r="T2" s="2" t="s">
        <v>19</v>
      </c>
      <c r="U2" s="4" t="s">
        <v>20</v>
      </c>
      <c r="V2" s="9" t="s">
        <v>21</v>
      </c>
      <c r="W2" s="10" t="s">
        <v>22</v>
      </c>
      <c r="X2" s="10" t="s">
        <v>23</v>
      </c>
      <c r="Y2" s="4" t="s">
        <v>24</v>
      </c>
    </row>
    <row r="3" spans="1:25" ht="32.25" thickTop="1" x14ac:dyDescent="0.2">
      <c r="A3" s="11">
        <f t="shared" ref="A3:A66" si="0">ROW()-2</f>
        <v>1</v>
      </c>
      <c r="B3" s="12" t="s">
        <v>25</v>
      </c>
      <c r="C3" s="12" t="s">
        <v>26</v>
      </c>
      <c r="D3" s="13" t="s">
        <v>27</v>
      </c>
      <c r="E3" s="14" t="s">
        <v>28</v>
      </c>
      <c r="F3" s="15">
        <v>40689</v>
      </c>
      <c r="G3" s="16" t="s">
        <v>29</v>
      </c>
      <c r="H3" s="17">
        <f ca="1">IF(G3="","",IF(G3="离职",(DATEDIF(F3,#REF!,"y")*100+DATEDIF(F3,#REF!,"ym"))/100,(DATEDIF(F3,NOW(),"y")*100+DATEDIF(F3,NOW(),"ym"))/100))</f>
        <v>13.01</v>
      </c>
      <c r="I3" s="18">
        <f t="shared" ref="I3:I66" ca="1" si="1">IF(J3="",0,YEAR(TODAY())-YEAR(J3))</f>
        <v>42</v>
      </c>
      <c r="J3" s="19" t="str">
        <f>IF(表1[[#This Row],[证件号码]]="","",SUBSTITUTE(TEXT(--MID(表1[[#This Row],[证件号码]],7,8),"0000-00-00"),"-","/"))</f>
        <v>1982/08/19</v>
      </c>
      <c r="K3" s="20" t="s">
        <v>30</v>
      </c>
      <c r="L3" s="21"/>
      <c r="M3" s="20" t="s">
        <v>31</v>
      </c>
      <c r="N3" s="22" t="s">
        <v>31</v>
      </c>
      <c r="O3" s="23" t="s">
        <v>32</v>
      </c>
      <c r="P3" s="24" t="s">
        <v>33</v>
      </c>
      <c r="Q3" s="25" t="s">
        <v>34</v>
      </c>
      <c r="R3" s="26" t="s">
        <v>35</v>
      </c>
      <c r="S3" s="25" t="s">
        <v>36</v>
      </c>
      <c r="T3" s="27" t="s">
        <v>37</v>
      </c>
      <c r="U3" s="22">
        <v>12000</v>
      </c>
      <c r="V3" s="28">
        <v>78.096521899153473</v>
      </c>
      <c r="W3" s="29">
        <v>33</v>
      </c>
      <c r="X3" s="29">
        <v>38</v>
      </c>
      <c r="Y3" s="30">
        <f>(表1[[#This Row],[能力素质]]*0.6+表1[[#This Row],[潜力评估]]*0.4)*2</f>
        <v>72</v>
      </c>
    </row>
    <row r="4" spans="1:25" x14ac:dyDescent="0.2">
      <c r="A4" s="11">
        <f t="shared" si="0"/>
        <v>2</v>
      </c>
      <c r="B4" s="12" t="s">
        <v>38</v>
      </c>
      <c r="C4" s="12" t="s">
        <v>26</v>
      </c>
      <c r="D4" s="13" t="s">
        <v>39</v>
      </c>
      <c r="E4" s="14" t="s">
        <v>40</v>
      </c>
      <c r="F4" s="15">
        <v>40812</v>
      </c>
      <c r="G4" s="16" t="s">
        <v>29</v>
      </c>
      <c r="H4" s="17">
        <f ca="1">IF(G4="","",IF(G4="离职",(DATEDIF(F4,#REF!,"y")*100+DATEDIF(F4,#REF!,"ym"))/100,(DATEDIF(F4,NOW(),"y")*100+DATEDIF(F4,NOW(),"ym"))/100))</f>
        <v>12.09</v>
      </c>
      <c r="I4" s="18">
        <f t="shared" ca="1" si="1"/>
        <v>37</v>
      </c>
      <c r="J4" s="19" t="str">
        <f>IF(表1[[#This Row],[证件号码]]="","",SUBSTITUTE(TEXT(--MID(表1[[#This Row],[证件号码]],7,8),"0000-00-00"),"-","/"))</f>
        <v>1987/12/19</v>
      </c>
      <c r="K4" s="21" t="s">
        <v>41</v>
      </c>
      <c r="L4" s="21"/>
      <c r="M4" s="20" t="s">
        <v>42</v>
      </c>
      <c r="N4" s="22" t="s">
        <v>42</v>
      </c>
      <c r="O4" s="23" t="s">
        <v>43</v>
      </c>
      <c r="P4" s="31"/>
      <c r="Q4" s="25" t="s">
        <v>44</v>
      </c>
      <c r="R4" s="26" t="s">
        <v>45</v>
      </c>
      <c r="S4" s="25" t="s">
        <v>46</v>
      </c>
      <c r="T4" s="27" t="s">
        <v>47</v>
      </c>
      <c r="U4" s="22">
        <v>22000</v>
      </c>
      <c r="V4" s="28">
        <v>115.59817813765183</v>
      </c>
      <c r="W4" s="29">
        <v>33</v>
      </c>
      <c r="X4" s="29">
        <v>44</v>
      </c>
      <c r="Y4" s="30">
        <f>(表1[[#This Row],[能力素质]]*0.6+表1[[#This Row],[潜力评估]]*0.4)*2</f>
        <v>79.2</v>
      </c>
    </row>
    <row r="5" spans="1:25" x14ac:dyDescent="0.2">
      <c r="A5" s="11">
        <f t="shared" si="0"/>
        <v>3</v>
      </c>
      <c r="B5" s="12" t="s">
        <v>48</v>
      </c>
      <c r="C5" s="12" t="s">
        <v>49</v>
      </c>
      <c r="D5" s="13" t="s">
        <v>27</v>
      </c>
      <c r="E5" s="14" t="s">
        <v>50</v>
      </c>
      <c r="F5" s="15">
        <v>40959</v>
      </c>
      <c r="G5" s="16" t="s">
        <v>29</v>
      </c>
      <c r="H5" s="17">
        <f ca="1">IF(G5="","",IF(G5="离职",(DATEDIF(F5,#REF!,"y")*100+DATEDIF(F5,#REF!,"ym"))/100,(DATEDIF(F5,NOW(),"y")*100+DATEDIF(F5,NOW(),"ym"))/100))</f>
        <v>12.04</v>
      </c>
      <c r="I5" s="18">
        <f t="shared" ca="1" si="1"/>
        <v>37</v>
      </c>
      <c r="J5" s="19" t="str">
        <f>IF(表1[[#This Row],[证件号码]]="","",SUBSTITUTE(TEXT(--MID(表1[[#This Row],[证件号码]],7,8),"0000-00-00"),"-","/"))</f>
        <v>1987/03/20</v>
      </c>
      <c r="K5" s="21" t="s">
        <v>51</v>
      </c>
      <c r="L5" s="21"/>
      <c r="M5" s="21" t="s">
        <v>52</v>
      </c>
      <c r="N5" s="22" t="s">
        <v>31</v>
      </c>
      <c r="O5" s="23" t="s">
        <v>53</v>
      </c>
      <c r="P5" s="31"/>
      <c r="Q5" s="25" t="s">
        <v>54</v>
      </c>
      <c r="R5" s="26" t="s">
        <v>55</v>
      </c>
      <c r="S5" s="25" t="s">
        <v>56</v>
      </c>
      <c r="T5" s="27" t="s">
        <v>37</v>
      </c>
      <c r="U5" s="22">
        <v>25000</v>
      </c>
      <c r="V5" s="28">
        <v>49.327272727272728</v>
      </c>
      <c r="W5" s="29">
        <v>29</v>
      </c>
      <c r="X5" s="29">
        <v>36</v>
      </c>
      <c r="Y5" s="30">
        <f>(表1[[#This Row],[能力素质]]*0.6+表1[[#This Row],[潜力评估]]*0.4)*2</f>
        <v>66.400000000000006</v>
      </c>
    </row>
    <row r="6" spans="1:25" x14ac:dyDescent="0.2">
      <c r="A6" s="11">
        <f t="shared" si="0"/>
        <v>4</v>
      </c>
      <c r="B6" s="12" t="s">
        <v>57</v>
      </c>
      <c r="C6" s="12" t="s">
        <v>49</v>
      </c>
      <c r="D6" s="13" t="s">
        <v>39</v>
      </c>
      <c r="E6" s="14" t="s">
        <v>58</v>
      </c>
      <c r="F6" s="15">
        <v>41040</v>
      </c>
      <c r="G6" s="16" t="s">
        <v>29</v>
      </c>
      <c r="H6" s="17">
        <f ca="1">IF(G6="","",IF(G6="离职",(DATEDIF(F6,#REF!,"y")*100+DATEDIF(F6,#REF!,"ym"))/100,(DATEDIF(F6,NOW(),"y")*100+DATEDIF(F6,NOW(),"ym"))/100))</f>
        <v>12.01</v>
      </c>
      <c r="I6" s="18">
        <f t="shared" ca="1" si="1"/>
        <v>35</v>
      </c>
      <c r="J6" s="19" t="str">
        <f>IF(表1[[#This Row],[证件号码]]="","",SUBSTITUTE(TEXT(--MID(表1[[#This Row],[证件号码]],7,8),"0000-00-00"),"-","/"))</f>
        <v>1989/11/12</v>
      </c>
      <c r="K6" s="21" t="s">
        <v>59</v>
      </c>
      <c r="L6" s="21"/>
      <c r="M6" s="21" t="s">
        <v>60</v>
      </c>
      <c r="N6" s="22" t="s">
        <v>42</v>
      </c>
      <c r="O6" s="23" t="s">
        <v>61</v>
      </c>
      <c r="P6" s="31"/>
      <c r="Q6" s="25" t="s">
        <v>62</v>
      </c>
      <c r="R6" s="26" t="s">
        <v>63</v>
      </c>
      <c r="S6" s="25" t="s">
        <v>64</v>
      </c>
      <c r="T6" s="27" t="s">
        <v>65</v>
      </c>
      <c r="U6" s="22">
        <v>10300</v>
      </c>
      <c r="V6" s="28">
        <v>97.3</v>
      </c>
      <c r="W6" s="29">
        <v>26</v>
      </c>
      <c r="X6" s="29">
        <v>46</v>
      </c>
      <c r="Y6" s="30">
        <f>(表1[[#This Row],[能力素质]]*0.6+表1[[#This Row],[潜力评估]]*0.4)*2</f>
        <v>76</v>
      </c>
    </row>
    <row r="7" spans="1:25" x14ac:dyDescent="0.2">
      <c r="A7" s="11">
        <f t="shared" si="0"/>
        <v>5</v>
      </c>
      <c r="B7" s="12" t="s">
        <v>66</v>
      </c>
      <c r="C7" s="12" t="s">
        <v>49</v>
      </c>
      <c r="D7" s="13" t="s">
        <v>27</v>
      </c>
      <c r="E7" s="14" t="s">
        <v>67</v>
      </c>
      <c r="F7" s="15">
        <v>41169</v>
      </c>
      <c r="G7" s="16" t="s">
        <v>29</v>
      </c>
      <c r="H7" s="17">
        <f ca="1">IF(G7="","",IF(G7="离职",(DATEDIF(F7,#REF!,"y")*100+DATEDIF(F7,#REF!,"ym"))/100,(DATEDIF(F7,NOW(),"y")*100+DATEDIF(F7,NOW(),"ym"))/100))</f>
        <v>11.09</v>
      </c>
      <c r="I7" s="18">
        <f t="shared" ca="1" si="1"/>
        <v>35</v>
      </c>
      <c r="J7" s="19" t="str">
        <f>IF(表1[[#This Row],[证件号码]]="","",SUBSTITUTE(TEXT(--MID(表1[[#This Row],[证件号码]],7,8),"0000-00-00"),"-","/"))</f>
        <v>1989/12/08</v>
      </c>
      <c r="K7" s="21" t="s">
        <v>68</v>
      </c>
      <c r="L7" s="21"/>
      <c r="M7" s="21" t="s">
        <v>69</v>
      </c>
      <c r="N7" s="22" t="s">
        <v>70</v>
      </c>
      <c r="O7" s="23" t="s">
        <v>53</v>
      </c>
      <c r="P7" s="31"/>
      <c r="Q7" s="25" t="s">
        <v>54</v>
      </c>
      <c r="R7" s="26" t="s">
        <v>71</v>
      </c>
      <c r="S7" s="25" t="s">
        <v>72</v>
      </c>
      <c r="T7" s="27" t="s">
        <v>65</v>
      </c>
      <c r="U7" s="22">
        <v>18000</v>
      </c>
      <c r="V7" s="28">
        <v>68.5</v>
      </c>
      <c r="W7" s="29">
        <v>23</v>
      </c>
      <c r="X7" s="29">
        <v>36</v>
      </c>
      <c r="Y7" s="30">
        <f>(表1[[#This Row],[能力素质]]*0.6+表1[[#This Row],[潜力评估]]*0.4)*2</f>
        <v>61.599999999999994</v>
      </c>
    </row>
    <row r="8" spans="1:25" x14ac:dyDescent="0.2">
      <c r="A8" s="11">
        <f t="shared" si="0"/>
        <v>6</v>
      </c>
      <c r="B8" s="12" t="s">
        <v>73</v>
      </c>
      <c r="C8" s="12" t="s">
        <v>26</v>
      </c>
      <c r="D8" s="13" t="s">
        <v>27</v>
      </c>
      <c r="E8" s="14" t="s">
        <v>74</v>
      </c>
      <c r="F8" s="15">
        <v>41701</v>
      </c>
      <c r="G8" s="16" t="s">
        <v>29</v>
      </c>
      <c r="H8" s="17">
        <f ca="1">IF(G8="","",IF(G8="离职",(DATEDIF(F8,#REF!,"y")*100+DATEDIF(F8,#REF!,"ym"))/100,(DATEDIF(F8,NOW(),"y")*100+DATEDIF(F8,NOW(),"ym"))/100))</f>
        <v>10.039999999999999</v>
      </c>
      <c r="I8" s="18">
        <f t="shared" ca="1" si="1"/>
        <v>35</v>
      </c>
      <c r="J8" s="19" t="str">
        <f>IF(表1[[#This Row],[证件号码]]="","",SUBSTITUTE(TEXT(--MID(表1[[#This Row],[证件号码]],7,8),"0000-00-00"),"-","/"))</f>
        <v>1989/10/23</v>
      </c>
      <c r="K8" s="20" t="s">
        <v>75</v>
      </c>
      <c r="L8" s="21"/>
      <c r="M8" s="20" t="s">
        <v>31</v>
      </c>
      <c r="N8" s="22" t="s">
        <v>31</v>
      </c>
      <c r="O8" s="23" t="s">
        <v>76</v>
      </c>
      <c r="P8" s="31"/>
      <c r="Q8" s="25" t="s">
        <v>44</v>
      </c>
      <c r="R8" s="26" t="s">
        <v>45</v>
      </c>
      <c r="S8" s="25" t="s">
        <v>77</v>
      </c>
      <c r="T8" s="27" t="s">
        <v>65</v>
      </c>
      <c r="U8" s="22">
        <v>17500</v>
      </c>
      <c r="V8" s="28">
        <v>82.014262053735735</v>
      </c>
      <c r="W8" s="29">
        <v>31</v>
      </c>
      <c r="X8" s="29">
        <v>46</v>
      </c>
      <c r="Y8" s="30">
        <f>(表1[[#This Row],[能力素质]]*0.6+表1[[#This Row],[潜力评估]]*0.4)*2</f>
        <v>80</v>
      </c>
    </row>
    <row r="9" spans="1:25" x14ac:dyDescent="0.2">
      <c r="A9" s="11">
        <f t="shared" si="0"/>
        <v>7</v>
      </c>
      <c r="B9" s="12" t="s">
        <v>78</v>
      </c>
      <c r="C9" s="12" t="s">
        <v>26</v>
      </c>
      <c r="D9" s="13" t="s">
        <v>27</v>
      </c>
      <c r="E9" s="14" t="s">
        <v>79</v>
      </c>
      <c r="F9" s="15">
        <v>41702</v>
      </c>
      <c r="G9" s="16" t="s">
        <v>29</v>
      </c>
      <c r="H9" s="17">
        <f ca="1">IF(G9="","",IF(G9="离职",(DATEDIF(F9,#REF!,"y")*100+DATEDIF(F9,#REF!,"ym"))/100,(DATEDIF(F9,NOW(),"y")*100+DATEDIF(F9,NOW(),"ym"))/100))</f>
        <v>10.039999999999999</v>
      </c>
      <c r="I9" s="18">
        <f t="shared" ca="1" si="1"/>
        <v>34</v>
      </c>
      <c r="J9" s="19" t="str">
        <f>IF(表1[[#This Row],[证件号码]]="","",SUBSTITUTE(TEXT(--MID(表1[[#This Row],[证件号码]],7,8),"0000-00-00"),"-","/"))</f>
        <v>1990/04/23</v>
      </c>
      <c r="K9" s="20" t="s">
        <v>80</v>
      </c>
      <c r="L9" s="21"/>
      <c r="M9" s="20" t="s">
        <v>42</v>
      </c>
      <c r="N9" s="29" t="s">
        <v>31</v>
      </c>
      <c r="O9" s="23" t="s">
        <v>53</v>
      </c>
      <c r="P9" s="31"/>
      <c r="Q9" s="25" t="s">
        <v>44</v>
      </c>
      <c r="R9" s="26" t="s">
        <v>45</v>
      </c>
      <c r="S9" s="25" t="s">
        <v>81</v>
      </c>
      <c r="T9" s="27" t="s">
        <v>65</v>
      </c>
      <c r="U9" s="22">
        <v>18000</v>
      </c>
      <c r="V9" s="28">
        <v>125.44101950680897</v>
      </c>
      <c r="W9" s="29">
        <v>32</v>
      </c>
      <c r="X9" s="29">
        <v>48</v>
      </c>
      <c r="Y9" s="30">
        <f>(表1[[#This Row],[能力素质]]*0.6+表1[[#This Row],[潜力评估]]*0.4)*2</f>
        <v>83.199999999999989</v>
      </c>
    </row>
    <row r="10" spans="1:25" x14ac:dyDescent="0.2">
      <c r="A10" s="11">
        <f t="shared" si="0"/>
        <v>8</v>
      </c>
      <c r="B10" s="12" t="s">
        <v>82</v>
      </c>
      <c r="C10" s="12" t="s">
        <v>83</v>
      </c>
      <c r="D10" s="13" t="s">
        <v>27</v>
      </c>
      <c r="E10" s="14" t="s">
        <v>84</v>
      </c>
      <c r="F10" s="15">
        <v>41709</v>
      </c>
      <c r="G10" s="16" t="s">
        <v>29</v>
      </c>
      <c r="H10" s="17">
        <f ca="1">IF(G10="","",IF(G10="离职",(DATEDIF(F10,#REF!,"y")*100+DATEDIF(F10,#REF!,"ym"))/100,(DATEDIF(F10,NOW(),"y")*100+DATEDIF(F10,NOW(),"ym"))/100))</f>
        <v>10.029999999999999</v>
      </c>
      <c r="I10" s="18">
        <f t="shared" ca="1" si="1"/>
        <v>44</v>
      </c>
      <c r="J10" s="19" t="str">
        <f>IF(表1[[#This Row],[证件号码]]="","",SUBSTITUTE(TEXT(--MID(表1[[#This Row],[证件号码]],7,8),"0000-00-00"),"-","/"))</f>
        <v>1980/09/03</v>
      </c>
      <c r="K10" s="21" t="s">
        <v>85</v>
      </c>
      <c r="L10" s="21"/>
      <c r="M10" s="21" t="s">
        <v>52</v>
      </c>
      <c r="N10" s="22" t="s">
        <v>31</v>
      </c>
      <c r="O10" s="23" t="s">
        <v>86</v>
      </c>
      <c r="P10" s="31"/>
      <c r="Q10" s="25" t="s">
        <v>54</v>
      </c>
      <c r="R10" s="26" t="s">
        <v>87</v>
      </c>
      <c r="S10" s="25" t="s">
        <v>88</v>
      </c>
      <c r="T10" s="27" t="s">
        <v>37</v>
      </c>
      <c r="U10" s="22">
        <v>18000</v>
      </c>
      <c r="V10" s="28">
        <v>47.081818181818186</v>
      </c>
      <c r="W10" s="29">
        <v>34</v>
      </c>
      <c r="X10" s="29">
        <v>46</v>
      </c>
      <c r="Y10" s="30">
        <f>(表1[[#This Row],[能力素质]]*0.6+表1[[#This Row],[潜力评估]]*0.4)*2</f>
        <v>82.4</v>
      </c>
    </row>
    <row r="11" spans="1:25" x14ac:dyDescent="0.2">
      <c r="A11" s="11">
        <f t="shared" si="0"/>
        <v>9</v>
      </c>
      <c r="B11" s="12" t="s">
        <v>89</v>
      </c>
      <c r="C11" s="12" t="s">
        <v>49</v>
      </c>
      <c r="D11" s="13" t="s">
        <v>27</v>
      </c>
      <c r="E11" s="14" t="s">
        <v>90</v>
      </c>
      <c r="F11" s="15">
        <v>41712</v>
      </c>
      <c r="G11" s="16" t="s">
        <v>29</v>
      </c>
      <c r="H11" s="17">
        <f ca="1">IF(G11="","",IF(G11="离职",(DATEDIF(F11,#REF!,"y")*100+DATEDIF(F11,#REF!,"ym"))/100,(DATEDIF(F11,NOW(),"y")*100+DATEDIF(F11,NOW(),"ym"))/100))</f>
        <v>10.029999999999999</v>
      </c>
      <c r="I11" s="18">
        <f t="shared" ca="1" si="1"/>
        <v>35</v>
      </c>
      <c r="J11" s="19" t="str">
        <f>IF(表1[[#This Row],[证件号码]]="","",SUBSTITUTE(TEXT(--MID(表1[[#This Row],[证件号码]],7,8),"0000-00-00"),"-","/"))</f>
        <v>1989/12/01</v>
      </c>
      <c r="K11" s="20" t="s">
        <v>91</v>
      </c>
      <c r="L11" s="21"/>
      <c r="M11" s="20" t="s">
        <v>42</v>
      </c>
      <c r="N11" s="29" t="s">
        <v>31</v>
      </c>
      <c r="O11" s="32" t="s">
        <v>92</v>
      </c>
      <c r="P11" s="31"/>
      <c r="Q11" s="25" t="s">
        <v>34</v>
      </c>
      <c r="R11" s="26" t="s">
        <v>93</v>
      </c>
      <c r="S11" s="25" t="s">
        <v>94</v>
      </c>
      <c r="T11" s="27" t="s">
        <v>65</v>
      </c>
      <c r="U11" s="22">
        <v>23000</v>
      </c>
      <c r="V11" s="28">
        <v>62.179665071770337</v>
      </c>
      <c r="W11" s="29">
        <v>30</v>
      </c>
      <c r="X11" s="29">
        <v>38</v>
      </c>
      <c r="Y11" s="30">
        <f>(表1[[#This Row],[能力素质]]*0.6+表1[[#This Row],[潜力评估]]*0.4)*2</f>
        <v>69.599999999999994</v>
      </c>
    </row>
    <row r="12" spans="1:25" x14ac:dyDescent="0.2">
      <c r="A12" s="11">
        <f t="shared" si="0"/>
        <v>10</v>
      </c>
      <c r="B12" s="12" t="s">
        <v>95</v>
      </c>
      <c r="C12" s="12" t="s">
        <v>26</v>
      </c>
      <c r="D12" s="13" t="s">
        <v>39</v>
      </c>
      <c r="E12" s="14" t="s">
        <v>96</v>
      </c>
      <c r="F12" s="15">
        <v>41946</v>
      </c>
      <c r="G12" s="16" t="s">
        <v>29</v>
      </c>
      <c r="H12" s="17">
        <f ca="1">IF(G12="","",IF(G12="离职",(DATEDIF(F12,#REF!,"y")*100+DATEDIF(F12,#REF!,"ym"))/100,(DATEDIF(F12,NOW(),"y")*100+DATEDIF(F12,NOW(),"ym"))/100))</f>
        <v>9.08</v>
      </c>
      <c r="I12" s="18">
        <f t="shared" ca="1" si="1"/>
        <v>35</v>
      </c>
      <c r="J12" s="19" t="str">
        <f>IF(表1[[#This Row],[证件号码]]="","",SUBSTITUTE(TEXT(--MID(表1[[#This Row],[证件号码]],7,8),"0000-00-00"),"-","/"))</f>
        <v>1989/09/12</v>
      </c>
      <c r="K12" s="20" t="s">
        <v>97</v>
      </c>
      <c r="L12" s="21"/>
      <c r="M12" s="20" t="s">
        <v>42</v>
      </c>
      <c r="N12" s="22" t="s">
        <v>42</v>
      </c>
      <c r="O12" s="23" t="s">
        <v>98</v>
      </c>
      <c r="P12" s="31"/>
      <c r="Q12" s="25" t="s">
        <v>34</v>
      </c>
      <c r="R12" s="26" t="s">
        <v>99</v>
      </c>
      <c r="S12" s="25" t="s">
        <v>100</v>
      </c>
      <c r="T12" s="27" t="s">
        <v>47</v>
      </c>
      <c r="U12" s="22">
        <v>10000</v>
      </c>
      <c r="V12" s="28">
        <v>69.197607655502395</v>
      </c>
      <c r="W12" s="29">
        <v>33</v>
      </c>
      <c r="X12" s="29">
        <v>41</v>
      </c>
      <c r="Y12" s="30">
        <f>(表1[[#This Row],[能力素质]]*0.6+表1[[#This Row],[潜力评估]]*0.4)*2</f>
        <v>75.599999999999994</v>
      </c>
    </row>
    <row r="13" spans="1:25" x14ac:dyDescent="0.2">
      <c r="A13" s="11">
        <f t="shared" si="0"/>
        <v>11</v>
      </c>
      <c r="B13" s="12" t="s">
        <v>101</v>
      </c>
      <c r="C13" s="12" t="s">
        <v>26</v>
      </c>
      <c r="D13" s="13" t="s">
        <v>27</v>
      </c>
      <c r="E13" s="14" t="s">
        <v>102</v>
      </c>
      <c r="F13" s="15">
        <v>41990</v>
      </c>
      <c r="G13" s="16" t="s">
        <v>29</v>
      </c>
      <c r="H13" s="17">
        <f ca="1">IF(G13="","",IF(G13="离职",(DATEDIF(F13,#REF!,"y")*100+DATEDIF(F13,#REF!,"ym"))/100,(DATEDIF(F13,NOW(),"y")*100+DATEDIF(F13,NOW(),"ym"))/100))</f>
        <v>9.06</v>
      </c>
      <c r="I13" s="18">
        <f t="shared" ca="1" si="1"/>
        <v>34</v>
      </c>
      <c r="J13" s="19" t="str">
        <f>IF(表1[[#This Row],[证件号码]]="","",SUBSTITUTE(TEXT(--MID(表1[[#This Row],[证件号码]],7,8),"0000-00-00"),"-","/"))</f>
        <v>1990/08/11</v>
      </c>
      <c r="K13" s="20" t="s">
        <v>103</v>
      </c>
      <c r="L13" s="21"/>
      <c r="M13" s="20" t="s">
        <v>31</v>
      </c>
      <c r="N13" s="22" t="s">
        <v>31</v>
      </c>
      <c r="O13" s="23" t="s">
        <v>43</v>
      </c>
      <c r="P13" s="31"/>
      <c r="Q13" s="25" t="s">
        <v>44</v>
      </c>
      <c r="R13" s="26" t="s">
        <v>45</v>
      </c>
      <c r="S13" s="25" t="s">
        <v>77</v>
      </c>
      <c r="T13" s="27" t="s">
        <v>37</v>
      </c>
      <c r="U13" s="22">
        <v>18000</v>
      </c>
      <c r="V13" s="28">
        <v>124.72418108207583</v>
      </c>
      <c r="W13" s="29">
        <v>34</v>
      </c>
      <c r="X13" s="29">
        <v>44</v>
      </c>
      <c r="Y13" s="30">
        <f>(表1[[#This Row],[能力素质]]*0.6+表1[[#This Row],[潜力评估]]*0.4)*2</f>
        <v>80</v>
      </c>
    </row>
    <row r="14" spans="1:25" x14ac:dyDescent="0.2">
      <c r="A14" s="11">
        <f t="shared" si="0"/>
        <v>12</v>
      </c>
      <c r="B14" s="12" t="s">
        <v>104</v>
      </c>
      <c r="C14" s="12" t="s">
        <v>49</v>
      </c>
      <c r="D14" s="13" t="s">
        <v>27</v>
      </c>
      <c r="E14" s="14" t="s">
        <v>105</v>
      </c>
      <c r="F14" s="15">
        <v>42081</v>
      </c>
      <c r="G14" s="16" t="s">
        <v>29</v>
      </c>
      <c r="H14" s="17">
        <f ca="1">IF(G14="","",IF(G14="离职",(DATEDIF(F14,#REF!,"y")*100+DATEDIF(F14,#REF!,"ym"))/100,(DATEDIF(F14,NOW(),"y")*100+DATEDIF(F14,NOW(),"ym"))/100))</f>
        <v>9.0299999999999994</v>
      </c>
      <c r="I14" s="18">
        <f t="shared" ca="1" si="1"/>
        <v>36</v>
      </c>
      <c r="J14" s="19" t="str">
        <f>IF(表1[[#This Row],[证件号码]]="","",SUBSTITUTE(TEXT(--MID(表1[[#This Row],[证件号码]],7,8),"0000-00-00"),"-","/"))</f>
        <v>1988/08/09</v>
      </c>
      <c r="K14" s="21" t="s">
        <v>106</v>
      </c>
      <c r="L14" s="21"/>
      <c r="M14" s="21" t="s">
        <v>60</v>
      </c>
      <c r="N14" s="22" t="s">
        <v>42</v>
      </c>
      <c r="O14" s="23" t="s">
        <v>107</v>
      </c>
      <c r="P14" s="31"/>
      <c r="Q14" s="25" t="s">
        <v>54</v>
      </c>
      <c r="R14" s="26" t="s">
        <v>55</v>
      </c>
      <c r="S14" s="25" t="s">
        <v>108</v>
      </c>
      <c r="T14" s="27" t="s">
        <v>37</v>
      </c>
      <c r="U14" s="22">
        <v>22500</v>
      </c>
      <c r="V14" s="28">
        <v>49.990909090909085</v>
      </c>
      <c r="W14" s="29">
        <v>30</v>
      </c>
      <c r="X14" s="29">
        <v>36</v>
      </c>
      <c r="Y14" s="30">
        <f>(表1[[#This Row],[能力素质]]*0.6+表1[[#This Row],[潜力评估]]*0.4)*2</f>
        <v>67.199999999999989</v>
      </c>
    </row>
    <row r="15" spans="1:25" x14ac:dyDescent="0.2">
      <c r="A15" s="11">
        <f t="shared" si="0"/>
        <v>13</v>
      </c>
      <c r="B15" s="12" t="s">
        <v>109</v>
      </c>
      <c r="C15" s="12" t="s">
        <v>110</v>
      </c>
      <c r="D15" s="13" t="s">
        <v>27</v>
      </c>
      <c r="E15" s="14" t="s">
        <v>111</v>
      </c>
      <c r="F15" s="15">
        <v>42089</v>
      </c>
      <c r="G15" s="16" t="s">
        <v>29</v>
      </c>
      <c r="H15" s="17">
        <f ca="1">IF(G15="","",IF(G15="离职",(DATEDIF(F15,#REF!,"y")*100+DATEDIF(F15,#REF!,"ym"))/100,(DATEDIF(F15,NOW(),"y")*100+DATEDIF(F15,NOW(),"ym"))/100))</f>
        <v>9.0299999999999994</v>
      </c>
      <c r="I15" s="18">
        <f t="shared" ca="1" si="1"/>
        <v>30</v>
      </c>
      <c r="J15" s="19" t="str">
        <f>IF(表1[[#This Row],[证件号码]]="","",SUBSTITUTE(TEXT(--MID(表1[[#This Row],[证件号码]],7,8),"0000-00-00"),"-","/"))</f>
        <v>1994/05/24</v>
      </c>
      <c r="K15" s="20" t="s">
        <v>112</v>
      </c>
      <c r="L15" s="21"/>
      <c r="M15" s="20" t="s">
        <v>31</v>
      </c>
      <c r="N15" s="22" t="s">
        <v>31</v>
      </c>
      <c r="O15" s="23" t="s">
        <v>113</v>
      </c>
      <c r="P15" s="31" t="s">
        <v>114</v>
      </c>
      <c r="Q15" s="25" t="s">
        <v>34</v>
      </c>
      <c r="R15" s="26" t="s">
        <v>115</v>
      </c>
      <c r="S15" s="25" t="s">
        <v>116</v>
      </c>
      <c r="T15" s="27" t="s">
        <v>65</v>
      </c>
      <c r="U15" s="22">
        <v>13200</v>
      </c>
      <c r="V15" s="28">
        <v>97.733492822966511</v>
      </c>
      <c r="W15" s="29">
        <v>31</v>
      </c>
      <c r="X15" s="29">
        <v>42</v>
      </c>
      <c r="Y15" s="30">
        <f>(表1[[#This Row],[能力素质]]*0.6+表1[[#This Row],[潜力评估]]*0.4)*2</f>
        <v>75.2</v>
      </c>
    </row>
    <row r="16" spans="1:25" ht="63" x14ac:dyDescent="0.2">
      <c r="A16" s="11">
        <f t="shared" si="0"/>
        <v>14</v>
      </c>
      <c r="B16" s="12" t="s">
        <v>117</v>
      </c>
      <c r="C16" s="12" t="s">
        <v>26</v>
      </c>
      <c r="D16" s="13" t="s">
        <v>39</v>
      </c>
      <c r="E16" s="14" t="s">
        <v>118</v>
      </c>
      <c r="F16" s="15">
        <v>42240</v>
      </c>
      <c r="G16" s="16" t="s">
        <v>29</v>
      </c>
      <c r="H16" s="17">
        <f ca="1">IF(G16="","",IF(G16="离职",(DATEDIF(F16,#REF!,"y")*100+DATEDIF(F16,#REF!,"ym"))/100,(DATEDIF(F16,NOW(),"y")*100+DATEDIF(F16,NOW(),"ym"))/100))</f>
        <v>8.1</v>
      </c>
      <c r="I16" s="18">
        <f t="shared" ca="1" si="1"/>
        <v>34</v>
      </c>
      <c r="J16" s="19" t="str">
        <f>IF(表1[[#This Row],[证件号码]]="","",SUBSTITUTE(TEXT(--MID(表1[[#This Row],[证件号码]],7,8),"0000-00-00"),"-","/"))</f>
        <v>1990/01/16</v>
      </c>
      <c r="K16" s="21" t="s">
        <v>119</v>
      </c>
      <c r="L16" s="21"/>
      <c r="M16" s="21" t="s">
        <v>52</v>
      </c>
      <c r="N16" s="22" t="s">
        <v>31</v>
      </c>
      <c r="O16" s="23" t="s">
        <v>120</v>
      </c>
      <c r="P16" s="33" t="s">
        <v>121</v>
      </c>
      <c r="Q16" s="25" t="s">
        <v>44</v>
      </c>
      <c r="R16" s="26" t="s">
        <v>122</v>
      </c>
      <c r="S16" s="25" t="s">
        <v>123</v>
      </c>
      <c r="T16" s="27" t="s">
        <v>65</v>
      </c>
      <c r="U16" s="22">
        <v>12000</v>
      </c>
      <c r="V16" s="28">
        <v>101.62964666912035</v>
      </c>
      <c r="W16" s="29">
        <v>36</v>
      </c>
      <c r="X16" s="29">
        <v>42</v>
      </c>
      <c r="Y16" s="30">
        <f>(表1[[#This Row],[能力素质]]*0.6+表1[[#This Row],[潜力评估]]*0.4)*2</f>
        <v>79.2</v>
      </c>
    </row>
    <row r="17" spans="1:25" ht="31.5" x14ac:dyDescent="0.2">
      <c r="A17" s="11">
        <f t="shared" si="0"/>
        <v>15</v>
      </c>
      <c r="B17" s="12" t="s">
        <v>124</v>
      </c>
      <c r="C17" s="12" t="s">
        <v>26</v>
      </c>
      <c r="D17" s="13" t="s">
        <v>27</v>
      </c>
      <c r="E17" s="14" t="s">
        <v>125</v>
      </c>
      <c r="F17" s="15">
        <v>42253</v>
      </c>
      <c r="G17" s="16" t="s">
        <v>29</v>
      </c>
      <c r="H17" s="17">
        <f ca="1">IF(G17="","",IF(G17="离职",(DATEDIF(F17,#REF!,"y")*100+DATEDIF(F17,#REF!,"ym"))/100,(DATEDIF(F17,NOW(),"y")*100+DATEDIF(F17,NOW(),"ym"))/100))</f>
        <v>8.09</v>
      </c>
      <c r="I17" s="18">
        <f t="shared" ca="1" si="1"/>
        <v>33</v>
      </c>
      <c r="J17" s="19" t="str">
        <f>IF(表1[[#This Row],[证件号码]]="","",SUBSTITUTE(TEXT(--MID(表1[[#This Row],[证件号码]],7,8),"0000-00-00"),"-","/"))</f>
        <v>1991/02/13</v>
      </c>
      <c r="K17" s="20" t="s">
        <v>126</v>
      </c>
      <c r="L17" s="21"/>
      <c r="M17" s="20" t="s">
        <v>31</v>
      </c>
      <c r="N17" s="22" t="s">
        <v>31</v>
      </c>
      <c r="O17" s="23" t="s">
        <v>127</v>
      </c>
      <c r="P17" s="24" t="s">
        <v>128</v>
      </c>
      <c r="Q17" s="25" t="s">
        <v>44</v>
      </c>
      <c r="R17" s="26" t="s">
        <v>45</v>
      </c>
      <c r="S17" s="25" t="s">
        <v>129</v>
      </c>
      <c r="T17" s="27" t="s">
        <v>65</v>
      </c>
      <c r="U17" s="22">
        <v>15500</v>
      </c>
      <c r="V17" s="28">
        <v>122.19285977180715</v>
      </c>
      <c r="W17" s="29">
        <v>31</v>
      </c>
      <c r="X17" s="29">
        <v>46</v>
      </c>
      <c r="Y17" s="30">
        <f>(表1[[#This Row],[能力素质]]*0.6+表1[[#This Row],[潜力评估]]*0.4)*2</f>
        <v>80</v>
      </c>
    </row>
    <row r="18" spans="1:25" x14ac:dyDescent="0.2">
      <c r="A18" s="11">
        <f t="shared" si="0"/>
        <v>16</v>
      </c>
      <c r="B18" s="12" t="s">
        <v>130</v>
      </c>
      <c r="C18" s="12" t="s">
        <v>49</v>
      </c>
      <c r="D18" s="13" t="s">
        <v>27</v>
      </c>
      <c r="E18" s="14" t="s">
        <v>131</v>
      </c>
      <c r="F18" s="15">
        <v>42256</v>
      </c>
      <c r="G18" s="16" t="s">
        <v>29</v>
      </c>
      <c r="H18" s="17">
        <f ca="1">IF(G18="","",IF(G18="离职",(DATEDIF(F18,#REF!,"y")*100+DATEDIF(F18,#REF!,"ym"))/100,(DATEDIF(F18,NOW(),"y")*100+DATEDIF(F18,NOW(),"ym"))/100))</f>
        <v>8.09</v>
      </c>
      <c r="I18" s="18">
        <f t="shared" ca="1" si="1"/>
        <v>33</v>
      </c>
      <c r="J18" s="19" t="str">
        <f>IF(表1[[#This Row],[证件号码]]="","",SUBSTITUTE(TEXT(--MID(表1[[#This Row],[证件号码]],7,8),"0000-00-00"),"-","/"))</f>
        <v>1991/08/29</v>
      </c>
      <c r="K18" s="20" t="s">
        <v>132</v>
      </c>
      <c r="L18" s="21"/>
      <c r="M18" s="21" t="s">
        <v>60</v>
      </c>
      <c r="N18" s="22" t="s">
        <v>31</v>
      </c>
      <c r="O18" s="23" t="s">
        <v>133</v>
      </c>
      <c r="P18" s="31"/>
      <c r="Q18" s="25" t="s">
        <v>34</v>
      </c>
      <c r="R18" s="26" t="s">
        <v>115</v>
      </c>
      <c r="S18" s="25" t="s">
        <v>134</v>
      </c>
      <c r="T18" s="27" t="s">
        <v>37</v>
      </c>
      <c r="U18" s="22">
        <v>25000</v>
      </c>
      <c r="V18" s="28">
        <v>62.091654398233345</v>
      </c>
      <c r="W18" s="29">
        <v>30</v>
      </c>
      <c r="X18" s="29">
        <v>40</v>
      </c>
      <c r="Y18" s="30">
        <f>(表1[[#This Row],[能力素质]]*0.6+表1[[#This Row],[潜力评估]]*0.4)*2</f>
        <v>72</v>
      </c>
    </row>
    <row r="19" spans="1:25" ht="42" x14ac:dyDescent="0.2">
      <c r="A19" s="11">
        <f t="shared" si="0"/>
        <v>17</v>
      </c>
      <c r="B19" s="12" t="s">
        <v>135</v>
      </c>
      <c r="C19" s="12" t="s">
        <v>26</v>
      </c>
      <c r="D19" s="13" t="s">
        <v>27</v>
      </c>
      <c r="E19" s="14" t="s">
        <v>136</v>
      </c>
      <c r="F19" s="15">
        <v>42257</v>
      </c>
      <c r="G19" s="16" t="s">
        <v>29</v>
      </c>
      <c r="H19" s="17">
        <f ca="1">IF(G19="","",IF(G19="离职",(DATEDIF(F19,#REF!,"y")*100+DATEDIF(F19,#REF!,"ym"))/100,(DATEDIF(F19,NOW(),"y")*100+DATEDIF(F19,NOW(),"ym"))/100))</f>
        <v>8.09</v>
      </c>
      <c r="I19" s="18">
        <f t="shared" ca="1" si="1"/>
        <v>40</v>
      </c>
      <c r="J19" s="19" t="str">
        <f>IF(表1[[#This Row],[证件号码]]="","",SUBSTITUTE(TEXT(--MID(表1[[#This Row],[证件号码]],7,8),"0000-00-00"),"-","/"))</f>
        <v>1984/10/20</v>
      </c>
      <c r="K19" s="20" t="s">
        <v>137</v>
      </c>
      <c r="L19" s="21"/>
      <c r="M19" s="20" t="s">
        <v>31</v>
      </c>
      <c r="N19" s="22" t="s">
        <v>31</v>
      </c>
      <c r="O19" s="23" t="s">
        <v>138</v>
      </c>
      <c r="P19" s="24" t="s">
        <v>139</v>
      </c>
      <c r="Q19" s="25" t="s">
        <v>34</v>
      </c>
      <c r="R19" s="26" t="s">
        <v>115</v>
      </c>
      <c r="S19" s="25" t="s">
        <v>116</v>
      </c>
      <c r="T19" s="27" t="s">
        <v>65</v>
      </c>
      <c r="U19" s="22">
        <v>15000</v>
      </c>
      <c r="V19" s="28">
        <v>94.040853882959141</v>
      </c>
      <c r="W19" s="29">
        <v>32</v>
      </c>
      <c r="X19" s="29">
        <v>39</v>
      </c>
      <c r="Y19" s="30">
        <f>(表1[[#This Row],[能力素质]]*0.6+表1[[#This Row],[潜力评估]]*0.4)*2</f>
        <v>72.400000000000006</v>
      </c>
    </row>
    <row r="20" spans="1:25" x14ac:dyDescent="0.2">
      <c r="A20" s="11">
        <f t="shared" si="0"/>
        <v>18</v>
      </c>
      <c r="B20" s="12" t="s">
        <v>140</v>
      </c>
      <c r="C20" s="12" t="s">
        <v>26</v>
      </c>
      <c r="D20" s="13" t="s">
        <v>39</v>
      </c>
      <c r="E20" s="14" t="s">
        <v>141</v>
      </c>
      <c r="F20" s="15">
        <v>42261</v>
      </c>
      <c r="G20" s="16" t="s">
        <v>29</v>
      </c>
      <c r="H20" s="17">
        <f ca="1">IF(G20="","",IF(G20="离职",(DATEDIF(F20,#REF!,"y")*100+DATEDIF(F20,#REF!,"ym"))/100,(DATEDIF(F20,NOW(),"y")*100+DATEDIF(F20,NOW(),"ym"))/100))</f>
        <v>8.09</v>
      </c>
      <c r="I20" s="18">
        <f t="shared" ca="1" si="1"/>
        <v>36</v>
      </c>
      <c r="J20" s="19" t="str">
        <f>IF(表1[[#This Row],[证件号码]]="","",SUBSTITUTE(TEXT(--MID(表1[[#This Row],[证件号码]],7,8),"0000-00-00"),"-","/"))</f>
        <v>1988/05/12</v>
      </c>
      <c r="K20" s="21" t="s">
        <v>142</v>
      </c>
      <c r="L20" s="21"/>
      <c r="M20" s="21" t="s">
        <v>52</v>
      </c>
      <c r="N20" s="22" t="s">
        <v>31</v>
      </c>
      <c r="O20" s="23" t="s">
        <v>143</v>
      </c>
      <c r="P20" s="31" t="s">
        <v>144</v>
      </c>
      <c r="Q20" s="25" t="s">
        <v>54</v>
      </c>
      <c r="R20" s="26" t="s">
        <v>145</v>
      </c>
      <c r="S20" s="25" t="s">
        <v>146</v>
      </c>
      <c r="T20" s="27" t="s">
        <v>47</v>
      </c>
      <c r="U20" s="22">
        <v>10000</v>
      </c>
      <c r="V20" s="28">
        <v>90.1</v>
      </c>
      <c r="W20" s="29">
        <v>33</v>
      </c>
      <c r="X20" s="29">
        <v>46</v>
      </c>
      <c r="Y20" s="30">
        <f>(表1[[#This Row],[能力素质]]*0.6+表1[[#This Row],[潜力评估]]*0.4)*2</f>
        <v>81.599999999999994</v>
      </c>
    </row>
    <row r="21" spans="1:25" x14ac:dyDescent="0.2">
      <c r="A21" s="11">
        <f t="shared" si="0"/>
        <v>19</v>
      </c>
      <c r="B21" s="12" t="s">
        <v>147</v>
      </c>
      <c r="C21" s="12" t="s">
        <v>49</v>
      </c>
      <c r="D21" s="13" t="s">
        <v>27</v>
      </c>
      <c r="E21" s="14" t="s">
        <v>148</v>
      </c>
      <c r="F21" s="15">
        <v>42305</v>
      </c>
      <c r="G21" s="16" t="s">
        <v>29</v>
      </c>
      <c r="H21" s="17">
        <f ca="1">IF(G21="","",IF(G21="离职",(DATEDIF(F21,#REF!,"y")*100+DATEDIF(F21,#REF!,"ym"))/100,(DATEDIF(F21,NOW(),"y")*100+DATEDIF(F21,NOW(),"ym"))/100))</f>
        <v>8.08</v>
      </c>
      <c r="I21" s="18">
        <f t="shared" ca="1" si="1"/>
        <v>45</v>
      </c>
      <c r="J21" s="19" t="str">
        <f>IF(表1[[#This Row],[证件号码]]="","",SUBSTITUTE(TEXT(--MID(表1[[#This Row],[证件号码]],7,8),"0000-00-00"),"-","/"))</f>
        <v>1979/06/19</v>
      </c>
      <c r="K21" s="21" t="s">
        <v>149</v>
      </c>
      <c r="L21" s="21"/>
      <c r="M21" s="21" t="s">
        <v>60</v>
      </c>
      <c r="N21" s="22" t="s">
        <v>31</v>
      </c>
      <c r="O21" s="32" t="s">
        <v>150</v>
      </c>
      <c r="P21" s="31"/>
      <c r="Q21" s="25" t="s">
        <v>54</v>
      </c>
      <c r="R21" s="26" t="s">
        <v>55</v>
      </c>
      <c r="S21" s="25" t="s">
        <v>72</v>
      </c>
      <c r="T21" s="27" t="s">
        <v>65</v>
      </c>
      <c r="U21" s="22">
        <v>13000</v>
      </c>
      <c r="V21" s="28">
        <v>57.65</v>
      </c>
      <c r="W21" s="29">
        <v>20</v>
      </c>
      <c r="X21" s="29">
        <v>30</v>
      </c>
      <c r="Y21" s="30">
        <f>(表1[[#This Row],[能力素质]]*0.6+表1[[#This Row],[潜力评估]]*0.4)*2</f>
        <v>52</v>
      </c>
    </row>
    <row r="22" spans="1:25" x14ac:dyDescent="0.2">
      <c r="A22" s="11">
        <f t="shared" si="0"/>
        <v>20</v>
      </c>
      <c r="B22" s="12" t="s">
        <v>151</v>
      </c>
      <c r="C22" s="12" t="s">
        <v>83</v>
      </c>
      <c r="D22" s="13" t="s">
        <v>27</v>
      </c>
      <c r="E22" s="14" t="s">
        <v>152</v>
      </c>
      <c r="F22" s="15">
        <v>42383</v>
      </c>
      <c r="G22" s="16" t="s">
        <v>29</v>
      </c>
      <c r="H22" s="17">
        <f ca="1">IF(G22="","",IF(G22="离职",(DATEDIF(F22,#REF!,"y")*100+DATEDIF(F22,#REF!,"ym"))/100,(DATEDIF(F22,NOW(),"y")*100+DATEDIF(F22,NOW(),"ym"))/100))</f>
        <v>8.0500000000000007</v>
      </c>
      <c r="I22" s="18">
        <f t="shared" ca="1" si="1"/>
        <v>35</v>
      </c>
      <c r="J22" s="19" t="str">
        <f>IF(表1[[#This Row],[证件号码]]="","",SUBSTITUTE(TEXT(--MID(表1[[#This Row],[证件号码]],7,8),"0000-00-00"),"-","/"))</f>
        <v>1989/09/04</v>
      </c>
      <c r="K22" s="21" t="s">
        <v>153</v>
      </c>
      <c r="L22" s="21"/>
      <c r="M22" s="21" t="s">
        <v>60</v>
      </c>
      <c r="N22" s="22" t="s">
        <v>42</v>
      </c>
      <c r="O22" s="23" t="s">
        <v>154</v>
      </c>
      <c r="P22" s="31"/>
      <c r="Q22" s="25" t="s">
        <v>54</v>
      </c>
      <c r="R22" s="26" t="s">
        <v>87</v>
      </c>
      <c r="S22" s="25" t="s">
        <v>72</v>
      </c>
      <c r="T22" s="27" t="s">
        <v>65</v>
      </c>
      <c r="U22" s="22">
        <v>9000</v>
      </c>
      <c r="V22" s="28">
        <v>29.9</v>
      </c>
      <c r="W22" s="29">
        <v>34</v>
      </c>
      <c r="X22" s="29">
        <v>46</v>
      </c>
      <c r="Y22" s="30">
        <f>(表1[[#This Row],[能力素质]]*0.6+表1[[#This Row],[潜力评估]]*0.4)*2</f>
        <v>82.4</v>
      </c>
    </row>
    <row r="23" spans="1:25" x14ac:dyDescent="0.2">
      <c r="A23" s="11">
        <f t="shared" si="0"/>
        <v>21</v>
      </c>
      <c r="B23" s="12" t="s">
        <v>155</v>
      </c>
      <c r="C23" s="12" t="s">
        <v>26</v>
      </c>
      <c r="D23" s="13" t="s">
        <v>27</v>
      </c>
      <c r="E23" s="14" t="s">
        <v>156</v>
      </c>
      <c r="F23" s="15">
        <v>42429</v>
      </c>
      <c r="G23" s="16" t="s">
        <v>29</v>
      </c>
      <c r="H23" s="17">
        <f ca="1">IF(G23="","",IF(G23="离职",(DATEDIF(F23,#REF!,"y")*100+DATEDIF(F23,#REF!,"ym"))/100,(DATEDIF(F23,NOW(),"y")*100+DATEDIF(F23,NOW(),"ym"))/100))</f>
        <v>8.0399999999999991</v>
      </c>
      <c r="I23" s="18">
        <f t="shared" ca="1" si="1"/>
        <v>34</v>
      </c>
      <c r="J23" s="19" t="str">
        <f>IF(表1[[#This Row],[证件号码]]="","",SUBSTITUTE(TEXT(--MID(表1[[#This Row],[证件号码]],7,8),"0000-00-00"),"-","/"))</f>
        <v>1990/11/03</v>
      </c>
      <c r="K23" s="20" t="s">
        <v>103</v>
      </c>
      <c r="L23" s="21"/>
      <c r="M23" s="20" t="s">
        <v>31</v>
      </c>
      <c r="N23" s="22" t="s">
        <v>31</v>
      </c>
      <c r="O23" s="23" t="s">
        <v>43</v>
      </c>
      <c r="P23" s="31"/>
      <c r="Q23" s="25" t="s">
        <v>44</v>
      </c>
      <c r="R23" s="26" t="s">
        <v>45</v>
      </c>
      <c r="S23" s="25" t="s">
        <v>77</v>
      </c>
      <c r="T23" s="27" t="s">
        <v>65</v>
      </c>
      <c r="U23" s="22">
        <v>14500</v>
      </c>
      <c r="V23" s="28">
        <v>103.69344865660656</v>
      </c>
      <c r="W23" s="29">
        <v>27</v>
      </c>
      <c r="X23" s="29">
        <v>40</v>
      </c>
      <c r="Y23" s="30">
        <f>(表1[[#This Row],[能力素质]]*0.6+表1[[#This Row],[潜力评估]]*0.4)*2</f>
        <v>69.599999999999994</v>
      </c>
    </row>
    <row r="24" spans="1:25" ht="21" x14ac:dyDescent="0.2">
      <c r="A24" s="11">
        <f t="shared" si="0"/>
        <v>22</v>
      </c>
      <c r="B24" s="12" t="s">
        <v>157</v>
      </c>
      <c r="C24" s="12" t="s">
        <v>26</v>
      </c>
      <c r="D24" s="13" t="s">
        <v>39</v>
      </c>
      <c r="E24" s="14" t="s">
        <v>158</v>
      </c>
      <c r="F24" s="15">
        <v>42467</v>
      </c>
      <c r="G24" s="16" t="s">
        <v>29</v>
      </c>
      <c r="H24" s="17">
        <f ca="1">IF(G24="","",IF(G24="离职",(DATEDIF(F24,#REF!,"y")*100+DATEDIF(F24,#REF!,"ym"))/100,(DATEDIF(F24,NOW(),"y")*100+DATEDIF(F24,NOW(),"ym"))/100))</f>
        <v>8.02</v>
      </c>
      <c r="I24" s="18">
        <f t="shared" ca="1" si="1"/>
        <v>31</v>
      </c>
      <c r="J24" s="19" t="str">
        <f>IF(表1[[#This Row],[证件号码]]="","",SUBSTITUTE(TEXT(--MID(表1[[#This Row],[证件号码]],7,8),"0000-00-00"),"-","/"))</f>
        <v>1993/11/12</v>
      </c>
      <c r="K24" s="21" t="s">
        <v>159</v>
      </c>
      <c r="L24" s="21"/>
      <c r="M24" s="21" t="s">
        <v>52</v>
      </c>
      <c r="N24" s="22" t="s">
        <v>31</v>
      </c>
      <c r="O24" s="34" t="s">
        <v>160</v>
      </c>
      <c r="P24" s="31"/>
      <c r="Q24" s="25" t="s">
        <v>44</v>
      </c>
      <c r="R24" s="26" t="s">
        <v>122</v>
      </c>
      <c r="S24" s="25" t="s">
        <v>123</v>
      </c>
      <c r="T24" s="27" t="s">
        <v>65</v>
      </c>
      <c r="U24" s="22">
        <v>14500</v>
      </c>
      <c r="V24" s="28">
        <v>117.15476628634522</v>
      </c>
      <c r="W24" s="29">
        <v>25</v>
      </c>
      <c r="X24" s="29">
        <v>46</v>
      </c>
      <c r="Y24" s="30">
        <f>(表1[[#This Row],[能力素质]]*0.6+表1[[#This Row],[潜力评估]]*0.4)*2</f>
        <v>75.199999999999989</v>
      </c>
    </row>
    <row r="25" spans="1:25" x14ac:dyDescent="0.2">
      <c r="A25" s="11">
        <f t="shared" si="0"/>
        <v>23</v>
      </c>
      <c r="B25" s="12" t="s">
        <v>161</v>
      </c>
      <c r="C25" s="12" t="s">
        <v>162</v>
      </c>
      <c r="D25" s="13" t="s">
        <v>39</v>
      </c>
      <c r="E25" s="14" t="s">
        <v>163</v>
      </c>
      <c r="F25" s="15">
        <v>42478</v>
      </c>
      <c r="G25" s="16" t="s">
        <v>29</v>
      </c>
      <c r="H25" s="17">
        <f ca="1">IF(G25="","",IF(G25="离职",(DATEDIF(F25,#REF!,"y")*100+DATEDIF(F25,#REF!,"ym"))/100,(DATEDIF(F25,NOW(),"y")*100+DATEDIF(F25,NOW(),"ym"))/100))</f>
        <v>8.02</v>
      </c>
      <c r="I25" s="18">
        <f t="shared" ca="1" si="1"/>
        <v>42</v>
      </c>
      <c r="J25" s="19" t="str">
        <f>IF(表1[[#This Row],[证件号码]]="","",SUBSTITUTE(TEXT(--MID(表1[[#This Row],[证件号码]],7,8),"0000-00-00"),"-","/"))</f>
        <v>1982/03/10</v>
      </c>
      <c r="K25" s="21" t="s">
        <v>164</v>
      </c>
      <c r="L25" s="21"/>
      <c r="M25" s="21" t="s">
        <v>60</v>
      </c>
      <c r="N25" s="22" t="s">
        <v>42</v>
      </c>
      <c r="O25" s="23" t="s">
        <v>165</v>
      </c>
      <c r="P25" s="31"/>
      <c r="Q25" s="25" t="s">
        <v>54</v>
      </c>
      <c r="R25" s="26" t="s">
        <v>87</v>
      </c>
      <c r="S25" s="25" t="s">
        <v>72</v>
      </c>
      <c r="T25" s="27" t="s">
        <v>65</v>
      </c>
      <c r="U25" s="22">
        <v>11000</v>
      </c>
      <c r="V25" s="28">
        <v>97.5</v>
      </c>
      <c r="W25" s="29">
        <v>32</v>
      </c>
      <c r="X25" s="29">
        <v>44</v>
      </c>
      <c r="Y25" s="30">
        <f>(表1[[#This Row],[能力素质]]*0.6+表1[[#This Row],[潜力评估]]*0.4)*2</f>
        <v>78.400000000000006</v>
      </c>
    </row>
    <row r="26" spans="1:25" x14ac:dyDescent="0.2">
      <c r="A26" s="11">
        <f t="shared" si="0"/>
        <v>24</v>
      </c>
      <c r="B26" s="12" t="s">
        <v>166</v>
      </c>
      <c r="C26" s="12" t="s">
        <v>26</v>
      </c>
      <c r="D26" s="13" t="s">
        <v>27</v>
      </c>
      <c r="E26" s="14" t="s">
        <v>167</v>
      </c>
      <c r="F26" s="15">
        <v>42478</v>
      </c>
      <c r="G26" s="16" t="s">
        <v>29</v>
      </c>
      <c r="H26" s="17">
        <f ca="1">IF(G26="","",IF(G26="离职",(DATEDIF(F26,#REF!,"y")*100+DATEDIF(F26,#REF!,"ym"))/100,(DATEDIF(F26,NOW(),"y")*100+DATEDIF(F26,NOW(),"ym"))/100))</f>
        <v>8.02</v>
      </c>
      <c r="I26" s="18">
        <f t="shared" ca="1" si="1"/>
        <v>34</v>
      </c>
      <c r="J26" s="19" t="str">
        <f>IF(表1[[#This Row],[证件号码]]="","",SUBSTITUTE(TEXT(--MID(表1[[#This Row],[证件号码]],7,8),"0000-00-00"),"-","/"))</f>
        <v>1990/03/26</v>
      </c>
      <c r="K26" s="20" t="s">
        <v>168</v>
      </c>
      <c r="L26" s="21"/>
      <c r="M26" s="20" t="s">
        <v>42</v>
      </c>
      <c r="N26" s="22" t="s">
        <v>42</v>
      </c>
      <c r="O26" s="23" t="s">
        <v>138</v>
      </c>
      <c r="P26" s="31"/>
      <c r="Q26" s="25" t="s">
        <v>44</v>
      </c>
      <c r="R26" s="26" t="s">
        <v>45</v>
      </c>
      <c r="S26" s="25" t="s">
        <v>169</v>
      </c>
      <c r="T26" s="27" t="s">
        <v>65</v>
      </c>
      <c r="U26" s="22">
        <v>9500</v>
      </c>
      <c r="V26" s="28">
        <v>84.37453073242547</v>
      </c>
      <c r="W26" s="29">
        <v>26</v>
      </c>
      <c r="X26" s="29">
        <v>42</v>
      </c>
      <c r="Y26" s="30">
        <f>(表1[[#This Row],[能力素质]]*0.6+表1[[#This Row],[潜力评估]]*0.4)*2</f>
        <v>71.2</v>
      </c>
    </row>
    <row r="27" spans="1:25" x14ac:dyDescent="0.2">
      <c r="A27" s="11">
        <f t="shared" si="0"/>
        <v>25</v>
      </c>
      <c r="B27" s="12" t="s">
        <v>170</v>
      </c>
      <c r="C27" s="12" t="s">
        <v>26</v>
      </c>
      <c r="D27" s="13" t="s">
        <v>27</v>
      </c>
      <c r="E27" s="14" t="s">
        <v>171</v>
      </c>
      <c r="F27" s="15">
        <v>42485</v>
      </c>
      <c r="G27" s="16" t="s">
        <v>29</v>
      </c>
      <c r="H27" s="17">
        <f ca="1">IF(G27="","",IF(G27="离职",(DATEDIF(F27,#REF!,"y")*100+DATEDIF(F27,#REF!,"ym"))/100,(DATEDIF(F27,NOW(),"y")*100+DATEDIF(F27,NOW(),"ym"))/100))</f>
        <v>8.02</v>
      </c>
      <c r="I27" s="18">
        <f t="shared" ca="1" si="1"/>
        <v>34</v>
      </c>
      <c r="J27" s="19" t="str">
        <f>IF(表1[[#This Row],[证件号码]]="","",SUBSTITUTE(TEXT(--MID(表1[[#This Row],[证件号码]],7,8),"0000-00-00"),"-","/"))</f>
        <v>1990/11/09</v>
      </c>
      <c r="K27" s="20" t="s">
        <v>172</v>
      </c>
      <c r="L27" s="21"/>
      <c r="M27" s="20" t="s">
        <v>42</v>
      </c>
      <c r="N27" s="22" t="s">
        <v>42</v>
      </c>
      <c r="O27" s="23" t="s">
        <v>173</v>
      </c>
      <c r="P27" s="31"/>
      <c r="Q27" s="25" t="s">
        <v>44</v>
      </c>
      <c r="R27" s="26" t="s">
        <v>45</v>
      </c>
      <c r="S27" s="25" t="s">
        <v>174</v>
      </c>
      <c r="T27" s="27" t="s">
        <v>37</v>
      </c>
      <c r="U27" s="22">
        <v>22000</v>
      </c>
      <c r="V27" s="28">
        <v>137.96448288553552</v>
      </c>
      <c r="W27" s="29">
        <v>31</v>
      </c>
      <c r="X27" s="29">
        <v>40</v>
      </c>
      <c r="Y27" s="30">
        <f>(表1[[#This Row],[能力素质]]*0.6+表1[[#This Row],[潜力评估]]*0.4)*2</f>
        <v>72.8</v>
      </c>
    </row>
    <row r="28" spans="1:25" x14ac:dyDescent="0.2">
      <c r="A28" s="11">
        <f t="shared" si="0"/>
        <v>26</v>
      </c>
      <c r="B28" s="12" t="s">
        <v>175</v>
      </c>
      <c r="C28" s="12" t="s">
        <v>49</v>
      </c>
      <c r="D28" s="13" t="s">
        <v>27</v>
      </c>
      <c r="E28" s="14" t="s">
        <v>176</v>
      </c>
      <c r="F28" s="15">
        <v>42521</v>
      </c>
      <c r="G28" s="16" t="s">
        <v>29</v>
      </c>
      <c r="H28" s="17">
        <f ca="1">IF(G28="","",IF(G28="离职",(DATEDIF(F28,#REF!,"y")*100+DATEDIF(F28,#REF!,"ym"))/100,(DATEDIF(F28,NOW(),"y")*100+DATEDIF(F28,NOW(),"ym"))/100))</f>
        <v>8.01</v>
      </c>
      <c r="I28" s="18">
        <f t="shared" ca="1" si="1"/>
        <v>45</v>
      </c>
      <c r="J28" s="19" t="str">
        <f>IF(表1[[#This Row],[证件号码]]="","",SUBSTITUTE(TEXT(--MID(表1[[#This Row],[证件号码]],7,8),"0000-00-00"),"-","/"))</f>
        <v>1979/06/28</v>
      </c>
      <c r="K28" s="20" t="s">
        <v>177</v>
      </c>
      <c r="L28" s="21"/>
      <c r="M28" s="20" t="s">
        <v>70</v>
      </c>
      <c r="N28" s="22" t="s">
        <v>70</v>
      </c>
      <c r="O28" s="23" t="s">
        <v>53</v>
      </c>
      <c r="P28" s="31"/>
      <c r="Q28" s="25" t="s">
        <v>34</v>
      </c>
      <c r="R28" s="26" t="s">
        <v>115</v>
      </c>
      <c r="S28" s="25" t="s">
        <v>178</v>
      </c>
      <c r="T28" s="27" t="s">
        <v>65</v>
      </c>
      <c r="U28" s="22">
        <v>10500</v>
      </c>
      <c r="V28" s="28">
        <v>78.259265734265739</v>
      </c>
      <c r="W28" s="29">
        <v>27</v>
      </c>
      <c r="X28" s="29">
        <v>44</v>
      </c>
      <c r="Y28" s="30">
        <f>(表1[[#This Row],[能力素质]]*0.6+表1[[#This Row],[潜力评估]]*0.4)*2</f>
        <v>74.400000000000006</v>
      </c>
    </row>
    <row r="29" spans="1:25" x14ac:dyDescent="0.2">
      <c r="A29" s="11">
        <f t="shared" si="0"/>
        <v>27</v>
      </c>
      <c r="B29" s="12" t="s">
        <v>179</v>
      </c>
      <c r="C29" s="12" t="s">
        <v>49</v>
      </c>
      <c r="D29" s="13" t="s">
        <v>27</v>
      </c>
      <c r="E29" s="14" t="s">
        <v>180</v>
      </c>
      <c r="F29" s="15">
        <v>42674</v>
      </c>
      <c r="G29" s="16" t="s">
        <v>29</v>
      </c>
      <c r="H29" s="17">
        <f ca="1">IF(G29="","",IF(G29="离职",(DATEDIF(F29,#REF!,"y")*100+DATEDIF(F29,#REF!,"ym"))/100,(DATEDIF(F29,NOW(),"y")*100+DATEDIF(F29,NOW(),"ym"))/100))</f>
        <v>7.08</v>
      </c>
      <c r="I29" s="18">
        <f t="shared" ca="1" si="1"/>
        <v>43</v>
      </c>
      <c r="J29" s="19" t="str">
        <f>IF(表1[[#This Row],[证件号码]]="","",SUBSTITUTE(TEXT(--MID(表1[[#This Row],[证件号码]],7,8),"0000-00-00"),"-","/"))</f>
        <v>1981/11/04</v>
      </c>
      <c r="K29" s="21" t="s">
        <v>181</v>
      </c>
      <c r="L29" s="21"/>
      <c r="M29" s="21" t="s">
        <v>60</v>
      </c>
      <c r="N29" s="22" t="s">
        <v>42</v>
      </c>
      <c r="O29" s="23" t="s">
        <v>182</v>
      </c>
      <c r="P29" s="31" t="s">
        <v>183</v>
      </c>
      <c r="Q29" s="25" t="s">
        <v>54</v>
      </c>
      <c r="R29" s="26" t="s">
        <v>71</v>
      </c>
      <c r="S29" s="25" t="s">
        <v>184</v>
      </c>
      <c r="T29" s="27" t="s">
        <v>47</v>
      </c>
      <c r="U29" s="22">
        <v>30000</v>
      </c>
      <c r="V29" s="28">
        <v>61.227272727272727</v>
      </c>
      <c r="W29" s="29">
        <v>34</v>
      </c>
      <c r="X29" s="29">
        <v>46</v>
      </c>
      <c r="Y29" s="30">
        <f>(表1[[#This Row],[能力素质]]*0.6+表1[[#This Row],[潜力评估]]*0.4)*2</f>
        <v>82.4</v>
      </c>
    </row>
    <row r="30" spans="1:25" x14ac:dyDescent="0.2">
      <c r="A30" s="11">
        <f t="shared" si="0"/>
        <v>28</v>
      </c>
      <c r="B30" s="12" t="s">
        <v>185</v>
      </c>
      <c r="C30" s="12" t="s">
        <v>26</v>
      </c>
      <c r="D30" s="13" t="s">
        <v>27</v>
      </c>
      <c r="E30" s="14" t="s">
        <v>186</v>
      </c>
      <c r="F30" s="15">
        <v>42786</v>
      </c>
      <c r="G30" s="16" t="s">
        <v>29</v>
      </c>
      <c r="H30" s="17">
        <f ca="1">IF(G30="","",IF(G30="离职",(DATEDIF(F30,#REF!,"y")*100+DATEDIF(F30,#REF!,"ym"))/100,(DATEDIF(F30,NOW(),"y")*100+DATEDIF(F30,NOW(),"ym"))/100))</f>
        <v>7.04</v>
      </c>
      <c r="I30" s="18">
        <f t="shared" ca="1" si="1"/>
        <v>31</v>
      </c>
      <c r="J30" s="19" t="str">
        <f>IF(表1[[#This Row],[证件号码]]="","",SUBSTITUTE(TEXT(--MID(表1[[#This Row],[证件号码]],7,8),"0000-00-00"),"-","/"))</f>
        <v>1993/06/05</v>
      </c>
      <c r="K30" s="20" t="s">
        <v>187</v>
      </c>
      <c r="L30" s="21"/>
      <c r="M30" s="20" t="s">
        <v>31</v>
      </c>
      <c r="N30" s="22" t="s">
        <v>31</v>
      </c>
      <c r="O30" s="23" t="s">
        <v>43</v>
      </c>
      <c r="P30" s="31"/>
      <c r="Q30" s="25" t="s">
        <v>44</v>
      </c>
      <c r="R30" s="26" t="s">
        <v>45</v>
      </c>
      <c r="S30" s="25" t="s">
        <v>81</v>
      </c>
      <c r="T30" s="35" t="s">
        <v>65</v>
      </c>
      <c r="U30" s="22">
        <v>15000</v>
      </c>
      <c r="V30" s="28">
        <v>122.84357747515642</v>
      </c>
      <c r="W30" s="29">
        <v>35</v>
      </c>
      <c r="X30" s="29">
        <v>46</v>
      </c>
      <c r="Y30" s="30">
        <f>(表1[[#This Row],[能力素质]]*0.6+表1[[#This Row],[潜力评估]]*0.4)*2</f>
        <v>83.199999999999989</v>
      </c>
    </row>
    <row r="31" spans="1:25" x14ac:dyDescent="0.2">
      <c r="A31" s="11">
        <f t="shared" si="0"/>
        <v>29</v>
      </c>
      <c r="B31" s="12" t="s">
        <v>188</v>
      </c>
      <c r="C31" s="12" t="s">
        <v>26</v>
      </c>
      <c r="D31" s="13" t="s">
        <v>39</v>
      </c>
      <c r="E31" s="14" t="s">
        <v>189</v>
      </c>
      <c r="F31" s="15">
        <v>42893</v>
      </c>
      <c r="G31" s="16" t="s">
        <v>29</v>
      </c>
      <c r="H31" s="17">
        <f ca="1">IF(G31="","",IF(G31="离职",(DATEDIF(F31,#REF!,"y")*100+DATEDIF(F31,#REF!,"ym"))/100,(DATEDIF(F31,NOW(),"y")*100+DATEDIF(F31,NOW(),"ym"))/100))</f>
        <v>7</v>
      </c>
      <c r="I31" s="18">
        <f t="shared" ca="1" si="1"/>
        <v>40</v>
      </c>
      <c r="J31" s="19" t="str">
        <f>IF(表1[[#This Row],[证件号码]]="","",SUBSTITUTE(TEXT(--MID(表1[[#This Row],[证件号码]],7,8),"0000-00-00"),"-","/"))</f>
        <v>1984/12/23</v>
      </c>
      <c r="K31" s="21" t="s">
        <v>190</v>
      </c>
      <c r="L31" s="21"/>
      <c r="M31" s="21" t="s">
        <v>69</v>
      </c>
      <c r="N31" s="29" t="s">
        <v>42</v>
      </c>
      <c r="O31" s="23" t="s">
        <v>191</v>
      </c>
      <c r="P31" s="31"/>
      <c r="Q31" s="25" t="s">
        <v>54</v>
      </c>
      <c r="R31" s="26" t="s">
        <v>192</v>
      </c>
      <c r="S31" s="25" t="s">
        <v>72</v>
      </c>
      <c r="T31" s="27" t="s">
        <v>65</v>
      </c>
      <c r="U31" s="22">
        <v>15000</v>
      </c>
      <c r="V31" s="28">
        <v>97.2</v>
      </c>
      <c r="W31" s="29">
        <v>32</v>
      </c>
      <c r="X31" s="29">
        <v>44</v>
      </c>
      <c r="Y31" s="30">
        <f>(表1[[#This Row],[能力素质]]*0.6+表1[[#This Row],[潜力评估]]*0.4)*2</f>
        <v>78.400000000000006</v>
      </c>
    </row>
    <row r="32" spans="1:25" x14ac:dyDescent="0.2">
      <c r="A32" s="11">
        <f t="shared" si="0"/>
        <v>30</v>
      </c>
      <c r="B32" s="12" t="s">
        <v>193</v>
      </c>
      <c r="C32" s="12" t="s">
        <v>83</v>
      </c>
      <c r="D32" s="13" t="s">
        <v>27</v>
      </c>
      <c r="E32" s="36" t="s">
        <v>194</v>
      </c>
      <c r="F32" s="15">
        <v>42898</v>
      </c>
      <c r="G32" s="16" t="s">
        <v>29</v>
      </c>
      <c r="H32" s="17">
        <f ca="1">IF(G32="","",IF(G32="离职",(DATEDIF(F32,#REF!,"y")*100+DATEDIF(F32,#REF!,"ym"))/100,(DATEDIF(F32,NOW(),"y")*100+DATEDIF(F32,NOW(),"ym"))/100))</f>
        <v>7</v>
      </c>
      <c r="I32" s="18">
        <f t="shared" ca="1" si="1"/>
        <v>30</v>
      </c>
      <c r="J32" s="19" t="str">
        <f>IF(表1[[#This Row],[证件号码]]="","",SUBSTITUTE(TEXT(--MID(表1[[#This Row],[证件号码]],7,8),"0000-00-00"),"-","/"))</f>
        <v>1994/11/08</v>
      </c>
      <c r="K32" s="20" t="s">
        <v>195</v>
      </c>
      <c r="L32" s="21"/>
      <c r="M32" s="20" t="s">
        <v>31</v>
      </c>
      <c r="N32" s="22" t="s">
        <v>31</v>
      </c>
      <c r="O32" s="23" t="s">
        <v>53</v>
      </c>
      <c r="P32" s="31"/>
      <c r="Q32" s="25" t="s">
        <v>34</v>
      </c>
      <c r="R32" s="26" t="s">
        <v>115</v>
      </c>
      <c r="S32" s="25" t="s">
        <v>178</v>
      </c>
      <c r="T32" s="27" t="s">
        <v>65</v>
      </c>
      <c r="U32" s="22">
        <v>9300</v>
      </c>
      <c r="V32" s="28">
        <v>97.054545454545462</v>
      </c>
      <c r="W32" s="29">
        <v>31</v>
      </c>
      <c r="X32" s="29">
        <v>46</v>
      </c>
      <c r="Y32" s="30">
        <f>(表1[[#This Row],[能力素质]]*0.6+表1[[#This Row],[潜力评估]]*0.4)*2</f>
        <v>80</v>
      </c>
    </row>
    <row r="33" spans="1:25" x14ac:dyDescent="0.2">
      <c r="A33" s="11">
        <f t="shared" si="0"/>
        <v>31</v>
      </c>
      <c r="B33" s="12" t="s">
        <v>196</v>
      </c>
      <c r="C33" s="12" t="s">
        <v>197</v>
      </c>
      <c r="D33" s="13" t="s">
        <v>27</v>
      </c>
      <c r="E33" s="36" t="s">
        <v>198</v>
      </c>
      <c r="F33" s="15">
        <v>42907</v>
      </c>
      <c r="G33" s="16" t="s">
        <v>29</v>
      </c>
      <c r="H33" s="17">
        <f ca="1">IF(G33="","",IF(G33="离职",(DATEDIF(F33,#REF!,"y")*100+DATEDIF(F33,#REF!,"ym"))/100,(DATEDIF(F33,NOW(),"y")*100+DATEDIF(F33,NOW(),"ym"))/100))</f>
        <v>7</v>
      </c>
      <c r="I33" s="18">
        <f t="shared" ca="1" si="1"/>
        <v>34</v>
      </c>
      <c r="J33" s="19" t="str">
        <f>IF(表1[[#This Row],[证件号码]]="","",SUBSTITUTE(TEXT(--MID(表1[[#This Row],[证件号码]],7,8),"0000-00-00"),"-","/"))</f>
        <v>1990/10/31</v>
      </c>
      <c r="K33" s="21" t="s">
        <v>199</v>
      </c>
      <c r="L33" s="21"/>
      <c r="M33" s="21" t="s">
        <v>60</v>
      </c>
      <c r="N33" s="22" t="s">
        <v>42</v>
      </c>
      <c r="O33" s="23" t="s">
        <v>53</v>
      </c>
      <c r="P33" s="31" t="s">
        <v>200</v>
      </c>
      <c r="Q33" s="25" t="s">
        <v>54</v>
      </c>
      <c r="R33" s="26" t="s">
        <v>87</v>
      </c>
      <c r="S33" s="25" t="s">
        <v>201</v>
      </c>
      <c r="T33" s="27" t="s">
        <v>37</v>
      </c>
      <c r="U33" s="22">
        <v>25000</v>
      </c>
      <c r="V33" s="28">
        <v>19.7</v>
      </c>
      <c r="W33" s="29">
        <v>36</v>
      </c>
      <c r="X33" s="29">
        <v>42</v>
      </c>
      <c r="Y33" s="30">
        <f>(表1[[#This Row],[能力素质]]*0.6+表1[[#This Row],[潜力评估]]*0.4)*2</f>
        <v>79.2</v>
      </c>
    </row>
    <row r="34" spans="1:25" x14ac:dyDescent="0.2">
      <c r="A34" s="11">
        <f t="shared" si="0"/>
        <v>32</v>
      </c>
      <c r="B34" s="12" t="s">
        <v>202</v>
      </c>
      <c r="C34" s="12" t="s">
        <v>26</v>
      </c>
      <c r="D34" s="13" t="s">
        <v>27</v>
      </c>
      <c r="E34" s="36" t="s">
        <v>203</v>
      </c>
      <c r="F34" s="15">
        <v>42968</v>
      </c>
      <c r="G34" s="16" t="s">
        <v>29</v>
      </c>
      <c r="H34" s="17">
        <f ca="1">IF(G34="","",IF(G34="离职",(DATEDIF(F34,#REF!,"y")*100+DATEDIF(F34,#REF!,"ym"))/100,(DATEDIF(F34,NOW(),"y")*100+DATEDIF(F34,NOW(),"ym"))/100))</f>
        <v>6.1</v>
      </c>
      <c r="I34" s="18">
        <f t="shared" ca="1" si="1"/>
        <v>35</v>
      </c>
      <c r="J34" s="19" t="str">
        <f>IF(表1[[#This Row],[证件号码]]="","",SUBSTITUTE(TEXT(--MID(表1[[#This Row],[证件号码]],7,8),"0000-00-00"),"-","/"))</f>
        <v>1989/08/14</v>
      </c>
      <c r="K34" s="20" t="s">
        <v>204</v>
      </c>
      <c r="L34" s="21"/>
      <c r="M34" s="20" t="s">
        <v>31</v>
      </c>
      <c r="N34" s="22" t="s">
        <v>31</v>
      </c>
      <c r="O34" s="23" t="s">
        <v>205</v>
      </c>
      <c r="P34" s="31"/>
      <c r="Q34" s="25" t="s">
        <v>44</v>
      </c>
      <c r="R34" s="26" t="s">
        <v>206</v>
      </c>
      <c r="S34" s="25" t="s">
        <v>81</v>
      </c>
      <c r="T34" s="27" t="s">
        <v>65</v>
      </c>
      <c r="U34" s="22">
        <v>15500</v>
      </c>
      <c r="V34" s="28">
        <v>120.80984541774015</v>
      </c>
      <c r="W34" s="29">
        <v>33</v>
      </c>
      <c r="X34" s="29">
        <v>48</v>
      </c>
      <c r="Y34" s="30">
        <f>(表1[[#This Row],[能力素质]]*0.6+表1[[#This Row],[潜力评估]]*0.4)*2</f>
        <v>84</v>
      </c>
    </row>
    <row r="35" spans="1:25" x14ac:dyDescent="0.2">
      <c r="A35" s="11">
        <f t="shared" si="0"/>
        <v>33</v>
      </c>
      <c r="B35" s="12" t="s">
        <v>207</v>
      </c>
      <c r="C35" s="12" t="s">
        <v>26</v>
      </c>
      <c r="D35" s="13" t="s">
        <v>27</v>
      </c>
      <c r="E35" s="36" t="s">
        <v>208</v>
      </c>
      <c r="F35" s="15">
        <v>43171</v>
      </c>
      <c r="G35" s="16" t="s">
        <v>29</v>
      </c>
      <c r="H35" s="17">
        <f ca="1">IF(G35="","",IF(G35="离职",(DATEDIF(F35,#REF!,"y")*100+DATEDIF(F35,#REF!,"ym"))/100,(DATEDIF(F35,NOW(),"y")*100+DATEDIF(F35,NOW(),"ym"))/100))</f>
        <v>6.03</v>
      </c>
      <c r="I35" s="18">
        <f t="shared" ca="1" si="1"/>
        <v>32</v>
      </c>
      <c r="J35" s="19" t="str">
        <f>IF(表1[[#This Row],[证件号码]]="","",SUBSTITUTE(TEXT(--MID(表1[[#This Row],[证件号码]],7,8),"0000-00-00"),"-","/"))</f>
        <v>1992/01/20</v>
      </c>
      <c r="K35" s="20" t="s">
        <v>209</v>
      </c>
      <c r="L35" s="21"/>
      <c r="M35" s="20" t="s">
        <v>31</v>
      </c>
      <c r="N35" s="22" t="s">
        <v>31</v>
      </c>
      <c r="O35" s="23" t="s">
        <v>143</v>
      </c>
      <c r="P35" s="31" t="s">
        <v>210</v>
      </c>
      <c r="Q35" s="25" t="s">
        <v>44</v>
      </c>
      <c r="R35" s="26" t="s">
        <v>45</v>
      </c>
      <c r="S35" s="25" t="s">
        <v>81</v>
      </c>
      <c r="T35" s="27" t="s">
        <v>65</v>
      </c>
      <c r="U35" s="22">
        <v>18000</v>
      </c>
      <c r="V35" s="28">
        <v>101.38825910931175</v>
      </c>
      <c r="W35" s="29">
        <v>36</v>
      </c>
      <c r="X35" s="29">
        <v>44</v>
      </c>
      <c r="Y35" s="30">
        <f>(表1[[#This Row],[能力素质]]*0.6+表1[[#This Row],[潜力评估]]*0.4)*2</f>
        <v>81.599999999999994</v>
      </c>
    </row>
    <row r="36" spans="1:25" ht="31.5" x14ac:dyDescent="0.2">
      <c r="A36" s="11">
        <f t="shared" si="0"/>
        <v>34</v>
      </c>
      <c r="B36" s="12" t="s">
        <v>211</v>
      </c>
      <c r="C36" s="12" t="s">
        <v>49</v>
      </c>
      <c r="D36" s="13" t="s">
        <v>27</v>
      </c>
      <c r="E36" s="36" t="s">
        <v>212</v>
      </c>
      <c r="F36" s="15">
        <v>43222</v>
      </c>
      <c r="G36" s="16" t="s">
        <v>29</v>
      </c>
      <c r="H36" s="17">
        <f ca="1">IF(G36="","",IF(G36="离职",(DATEDIF(F36,#REF!,"y")*100+DATEDIF(F36,#REF!,"ym"))/100,(DATEDIF(F36,NOW(),"y")*100+DATEDIF(F36,NOW(),"ym"))/100))</f>
        <v>6.02</v>
      </c>
      <c r="I36" s="18">
        <f t="shared" ca="1" si="1"/>
        <v>28</v>
      </c>
      <c r="J36" s="19" t="str">
        <f>IF(表1[[#This Row],[证件号码]]="","",SUBSTITUTE(TEXT(--MID(表1[[#This Row],[证件号码]],7,8),"0000-00-00"),"-","/"))</f>
        <v>1996/01/02</v>
      </c>
      <c r="K36" s="20" t="s">
        <v>213</v>
      </c>
      <c r="L36" s="21"/>
      <c r="M36" s="20" t="s">
        <v>42</v>
      </c>
      <c r="N36" s="22" t="s">
        <v>42</v>
      </c>
      <c r="O36" s="23" t="s">
        <v>214</v>
      </c>
      <c r="P36" s="24" t="s">
        <v>215</v>
      </c>
      <c r="Q36" s="25" t="s">
        <v>34</v>
      </c>
      <c r="R36" s="26" t="s">
        <v>93</v>
      </c>
      <c r="S36" s="25" t="s">
        <v>216</v>
      </c>
      <c r="T36" s="27" t="s">
        <v>37</v>
      </c>
      <c r="U36" s="22">
        <v>25000</v>
      </c>
      <c r="V36" s="28">
        <v>62.889915347810089</v>
      </c>
      <c r="W36" s="29">
        <v>35</v>
      </c>
      <c r="X36" s="29">
        <v>38</v>
      </c>
      <c r="Y36" s="30">
        <f>(表1[[#This Row],[能力素质]]*0.6+表1[[#This Row],[潜力评估]]*0.4)*2</f>
        <v>73.599999999999994</v>
      </c>
    </row>
    <row r="37" spans="1:25" x14ac:dyDescent="0.2">
      <c r="A37" s="11">
        <f t="shared" si="0"/>
        <v>35</v>
      </c>
      <c r="B37" s="12" t="s">
        <v>217</v>
      </c>
      <c r="C37" s="12" t="s">
        <v>26</v>
      </c>
      <c r="D37" s="13" t="s">
        <v>27</v>
      </c>
      <c r="E37" s="36" t="s">
        <v>218</v>
      </c>
      <c r="F37" s="15">
        <v>43231</v>
      </c>
      <c r="G37" s="16" t="s">
        <v>29</v>
      </c>
      <c r="H37" s="17">
        <f ca="1">IF(G37="","",IF(G37="离职",(DATEDIF(F37,#REF!,"y")*100+DATEDIF(F37,#REF!,"ym"))/100,(DATEDIF(F37,NOW(),"y")*100+DATEDIF(F37,NOW(),"ym"))/100))</f>
        <v>6.01</v>
      </c>
      <c r="I37" s="18">
        <f t="shared" ca="1" si="1"/>
        <v>33</v>
      </c>
      <c r="J37" s="19" t="str">
        <f>IF(表1[[#This Row],[证件号码]]="","",SUBSTITUTE(TEXT(--MID(表1[[#This Row],[证件号码]],7,8),"0000-00-00"),"-","/"))</f>
        <v>1991/12/06</v>
      </c>
      <c r="K37" s="20" t="s">
        <v>219</v>
      </c>
      <c r="L37" s="21"/>
      <c r="M37" s="21" t="s">
        <v>60</v>
      </c>
      <c r="N37" s="22" t="s">
        <v>31</v>
      </c>
      <c r="O37" s="23" t="s">
        <v>220</v>
      </c>
      <c r="P37" s="31"/>
      <c r="Q37" s="25" t="s">
        <v>34</v>
      </c>
      <c r="R37" s="26" t="s">
        <v>99</v>
      </c>
      <c r="S37" s="25" t="s">
        <v>221</v>
      </c>
      <c r="T37" s="27" t="s">
        <v>65</v>
      </c>
      <c r="U37" s="22">
        <v>8500</v>
      </c>
      <c r="V37" s="28">
        <v>84.323297754876705</v>
      </c>
      <c r="W37" s="29">
        <v>28</v>
      </c>
      <c r="X37" s="29">
        <v>45</v>
      </c>
      <c r="Y37" s="30">
        <f>(表1[[#This Row],[能力素质]]*0.6+表1[[#This Row],[潜力评估]]*0.4)*2</f>
        <v>76.400000000000006</v>
      </c>
    </row>
    <row r="38" spans="1:25" x14ac:dyDescent="0.2">
      <c r="A38" s="11">
        <f t="shared" si="0"/>
        <v>36</v>
      </c>
      <c r="B38" s="12" t="s">
        <v>222</v>
      </c>
      <c r="C38" s="12" t="s">
        <v>26</v>
      </c>
      <c r="D38" s="13" t="s">
        <v>39</v>
      </c>
      <c r="E38" s="36" t="s">
        <v>223</v>
      </c>
      <c r="F38" s="15">
        <v>43250</v>
      </c>
      <c r="G38" s="16" t="s">
        <v>29</v>
      </c>
      <c r="H38" s="17">
        <f ca="1">IF(G38="","",IF(G38="离职",(DATEDIF(F38,#REF!,"y")*100+DATEDIF(F38,#REF!,"ym"))/100,(DATEDIF(F38,NOW(),"y")*100+DATEDIF(F38,NOW(),"ym"))/100))</f>
        <v>6.01</v>
      </c>
      <c r="I38" s="18">
        <f t="shared" ca="1" si="1"/>
        <v>38</v>
      </c>
      <c r="J38" s="19" t="str">
        <f>IF(表1[[#This Row],[证件号码]]="","",SUBSTITUTE(TEXT(--MID(表1[[#This Row],[证件号码]],7,8),"0000-00-00"),"-","/"))</f>
        <v>1986/08/17</v>
      </c>
      <c r="K38" s="20" t="s">
        <v>224</v>
      </c>
      <c r="L38" s="21"/>
      <c r="M38" s="20" t="s">
        <v>42</v>
      </c>
      <c r="N38" s="22" t="s">
        <v>42</v>
      </c>
      <c r="O38" s="23" t="s">
        <v>133</v>
      </c>
      <c r="P38" s="31" t="s">
        <v>225</v>
      </c>
      <c r="Q38" s="25" t="s">
        <v>44</v>
      </c>
      <c r="R38" s="26" t="s">
        <v>45</v>
      </c>
      <c r="S38" s="25" t="s">
        <v>169</v>
      </c>
      <c r="T38" s="27" t="s">
        <v>65</v>
      </c>
      <c r="U38" s="22">
        <v>11000</v>
      </c>
      <c r="V38" s="28">
        <v>67.928965771071034</v>
      </c>
      <c r="W38" s="29">
        <v>32</v>
      </c>
      <c r="X38" s="29">
        <v>42</v>
      </c>
      <c r="Y38" s="30">
        <f>(表1[[#This Row],[能力素质]]*0.6+表1[[#This Row],[潜力评估]]*0.4)*2</f>
        <v>76</v>
      </c>
    </row>
    <row r="39" spans="1:25" x14ac:dyDescent="0.2">
      <c r="A39" s="11">
        <f t="shared" si="0"/>
        <v>37</v>
      </c>
      <c r="B39" s="12" t="s">
        <v>226</v>
      </c>
      <c r="C39" s="12" t="s">
        <v>26</v>
      </c>
      <c r="D39" s="13" t="s">
        <v>27</v>
      </c>
      <c r="E39" s="36" t="s">
        <v>227</v>
      </c>
      <c r="F39" s="15">
        <v>43276</v>
      </c>
      <c r="G39" s="16" t="s">
        <v>29</v>
      </c>
      <c r="H39" s="17">
        <f ca="1">IF(G39="","",IF(G39="离职",(DATEDIF(F39,#REF!,"y")*100+DATEDIF(F39,#REF!,"ym"))/100,(DATEDIF(F39,NOW(),"y")*100+DATEDIF(F39,NOW(),"ym"))/100))</f>
        <v>6</v>
      </c>
      <c r="I39" s="18">
        <f t="shared" ca="1" si="1"/>
        <v>30</v>
      </c>
      <c r="J39" s="19" t="str">
        <f>IF(表1[[#This Row],[证件号码]]="","",SUBSTITUTE(TEXT(--MID(表1[[#This Row],[证件号码]],7,8),"0000-00-00"),"-","/"))</f>
        <v>1994/05/23</v>
      </c>
      <c r="K39" s="21" t="s">
        <v>228</v>
      </c>
      <c r="L39" s="21"/>
      <c r="M39" s="21" t="s">
        <v>52</v>
      </c>
      <c r="N39" s="22" t="s">
        <v>31</v>
      </c>
      <c r="O39" s="23" t="s">
        <v>43</v>
      </c>
      <c r="P39" s="31"/>
      <c r="Q39" s="25" t="s">
        <v>54</v>
      </c>
      <c r="R39" s="26" t="s">
        <v>145</v>
      </c>
      <c r="S39" s="25" t="s">
        <v>229</v>
      </c>
      <c r="T39" s="27" t="s">
        <v>65</v>
      </c>
      <c r="U39" s="22">
        <v>6800</v>
      </c>
      <c r="V39" s="28">
        <v>81.118181818181824</v>
      </c>
      <c r="W39" s="29">
        <v>33</v>
      </c>
      <c r="X39" s="29">
        <v>46</v>
      </c>
      <c r="Y39" s="30">
        <f>(表1[[#This Row],[能力素质]]*0.6+表1[[#This Row],[潜力评估]]*0.4)*2</f>
        <v>81.599999999999994</v>
      </c>
    </row>
    <row r="40" spans="1:25" x14ac:dyDescent="0.2">
      <c r="A40" s="11">
        <f t="shared" si="0"/>
        <v>38</v>
      </c>
      <c r="B40" s="12" t="s">
        <v>230</v>
      </c>
      <c r="C40" s="12" t="s">
        <v>26</v>
      </c>
      <c r="D40" s="13" t="s">
        <v>27</v>
      </c>
      <c r="E40" s="36" t="s">
        <v>231</v>
      </c>
      <c r="F40" s="15">
        <v>43283</v>
      </c>
      <c r="G40" s="16" t="s">
        <v>29</v>
      </c>
      <c r="H40" s="17">
        <f ca="1">IF(G40="","",IF(G40="离职",(DATEDIF(F40,#REF!,"y")*100+DATEDIF(F40,#REF!,"ym"))/100,(DATEDIF(F40,NOW(),"y")*100+DATEDIF(F40,NOW(),"ym"))/100))</f>
        <v>6</v>
      </c>
      <c r="I40" s="18">
        <f t="shared" ca="1" si="1"/>
        <v>31</v>
      </c>
      <c r="J40" s="19" t="str">
        <f>IF(表1[[#This Row],[证件号码]]="","",SUBSTITUTE(TEXT(--MID(表1[[#This Row],[证件号码]],7,8),"0000-00-00"),"-","/"))</f>
        <v>1993/10/27</v>
      </c>
      <c r="K40" s="20" t="s">
        <v>232</v>
      </c>
      <c r="L40" s="21"/>
      <c r="M40" s="20" t="s">
        <v>31</v>
      </c>
      <c r="N40" s="22" t="s">
        <v>31</v>
      </c>
      <c r="O40" s="23" t="s">
        <v>233</v>
      </c>
      <c r="P40" s="31"/>
      <c r="Q40" s="25" t="s">
        <v>44</v>
      </c>
      <c r="R40" s="26" t="s">
        <v>45</v>
      </c>
      <c r="S40" s="25" t="s">
        <v>77</v>
      </c>
      <c r="T40" s="27" t="s">
        <v>65</v>
      </c>
      <c r="U40" s="22">
        <v>13500</v>
      </c>
      <c r="V40" s="28">
        <v>77.948693411851309</v>
      </c>
      <c r="W40" s="29">
        <v>29</v>
      </c>
      <c r="X40" s="29">
        <v>44</v>
      </c>
      <c r="Y40" s="30">
        <f>(表1[[#This Row],[能力素质]]*0.6+表1[[#This Row],[潜力评估]]*0.4)*2</f>
        <v>76</v>
      </c>
    </row>
    <row r="41" spans="1:25" ht="21" x14ac:dyDescent="0.2">
      <c r="A41" s="11">
        <f t="shared" si="0"/>
        <v>39</v>
      </c>
      <c r="B41" s="12" t="s">
        <v>234</v>
      </c>
      <c r="C41" s="12" t="s">
        <v>26</v>
      </c>
      <c r="D41" s="13" t="s">
        <v>27</v>
      </c>
      <c r="E41" s="36" t="s">
        <v>235</v>
      </c>
      <c r="F41" s="15">
        <v>43399</v>
      </c>
      <c r="G41" s="16" t="s">
        <v>29</v>
      </c>
      <c r="H41" s="17">
        <f ca="1">IF(G41="","",IF(G41="离职",(DATEDIF(F41,#REF!,"y")*100+DATEDIF(F41,#REF!,"ym"))/100,(DATEDIF(F41,NOW(),"y")*100+DATEDIF(F41,NOW(),"ym"))/100))</f>
        <v>5.08</v>
      </c>
      <c r="I41" s="18">
        <f t="shared" ca="1" si="1"/>
        <v>39</v>
      </c>
      <c r="J41" s="19" t="str">
        <f>IF(表1[[#This Row],[证件号码]]="","",SUBSTITUTE(TEXT(--MID(表1[[#This Row],[证件号码]],7,8),"0000-00-00"),"-","/"))</f>
        <v>1985/07/07</v>
      </c>
      <c r="K41" s="21" t="s">
        <v>236</v>
      </c>
      <c r="L41" s="21"/>
      <c r="M41" s="21" t="s">
        <v>52</v>
      </c>
      <c r="N41" s="22" t="s">
        <v>31</v>
      </c>
      <c r="O41" s="34" t="s">
        <v>237</v>
      </c>
      <c r="P41" s="31"/>
      <c r="Q41" s="25" t="s">
        <v>44</v>
      </c>
      <c r="R41" s="26" t="s">
        <v>122</v>
      </c>
      <c r="S41" s="25" t="s">
        <v>123</v>
      </c>
      <c r="T41" s="27" t="s">
        <v>65</v>
      </c>
      <c r="U41" s="22">
        <v>16500</v>
      </c>
      <c r="V41" s="28">
        <v>81.476904674273086</v>
      </c>
      <c r="W41" s="29">
        <v>33</v>
      </c>
      <c r="X41" s="29">
        <v>46</v>
      </c>
      <c r="Y41" s="30">
        <f>(表1[[#This Row],[能力素质]]*0.6+表1[[#This Row],[潜力评估]]*0.4)*2</f>
        <v>81.599999999999994</v>
      </c>
    </row>
    <row r="42" spans="1:25" x14ac:dyDescent="0.2">
      <c r="A42" s="11">
        <f t="shared" si="0"/>
        <v>40</v>
      </c>
      <c r="B42" s="12" t="s">
        <v>238</v>
      </c>
      <c r="C42" s="12" t="s">
        <v>26</v>
      </c>
      <c r="D42" s="13" t="s">
        <v>27</v>
      </c>
      <c r="E42" s="36" t="s">
        <v>239</v>
      </c>
      <c r="F42" s="15">
        <v>43528</v>
      </c>
      <c r="G42" s="16" t="s">
        <v>29</v>
      </c>
      <c r="H42" s="17">
        <f ca="1">IF(G42="","",IF(G42="离职",(DATEDIF(F42,#REF!,"y")*100+DATEDIF(F42,#REF!,"ym"))/100,(DATEDIF(F42,NOW(),"y")*100+DATEDIF(F42,NOW(),"ym"))/100))</f>
        <v>5.04</v>
      </c>
      <c r="I42" s="18">
        <f t="shared" ca="1" si="1"/>
        <v>31</v>
      </c>
      <c r="J42" s="19" t="str">
        <f>IF(表1[[#This Row],[证件号码]]="","",SUBSTITUTE(TEXT(--MID(表1[[#This Row],[证件号码]],7,8),"0000-00-00"),"-","/"))</f>
        <v>1993/05/04</v>
      </c>
      <c r="K42" s="20" t="s">
        <v>240</v>
      </c>
      <c r="L42" s="21"/>
      <c r="M42" s="20" t="s">
        <v>31</v>
      </c>
      <c r="N42" s="22" t="s">
        <v>31</v>
      </c>
      <c r="O42" s="23" t="s">
        <v>43</v>
      </c>
      <c r="P42" s="31"/>
      <c r="Q42" s="25" t="s">
        <v>44</v>
      </c>
      <c r="R42" s="26" t="s">
        <v>45</v>
      </c>
      <c r="S42" s="25" t="s">
        <v>81</v>
      </c>
      <c r="T42" s="27" t="s">
        <v>65</v>
      </c>
      <c r="U42" s="22">
        <v>12500</v>
      </c>
      <c r="V42" s="28">
        <v>114.8686970923813</v>
      </c>
      <c r="W42" s="29">
        <v>29</v>
      </c>
      <c r="X42" s="29">
        <v>42</v>
      </c>
      <c r="Y42" s="30">
        <f>(表1[[#This Row],[能力素质]]*0.6+表1[[#This Row],[潜力评估]]*0.4)*2</f>
        <v>73.599999999999994</v>
      </c>
    </row>
    <row r="43" spans="1:25" ht="42" x14ac:dyDescent="0.2">
      <c r="A43" s="11">
        <f t="shared" si="0"/>
        <v>41</v>
      </c>
      <c r="B43" s="12" t="s">
        <v>241</v>
      </c>
      <c r="C43" s="12" t="s">
        <v>49</v>
      </c>
      <c r="D43" s="13" t="s">
        <v>39</v>
      </c>
      <c r="E43" s="36" t="s">
        <v>242</v>
      </c>
      <c r="F43" s="15">
        <v>43530</v>
      </c>
      <c r="G43" s="16" t="s">
        <v>29</v>
      </c>
      <c r="H43" s="17">
        <f ca="1">IF(G43="","",IF(G43="离职",(DATEDIF(F43,#REF!,"y")*100+DATEDIF(F43,#REF!,"ym"))/100,(DATEDIF(F43,NOW(),"y")*100+DATEDIF(F43,NOW(),"ym"))/100))</f>
        <v>5.03</v>
      </c>
      <c r="I43" s="18">
        <f t="shared" ca="1" si="1"/>
        <v>45</v>
      </c>
      <c r="J43" s="19" t="str">
        <f>IF(表1[[#This Row],[证件号码]]="","",SUBSTITUTE(TEXT(--MID(表1[[#This Row],[证件号码]],7,8),"0000-00-00"),"-","/"))</f>
        <v>1979/05/01</v>
      </c>
      <c r="K43" s="21" t="s">
        <v>243</v>
      </c>
      <c r="L43" s="21"/>
      <c r="M43" s="21" t="s">
        <v>52</v>
      </c>
      <c r="N43" s="22" t="s">
        <v>31</v>
      </c>
      <c r="O43" s="23" t="s">
        <v>244</v>
      </c>
      <c r="P43" s="24" t="s">
        <v>245</v>
      </c>
      <c r="Q43" s="25" t="s">
        <v>62</v>
      </c>
      <c r="R43" s="26" t="s">
        <v>246</v>
      </c>
      <c r="S43" s="25" t="s">
        <v>247</v>
      </c>
      <c r="T43" s="27" t="s">
        <v>65</v>
      </c>
      <c r="U43" s="22">
        <v>16500</v>
      </c>
      <c r="V43" s="28">
        <v>81.927272727272722</v>
      </c>
      <c r="W43" s="29">
        <v>33</v>
      </c>
      <c r="X43" s="29">
        <v>42</v>
      </c>
      <c r="Y43" s="30">
        <f>(表1[[#This Row],[能力素质]]*0.6+表1[[#This Row],[潜力评估]]*0.4)*2</f>
        <v>76.8</v>
      </c>
    </row>
    <row r="44" spans="1:25" x14ac:dyDescent="0.2">
      <c r="A44" s="11">
        <f t="shared" si="0"/>
        <v>42</v>
      </c>
      <c r="B44" s="12" t="s">
        <v>248</v>
      </c>
      <c r="C44" s="12" t="s">
        <v>26</v>
      </c>
      <c r="D44" s="13" t="s">
        <v>39</v>
      </c>
      <c r="E44" s="36" t="s">
        <v>249</v>
      </c>
      <c r="F44" s="15">
        <v>43537</v>
      </c>
      <c r="G44" s="16" t="s">
        <v>29</v>
      </c>
      <c r="H44" s="17">
        <f ca="1">IF(G44="","",IF(G44="离职",(DATEDIF(F44,#REF!,"y")*100+DATEDIF(F44,#REF!,"ym"))/100,(DATEDIF(F44,NOW(),"y")*100+DATEDIF(F44,NOW(),"ym"))/100))</f>
        <v>5.03</v>
      </c>
      <c r="I44" s="18">
        <f t="shared" ca="1" si="1"/>
        <v>31</v>
      </c>
      <c r="J44" s="19" t="str">
        <f>IF(表1[[#This Row],[证件号码]]="","",SUBSTITUTE(TEXT(--MID(表1[[#This Row],[证件号码]],7,8),"0000-00-00"),"-","/"))</f>
        <v>1993/02/01</v>
      </c>
      <c r="K44" s="21" t="s">
        <v>250</v>
      </c>
      <c r="L44" s="21"/>
      <c r="M44" s="21" t="s">
        <v>52</v>
      </c>
      <c r="N44" s="22" t="s">
        <v>31</v>
      </c>
      <c r="O44" s="23" t="s">
        <v>76</v>
      </c>
      <c r="P44" s="31" t="s">
        <v>251</v>
      </c>
      <c r="Q44" s="25" t="s">
        <v>62</v>
      </c>
      <c r="R44" s="26" t="s">
        <v>63</v>
      </c>
      <c r="S44" s="25" t="s">
        <v>252</v>
      </c>
      <c r="T44" s="27" t="s">
        <v>65</v>
      </c>
      <c r="U44" s="22">
        <v>8000</v>
      </c>
      <c r="V44" s="28">
        <v>53.781818181818181</v>
      </c>
      <c r="W44" s="29">
        <v>30</v>
      </c>
      <c r="X44" s="29">
        <v>44</v>
      </c>
      <c r="Y44" s="30">
        <f>(表1[[#This Row],[能力素质]]*0.6+表1[[#This Row],[潜力评估]]*0.4)*2</f>
        <v>76.8</v>
      </c>
    </row>
    <row r="45" spans="1:25" x14ac:dyDescent="0.2">
      <c r="A45" s="11">
        <f t="shared" si="0"/>
        <v>43</v>
      </c>
      <c r="B45" s="12" t="s">
        <v>253</v>
      </c>
      <c r="C45" s="12" t="s">
        <v>26</v>
      </c>
      <c r="D45" s="13" t="s">
        <v>39</v>
      </c>
      <c r="E45" s="36" t="s">
        <v>254</v>
      </c>
      <c r="F45" s="15">
        <v>43543</v>
      </c>
      <c r="G45" s="16" t="s">
        <v>29</v>
      </c>
      <c r="H45" s="17">
        <f ca="1">IF(G45="","",IF(G45="离职",(DATEDIF(F45,#REF!,"y")*100+DATEDIF(F45,#REF!,"ym"))/100,(DATEDIF(F45,NOW(),"y")*100+DATEDIF(F45,NOW(),"ym"))/100))</f>
        <v>5.03</v>
      </c>
      <c r="I45" s="18">
        <f t="shared" ca="1" si="1"/>
        <v>31</v>
      </c>
      <c r="J45" s="19" t="str">
        <f>IF(表1[[#This Row],[证件号码]]="","",SUBSTITUTE(TEXT(--MID(表1[[#This Row],[证件号码]],7,8),"0000-00-00"),"-","/"))</f>
        <v>1993/11/23</v>
      </c>
      <c r="K45" s="21" t="s">
        <v>255</v>
      </c>
      <c r="L45" s="21"/>
      <c r="M45" s="21" t="s">
        <v>60</v>
      </c>
      <c r="N45" s="22" t="s">
        <v>42</v>
      </c>
      <c r="O45" s="23" t="s">
        <v>256</v>
      </c>
      <c r="P45" s="31"/>
      <c r="Q45" s="25" t="s">
        <v>54</v>
      </c>
      <c r="R45" s="26" t="s">
        <v>145</v>
      </c>
      <c r="S45" s="25" t="s">
        <v>146</v>
      </c>
      <c r="T45" s="27" t="s">
        <v>65</v>
      </c>
      <c r="U45" s="22">
        <v>6500</v>
      </c>
      <c r="V45" s="28">
        <v>85.981818181818184</v>
      </c>
      <c r="W45" s="29">
        <v>26</v>
      </c>
      <c r="X45" s="29">
        <v>42</v>
      </c>
      <c r="Y45" s="30">
        <f>(表1[[#This Row],[能力素质]]*0.6+表1[[#This Row],[潜力评估]]*0.4)*2</f>
        <v>71.2</v>
      </c>
    </row>
    <row r="46" spans="1:25" x14ac:dyDescent="0.2">
      <c r="A46" s="11">
        <f t="shared" si="0"/>
        <v>44</v>
      </c>
      <c r="B46" s="12" t="s">
        <v>257</v>
      </c>
      <c r="C46" s="12" t="s">
        <v>26</v>
      </c>
      <c r="D46" s="13" t="s">
        <v>39</v>
      </c>
      <c r="E46" s="36" t="s">
        <v>258</v>
      </c>
      <c r="F46" s="15">
        <v>43546</v>
      </c>
      <c r="G46" s="16" t="s">
        <v>29</v>
      </c>
      <c r="H46" s="17">
        <f ca="1">IF(G46="","",IF(G46="离职",(DATEDIF(F46,#REF!,"y")*100+DATEDIF(F46,#REF!,"ym"))/100,(DATEDIF(F46,NOW(),"y")*100+DATEDIF(F46,NOW(),"ym"))/100))</f>
        <v>5.03</v>
      </c>
      <c r="I46" s="18">
        <f t="shared" ca="1" si="1"/>
        <v>25</v>
      </c>
      <c r="J46" s="19" t="str">
        <f>IF(表1[[#This Row],[证件号码]]="","",SUBSTITUTE(TEXT(--MID(表1[[#This Row],[证件号码]],7,8),"0000-00-00"),"-","/"))</f>
        <v>1999/08/10</v>
      </c>
      <c r="K46" s="21" t="s">
        <v>259</v>
      </c>
      <c r="L46" s="21"/>
      <c r="M46" s="21" t="s">
        <v>60</v>
      </c>
      <c r="N46" s="22" t="s">
        <v>42</v>
      </c>
      <c r="O46" s="23" t="s">
        <v>260</v>
      </c>
      <c r="P46" s="31"/>
      <c r="Q46" s="25" t="s">
        <v>54</v>
      </c>
      <c r="R46" s="26" t="s">
        <v>145</v>
      </c>
      <c r="S46" s="25" t="s">
        <v>229</v>
      </c>
      <c r="T46" s="27" t="s">
        <v>65</v>
      </c>
      <c r="U46" s="22">
        <v>6500</v>
      </c>
      <c r="V46" s="28">
        <v>92.876363636363635</v>
      </c>
      <c r="W46" s="29">
        <v>24</v>
      </c>
      <c r="X46" s="29">
        <v>42</v>
      </c>
      <c r="Y46" s="30">
        <f>(表1[[#This Row],[能力素质]]*0.6+表1[[#This Row],[潜力评估]]*0.4)*2</f>
        <v>69.599999999999994</v>
      </c>
    </row>
    <row r="47" spans="1:25" x14ac:dyDescent="0.2">
      <c r="A47" s="11">
        <f t="shared" si="0"/>
        <v>45</v>
      </c>
      <c r="B47" s="12" t="s">
        <v>261</v>
      </c>
      <c r="C47" s="12" t="s">
        <v>26</v>
      </c>
      <c r="D47" s="13" t="s">
        <v>39</v>
      </c>
      <c r="E47" s="36" t="s">
        <v>262</v>
      </c>
      <c r="F47" s="15">
        <v>43546</v>
      </c>
      <c r="G47" s="16" t="s">
        <v>29</v>
      </c>
      <c r="H47" s="17">
        <f ca="1">IF(G47="","",IF(G47="离职",(DATEDIF(F47,#REF!,"y")*100+DATEDIF(F47,#REF!,"ym"))/100,(DATEDIF(F47,NOW(),"y")*100+DATEDIF(F47,NOW(),"ym"))/100))</f>
        <v>5.03</v>
      </c>
      <c r="I47" s="18">
        <f t="shared" ca="1" si="1"/>
        <v>30</v>
      </c>
      <c r="J47" s="19" t="str">
        <f>IF(表1[[#This Row],[证件号码]]="","",SUBSTITUTE(TEXT(--MID(表1[[#This Row],[证件号码]],7,8),"0000-00-00"),"-","/"))</f>
        <v>1994/09/13</v>
      </c>
      <c r="K47" s="21" t="s">
        <v>263</v>
      </c>
      <c r="L47" s="21"/>
      <c r="M47" s="21" t="s">
        <v>264</v>
      </c>
      <c r="N47" s="22" t="s">
        <v>265</v>
      </c>
      <c r="O47" s="34">
        <v>0</v>
      </c>
      <c r="P47" s="31"/>
      <c r="Q47" s="25" t="s">
        <v>54</v>
      </c>
      <c r="R47" s="26" t="s">
        <v>145</v>
      </c>
      <c r="S47" s="25" t="s">
        <v>146</v>
      </c>
      <c r="T47" s="27" t="s">
        <v>65</v>
      </c>
      <c r="U47" s="22">
        <v>5000</v>
      </c>
      <c r="V47" s="28">
        <v>80.063636363636377</v>
      </c>
      <c r="W47" s="29">
        <v>19</v>
      </c>
      <c r="X47" s="29">
        <v>36</v>
      </c>
      <c r="Y47" s="30">
        <f>(表1[[#This Row],[能力素质]]*0.6+表1[[#This Row],[潜力评估]]*0.4)*2</f>
        <v>58.4</v>
      </c>
    </row>
    <row r="48" spans="1:25" x14ac:dyDescent="0.2">
      <c r="A48" s="11">
        <f t="shared" si="0"/>
        <v>46</v>
      </c>
      <c r="B48" s="12" t="s">
        <v>266</v>
      </c>
      <c r="C48" s="12" t="s">
        <v>26</v>
      </c>
      <c r="D48" s="13" t="s">
        <v>27</v>
      </c>
      <c r="E48" s="36" t="s">
        <v>267</v>
      </c>
      <c r="F48" s="15">
        <v>43551</v>
      </c>
      <c r="G48" s="16" t="s">
        <v>29</v>
      </c>
      <c r="H48" s="17">
        <f ca="1">IF(G48="","",IF(G48="离职",(DATEDIF(F48,#REF!,"y")*100+DATEDIF(F48,#REF!,"ym"))/100,(DATEDIF(F48,NOW(),"y")*100+DATEDIF(F48,NOW(),"ym"))/100))</f>
        <v>5.03</v>
      </c>
      <c r="I48" s="18">
        <f t="shared" ca="1" si="1"/>
        <v>25</v>
      </c>
      <c r="J48" s="19" t="str">
        <f>IF(表1[[#This Row],[证件号码]]="","",SUBSTITUTE(TEXT(--MID(表1[[#This Row],[证件号码]],7,8),"0000-00-00"),"-","/"))</f>
        <v>1999/04/17</v>
      </c>
      <c r="K48" s="20" t="s">
        <v>268</v>
      </c>
      <c r="L48" s="21"/>
      <c r="M48" s="20" t="s">
        <v>42</v>
      </c>
      <c r="N48" s="22" t="s">
        <v>42</v>
      </c>
      <c r="O48" s="23" t="s">
        <v>133</v>
      </c>
      <c r="P48" s="31" t="s">
        <v>269</v>
      </c>
      <c r="Q48" s="25" t="s">
        <v>34</v>
      </c>
      <c r="R48" s="26" t="s">
        <v>115</v>
      </c>
      <c r="S48" s="25" t="s">
        <v>116</v>
      </c>
      <c r="T48" s="27" t="s">
        <v>65</v>
      </c>
      <c r="U48" s="22">
        <v>8000</v>
      </c>
      <c r="V48" s="28">
        <v>75.344350386455659</v>
      </c>
      <c r="W48" s="29">
        <v>28</v>
      </c>
      <c r="X48" s="29">
        <v>41</v>
      </c>
      <c r="Y48" s="30">
        <f>(表1[[#This Row],[能力素质]]*0.6+表1[[#This Row],[潜力评估]]*0.4)*2</f>
        <v>71.599999999999994</v>
      </c>
    </row>
    <row r="49" spans="1:25" x14ac:dyDescent="0.2">
      <c r="A49" s="11">
        <f t="shared" si="0"/>
        <v>47</v>
      </c>
      <c r="B49" s="12" t="s">
        <v>270</v>
      </c>
      <c r="C49" s="12" t="s">
        <v>26</v>
      </c>
      <c r="D49" s="13" t="s">
        <v>27</v>
      </c>
      <c r="E49" s="36" t="s">
        <v>271</v>
      </c>
      <c r="F49" s="15">
        <v>43556</v>
      </c>
      <c r="G49" s="16" t="s">
        <v>29</v>
      </c>
      <c r="H49" s="17">
        <f ca="1">IF(G49="","",IF(G49="离职",(DATEDIF(F49,#REF!,"y")*100+DATEDIF(F49,#REF!,"ym"))/100,(DATEDIF(F49,NOW(),"y")*100+DATEDIF(F49,NOW(),"ym"))/100))</f>
        <v>5.03</v>
      </c>
      <c r="I49" s="18">
        <f t="shared" ca="1" si="1"/>
        <v>37</v>
      </c>
      <c r="J49" s="19" t="str">
        <f>IF(表1[[#This Row],[证件号码]]="","",SUBSTITUTE(TEXT(--MID(表1[[#This Row],[证件号码]],7,8),"0000-00-00"),"-","/"))</f>
        <v>1987/06/24</v>
      </c>
      <c r="K49" s="20" t="s">
        <v>272</v>
      </c>
      <c r="L49" s="21"/>
      <c r="M49" s="20" t="s">
        <v>42</v>
      </c>
      <c r="N49" s="29" t="s">
        <v>31</v>
      </c>
      <c r="O49" s="23" t="s">
        <v>273</v>
      </c>
      <c r="P49" s="31"/>
      <c r="Q49" s="25" t="s">
        <v>44</v>
      </c>
      <c r="R49" s="26" t="s">
        <v>45</v>
      </c>
      <c r="S49" s="25" t="s">
        <v>169</v>
      </c>
      <c r="T49" s="27" t="s">
        <v>65</v>
      </c>
      <c r="U49" s="22">
        <v>11000</v>
      </c>
      <c r="V49" s="28">
        <v>96.063581155686421</v>
      </c>
      <c r="W49" s="29">
        <v>33</v>
      </c>
      <c r="X49" s="29">
        <v>40</v>
      </c>
      <c r="Y49" s="30">
        <f>(表1[[#This Row],[能力素质]]*0.6+表1[[#This Row],[潜力评估]]*0.4)*2</f>
        <v>74.400000000000006</v>
      </c>
    </row>
    <row r="50" spans="1:25" x14ac:dyDescent="0.2">
      <c r="A50" s="11">
        <f t="shared" si="0"/>
        <v>48</v>
      </c>
      <c r="B50" s="12" t="s">
        <v>274</v>
      </c>
      <c r="C50" s="12" t="s">
        <v>49</v>
      </c>
      <c r="D50" s="13" t="s">
        <v>27</v>
      </c>
      <c r="E50" s="36" t="s">
        <v>275</v>
      </c>
      <c r="F50" s="15">
        <v>43590</v>
      </c>
      <c r="G50" s="16" t="s">
        <v>29</v>
      </c>
      <c r="H50" s="17">
        <f ca="1">IF(G50="","",IF(G50="离职",(DATEDIF(F50,#REF!,"y")*100+DATEDIF(F50,#REF!,"ym"))/100,(DATEDIF(F50,NOW(),"y")*100+DATEDIF(F50,NOW(),"ym"))/100))</f>
        <v>5.0199999999999996</v>
      </c>
      <c r="I50" s="18">
        <f t="shared" ca="1" si="1"/>
        <v>38</v>
      </c>
      <c r="J50" s="19" t="str">
        <f>IF(表1[[#This Row],[证件号码]]="","",SUBSTITUTE(TEXT(--MID(表1[[#This Row],[证件号码]],7,8),"0000-00-00"),"-","/"))</f>
        <v>1986/08/01</v>
      </c>
      <c r="K50" s="21" t="s">
        <v>276</v>
      </c>
      <c r="L50" s="21"/>
      <c r="M50" s="21" t="s">
        <v>60</v>
      </c>
      <c r="N50" s="22" t="s">
        <v>31</v>
      </c>
      <c r="O50" s="23" t="s">
        <v>165</v>
      </c>
      <c r="P50" s="31"/>
      <c r="Q50" s="25" t="s">
        <v>54</v>
      </c>
      <c r="R50" s="26" t="s">
        <v>55</v>
      </c>
      <c r="S50" s="25" t="s">
        <v>72</v>
      </c>
      <c r="T50" s="27" t="s">
        <v>65</v>
      </c>
      <c r="U50" s="22">
        <v>22000</v>
      </c>
      <c r="V50" s="28">
        <v>96.190909090909088</v>
      </c>
      <c r="W50" s="29">
        <v>30</v>
      </c>
      <c r="X50" s="29">
        <v>38</v>
      </c>
      <c r="Y50" s="30">
        <f>(表1[[#This Row],[能力素质]]*0.6+表1[[#This Row],[潜力评估]]*0.4)*2</f>
        <v>69.599999999999994</v>
      </c>
    </row>
    <row r="51" spans="1:25" x14ac:dyDescent="0.2">
      <c r="A51" s="11">
        <f t="shared" si="0"/>
        <v>49</v>
      </c>
      <c r="B51" s="12" t="s">
        <v>277</v>
      </c>
      <c r="C51" s="12" t="s">
        <v>26</v>
      </c>
      <c r="D51" s="13" t="s">
        <v>27</v>
      </c>
      <c r="E51" s="36" t="s">
        <v>278</v>
      </c>
      <c r="F51" s="15">
        <v>43605</v>
      </c>
      <c r="G51" s="16" t="s">
        <v>29</v>
      </c>
      <c r="H51" s="17">
        <f ca="1">IF(G51="","",IF(G51="离职",(DATEDIF(F51,#REF!,"y")*100+DATEDIF(F51,#REF!,"ym"))/100,(DATEDIF(F51,NOW(),"y")*100+DATEDIF(F51,NOW(),"ym"))/100))</f>
        <v>5.01</v>
      </c>
      <c r="I51" s="18">
        <f t="shared" ca="1" si="1"/>
        <v>36</v>
      </c>
      <c r="J51" s="19" t="str">
        <f>IF(表1[[#This Row],[证件号码]]="","",SUBSTITUTE(TEXT(--MID(表1[[#This Row],[证件号码]],7,8),"0000-00-00"),"-","/"))</f>
        <v>1988/09/07</v>
      </c>
      <c r="K51" s="20" t="s">
        <v>279</v>
      </c>
      <c r="L51" s="21"/>
      <c r="M51" s="20" t="s">
        <v>31</v>
      </c>
      <c r="N51" s="22" t="s">
        <v>31</v>
      </c>
      <c r="O51" s="23" t="s">
        <v>43</v>
      </c>
      <c r="P51" s="31"/>
      <c r="Q51" s="25" t="s">
        <v>44</v>
      </c>
      <c r="R51" s="26" t="s">
        <v>45</v>
      </c>
      <c r="S51" s="25" t="s">
        <v>77</v>
      </c>
      <c r="T51" s="27" t="s">
        <v>65</v>
      </c>
      <c r="U51" s="22">
        <v>12000</v>
      </c>
      <c r="V51" s="28">
        <v>89.071921236658085</v>
      </c>
      <c r="W51" s="29">
        <v>29</v>
      </c>
      <c r="X51" s="29">
        <v>46</v>
      </c>
      <c r="Y51" s="30">
        <f>(表1[[#This Row],[能力素质]]*0.6+表1[[#This Row],[潜力评估]]*0.4)*2</f>
        <v>78.400000000000006</v>
      </c>
    </row>
    <row r="52" spans="1:25" x14ac:dyDescent="0.2">
      <c r="A52" s="11">
        <f t="shared" si="0"/>
        <v>50</v>
      </c>
      <c r="B52" s="12" t="s">
        <v>280</v>
      </c>
      <c r="C52" s="12" t="s">
        <v>26</v>
      </c>
      <c r="D52" s="13" t="s">
        <v>27</v>
      </c>
      <c r="E52" s="36" t="s">
        <v>281</v>
      </c>
      <c r="F52" s="15">
        <v>43615</v>
      </c>
      <c r="G52" s="16" t="s">
        <v>29</v>
      </c>
      <c r="H52" s="17">
        <f ca="1">IF(G52="","",IF(G52="离职",(DATEDIF(F52,#REF!,"y")*100+DATEDIF(F52,#REF!,"ym"))/100,(DATEDIF(F52,NOW(),"y")*100+DATEDIF(F52,NOW(),"ym"))/100))</f>
        <v>5.01</v>
      </c>
      <c r="I52" s="18">
        <f t="shared" ca="1" si="1"/>
        <v>27</v>
      </c>
      <c r="J52" s="19" t="str">
        <f>IF(表1[[#This Row],[证件号码]]="","",SUBSTITUTE(TEXT(--MID(表1[[#This Row],[证件号码]],7,8),"0000-00-00"),"-","/"))</f>
        <v>1997/07/12</v>
      </c>
      <c r="K52" s="20" t="s">
        <v>282</v>
      </c>
      <c r="L52" s="21"/>
      <c r="M52" s="20" t="s">
        <v>42</v>
      </c>
      <c r="N52" s="22" t="s">
        <v>42</v>
      </c>
      <c r="O52" s="23" t="s">
        <v>98</v>
      </c>
      <c r="P52" s="31"/>
      <c r="Q52" s="25" t="s">
        <v>44</v>
      </c>
      <c r="R52" s="26" t="s">
        <v>45</v>
      </c>
      <c r="S52" s="25" t="s">
        <v>81</v>
      </c>
      <c r="T52" s="27" t="s">
        <v>65</v>
      </c>
      <c r="U52" s="22">
        <v>11000</v>
      </c>
      <c r="V52" s="28">
        <v>105.91810820758189</v>
      </c>
      <c r="W52" s="29">
        <v>31</v>
      </c>
      <c r="X52" s="29">
        <v>38</v>
      </c>
      <c r="Y52" s="30">
        <f>(表1[[#This Row],[能力素质]]*0.6+表1[[#This Row],[潜力评估]]*0.4)*2</f>
        <v>70.400000000000006</v>
      </c>
    </row>
    <row r="53" spans="1:25" x14ac:dyDescent="0.2">
      <c r="A53" s="11">
        <f t="shared" si="0"/>
        <v>51</v>
      </c>
      <c r="B53" s="12" t="s">
        <v>283</v>
      </c>
      <c r="C53" s="12" t="s">
        <v>26</v>
      </c>
      <c r="D53" s="13" t="s">
        <v>27</v>
      </c>
      <c r="E53" s="36" t="s">
        <v>284</v>
      </c>
      <c r="F53" s="15">
        <v>43619</v>
      </c>
      <c r="G53" s="16" t="s">
        <v>29</v>
      </c>
      <c r="H53" s="17">
        <f ca="1">IF(G53="","",IF(G53="离职",(DATEDIF(F53,#REF!,"y")*100+DATEDIF(F53,#REF!,"ym"))/100,(DATEDIF(F53,NOW(),"y")*100+DATEDIF(F53,NOW(),"ym"))/100))</f>
        <v>5.01</v>
      </c>
      <c r="I53" s="18">
        <f t="shared" ca="1" si="1"/>
        <v>31</v>
      </c>
      <c r="J53" s="19" t="str">
        <f>IF(表1[[#This Row],[证件号码]]="","",SUBSTITUTE(TEXT(--MID(表1[[#This Row],[证件号码]],7,8),"0000-00-00"),"-","/"))</f>
        <v>1993/08/17</v>
      </c>
      <c r="K53" s="20" t="s">
        <v>285</v>
      </c>
      <c r="L53" s="21"/>
      <c r="M53" s="20" t="s">
        <v>31</v>
      </c>
      <c r="N53" s="22" t="s">
        <v>31</v>
      </c>
      <c r="O53" s="23" t="s">
        <v>286</v>
      </c>
      <c r="P53" s="31"/>
      <c r="Q53" s="25" t="s">
        <v>34</v>
      </c>
      <c r="R53" s="26" t="s">
        <v>115</v>
      </c>
      <c r="S53" s="25" t="s">
        <v>116</v>
      </c>
      <c r="T53" s="27" t="s">
        <v>65</v>
      </c>
      <c r="U53" s="22">
        <v>8300</v>
      </c>
      <c r="V53" s="28">
        <v>75.858391608391599</v>
      </c>
      <c r="W53" s="29">
        <v>31</v>
      </c>
      <c r="X53" s="29">
        <v>42</v>
      </c>
      <c r="Y53" s="30">
        <f>(表1[[#This Row],[能力素质]]*0.6+表1[[#This Row],[潜力评估]]*0.4)*2</f>
        <v>75.2</v>
      </c>
    </row>
    <row r="54" spans="1:25" ht="21" x14ac:dyDescent="0.2">
      <c r="A54" s="11">
        <f t="shared" si="0"/>
        <v>52</v>
      </c>
      <c r="B54" s="12" t="s">
        <v>287</v>
      </c>
      <c r="C54" s="12" t="s">
        <v>26</v>
      </c>
      <c r="D54" s="13" t="s">
        <v>39</v>
      </c>
      <c r="E54" s="36" t="s">
        <v>288</v>
      </c>
      <c r="F54" s="15">
        <v>43678</v>
      </c>
      <c r="G54" s="16" t="s">
        <v>29</v>
      </c>
      <c r="H54" s="17">
        <f ca="1">IF(G54="","",IF(G54="离职",(DATEDIF(F54,#REF!,"y")*100+DATEDIF(F54,#REF!,"ym"))/100,(DATEDIF(F54,NOW(),"y")*100+DATEDIF(F54,NOW(),"ym"))/100))</f>
        <v>4.1100000000000003</v>
      </c>
      <c r="I54" s="18">
        <f t="shared" ca="1" si="1"/>
        <v>38</v>
      </c>
      <c r="J54" s="19" t="str">
        <f>IF(表1[[#This Row],[证件号码]]="","",SUBSTITUTE(TEXT(--MID(表1[[#This Row],[证件号码]],7,8),"0000-00-00"),"-","/"))</f>
        <v>1986/02/13</v>
      </c>
      <c r="K54" s="21" t="s">
        <v>289</v>
      </c>
      <c r="L54" s="21"/>
      <c r="M54" s="21" t="s">
        <v>52</v>
      </c>
      <c r="N54" s="22" t="s">
        <v>31</v>
      </c>
      <c r="O54" s="23" t="s">
        <v>290</v>
      </c>
      <c r="P54" s="24" t="s">
        <v>291</v>
      </c>
      <c r="Q54" s="25" t="s">
        <v>44</v>
      </c>
      <c r="R54" s="26" t="s">
        <v>122</v>
      </c>
      <c r="S54" s="25" t="s">
        <v>292</v>
      </c>
      <c r="T54" s="27" t="s">
        <v>65</v>
      </c>
      <c r="U54" s="22">
        <v>10500</v>
      </c>
      <c r="V54" s="28">
        <v>84.49227088700772</v>
      </c>
      <c r="W54" s="29">
        <v>24</v>
      </c>
      <c r="X54" s="29">
        <v>38</v>
      </c>
      <c r="Y54" s="30">
        <f>(表1[[#This Row],[能力素质]]*0.6+表1[[#This Row],[潜力评估]]*0.4)*2</f>
        <v>64.800000000000011</v>
      </c>
    </row>
    <row r="55" spans="1:25" x14ac:dyDescent="0.2">
      <c r="A55" s="11">
        <f t="shared" si="0"/>
        <v>53</v>
      </c>
      <c r="B55" s="12" t="s">
        <v>293</v>
      </c>
      <c r="C55" s="12" t="s">
        <v>26</v>
      </c>
      <c r="D55" s="13" t="s">
        <v>27</v>
      </c>
      <c r="E55" s="36" t="s">
        <v>294</v>
      </c>
      <c r="F55" s="15">
        <v>43684</v>
      </c>
      <c r="G55" s="16" t="s">
        <v>29</v>
      </c>
      <c r="H55" s="17">
        <f ca="1">IF(G55="","",IF(G55="离职",(DATEDIF(F55,#REF!,"y")*100+DATEDIF(F55,#REF!,"ym"))/100,(DATEDIF(F55,NOW(),"y")*100+DATEDIF(F55,NOW(),"ym"))/100))</f>
        <v>4.0999999999999996</v>
      </c>
      <c r="I55" s="18">
        <f t="shared" ca="1" si="1"/>
        <v>38</v>
      </c>
      <c r="J55" s="19" t="str">
        <f>IF(表1[[#This Row],[证件号码]]="","",SUBSTITUTE(TEXT(--MID(表1[[#This Row],[证件号码]],7,8),"0000-00-00"),"-","/"))</f>
        <v>1986/03/09</v>
      </c>
      <c r="K55" s="20" t="s">
        <v>295</v>
      </c>
      <c r="L55" s="21"/>
      <c r="M55" s="20" t="s">
        <v>42</v>
      </c>
      <c r="N55" s="22" t="s">
        <v>42</v>
      </c>
      <c r="O55" s="23" t="s">
        <v>160</v>
      </c>
      <c r="P55" s="31"/>
      <c r="Q55" s="25" t="s">
        <v>44</v>
      </c>
      <c r="R55" s="26" t="s">
        <v>45</v>
      </c>
      <c r="S55" s="25" t="s">
        <v>77</v>
      </c>
      <c r="T55" s="27" t="s">
        <v>65</v>
      </c>
      <c r="U55" s="22">
        <v>14000</v>
      </c>
      <c r="V55" s="28">
        <v>97.829131394920864</v>
      </c>
      <c r="W55" s="29">
        <v>28</v>
      </c>
      <c r="X55" s="29">
        <v>44</v>
      </c>
      <c r="Y55" s="30">
        <f>(表1[[#This Row],[能力素质]]*0.6+表1[[#This Row],[潜力评估]]*0.4)*2</f>
        <v>75.2</v>
      </c>
    </row>
    <row r="56" spans="1:25" x14ac:dyDescent="0.2">
      <c r="A56" s="11">
        <f t="shared" si="0"/>
        <v>54</v>
      </c>
      <c r="B56" s="12" t="s">
        <v>296</v>
      </c>
      <c r="C56" s="12" t="s">
        <v>26</v>
      </c>
      <c r="D56" s="13" t="s">
        <v>39</v>
      </c>
      <c r="E56" s="36" t="s">
        <v>297</v>
      </c>
      <c r="F56" s="15">
        <v>43710</v>
      </c>
      <c r="G56" s="16" t="s">
        <v>29</v>
      </c>
      <c r="H56" s="17">
        <f ca="1">IF(G56="","",IF(G56="离职",(DATEDIF(F56,#REF!,"y")*100+DATEDIF(F56,#REF!,"ym"))/100,(DATEDIF(F56,NOW(),"y")*100+DATEDIF(F56,NOW(),"ym"))/100))</f>
        <v>4.0999999999999996</v>
      </c>
      <c r="I56" s="18">
        <f t="shared" ca="1" si="1"/>
        <v>29</v>
      </c>
      <c r="J56" s="19" t="str">
        <f>IF(表1[[#This Row],[证件号码]]="","",SUBSTITUTE(TEXT(--MID(表1[[#This Row],[证件号码]],7,8),"0000-00-00"),"-","/"))</f>
        <v>1995/06/12</v>
      </c>
      <c r="K56" s="20" t="s">
        <v>298</v>
      </c>
      <c r="L56" s="21"/>
      <c r="M56" s="20" t="s">
        <v>31</v>
      </c>
      <c r="N56" s="22" t="s">
        <v>31</v>
      </c>
      <c r="O56" s="23" t="s">
        <v>299</v>
      </c>
      <c r="P56" s="31"/>
      <c r="Q56" s="25" t="s">
        <v>44</v>
      </c>
      <c r="R56" s="26" t="s">
        <v>45</v>
      </c>
      <c r="S56" s="25" t="s">
        <v>300</v>
      </c>
      <c r="T56" s="27" t="s">
        <v>65</v>
      </c>
      <c r="U56" s="22">
        <v>11000</v>
      </c>
      <c r="V56" s="28">
        <v>74.972138387927856</v>
      </c>
      <c r="W56" s="29">
        <v>35</v>
      </c>
      <c r="X56" s="29">
        <v>42</v>
      </c>
      <c r="Y56" s="30">
        <f>(表1[[#This Row],[能力素质]]*0.6+表1[[#This Row],[潜力评估]]*0.4)*2</f>
        <v>78.400000000000006</v>
      </c>
    </row>
    <row r="57" spans="1:25" x14ac:dyDescent="0.2">
      <c r="A57" s="11">
        <f t="shared" si="0"/>
        <v>55</v>
      </c>
      <c r="B57" s="12" t="s">
        <v>301</v>
      </c>
      <c r="C57" s="12" t="s">
        <v>26</v>
      </c>
      <c r="D57" s="13" t="s">
        <v>27</v>
      </c>
      <c r="E57" s="36" t="s">
        <v>302</v>
      </c>
      <c r="F57" s="15">
        <v>43746</v>
      </c>
      <c r="G57" s="16" t="s">
        <v>29</v>
      </c>
      <c r="H57" s="17">
        <f ca="1">IF(G57="","",IF(G57="离职",(DATEDIF(F57,#REF!,"y")*100+DATEDIF(F57,#REF!,"ym"))/100,(DATEDIF(F57,NOW(),"y")*100+DATEDIF(F57,NOW(),"ym"))/100))</f>
        <v>4.08</v>
      </c>
      <c r="I57" s="18">
        <f t="shared" ca="1" si="1"/>
        <v>36</v>
      </c>
      <c r="J57" s="19" t="str">
        <f>IF(表1[[#This Row],[证件号码]]="","",SUBSTITUTE(TEXT(--MID(表1[[#This Row],[证件号码]],7,8),"0000-00-00"),"-","/"))</f>
        <v>1988/11/25</v>
      </c>
      <c r="K57" s="21" t="s">
        <v>303</v>
      </c>
      <c r="L57" s="21"/>
      <c r="M57" s="21" t="s">
        <v>60</v>
      </c>
      <c r="N57" s="22" t="s">
        <v>42</v>
      </c>
      <c r="O57" s="23" t="s">
        <v>304</v>
      </c>
      <c r="P57" s="31" t="s">
        <v>305</v>
      </c>
      <c r="Q57" s="25" t="s">
        <v>54</v>
      </c>
      <c r="R57" s="26" t="s">
        <v>192</v>
      </c>
      <c r="S57" s="25" t="s">
        <v>72</v>
      </c>
      <c r="T57" s="27" t="s">
        <v>65</v>
      </c>
      <c r="U57" s="22">
        <v>12000</v>
      </c>
      <c r="V57" s="28">
        <v>70.17</v>
      </c>
      <c r="W57" s="29">
        <v>34</v>
      </c>
      <c r="X57" s="29">
        <v>40</v>
      </c>
      <c r="Y57" s="30">
        <f>(表1[[#This Row],[能力素质]]*0.6+表1[[#This Row],[潜力评估]]*0.4)*2</f>
        <v>75.2</v>
      </c>
    </row>
    <row r="58" spans="1:25" x14ac:dyDescent="0.2">
      <c r="A58" s="11">
        <f t="shared" si="0"/>
        <v>56</v>
      </c>
      <c r="B58" s="12" t="s">
        <v>306</v>
      </c>
      <c r="C58" s="12" t="s">
        <v>26</v>
      </c>
      <c r="D58" s="13" t="s">
        <v>39</v>
      </c>
      <c r="E58" s="36" t="s">
        <v>307</v>
      </c>
      <c r="F58" s="15">
        <v>43787</v>
      </c>
      <c r="G58" s="16" t="s">
        <v>29</v>
      </c>
      <c r="H58" s="17">
        <f ca="1">IF(G58="","",IF(G58="离职",(DATEDIF(F58,#REF!,"y")*100+DATEDIF(F58,#REF!,"ym"))/100,(DATEDIF(F58,NOW(),"y")*100+DATEDIF(F58,NOW(),"ym"))/100))</f>
        <v>4.07</v>
      </c>
      <c r="I58" s="18">
        <f t="shared" ca="1" si="1"/>
        <v>27</v>
      </c>
      <c r="J58" s="19" t="str">
        <f>IF(表1[[#This Row],[证件号码]]="","",SUBSTITUTE(TEXT(--MID(表1[[#This Row],[证件号码]],7,8),"0000-00-00"),"-","/"))</f>
        <v>1997/04/21</v>
      </c>
      <c r="K58" s="20" t="s">
        <v>308</v>
      </c>
      <c r="L58" s="21"/>
      <c r="M58" s="20" t="s">
        <v>31</v>
      </c>
      <c r="N58" s="22" t="s">
        <v>31</v>
      </c>
      <c r="O58" s="23" t="s">
        <v>143</v>
      </c>
      <c r="P58" s="31"/>
      <c r="Q58" s="25" t="s">
        <v>44</v>
      </c>
      <c r="R58" s="26" t="s">
        <v>45</v>
      </c>
      <c r="S58" s="25" t="s">
        <v>81</v>
      </c>
      <c r="T58" s="27" t="s">
        <v>65</v>
      </c>
      <c r="U58" s="22">
        <v>9000</v>
      </c>
      <c r="V58" s="28">
        <v>87.773647405226342</v>
      </c>
      <c r="W58" s="29">
        <v>29</v>
      </c>
      <c r="X58" s="29">
        <v>42</v>
      </c>
      <c r="Y58" s="30">
        <f>(表1[[#This Row],[能力素质]]*0.6+表1[[#This Row],[潜力评估]]*0.4)*2</f>
        <v>73.599999999999994</v>
      </c>
    </row>
    <row r="59" spans="1:25" ht="42" x14ac:dyDescent="0.2">
      <c r="A59" s="11">
        <f t="shared" si="0"/>
        <v>57</v>
      </c>
      <c r="B59" s="12" t="s">
        <v>309</v>
      </c>
      <c r="C59" s="12" t="s">
        <v>26</v>
      </c>
      <c r="D59" s="13" t="s">
        <v>39</v>
      </c>
      <c r="E59" s="36" t="s">
        <v>310</v>
      </c>
      <c r="F59" s="15">
        <v>43878</v>
      </c>
      <c r="G59" s="16" t="s">
        <v>29</v>
      </c>
      <c r="H59" s="17">
        <f ca="1">IF(G59="","",IF(G59="离职",(DATEDIF(F59,#REF!,"y")*100+DATEDIF(F59,#REF!,"ym"))/100,(DATEDIF(F59,NOW(),"y")*100+DATEDIF(F59,NOW(),"ym"))/100))</f>
        <v>4.04</v>
      </c>
      <c r="I59" s="18">
        <f t="shared" ca="1" si="1"/>
        <v>34</v>
      </c>
      <c r="J59" s="19" t="str">
        <f>IF(表1[[#This Row],[证件号码]]="","",SUBSTITUTE(TEXT(--MID(表1[[#This Row],[证件号码]],7,8),"0000-00-00"),"-","/"))</f>
        <v>1990/01/10</v>
      </c>
      <c r="K59" s="21" t="s">
        <v>311</v>
      </c>
      <c r="L59" s="21"/>
      <c r="M59" s="21" t="s">
        <v>60</v>
      </c>
      <c r="N59" s="22" t="s">
        <v>31</v>
      </c>
      <c r="O59" s="23" t="s">
        <v>244</v>
      </c>
      <c r="P59" s="24" t="s">
        <v>312</v>
      </c>
      <c r="Q59" s="25" t="s">
        <v>44</v>
      </c>
      <c r="R59" s="26" t="s">
        <v>45</v>
      </c>
      <c r="S59" s="25" t="s">
        <v>169</v>
      </c>
      <c r="T59" s="27" t="s">
        <v>65</v>
      </c>
      <c r="U59" s="22">
        <v>11500</v>
      </c>
      <c r="V59" s="28">
        <v>82.005852042694144</v>
      </c>
      <c r="W59" s="29">
        <v>31</v>
      </c>
      <c r="X59" s="29">
        <v>46</v>
      </c>
      <c r="Y59" s="30">
        <f>(表1[[#This Row],[能力素质]]*0.6+表1[[#This Row],[潜力评估]]*0.4)*2</f>
        <v>80</v>
      </c>
    </row>
    <row r="60" spans="1:25" x14ac:dyDescent="0.2">
      <c r="A60" s="11">
        <f t="shared" si="0"/>
        <v>58</v>
      </c>
      <c r="B60" s="12" t="s">
        <v>313</v>
      </c>
      <c r="C60" s="12" t="s">
        <v>26</v>
      </c>
      <c r="D60" s="13" t="s">
        <v>27</v>
      </c>
      <c r="E60" s="36" t="s">
        <v>314</v>
      </c>
      <c r="F60" s="15">
        <v>43892</v>
      </c>
      <c r="G60" s="16" t="s">
        <v>29</v>
      </c>
      <c r="H60" s="17">
        <f ca="1">IF(G60="","",IF(G60="离职",(DATEDIF(F60,#REF!,"y")*100+DATEDIF(F60,#REF!,"ym"))/100,(DATEDIF(F60,NOW(),"y")*100+DATEDIF(F60,NOW(),"ym"))/100))</f>
        <v>4.04</v>
      </c>
      <c r="I60" s="18">
        <f t="shared" ca="1" si="1"/>
        <v>26</v>
      </c>
      <c r="J60" s="19" t="str">
        <f>IF(表1[[#This Row],[证件号码]]="","",SUBSTITUTE(TEXT(--MID(表1[[#This Row],[证件号码]],7,8),"0000-00-00"),"-","/"))</f>
        <v>1998/06/18</v>
      </c>
      <c r="K60" s="20" t="s">
        <v>315</v>
      </c>
      <c r="L60" s="21"/>
      <c r="M60" s="20" t="s">
        <v>42</v>
      </c>
      <c r="N60" s="22" t="s">
        <v>42</v>
      </c>
      <c r="O60" s="23" t="s">
        <v>316</v>
      </c>
      <c r="P60" s="31"/>
      <c r="Q60" s="25" t="s">
        <v>34</v>
      </c>
      <c r="R60" s="26" t="s">
        <v>99</v>
      </c>
      <c r="S60" s="25" t="s">
        <v>221</v>
      </c>
      <c r="T60" s="27" t="s">
        <v>65</v>
      </c>
      <c r="U60" s="22">
        <v>5800</v>
      </c>
      <c r="V60" s="28">
        <v>68.076555023923433</v>
      </c>
      <c r="W60" s="29">
        <v>24</v>
      </c>
      <c r="X60" s="29">
        <v>40</v>
      </c>
      <c r="Y60" s="30">
        <f>(表1[[#This Row],[能力素质]]*0.6+表1[[#This Row],[潜力评估]]*0.4)*2</f>
        <v>67.2</v>
      </c>
    </row>
    <row r="61" spans="1:25" x14ac:dyDescent="0.2">
      <c r="A61" s="11">
        <f t="shared" si="0"/>
        <v>59</v>
      </c>
      <c r="B61" s="12" t="s">
        <v>317</v>
      </c>
      <c r="C61" s="12" t="s">
        <v>49</v>
      </c>
      <c r="D61" s="13" t="s">
        <v>39</v>
      </c>
      <c r="E61" s="36" t="s">
        <v>318</v>
      </c>
      <c r="F61" s="15">
        <v>43899</v>
      </c>
      <c r="G61" s="16" t="s">
        <v>29</v>
      </c>
      <c r="H61" s="17">
        <f ca="1">IF(G61="","",IF(G61="离职",(DATEDIF(F61,#REF!,"y")*100+DATEDIF(F61,#REF!,"ym"))/100,(DATEDIF(F61,NOW(),"y")*100+DATEDIF(F61,NOW(),"ym"))/100))</f>
        <v>4.03</v>
      </c>
      <c r="I61" s="18">
        <f t="shared" ca="1" si="1"/>
        <v>40</v>
      </c>
      <c r="J61" s="19" t="str">
        <f>IF(表1[[#This Row],[证件号码]]="","",SUBSTITUTE(TEXT(--MID(表1[[#This Row],[证件号码]],7,8),"0000-00-00"),"-","/"))</f>
        <v>1984/12/03</v>
      </c>
      <c r="K61" s="21" t="s">
        <v>319</v>
      </c>
      <c r="L61" s="21"/>
      <c r="M61" s="21" t="s">
        <v>52</v>
      </c>
      <c r="N61" s="22" t="s">
        <v>31</v>
      </c>
      <c r="O61" s="23" t="s">
        <v>320</v>
      </c>
      <c r="P61" s="31" t="s">
        <v>321</v>
      </c>
      <c r="Q61" s="25" t="s">
        <v>62</v>
      </c>
      <c r="R61" s="26" t="s">
        <v>63</v>
      </c>
      <c r="S61" s="25" t="s">
        <v>322</v>
      </c>
      <c r="T61" s="27" t="s">
        <v>65</v>
      </c>
      <c r="U61" s="22">
        <v>10000</v>
      </c>
      <c r="V61" s="28">
        <v>99.2</v>
      </c>
      <c r="W61" s="29">
        <v>30</v>
      </c>
      <c r="X61" s="29">
        <v>44</v>
      </c>
      <c r="Y61" s="30">
        <f>(表1[[#This Row],[能力素质]]*0.6+表1[[#This Row],[潜力评估]]*0.4)*2</f>
        <v>76.8</v>
      </c>
    </row>
    <row r="62" spans="1:25" x14ac:dyDescent="0.2">
      <c r="A62" s="11">
        <f t="shared" si="0"/>
        <v>60</v>
      </c>
      <c r="B62" s="12" t="s">
        <v>323</v>
      </c>
      <c r="C62" s="12" t="s">
        <v>26</v>
      </c>
      <c r="D62" s="13" t="s">
        <v>39</v>
      </c>
      <c r="E62" s="36" t="s">
        <v>324</v>
      </c>
      <c r="F62" s="15">
        <v>43906</v>
      </c>
      <c r="G62" s="16" t="s">
        <v>29</v>
      </c>
      <c r="H62" s="17">
        <f ca="1">IF(G62="","",IF(G62="离职",(DATEDIF(F62,#REF!,"y")*100+DATEDIF(F62,#REF!,"ym"))/100,(DATEDIF(F62,NOW(),"y")*100+DATEDIF(F62,NOW(),"ym"))/100))</f>
        <v>4.03</v>
      </c>
      <c r="I62" s="18">
        <f t="shared" ca="1" si="1"/>
        <v>29</v>
      </c>
      <c r="J62" s="19" t="str">
        <f>IF(表1[[#This Row],[证件号码]]="","",SUBSTITUTE(TEXT(--MID(表1[[#This Row],[证件号码]],7,8),"0000-00-00"),"-","/"))</f>
        <v>1995/08/06</v>
      </c>
      <c r="K62" s="20" t="s">
        <v>325</v>
      </c>
      <c r="L62" s="21"/>
      <c r="M62" s="20" t="s">
        <v>31</v>
      </c>
      <c r="N62" s="22" t="s">
        <v>31</v>
      </c>
      <c r="O62" s="23" t="s">
        <v>326</v>
      </c>
      <c r="P62" s="31"/>
      <c r="Q62" s="25" t="s">
        <v>44</v>
      </c>
      <c r="R62" s="26" t="s">
        <v>45</v>
      </c>
      <c r="S62" s="25" t="s">
        <v>81</v>
      </c>
      <c r="T62" s="27" t="s">
        <v>65</v>
      </c>
      <c r="U62" s="22">
        <v>12000</v>
      </c>
      <c r="V62" s="28">
        <v>117.52322414427678</v>
      </c>
      <c r="W62" s="29">
        <v>31</v>
      </c>
      <c r="X62" s="29">
        <v>38</v>
      </c>
      <c r="Y62" s="30">
        <f>(表1[[#This Row],[能力素质]]*0.6+表1[[#This Row],[潜力评估]]*0.4)*2</f>
        <v>70.400000000000006</v>
      </c>
    </row>
    <row r="63" spans="1:25" x14ac:dyDescent="0.2">
      <c r="A63" s="11">
        <f t="shared" si="0"/>
        <v>61</v>
      </c>
      <c r="B63" s="12" t="s">
        <v>327</v>
      </c>
      <c r="C63" s="12" t="s">
        <v>26</v>
      </c>
      <c r="D63" s="13" t="s">
        <v>39</v>
      </c>
      <c r="E63" s="36" t="s">
        <v>328</v>
      </c>
      <c r="F63" s="15">
        <v>43920</v>
      </c>
      <c r="G63" s="16" t="s">
        <v>29</v>
      </c>
      <c r="H63" s="17">
        <f ca="1">IF(G63="","",IF(G63="离职",(DATEDIF(F63,#REF!,"y")*100+DATEDIF(F63,#REF!,"ym"))/100,(DATEDIF(F63,NOW(),"y")*100+DATEDIF(F63,NOW(),"ym"))/100))</f>
        <v>4.03</v>
      </c>
      <c r="I63" s="18">
        <f t="shared" ca="1" si="1"/>
        <v>36</v>
      </c>
      <c r="J63" s="19" t="str">
        <f>IF(表1[[#This Row],[证件号码]]="","",SUBSTITUTE(TEXT(--MID(表1[[#This Row],[证件号码]],7,8),"0000-00-00"),"-","/"))</f>
        <v>1988/02/27</v>
      </c>
      <c r="K63" s="21" t="s">
        <v>329</v>
      </c>
      <c r="L63" s="21" t="s">
        <v>330</v>
      </c>
      <c r="M63" s="21" t="s">
        <v>52</v>
      </c>
      <c r="N63" s="22" t="s">
        <v>331</v>
      </c>
      <c r="O63" s="32" t="s">
        <v>332</v>
      </c>
      <c r="P63" s="31" t="s">
        <v>333</v>
      </c>
      <c r="Q63" s="25" t="s">
        <v>44</v>
      </c>
      <c r="R63" s="26" t="s">
        <v>122</v>
      </c>
      <c r="S63" s="25" t="s">
        <v>123</v>
      </c>
      <c r="T63" s="27" t="s">
        <v>65</v>
      </c>
      <c r="U63" s="22">
        <v>17500</v>
      </c>
      <c r="V63" s="28">
        <v>102.18549871181449</v>
      </c>
      <c r="W63" s="29">
        <v>31</v>
      </c>
      <c r="X63" s="29">
        <v>40</v>
      </c>
      <c r="Y63" s="30">
        <f>(表1[[#This Row],[能力素质]]*0.6+表1[[#This Row],[潜力评估]]*0.4)*2</f>
        <v>72.8</v>
      </c>
    </row>
    <row r="64" spans="1:25" x14ac:dyDescent="0.2">
      <c r="A64" s="11">
        <f t="shared" si="0"/>
        <v>62</v>
      </c>
      <c r="B64" s="12" t="s">
        <v>334</v>
      </c>
      <c r="C64" s="12" t="s">
        <v>26</v>
      </c>
      <c r="D64" s="13" t="s">
        <v>27</v>
      </c>
      <c r="E64" s="36" t="s">
        <v>335</v>
      </c>
      <c r="F64" s="15">
        <v>43920</v>
      </c>
      <c r="G64" s="16" t="s">
        <v>29</v>
      </c>
      <c r="H64" s="17">
        <f ca="1">IF(G64="","",IF(G64="离职",(DATEDIF(F64,#REF!,"y")*100+DATEDIF(F64,#REF!,"ym"))/100,(DATEDIF(F64,NOW(),"y")*100+DATEDIF(F64,NOW(),"ym"))/100))</f>
        <v>4.03</v>
      </c>
      <c r="I64" s="18">
        <f t="shared" ca="1" si="1"/>
        <v>36</v>
      </c>
      <c r="J64" s="19" t="str">
        <f>IF(表1[[#This Row],[证件号码]]="","",SUBSTITUTE(TEXT(--MID(表1[[#This Row],[证件号码]],7,8),"0000-00-00"),"-","/"))</f>
        <v>1988/12/22</v>
      </c>
      <c r="K64" s="20" t="s">
        <v>336</v>
      </c>
      <c r="L64" s="21"/>
      <c r="M64" s="20" t="s">
        <v>42</v>
      </c>
      <c r="N64" s="22" t="s">
        <v>42</v>
      </c>
      <c r="O64" s="23" t="s">
        <v>173</v>
      </c>
      <c r="P64" s="31"/>
      <c r="Q64" s="25" t="s">
        <v>44</v>
      </c>
      <c r="R64" s="26" t="s">
        <v>45</v>
      </c>
      <c r="S64" s="25" t="s">
        <v>300</v>
      </c>
      <c r="T64" s="27" t="s">
        <v>65</v>
      </c>
      <c r="U64" s="22">
        <v>13000</v>
      </c>
      <c r="V64" s="28">
        <v>120.54133603238867</v>
      </c>
      <c r="W64" s="29">
        <v>33</v>
      </c>
      <c r="X64" s="29">
        <v>42</v>
      </c>
      <c r="Y64" s="30">
        <f>(表1[[#This Row],[能力素质]]*0.6+表1[[#This Row],[潜力评估]]*0.4)*2</f>
        <v>76.8</v>
      </c>
    </row>
    <row r="65" spans="1:25" x14ac:dyDescent="0.2">
      <c r="A65" s="11">
        <f t="shared" si="0"/>
        <v>63</v>
      </c>
      <c r="B65" s="12" t="s">
        <v>337</v>
      </c>
      <c r="C65" s="12" t="s">
        <v>26</v>
      </c>
      <c r="D65" s="13" t="s">
        <v>27</v>
      </c>
      <c r="E65" s="36" t="s">
        <v>338</v>
      </c>
      <c r="F65" s="15">
        <v>43920</v>
      </c>
      <c r="G65" s="16" t="s">
        <v>29</v>
      </c>
      <c r="H65" s="17">
        <f ca="1">IF(G65="","",IF(G65="离职",(DATEDIF(F65,#REF!,"y")*100+DATEDIF(F65,#REF!,"ym"))/100,(DATEDIF(F65,NOW(),"y")*100+DATEDIF(F65,NOW(),"ym"))/100))</f>
        <v>4.03</v>
      </c>
      <c r="I65" s="18">
        <f t="shared" ca="1" si="1"/>
        <v>30</v>
      </c>
      <c r="J65" s="19" t="str">
        <f>IF(表1[[#This Row],[证件号码]]="","",SUBSTITUTE(TEXT(--MID(表1[[#This Row],[证件号码]],7,8),"0000-00-00"),"-","/"))</f>
        <v>1994/04/22</v>
      </c>
      <c r="K65" s="20" t="s">
        <v>232</v>
      </c>
      <c r="L65" s="21"/>
      <c r="M65" s="20" t="s">
        <v>31</v>
      </c>
      <c r="N65" s="22" t="s">
        <v>31</v>
      </c>
      <c r="O65" s="23" t="s">
        <v>339</v>
      </c>
      <c r="P65" s="31"/>
      <c r="Q65" s="25" t="s">
        <v>44</v>
      </c>
      <c r="R65" s="26" t="s">
        <v>45</v>
      </c>
      <c r="S65" s="25" t="s">
        <v>77</v>
      </c>
      <c r="T65" s="27" t="s">
        <v>65</v>
      </c>
      <c r="U65" s="22">
        <v>9500</v>
      </c>
      <c r="V65" s="28">
        <v>74.516540301803445</v>
      </c>
      <c r="W65" s="29">
        <v>27</v>
      </c>
      <c r="X65" s="29">
        <v>40</v>
      </c>
      <c r="Y65" s="30">
        <f>(表1[[#This Row],[能力素质]]*0.6+表1[[#This Row],[潜力评估]]*0.4)*2</f>
        <v>69.599999999999994</v>
      </c>
    </row>
    <row r="66" spans="1:25" x14ac:dyDescent="0.2">
      <c r="A66" s="11">
        <f t="shared" si="0"/>
        <v>64</v>
      </c>
      <c r="B66" s="12" t="s">
        <v>340</v>
      </c>
      <c r="C66" s="12" t="s">
        <v>26</v>
      </c>
      <c r="D66" s="13" t="s">
        <v>27</v>
      </c>
      <c r="E66" s="36" t="s">
        <v>341</v>
      </c>
      <c r="F66" s="15">
        <v>43928</v>
      </c>
      <c r="G66" s="16" t="s">
        <v>29</v>
      </c>
      <c r="H66" s="17">
        <f ca="1">IF(G66="","",IF(G66="离职",(DATEDIF(F66,#REF!,"y")*100+DATEDIF(F66,#REF!,"ym"))/100,(DATEDIF(F66,NOW(),"y")*100+DATEDIF(F66,NOW(),"ym"))/100))</f>
        <v>4.0199999999999996</v>
      </c>
      <c r="I66" s="18">
        <f t="shared" ca="1" si="1"/>
        <v>31</v>
      </c>
      <c r="J66" s="19" t="str">
        <f>IF(表1[[#This Row],[证件号码]]="","",SUBSTITUTE(TEXT(--MID(表1[[#This Row],[证件号码]],7,8),"0000-00-00"),"-","/"))</f>
        <v>1993/09/29</v>
      </c>
      <c r="K66" s="21" t="s">
        <v>342</v>
      </c>
      <c r="L66" s="21"/>
      <c r="M66" s="21" t="s">
        <v>52</v>
      </c>
      <c r="N66" s="22" t="s">
        <v>31</v>
      </c>
      <c r="O66" s="23" t="s">
        <v>343</v>
      </c>
      <c r="P66" s="31"/>
      <c r="Q66" s="25" t="s">
        <v>54</v>
      </c>
      <c r="R66" s="26" t="s">
        <v>192</v>
      </c>
      <c r="S66" s="25" t="s">
        <v>344</v>
      </c>
      <c r="T66" s="27" t="s">
        <v>65</v>
      </c>
      <c r="U66" s="22">
        <v>8000</v>
      </c>
      <c r="V66" s="28">
        <v>74.2</v>
      </c>
      <c r="W66" s="29">
        <v>29</v>
      </c>
      <c r="X66" s="29">
        <v>40</v>
      </c>
      <c r="Y66" s="30">
        <f>(表1[[#This Row],[能力素质]]*0.6+表1[[#This Row],[潜力评估]]*0.4)*2</f>
        <v>71.2</v>
      </c>
    </row>
    <row r="67" spans="1:25" x14ac:dyDescent="0.2">
      <c r="A67" s="11">
        <f t="shared" ref="A67:A130" si="2">ROW()-2</f>
        <v>65</v>
      </c>
      <c r="B67" s="12" t="s">
        <v>345</v>
      </c>
      <c r="C67" s="12" t="s">
        <v>26</v>
      </c>
      <c r="D67" s="13" t="s">
        <v>27</v>
      </c>
      <c r="E67" s="36" t="s">
        <v>346</v>
      </c>
      <c r="F67" s="15">
        <v>43930</v>
      </c>
      <c r="G67" s="16" t="s">
        <v>29</v>
      </c>
      <c r="H67" s="17">
        <f ca="1">IF(G67="","",IF(G67="离职",(DATEDIF(F67,#REF!,"y")*100+DATEDIF(F67,#REF!,"ym"))/100,(DATEDIF(F67,NOW(),"y")*100+DATEDIF(F67,NOW(),"ym"))/100))</f>
        <v>4.0199999999999996</v>
      </c>
      <c r="I67" s="18">
        <f t="shared" ref="I67:I130" ca="1" si="3">IF(J67="",0,YEAR(TODAY())-YEAR(J67))</f>
        <v>31</v>
      </c>
      <c r="J67" s="19" t="str">
        <f>IF(表1[[#This Row],[证件号码]]="","",SUBSTITUTE(TEXT(--MID(表1[[#This Row],[证件号码]],7,8),"0000-00-00"),"-","/"))</f>
        <v>1993/06/01</v>
      </c>
      <c r="K67" s="20" t="s">
        <v>126</v>
      </c>
      <c r="L67" s="21"/>
      <c r="M67" s="20" t="s">
        <v>31</v>
      </c>
      <c r="N67" s="22" t="s">
        <v>31</v>
      </c>
      <c r="O67" s="23" t="s">
        <v>160</v>
      </c>
      <c r="P67" s="31"/>
      <c r="Q67" s="25" t="s">
        <v>44</v>
      </c>
      <c r="R67" s="26" t="s">
        <v>45</v>
      </c>
      <c r="S67" s="25" t="s">
        <v>81</v>
      </c>
      <c r="T67" s="27" t="s">
        <v>65</v>
      </c>
      <c r="U67" s="22">
        <v>13000</v>
      </c>
      <c r="V67" s="28">
        <v>115.02346337872655</v>
      </c>
      <c r="W67" s="29">
        <v>29</v>
      </c>
      <c r="X67" s="29">
        <v>42</v>
      </c>
      <c r="Y67" s="30">
        <f>(表1[[#This Row],[能力素质]]*0.6+表1[[#This Row],[潜力评估]]*0.4)*2</f>
        <v>73.599999999999994</v>
      </c>
    </row>
    <row r="68" spans="1:25" x14ac:dyDescent="0.2">
      <c r="A68" s="11">
        <f t="shared" si="2"/>
        <v>66</v>
      </c>
      <c r="B68" s="12" t="s">
        <v>347</v>
      </c>
      <c r="C68" s="12" t="s">
        <v>26</v>
      </c>
      <c r="D68" s="13" t="s">
        <v>27</v>
      </c>
      <c r="E68" s="36" t="s">
        <v>348</v>
      </c>
      <c r="F68" s="15">
        <v>43937</v>
      </c>
      <c r="G68" s="16" t="s">
        <v>29</v>
      </c>
      <c r="H68" s="17">
        <f ca="1">IF(G68="","",IF(G68="离职",(DATEDIF(F68,#REF!,"y")*100+DATEDIF(F68,#REF!,"ym"))/100,(DATEDIF(F68,NOW(),"y")*100+DATEDIF(F68,NOW(),"ym"))/100))</f>
        <v>4.0199999999999996</v>
      </c>
      <c r="I68" s="18">
        <f t="shared" ca="1" si="3"/>
        <v>46</v>
      </c>
      <c r="J68" s="19" t="str">
        <f>IF(表1[[#This Row],[证件号码]]="","",SUBSTITUTE(TEXT(--MID(表1[[#This Row],[证件号码]],7,8),"0000-00-00"),"-","/"))</f>
        <v>1978/06/02</v>
      </c>
      <c r="K68" s="20" t="s">
        <v>349</v>
      </c>
      <c r="L68" s="21"/>
      <c r="M68" s="20" t="s">
        <v>42</v>
      </c>
      <c r="N68" s="22" t="s">
        <v>42</v>
      </c>
      <c r="O68" s="23" t="s">
        <v>350</v>
      </c>
      <c r="P68" s="31"/>
      <c r="Q68" s="25" t="s">
        <v>34</v>
      </c>
      <c r="R68" s="26" t="s">
        <v>115</v>
      </c>
      <c r="S68" s="25" t="s">
        <v>134</v>
      </c>
      <c r="T68" s="27" t="s">
        <v>37</v>
      </c>
      <c r="U68" s="22">
        <v>17500</v>
      </c>
      <c r="V68" s="28">
        <v>89.536437246963558</v>
      </c>
      <c r="W68" s="29">
        <v>34</v>
      </c>
      <c r="X68" s="29">
        <v>42</v>
      </c>
      <c r="Y68" s="30">
        <f>(表1[[#This Row],[能力素质]]*0.6+表1[[#This Row],[潜力评估]]*0.4)*2</f>
        <v>77.599999999999994</v>
      </c>
    </row>
    <row r="69" spans="1:25" x14ac:dyDescent="0.2">
      <c r="A69" s="11">
        <f t="shared" si="2"/>
        <v>67</v>
      </c>
      <c r="B69" s="12" t="s">
        <v>351</v>
      </c>
      <c r="C69" s="12" t="s">
        <v>83</v>
      </c>
      <c r="D69" s="13" t="s">
        <v>27</v>
      </c>
      <c r="E69" s="36" t="s">
        <v>352</v>
      </c>
      <c r="F69" s="15">
        <v>43983</v>
      </c>
      <c r="G69" s="16" t="s">
        <v>29</v>
      </c>
      <c r="H69" s="17">
        <f ca="1">IF(G69="","",IF(G69="离职",(DATEDIF(F69,#REF!,"y")*100+DATEDIF(F69,#REF!,"ym"))/100,(DATEDIF(F69,NOW(),"y")*100+DATEDIF(F69,NOW(),"ym"))/100))</f>
        <v>4.01</v>
      </c>
      <c r="I69" s="18">
        <f t="shared" ca="1" si="3"/>
        <v>40</v>
      </c>
      <c r="J69" s="19" t="str">
        <f>IF(表1[[#This Row],[证件号码]]="","",SUBSTITUTE(TEXT(--MID(表1[[#This Row],[证件号码]],7,8),"0000-00-00"),"-","/"))</f>
        <v>1984/05/10</v>
      </c>
      <c r="K69" s="20" t="s">
        <v>353</v>
      </c>
      <c r="L69" s="21"/>
      <c r="M69" s="20" t="s">
        <v>31</v>
      </c>
      <c r="N69" s="22" t="s">
        <v>31</v>
      </c>
      <c r="O69" s="23" t="s">
        <v>43</v>
      </c>
      <c r="P69" s="31"/>
      <c r="Q69" s="25" t="s">
        <v>34</v>
      </c>
      <c r="R69" s="26" t="s">
        <v>115</v>
      </c>
      <c r="S69" s="25" t="s">
        <v>116</v>
      </c>
      <c r="T69" s="27" t="s">
        <v>65</v>
      </c>
      <c r="U69" s="22">
        <v>10500</v>
      </c>
      <c r="V69" s="28">
        <v>98.959090909090918</v>
      </c>
      <c r="W69" s="29">
        <v>33</v>
      </c>
      <c r="X69" s="29">
        <v>46</v>
      </c>
      <c r="Y69" s="30">
        <f>(表1[[#This Row],[能力素质]]*0.6+表1[[#This Row],[潜力评估]]*0.4)*2</f>
        <v>81.599999999999994</v>
      </c>
    </row>
    <row r="70" spans="1:25" x14ac:dyDescent="0.2">
      <c r="A70" s="11">
        <f t="shared" si="2"/>
        <v>68</v>
      </c>
      <c r="B70" s="12" t="s">
        <v>354</v>
      </c>
      <c r="C70" s="12" t="s">
        <v>162</v>
      </c>
      <c r="D70" s="13" t="s">
        <v>27</v>
      </c>
      <c r="E70" s="36" t="s">
        <v>355</v>
      </c>
      <c r="F70" s="15">
        <v>43998</v>
      </c>
      <c r="G70" s="16" t="s">
        <v>29</v>
      </c>
      <c r="H70" s="17">
        <f ca="1">IF(G70="","",IF(G70="离职",(DATEDIF(F70,#REF!,"y")*100+DATEDIF(F70,#REF!,"ym"))/100,(DATEDIF(F70,NOW(),"y")*100+DATEDIF(F70,NOW(),"ym"))/100))</f>
        <v>4</v>
      </c>
      <c r="I70" s="18">
        <f t="shared" ca="1" si="3"/>
        <v>40</v>
      </c>
      <c r="J70" s="19" t="str">
        <f>IF(表1[[#This Row],[证件号码]]="","",SUBSTITUTE(TEXT(--MID(表1[[#This Row],[证件号码]],7,8),"0000-00-00"),"-","/"))</f>
        <v>1984/07/13</v>
      </c>
      <c r="K70" s="21" t="s">
        <v>356</v>
      </c>
      <c r="L70" s="21"/>
      <c r="M70" s="21" t="s">
        <v>52</v>
      </c>
      <c r="N70" s="22" t="s">
        <v>31</v>
      </c>
      <c r="O70" s="23" t="s">
        <v>357</v>
      </c>
      <c r="P70" s="31"/>
      <c r="Q70" s="25" t="s">
        <v>54</v>
      </c>
      <c r="R70" s="26" t="s">
        <v>87</v>
      </c>
      <c r="S70" s="25" t="s">
        <v>358</v>
      </c>
      <c r="T70" s="27" t="s">
        <v>37</v>
      </c>
      <c r="U70" s="22">
        <v>25000</v>
      </c>
      <c r="V70" s="28">
        <v>64</v>
      </c>
      <c r="W70" s="29">
        <v>37</v>
      </c>
      <c r="X70" s="29">
        <v>42</v>
      </c>
      <c r="Y70" s="30">
        <f>(表1[[#This Row],[能力素质]]*0.6+表1[[#This Row],[潜力评估]]*0.4)*2</f>
        <v>80</v>
      </c>
    </row>
    <row r="71" spans="1:25" x14ac:dyDescent="0.2">
      <c r="A71" s="11">
        <f t="shared" si="2"/>
        <v>69</v>
      </c>
      <c r="B71" s="12" t="s">
        <v>359</v>
      </c>
      <c r="C71" s="12" t="s">
        <v>26</v>
      </c>
      <c r="D71" s="13" t="s">
        <v>27</v>
      </c>
      <c r="E71" s="36" t="s">
        <v>360</v>
      </c>
      <c r="F71" s="15">
        <v>43999</v>
      </c>
      <c r="G71" s="16" t="s">
        <v>29</v>
      </c>
      <c r="H71" s="17">
        <f ca="1">IF(G71="","",IF(G71="离职",(DATEDIF(F71,#REF!,"y")*100+DATEDIF(F71,#REF!,"ym"))/100,(DATEDIF(F71,NOW(),"y")*100+DATEDIF(F71,NOW(),"ym"))/100))</f>
        <v>4</v>
      </c>
      <c r="I71" s="18">
        <f t="shared" ca="1" si="3"/>
        <v>37</v>
      </c>
      <c r="J71" s="19" t="str">
        <f>IF(表1[[#This Row],[证件号码]]="","",SUBSTITUTE(TEXT(--MID(表1[[#This Row],[证件号码]],7,8),"0000-00-00"),"-","/"))</f>
        <v>1987/12/07</v>
      </c>
      <c r="K71" s="20" t="s">
        <v>361</v>
      </c>
      <c r="L71" s="21"/>
      <c r="M71" s="20" t="s">
        <v>31</v>
      </c>
      <c r="N71" s="22" t="s">
        <v>31</v>
      </c>
      <c r="O71" s="23" t="s">
        <v>76</v>
      </c>
      <c r="P71" s="31"/>
      <c r="Q71" s="25" t="s">
        <v>44</v>
      </c>
      <c r="R71" s="26" t="s">
        <v>45</v>
      </c>
      <c r="S71" s="25" t="s">
        <v>81</v>
      </c>
      <c r="T71" s="27" t="s">
        <v>65</v>
      </c>
      <c r="U71" s="22">
        <v>13500</v>
      </c>
      <c r="V71" s="28">
        <v>92.860783952889221</v>
      </c>
      <c r="W71" s="29">
        <v>33</v>
      </c>
      <c r="X71" s="29">
        <v>42</v>
      </c>
      <c r="Y71" s="30">
        <f>(表1[[#This Row],[能力素质]]*0.6+表1[[#This Row],[潜力评估]]*0.4)*2</f>
        <v>76.8</v>
      </c>
    </row>
    <row r="72" spans="1:25" x14ac:dyDescent="0.2">
      <c r="A72" s="11">
        <f t="shared" si="2"/>
        <v>70</v>
      </c>
      <c r="B72" s="12" t="s">
        <v>362</v>
      </c>
      <c r="C72" s="12" t="s">
        <v>26</v>
      </c>
      <c r="D72" s="13" t="s">
        <v>39</v>
      </c>
      <c r="E72" s="36" t="s">
        <v>363</v>
      </c>
      <c r="F72" s="15">
        <v>44067</v>
      </c>
      <c r="G72" s="16" t="s">
        <v>29</v>
      </c>
      <c r="H72" s="17">
        <f ca="1">IF(G72="","",IF(G72="离职",(DATEDIF(F72,#REF!,"y")*100+DATEDIF(F72,#REF!,"ym"))/100,(DATEDIF(F72,NOW(),"y")*100+DATEDIF(F72,NOW(),"ym"))/100))</f>
        <v>3.1</v>
      </c>
      <c r="I72" s="18">
        <f t="shared" ca="1" si="3"/>
        <v>37</v>
      </c>
      <c r="J72" s="19" t="str">
        <f>IF(表1[[#This Row],[证件号码]]="","",SUBSTITUTE(TEXT(--MID(表1[[#This Row],[证件号码]],7,8),"0000-00-00"),"-","/"))</f>
        <v>1987/11/04</v>
      </c>
      <c r="K72" s="21" t="s">
        <v>364</v>
      </c>
      <c r="L72" s="21"/>
      <c r="M72" s="21" t="s">
        <v>60</v>
      </c>
      <c r="N72" s="29" t="s">
        <v>31</v>
      </c>
      <c r="O72" s="23" t="s">
        <v>244</v>
      </c>
      <c r="P72" s="31"/>
      <c r="Q72" s="25" t="s">
        <v>54</v>
      </c>
      <c r="R72" s="26" t="s">
        <v>145</v>
      </c>
      <c r="S72" s="25" t="s">
        <v>146</v>
      </c>
      <c r="T72" s="27" t="s">
        <v>65</v>
      </c>
      <c r="U72" s="22">
        <v>5500</v>
      </c>
      <c r="V72" s="28">
        <v>82.872727272727275</v>
      </c>
      <c r="W72" s="29">
        <v>22</v>
      </c>
      <c r="X72" s="29">
        <v>42</v>
      </c>
      <c r="Y72" s="30">
        <f>(表1[[#This Row],[能力素质]]*0.6+表1[[#This Row],[潜力评估]]*0.4)*2</f>
        <v>68</v>
      </c>
    </row>
    <row r="73" spans="1:25" x14ac:dyDescent="0.2">
      <c r="A73" s="11">
        <f t="shared" si="2"/>
        <v>71</v>
      </c>
      <c r="B73" s="12" t="s">
        <v>365</v>
      </c>
      <c r="C73" s="12" t="s">
        <v>26</v>
      </c>
      <c r="D73" s="13" t="s">
        <v>39</v>
      </c>
      <c r="E73" s="36" t="s">
        <v>366</v>
      </c>
      <c r="F73" s="15">
        <v>44070</v>
      </c>
      <c r="G73" s="16" t="s">
        <v>29</v>
      </c>
      <c r="H73" s="17">
        <f ca="1">IF(G73="","",IF(G73="离职",(DATEDIF(F73,#REF!,"y")*100+DATEDIF(F73,#REF!,"ym"))/100,(DATEDIF(F73,NOW(),"y")*100+DATEDIF(F73,NOW(),"ym"))/100))</f>
        <v>3.1</v>
      </c>
      <c r="I73" s="18">
        <f t="shared" ca="1" si="3"/>
        <v>25</v>
      </c>
      <c r="J73" s="19" t="str">
        <f>IF(表1[[#This Row],[证件号码]]="","",SUBSTITUTE(TEXT(--MID(表1[[#This Row],[证件号码]],7,8),"0000-00-00"),"-","/"))</f>
        <v>1999/02/21</v>
      </c>
      <c r="K73" s="20" t="s">
        <v>272</v>
      </c>
      <c r="L73" s="21"/>
      <c r="M73" s="20" t="s">
        <v>42</v>
      </c>
      <c r="N73" s="22" t="s">
        <v>42</v>
      </c>
      <c r="O73" s="23" t="s">
        <v>133</v>
      </c>
      <c r="P73" s="31"/>
      <c r="Q73" s="25" t="s">
        <v>44</v>
      </c>
      <c r="R73" s="26" t="s">
        <v>45</v>
      </c>
      <c r="S73" s="25" t="s">
        <v>81</v>
      </c>
      <c r="T73" s="27" t="s">
        <v>65</v>
      </c>
      <c r="U73" s="22">
        <v>10000</v>
      </c>
      <c r="V73" s="28">
        <v>92.504931910195069</v>
      </c>
      <c r="W73" s="29">
        <v>32</v>
      </c>
      <c r="X73" s="29">
        <v>42</v>
      </c>
      <c r="Y73" s="30">
        <f>(表1[[#This Row],[能力素质]]*0.6+表1[[#This Row],[潜力评估]]*0.4)*2</f>
        <v>76</v>
      </c>
    </row>
    <row r="74" spans="1:25" x14ac:dyDescent="0.2">
      <c r="A74" s="11">
        <f t="shared" si="2"/>
        <v>72</v>
      </c>
      <c r="B74" s="12" t="s">
        <v>367</v>
      </c>
      <c r="C74" s="12" t="s">
        <v>368</v>
      </c>
      <c r="D74" s="13" t="s">
        <v>27</v>
      </c>
      <c r="E74" s="36" t="s">
        <v>369</v>
      </c>
      <c r="F74" s="15">
        <v>44074</v>
      </c>
      <c r="G74" s="16" t="s">
        <v>29</v>
      </c>
      <c r="H74" s="17">
        <f ca="1">IF(G74="","",IF(G74="离职",(DATEDIF(F74,#REF!,"y")*100+DATEDIF(F74,#REF!,"ym"))/100,(DATEDIF(F74,NOW(),"y")*100+DATEDIF(F74,NOW(),"ym"))/100))</f>
        <v>3.1</v>
      </c>
      <c r="I74" s="18">
        <f t="shared" ca="1" si="3"/>
        <v>35</v>
      </c>
      <c r="J74" s="19" t="str">
        <f>IF(表1[[#This Row],[证件号码]]="","",SUBSTITUTE(TEXT(--MID(表1[[#This Row],[证件号码]],7,8),"0000-00-00"),"-","/"))</f>
        <v>1989/09/11</v>
      </c>
      <c r="K74" s="20" t="s">
        <v>370</v>
      </c>
      <c r="L74" s="21"/>
      <c r="M74" s="20" t="s">
        <v>42</v>
      </c>
      <c r="N74" s="22" t="s">
        <v>42</v>
      </c>
      <c r="O74" s="23" t="s">
        <v>371</v>
      </c>
      <c r="P74" s="31"/>
      <c r="Q74" s="25" t="s">
        <v>34</v>
      </c>
      <c r="R74" s="26" t="s">
        <v>115</v>
      </c>
      <c r="S74" s="25" t="s">
        <v>116</v>
      </c>
      <c r="T74" s="27" t="s">
        <v>65</v>
      </c>
      <c r="U74" s="22">
        <v>12500</v>
      </c>
      <c r="V74" s="28">
        <v>87.072727272727263</v>
      </c>
      <c r="W74" s="29">
        <v>30</v>
      </c>
      <c r="X74" s="29">
        <v>42</v>
      </c>
      <c r="Y74" s="30">
        <f>(表1[[#This Row],[能力素质]]*0.6+表1[[#This Row],[潜力评估]]*0.4)*2</f>
        <v>74.400000000000006</v>
      </c>
    </row>
    <row r="75" spans="1:25" x14ac:dyDescent="0.2">
      <c r="A75" s="11">
        <f t="shared" si="2"/>
        <v>73</v>
      </c>
      <c r="B75" s="12" t="s">
        <v>372</v>
      </c>
      <c r="C75" s="12" t="s">
        <v>26</v>
      </c>
      <c r="D75" s="13" t="s">
        <v>27</v>
      </c>
      <c r="E75" s="36" t="s">
        <v>373</v>
      </c>
      <c r="F75" s="15">
        <v>44081</v>
      </c>
      <c r="G75" s="16" t="s">
        <v>29</v>
      </c>
      <c r="H75" s="17">
        <f ca="1">IF(G75="","",IF(G75="离职",(DATEDIF(F75,#REF!,"y")*100+DATEDIF(F75,#REF!,"ym"))/100,(DATEDIF(F75,NOW(),"y")*100+DATEDIF(F75,NOW(),"ym"))/100))</f>
        <v>3.09</v>
      </c>
      <c r="I75" s="18">
        <f t="shared" ca="1" si="3"/>
        <v>26</v>
      </c>
      <c r="J75" s="19" t="str">
        <f>IF(表1[[#This Row],[证件号码]]="","",SUBSTITUTE(TEXT(--MID(表1[[#This Row],[证件号码]],7,8),"0000-00-00"),"-","/"))</f>
        <v>1998/05/09</v>
      </c>
      <c r="K75" s="20" t="s">
        <v>374</v>
      </c>
      <c r="L75" s="21"/>
      <c r="M75" s="20" t="s">
        <v>42</v>
      </c>
      <c r="N75" s="22" t="s">
        <v>42</v>
      </c>
      <c r="O75" s="23" t="s">
        <v>133</v>
      </c>
      <c r="P75" s="31"/>
      <c r="Q75" s="25" t="s">
        <v>34</v>
      </c>
      <c r="R75" s="26" t="s">
        <v>99</v>
      </c>
      <c r="S75" s="25" t="s">
        <v>221</v>
      </c>
      <c r="T75" s="27" t="s">
        <v>65</v>
      </c>
      <c r="U75" s="22">
        <v>6000</v>
      </c>
      <c r="V75" s="28">
        <v>65.553110047846886</v>
      </c>
      <c r="W75" s="29">
        <v>26</v>
      </c>
      <c r="X75" s="29">
        <v>38</v>
      </c>
      <c r="Y75" s="30">
        <f>(表1[[#This Row],[能力素质]]*0.6+表1[[#This Row],[潜力评估]]*0.4)*2</f>
        <v>66.400000000000006</v>
      </c>
    </row>
    <row r="76" spans="1:25" ht="21" x14ac:dyDescent="0.2">
      <c r="A76" s="11">
        <f t="shared" si="2"/>
        <v>74</v>
      </c>
      <c r="B76" s="12" t="s">
        <v>375</v>
      </c>
      <c r="C76" s="12" t="s">
        <v>26</v>
      </c>
      <c r="D76" s="13" t="s">
        <v>27</v>
      </c>
      <c r="E76" s="36" t="s">
        <v>376</v>
      </c>
      <c r="F76" s="15">
        <v>44084</v>
      </c>
      <c r="G76" s="16" t="s">
        <v>29</v>
      </c>
      <c r="H76" s="17">
        <f ca="1">IF(G76="","",IF(G76="离职",(DATEDIF(F76,#REF!,"y")*100+DATEDIF(F76,#REF!,"ym"))/100,(DATEDIF(F76,NOW(),"y")*100+DATEDIF(F76,NOW(),"ym"))/100))</f>
        <v>3.09</v>
      </c>
      <c r="I76" s="18">
        <f t="shared" ca="1" si="3"/>
        <v>30</v>
      </c>
      <c r="J76" s="19" t="str">
        <f>IF(表1[[#This Row],[证件号码]]="","",SUBSTITUTE(TEXT(--MID(表1[[#This Row],[证件号码]],7,8),"0000-00-00"),"-","/"))</f>
        <v>1994/10/13</v>
      </c>
      <c r="K76" s="21" t="s">
        <v>377</v>
      </c>
      <c r="L76" s="21"/>
      <c r="M76" s="21" t="s">
        <v>60</v>
      </c>
      <c r="N76" s="22" t="s">
        <v>31</v>
      </c>
      <c r="O76" s="23" t="s">
        <v>343</v>
      </c>
      <c r="P76" s="24" t="s">
        <v>378</v>
      </c>
      <c r="Q76" s="25" t="s">
        <v>44</v>
      </c>
      <c r="R76" s="26" t="s">
        <v>45</v>
      </c>
      <c r="S76" s="25" t="s">
        <v>169</v>
      </c>
      <c r="T76" s="27" t="s">
        <v>65</v>
      </c>
      <c r="U76" s="22">
        <v>6500</v>
      </c>
      <c r="V76" s="28">
        <v>122.94979757085019</v>
      </c>
      <c r="W76" s="29">
        <v>31</v>
      </c>
      <c r="X76" s="29">
        <v>38</v>
      </c>
      <c r="Y76" s="30">
        <f>(表1[[#This Row],[能力素质]]*0.6+表1[[#This Row],[潜力评估]]*0.4)*2</f>
        <v>70.400000000000006</v>
      </c>
    </row>
    <row r="77" spans="1:25" ht="42" x14ac:dyDescent="0.2">
      <c r="A77" s="11">
        <f t="shared" si="2"/>
        <v>75</v>
      </c>
      <c r="B77" s="12" t="s">
        <v>379</v>
      </c>
      <c r="C77" s="12" t="s">
        <v>26</v>
      </c>
      <c r="D77" s="13" t="s">
        <v>39</v>
      </c>
      <c r="E77" s="36" t="s">
        <v>380</v>
      </c>
      <c r="F77" s="15">
        <v>44175</v>
      </c>
      <c r="G77" s="16" t="s">
        <v>29</v>
      </c>
      <c r="H77" s="17">
        <f ca="1">IF(G77="","",IF(G77="离职",(DATEDIF(F77,#REF!,"y")*100+DATEDIF(F77,#REF!,"ym"))/100,(DATEDIF(F77,NOW(),"y")*100+DATEDIF(F77,NOW(),"ym"))/100))</f>
        <v>3.06</v>
      </c>
      <c r="I77" s="18">
        <f t="shared" ca="1" si="3"/>
        <v>32</v>
      </c>
      <c r="J77" s="19" t="str">
        <f>IF(表1[[#This Row],[证件号码]]="","",SUBSTITUTE(TEXT(--MID(表1[[#This Row],[证件号码]],7,8),"0000-00-00"),"-","/"))</f>
        <v>1992/09/19</v>
      </c>
      <c r="K77" s="20" t="s">
        <v>381</v>
      </c>
      <c r="L77" s="21"/>
      <c r="M77" s="21" t="s">
        <v>60</v>
      </c>
      <c r="N77" s="22" t="s">
        <v>31</v>
      </c>
      <c r="O77" s="23" t="s">
        <v>382</v>
      </c>
      <c r="P77" s="24" t="s">
        <v>383</v>
      </c>
      <c r="Q77" s="25" t="s">
        <v>44</v>
      </c>
      <c r="R77" s="26" t="s">
        <v>45</v>
      </c>
      <c r="S77" s="25" t="s">
        <v>169</v>
      </c>
      <c r="T77" s="27" t="s">
        <v>65</v>
      </c>
      <c r="U77" s="22">
        <v>9500</v>
      </c>
      <c r="V77" s="28">
        <v>60.201417004048579</v>
      </c>
      <c r="W77" s="29">
        <v>21</v>
      </c>
      <c r="X77" s="29">
        <v>40</v>
      </c>
      <c r="Y77" s="30">
        <f>(表1[[#This Row],[能力素质]]*0.6+表1[[#This Row],[潜力评估]]*0.4)*2</f>
        <v>64.8</v>
      </c>
    </row>
    <row r="78" spans="1:25" x14ac:dyDescent="0.2">
      <c r="A78" s="11">
        <f t="shared" si="2"/>
        <v>76</v>
      </c>
      <c r="B78" s="12" t="s">
        <v>384</v>
      </c>
      <c r="C78" s="12" t="s">
        <v>26</v>
      </c>
      <c r="D78" s="37" t="s">
        <v>39</v>
      </c>
      <c r="E78" s="36" t="s">
        <v>385</v>
      </c>
      <c r="F78" s="15">
        <v>44179</v>
      </c>
      <c r="G78" s="16" t="s">
        <v>29</v>
      </c>
      <c r="H78" s="17">
        <f ca="1">IF(G78="","",IF(G78="离职",(DATEDIF(F78,#REF!,"y")*100+DATEDIF(F78,#REF!,"ym"))/100,(DATEDIF(F78,NOW(),"y")*100+DATEDIF(F78,NOW(),"ym"))/100))</f>
        <v>3.06</v>
      </c>
      <c r="I78" s="18">
        <f t="shared" ca="1" si="3"/>
        <v>38</v>
      </c>
      <c r="J78" s="19" t="str">
        <f>IF(表1[[#This Row],[证件号码]]="","",SUBSTITUTE(TEXT(--MID(表1[[#This Row],[证件号码]],7,8),"0000-00-00"),"-","/"))</f>
        <v>1986/04/15</v>
      </c>
      <c r="K78" s="21" t="s">
        <v>386</v>
      </c>
      <c r="L78" s="21"/>
      <c r="M78" s="21" t="s">
        <v>60</v>
      </c>
      <c r="N78" s="22" t="s">
        <v>42</v>
      </c>
      <c r="O78" s="23" t="s">
        <v>387</v>
      </c>
      <c r="P78" s="31"/>
      <c r="Q78" s="25" t="s">
        <v>44</v>
      </c>
      <c r="R78" s="26" t="s">
        <v>122</v>
      </c>
      <c r="S78" s="25" t="s">
        <v>123</v>
      </c>
      <c r="T78" s="35" t="s">
        <v>65</v>
      </c>
      <c r="U78" s="22">
        <v>15000</v>
      </c>
      <c r="V78" s="28">
        <v>108.18163415531836</v>
      </c>
      <c r="W78" s="29">
        <v>28</v>
      </c>
      <c r="X78" s="29">
        <v>44</v>
      </c>
      <c r="Y78" s="30">
        <f>(表1[[#This Row],[能力素质]]*0.6+表1[[#This Row],[潜力评估]]*0.4)*2</f>
        <v>75.2</v>
      </c>
    </row>
    <row r="79" spans="1:25" ht="21" x14ac:dyDescent="0.2">
      <c r="A79" s="11">
        <f t="shared" si="2"/>
        <v>77</v>
      </c>
      <c r="B79" s="12" t="s">
        <v>388</v>
      </c>
      <c r="C79" s="12" t="s">
        <v>26</v>
      </c>
      <c r="D79" s="13" t="s">
        <v>39</v>
      </c>
      <c r="E79" s="36" t="s">
        <v>389</v>
      </c>
      <c r="F79" s="15">
        <v>44181</v>
      </c>
      <c r="G79" s="16" t="s">
        <v>29</v>
      </c>
      <c r="H79" s="17">
        <f ca="1">IF(G79="","",IF(G79="离职",(DATEDIF(F79,#REF!,"y")*100+DATEDIF(F79,#REF!,"ym"))/100,(DATEDIF(F79,NOW(),"y")*100+DATEDIF(F79,NOW(),"ym"))/100))</f>
        <v>3.06</v>
      </c>
      <c r="I79" s="18">
        <f t="shared" ca="1" si="3"/>
        <v>32</v>
      </c>
      <c r="J79" s="19" t="str">
        <f>IF(表1[[#This Row],[证件号码]]="","",SUBSTITUTE(TEXT(--MID(表1[[#This Row],[证件号码]],7,8),"0000-00-00"),"-","/"))</f>
        <v>1992/10/02</v>
      </c>
      <c r="K79" s="21" t="s">
        <v>390</v>
      </c>
      <c r="L79" s="21"/>
      <c r="M79" s="21" t="s">
        <v>52</v>
      </c>
      <c r="N79" s="22" t="s">
        <v>31</v>
      </c>
      <c r="O79" s="34" t="s">
        <v>391</v>
      </c>
      <c r="P79" s="31"/>
      <c r="Q79" s="25" t="s">
        <v>44</v>
      </c>
      <c r="R79" s="26" t="s">
        <v>122</v>
      </c>
      <c r="S79" s="25" t="s">
        <v>123</v>
      </c>
      <c r="T79" s="27" t="s">
        <v>65</v>
      </c>
      <c r="U79" s="22">
        <v>12000</v>
      </c>
      <c r="V79" s="28">
        <v>46.64838056680162</v>
      </c>
      <c r="W79" s="29">
        <v>23</v>
      </c>
      <c r="X79" s="29">
        <v>34</v>
      </c>
      <c r="Y79" s="30">
        <f>(表1[[#This Row],[能力素质]]*0.6+表1[[#This Row],[潜力评估]]*0.4)*2</f>
        <v>59.2</v>
      </c>
    </row>
    <row r="80" spans="1:25" x14ac:dyDescent="0.2">
      <c r="A80" s="11">
        <f t="shared" si="2"/>
        <v>78</v>
      </c>
      <c r="B80" s="12" t="s">
        <v>392</v>
      </c>
      <c r="C80" s="12" t="s">
        <v>26</v>
      </c>
      <c r="D80" s="13" t="s">
        <v>39</v>
      </c>
      <c r="E80" s="36" t="s">
        <v>393</v>
      </c>
      <c r="F80" s="15">
        <v>44195</v>
      </c>
      <c r="G80" s="16" t="s">
        <v>29</v>
      </c>
      <c r="H80" s="17">
        <f ca="1">IF(G80="","",IF(G80="离职",(DATEDIF(F80,#REF!,"y")*100+DATEDIF(F80,#REF!,"ym"))/100,(DATEDIF(F80,NOW(),"y")*100+DATEDIF(F80,NOW(),"ym"))/100))</f>
        <v>3.06</v>
      </c>
      <c r="I80" s="18">
        <f t="shared" ca="1" si="3"/>
        <v>26</v>
      </c>
      <c r="J80" s="19" t="str">
        <f>IF(表1[[#This Row],[证件号码]]="","",SUBSTITUTE(TEXT(--MID(表1[[#This Row],[证件号码]],7,8),"0000-00-00"),"-","/"))</f>
        <v>1998/07/15</v>
      </c>
      <c r="K80" s="21" t="s">
        <v>394</v>
      </c>
      <c r="L80" s="21"/>
      <c r="M80" s="21" t="s">
        <v>60</v>
      </c>
      <c r="N80" s="22" t="s">
        <v>42</v>
      </c>
      <c r="O80" s="23" t="s">
        <v>316</v>
      </c>
      <c r="P80" s="31" t="s">
        <v>395</v>
      </c>
      <c r="Q80" s="25" t="s">
        <v>54</v>
      </c>
      <c r="R80" s="26" t="s">
        <v>145</v>
      </c>
      <c r="S80" s="25" t="s">
        <v>146</v>
      </c>
      <c r="T80" s="27" t="s">
        <v>65</v>
      </c>
      <c r="U80" s="22">
        <v>5500</v>
      </c>
      <c r="V80" s="28">
        <v>94.109090909090895</v>
      </c>
      <c r="W80" s="29">
        <v>26</v>
      </c>
      <c r="X80" s="29">
        <v>44</v>
      </c>
      <c r="Y80" s="30">
        <f>(表1[[#This Row],[能力素质]]*0.6+表1[[#This Row],[潜力评估]]*0.4)*2</f>
        <v>73.599999999999994</v>
      </c>
    </row>
    <row r="81" spans="1:25" x14ac:dyDescent="0.2">
      <c r="A81" s="11">
        <f t="shared" si="2"/>
        <v>79</v>
      </c>
      <c r="B81" s="12" t="s">
        <v>396</v>
      </c>
      <c r="C81" s="12" t="s">
        <v>26</v>
      </c>
      <c r="D81" s="13" t="s">
        <v>39</v>
      </c>
      <c r="E81" s="36" t="s">
        <v>397</v>
      </c>
      <c r="F81" s="15">
        <v>44256</v>
      </c>
      <c r="G81" s="16" t="s">
        <v>29</v>
      </c>
      <c r="H81" s="17">
        <f ca="1">IF(G81="","",IF(G81="离职",(DATEDIF(F81,#REF!,"y")*100+DATEDIF(F81,#REF!,"ym"))/100,(DATEDIF(F81,NOW(),"y")*100+DATEDIF(F81,NOW(),"ym"))/100))</f>
        <v>3.04</v>
      </c>
      <c r="I81" s="18">
        <f t="shared" ca="1" si="3"/>
        <v>40</v>
      </c>
      <c r="J81" s="19" t="str">
        <f>IF(表1[[#This Row],[证件号码]]="","",SUBSTITUTE(TEXT(--MID(表1[[#This Row],[证件号码]],7,8),"0000-00-00"),"-","/"))</f>
        <v>1984/10/12</v>
      </c>
      <c r="K81" s="21" t="s">
        <v>386</v>
      </c>
      <c r="L81" s="21"/>
      <c r="M81" s="21" t="s">
        <v>60</v>
      </c>
      <c r="N81" s="22" t="s">
        <v>42</v>
      </c>
      <c r="O81" s="23" t="s">
        <v>398</v>
      </c>
      <c r="P81" s="31"/>
      <c r="Q81" s="25" t="s">
        <v>62</v>
      </c>
      <c r="R81" s="26" t="s">
        <v>246</v>
      </c>
      <c r="S81" s="25" t="s">
        <v>399</v>
      </c>
      <c r="T81" s="27" t="s">
        <v>65</v>
      </c>
      <c r="U81" s="22">
        <v>5500</v>
      </c>
      <c r="V81" s="28">
        <v>89.363636363636374</v>
      </c>
      <c r="W81" s="29">
        <v>21</v>
      </c>
      <c r="X81" s="29">
        <v>30</v>
      </c>
      <c r="Y81" s="30">
        <f>(表1[[#This Row],[能力素质]]*0.6+表1[[#This Row],[潜力评估]]*0.4)*2</f>
        <v>52.8</v>
      </c>
    </row>
    <row r="82" spans="1:25" x14ac:dyDescent="0.2">
      <c r="A82" s="11">
        <f t="shared" si="2"/>
        <v>80</v>
      </c>
      <c r="B82" s="12" t="s">
        <v>400</v>
      </c>
      <c r="C82" s="12" t="s">
        <v>49</v>
      </c>
      <c r="D82" s="13" t="s">
        <v>27</v>
      </c>
      <c r="E82" s="36" t="s">
        <v>401</v>
      </c>
      <c r="F82" s="15">
        <v>44266</v>
      </c>
      <c r="G82" s="16" t="s">
        <v>29</v>
      </c>
      <c r="H82" s="17">
        <f ca="1">IF(G82="","",IF(G82="离职",(DATEDIF(F82,#REF!,"y")*100+DATEDIF(F82,#REF!,"ym"))/100,(DATEDIF(F82,NOW(),"y")*100+DATEDIF(F82,NOW(),"ym"))/100))</f>
        <v>3.03</v>
      </c>
      <c r="I82" s="18">
        <f t="shared" ca="1" si="3"/>
        <v>33</v>
      </c>
      <c r="J82" s="19" t="str">
        <f>IF(表1[[#This Row],[证件号码]]="","",SUBSTITUTE(TEXT(--MID(表1[[#This Row],[证件号码]],7,8),"0000-00-00"),"-","/"))</f>
        <v>1991/02/10</v>
      </c>
      <c r="K82" s="20" t="s">
        <v>402</v>
      </c>
      <c r="L82" s="21"/>
      <c r="M82" s="20" t="s">
        <v>42</v>
      </c>
      <c r="N82" s="22" t="s">
        <v>42</v>
      </c>
      <c r="O82" s="23" t="s">
        <v>53</v>
      </c>
      <c r="P82" s="31"/>
      <c r="Q82" s="25" t="s">
        <v>34</v>
      </c>
      <c r="R82" s="26" t="s">
        <v>115</v>
      </c>
      <c r="S82" s="25" t="s">
        <v>116</v>
      </c>
      <c r="T82" s="27" t="s">
        <v>65</v>
      </c>
      <c r="U82" s="22">
        <v>12200</v>
      </c>
      <c r="V82" s="28">
        <v>108.52031652557967</v>
      </c>
      <c r="W82" s="29">
        <v>30</v>
      </c>
      <c r="X82" s="29">
        <v>46</v>
      </c>
      <c r="Y82" s="30">
        <f>(表1[[#This Row],[能力素质]]*0.6+表1[[#This Row],[潜力评估]]*0.4)*2</f>
        <v>79.199999999999989</v>
      </c>
    </row>
    <row r="83" spans="1:25" x14ac:dyDescent="0.2">
      <c r="A83" s="11">
        <f t="shared" si="2"/>
        <v>81</v>
      </c>
      <c r="B83" s="12" t="s">
        <v>403</v>
      </c>
      <c r="C83" s="12" t="s">
        <v>26</v>
      </c>
      <c r="D83" s="13" t="s">
        <v>39</v>
      </c>
      <c r="E83" s="36" t="s">
        <v>404</v>
      </c>
      <c r="F83" s="15">
        <v>44270</v>
      </c>
      <c r="G83" s="16" t="s">
        <v>29</v>
      </c>
      <c r="H83" s="17">
        <f ca="1">IF(G83="","",IF(G83="离职",(DATEDIF(F83,#REF!,"y")*100+DATEDIF(F83,#REF!,"ym"))/100,(DATEDIF(F83,NOW(),"y")*100+DATEDIF(F83,NOW(),"ym"))/100))</f>
        <v>3.03</v>
      </c>
      <c r="I83" s="18">
        <f t="shared" ca="1" si="3"/>
        <v>27</v>
      </c>
      <c r="J83" s="19" t="str">
        <f>IF(表1[[#This Row],[证件号码]]="","",SUBSTITUTE(TEXT(--MID(表1[[#This Row],[证件号码]],7,8),"0000-00-00"),"-","/"))</f>
        <v>1997/01/07</v>
      </c>
      <c r="K83" s="20" t="s">
        <v>315</v>
      </c>
      <c r="L83" s="21"/>
      <c r="M83" s="20" t="s">
        <v>42</v>
      </c>
      <c r="N83" s="22" t="s">
        <v>42</v>
      </c>
      <c r="O83" s="23" t="s">
        <v>316</v>
      </c>
      <c r="P83" s="31"/>
      <c r="Q83" s="25" t="s">
        <v>34</v>
      </c>
      <c r="R83" s="26" t="s">
        <v>99</v>
      </c>
      <c r="S83" s="25" t="s">
        <v>221</v>
      </c>
      <c r="T83" s="27" t="s">
        <v>65</v>
      </c>
      <c r="U83" s="22">
        <v>6500</v>
      </c>
      <c r="V83" s="28">
        <v>67.728137651821868</v>
      </c>
      <c r="W83" s="29">
        <v>26</v>
      </c>
      <c r="X83" s="29">
        <v>42</v>
      </c>
      <c r="Y83" s="30">
        <f>(表1[[#This Row],[能力素质]]*0.6+表1[[#This Row],[潜力评估]]*0.4)*2</f>
        <v>71.2</v>
      </c>
    </row>
    <row r="84" spans="1:25" x14ac:dyDescent="0.2">
      <c r="A84" s="11">
        <f t="shared" si="2"/>
        <v>82</v>
      </c>
      <c r="B84" s="12" t="s">
        <v>405</v>
      </c>
      <c r="C84" s="12" t="s">
        <v>26</v>
      </c>
      <c r="D84" s="13" t="s">
        <v>27</v>
      </c>
      <c r="E84" s="36" t="s">
        <v>406</v>
      </c>
      <c r="F84" s="15">
        <v>45317</v>
      </c>
      <c r="G84" s="16" t="s">
        <v>29</v>
      </c>
      <c r="H84" s="17">
        <f ca="1">IF(G84="","",IF(G84="离职",(DATEDIF(F84,#REF!,"y")*100+DATEDIF(F84,#REF!,"ym"))/100,(DATEDIF(F84,NOW(),"y")*100+DATEDIF(F84,NOW(),"ym"))/100))</f>
        <v>0.05</v>
      </c>
      <c r="I84" s="18">
        <f t="shared" ca="1" si="3"/>
        <v>33</v>
      </c>
      <c r="J84" s="19" t="str">
        <f>IF(表1[[#This Row],[证件号码]]="","",SUBSTITUTE(TEXT(--MID(表1[[#This Row],[证件号码]],7,8),"0000-00-00"),"-","/"))</f>
        <v>1991/06/19</v>
      </c>
      <c r="K84" s="20" t="s">
        <v>374</v>
      </c>
      <c r="L84" s="21"/>
      <c r="M84" s="20" t="s">
        <v>31</v>
      </c>
      <c r="N84" s="22" t="s">
        <v>31</v>
      </c>
      <c r="O84" s="23" t="s">
        <v>407</v>
      </c>
      <c r="P84" s="31"/>
      <c r="Q84" s="25" t="s">
        <v>44</v>
      </c>
      <c r="R84" s="26" t="s">
        <v>45</v>
      </c>
      <c r="S84" s="25" t="s">
        <v>81</v>
      </c>
      <c r="T84" s="27" t="s">
        <v>65</v>
      </c>
      <c r="U84" s="22">
        <v>14500</v>
      </c>
      <c r="V84" s="28" t="s">
        <v>263</v>
      </c>
      <c r="W84" s="29">
        <v>31</v>
      </c>
      <c r="X84" s="29">
        <v>46</v>
      </c>
      <c r="Y84" s="30">
        <f>(表1[[#This Row],[能力素质]]*0.6+表1[[#This Row],[潜力评估]]*0.4)*2</f>
        <v>80</v>
      </c>
    </row>
    <row r="85" spans="1:25" x14ac:dyDescent="0.2">
      <c r="A85" s="11">
        <f t="shared" si="2"/>
        <v>83</v>
      </c>
      <c r="B85" s="12" t="s">
        <v>408</v>
      </c>
      <c r="C85" s="12" t="s">
        <v>26</v>
      </c>
      <c r="D85" s="13" t="s">
        <v>27</v>
      </c>
      <c r="E85" s="36" t="s">
        <v>409</v>
      </c>
      <c r="F85" s="15">
        <v>44314</v>
      </c>
      <c r="G85" s="16" t="s">
        <v>29</v>
      </c>
      <c r="H85" s="17">
        <f ca="1">IF(G85="","",IF(G85="离职",(DATEDIF(F85,#REF!,"y")*100+DATEDIF(F85,#REF!,"ym"))/100,(DATEDIF(F85,NOW(),"y")*100+DATEDIF(F85,NOW(),"ym"))/100))</f>
        <v>3.02</v>
      </c>
      <c r="I85" s="18">
        <f t="shared" ca="1" si="3"/>
        <v>29</v>
      </c>
      <c r="J85" s="19" t="str">
        <f>IF(表1[[#This Row],[证件号码]]="","",SUBSTITUTE(TEXT(--MID(表1[[#This Row],[证件号码]],7,8),"0000-00-00"),"-","/"))</f>
        <v>1995/10/08</v>
      </c>
      <c r="K85" s="20" t="s">
        <v>80</v>
      </c>
      <c r="L85" s="21"/>
      <c r="M85" s="20" t="s">
        <v>42</v>
      </c>
      <c r="N85" s="29" t="s">
        <v>31</v>
      </c>
      <c r="O85" s="23" t="s">
        <v>410</v>
      </c>
      <c r="P85" s="31"/>
      <c r="Q85" s="25" t="s">
        <v>34</v>
      </c>
      <c r="R85" s="26" t="s">
        <v>115</v>
      </c>
      <c r="S85" s="25" t="s">
        <v>116</v>
      </c>
      <c r="T85" s="27" t="s">
        <v>65</v>
      </c>
      <c r="U85" s="22">
        <v>7500</v>
      </c>
      <c r="V85" s="28">
        <v>79.315587044534411</v>
      </c>
      <c r="W85" s="29">
        <v>24</v>
      </c>
      <c r="X85" s="29">
        <v>37</v>
      </c>
      <c r="Y85" s="30">
        <f>(表1[[#This Row],[能力素质]]*0.6+表1[[#This Row],[潜力评估]]*0.4)*2</f>
        <v>63.6</v>
      </c>
    </row>
    <row r="86" spans="1:25" x14ac:dyDescent="0.2">
      <c r="A86" s="11">
        <f t="shared" si="2"/>
        <v>84</v>
      </c>
      <c r="B86" s="12" t="s">
        <v>411</v>
      </c>
      <c r="C86" s="12" t="s">
        <v>26</v>
      </c>
      <c r="D86" s="13" t="s">
        <v>39</v>
      </c>
      <c r="E86" s="36" t="s">
        <v>412</v>
      </c>
      <c r="F86" s="15">
        <v>44322</v>
      </c>
      <c r="G86" s="16" t="s">
        <v>29</v>
      </c>
      <c r="H86" s="17">
        <f ca="1">IF(G86="","",IF(G86="离职",(DATEDIF(F86,#REF!,"y")*100+DATEDIF(F86,#REF!,"ym"))/100,(DATEDIF(F86,NOW(),"y")*100+DATEDIF(F86,NOW(),"ym"))/100))</f>
        <v>3.01</v>
      </c>
      <c r="I86" s="18">
        <f t="shared" ca="1" si="3"/>
        <v>28</v>
      </c>
      <c r="J86" s="19" t="str">
        <f>IF(表1[[#This Row],[证件号码]]="","",SUBSTITUTE(TEXT(--MID(表1[[#This Row],[证件号码]],7,8),"0000-00-00"),"-","/"))</f>
        <v>1996/10/25</v>
      </c>
      <c r="K86" s="20" t="s">
        <v>413</v>
      </c>
      <c r="L86" s="21"/>
      <c r="M86" s="20" t="s">
        <v>42</v>
      </c>
      <c r="N86" s="29" t="s">
        <v>31</v>
      </c>
      <c r="O86" s="23" t="s">
        <v>133</v>
      </c>
      <c r="P86" s="31"/>
      <c r="Q86" s="25" t="s">
        <v>34</v>
      </c>
      <c r="R86" s="26" t="s">
        <v>99</v>
      </c>
      <c r="S86" s="25" t="s">
        <v>221</v>
      </c>
      <c r="T86" s="27" t="s">
        <v>65</v>
      </c>
      <c r="U86" s="22">
        <v>6000</v>
      </c>
      <c r="V86" s="28">
        <v>53.678947368421056</v>
      </c>
      <c r="W86" s="29">
        <v>20</v>
      </c>
      <c r="X86" s="29">
        <v>40</v>
      </c>
      <c r="Y86" s="30">
        <f>(表1[[#This Row],[能力素质]]*0.6+表1[[#This Row],[潜力评估]]*0.4)*2</f>
        <v>64</v>
      </c>
    </row>
    <row r="87" spans="1:25" x14ac:dyDescent="0.2">
      <c r="A87" s="11">
        <f t="shared" si="2"/>
        <v>85</v>
      </c>
      <c r="B87" s="12" t="s">
        <v>414</v>
      </c>
      <c r="C87" s="12" t="s">
        <v>197</v>
      </c>
      <c r="D87" s="13" t="s">
        <v>27</v>
      </c>
      <c r="E87" s="36" t="s">
        <v>415</v>
      </c>
      <c r="F87" s="15">
        <v>44354</v>
      </c>
      <c r="G87" s="16" t="s">
        <v>29</v>
      </c>
      <c r="H87" s="17">
        <f ca="1">IF(G87="","",IF(G87="离职",(DATEDIF(F87,#REF!,"y")*100+DATEDIF(F87,#REF!,"ym"))/100,(DATEDIF(F87,NOW(),"y")*100+DATEDIF(F87,NOW(),"ym"))/100))</f>
        <v>3</v>
      </c>
      <c r="I87" s="18">
        <f t="shared" ca="1" si="3"/>
        <v>33</v>
      </c>
      <c r="J87" s="19" t="str">
        <f>IF(表1[[#This Row],[证件号码]]="","",SUBSTITUTE(TEXT(--MID(表1[[#This Row],[证件号码]],7,8),"0000-00-00"),"-","/"))</f>
        <v>1991/06/01</v>
      </c>
      <c r="K87" s="21" t="s">
        <v>416</v>
      </c>
      <c r="L87" s="21"/>
      <c r="M87" s="21" t="s">
        <v>52</v>
      </c>
      <c r="N87" s="22" t="s">
        <v>31</v>
      </c>
      <c r="O87" s="23" t="s">
        <v>244</v>
      </c>
      <c r="P87" s="31" t="s">
        <v>417</v>
      </c>
      <c r="Q87" s="25" t="s">
        <v>54</v>
      </c>
      <c r="R87" s="26" t="s">
        <v>87</v>
      </c>
      <c r="S87" s="25" t="s">
        <v>72</v>
      </c>
      <c r="T87" s="27" t="s">
        <v>65</v>
      </c>
      <c r="U87" s="22">
        <v>12500</v>
      </c>
      <c r="V87" s="28">
        <v>28.6</v>
      </c>
      <c r="W87" s="29">
        <v>38</v>
      </c>
      <c r="X87" s="29">
        <v>42</v>
      </c>
      <c r="Y87" s="30">
        <f>(表1[[#This Row],[能力素质]]*0.6+表1[[#This Row],[潜力评估]]*0.4)*2</f>
        <v>80.8</v>
      </c>
    </row>
    <row r="88" spans="1:25" x14ac:dyDescent="0.2">
      <c r="A88" s="11">
        <f t="shared" si="2"/>
        <v>86</v>
      </c>
      <c r="B88" s="12" t="s">
        <v>418</v>
      </c>
      <c r="C88" s="12" t="s">
        <v>26</v>
      </c>
      <c r="D88" s="13" t="s">
        <v>27</v>
      </c>
      <c r="E88" s="36" t="s">
        <v>419</v>
      </c>
      <c r="F88" s="15">
        <v>44362</v>
      </c>
      <c r="G88" s="16" t="s">
        <v>29</v>
      </c>
      <c r="H88" s="17">
        <f ca="1">IF(G88="","",IF(G88="离职",(DATEDIF(F88,#REF!,"y")*100+DATEDIF(F88,#REF!,"ym"))/100,(DATEDIF(F88,NOW(),"y")*100+DATEDIF(F88,NOW(),"ym"))/100))</f>
        <v>3</v>
      </c>
      <c r="I88" s="18">
        <f t="shared" ca="1" si="3"/>
        <v>33</v>
      </c>
      <c r="J88" s="19" t="str">
        <f>IF(表1[[#This Row],[证件号码]]="","",SUBSTITUTE(TEXT(--MID(表1[[#This Row],[证件号码]],7,8),"0000-00-00"),"-","/"))</f>
        <v>1991/10/07</v>
      </c>
      <c r="K88" s="21" t="s">
        <v>420</v>
      </c>
      <c r="L88" s="21"/>
      <c r="M88" s="21" t="s">
        <v>60</v>
      </c>
      <c r="N88" s="22" t="s">
        <v>31</v>
      </c>
      <c r="O88" s="23" t="s">
        <v>43</v>
      </c>
      <c r="P88" s="31"/>
      <c r="Q88" s="25" t="s">
        <v>44</v>
      </c>
      <c r="R88" s="26" t="s">
        <v>45</v>
      </c>
      <c r="S88" s="25" t="s">
        <v>300</v>
      </c>
      <c r="T88" s="27" t="s">
        <v>37</v>
      </c>
      <c r="U88" s="22">
        <v>15000</v>
      </c>
      <c r="V88" s="28">
        <v>148.7994111152006</v>
      </c>
      <c r="W88" s="29">
        <v>33</v>
      </c>
      <c r="X88" s="29">
        <v>44</v>
      </c>
      <c r="Y88" s="30">
        <f>(表1[[#This Row],[能力素质]]*0.6+表1[[#This Row],[潜力评估]]*0.4)*2</f>
        <v>79.2</v>
      </c>
    </row>
    <row r="89" spans="1:25" x14ac:dyDescent="0.2">
      <c r="A89" s="11">
        <f t="shared" si="2"/>
        <v>87</v>
      </c>
      <c r="B89" s="12" t="s">
        <v>421</v>
      </c>
      <c r="C89" s="12" t="s">
        <v>197</v>
      </c>
      <c r="D89" s="13" t="s">
        <v>27</v>
      </c>
      <c r="E89" s="36" t="s">
        <v>422</v>
      </c>
      <c r="F89" s="15">
        <v>44368</v>
      </c>
      <c r="G89" s="16" t="s">
        <v>29</v>
      </c>
      <c r="H89" s="17">
        <f ca="1">IF(G89="","",IF(G89="离职",(DATEDIF(F89,#REF!,"y")*100+DATEDIF(F89,#REF!,"ym"))/100,(DATEDIF(F89,NOW(),"y")*100+DATEDIF(F89,NOW(),"ym"))/100))</f>
        <v>3</v>
      </c>
      <c r="I89" s="18">
        <f t="shared" ca="1" si="3"/>
        <v>49</v>
      </c>
      <c r="J89" s="19" t="str">
        <f>IF(表1[[#This Row],[证件号码]]="","",SUBSTITUTE(TEXT(--MID(表1[[#This Row],[证件号码]],7,8),"0000-00-00"),"-","/"))</f>
        <v>1975/10/05</v>
      </c>
      <c r="K89" s="21" t="s">
        <v>423</v>
      </c>
      <c r="L89" s="21"/>
      <c r="M89" s="21" t="s">
        <v>52</v>
      </c>
      <c r="N89" s="22" t="s">
        <v>31</v>
      </c>
      <c r="O89" s="23" t="s">
        <v>154</v>
      </c>
      <c r="P89" s="31"/>
      <c r="Q89" s="25" t="s">
        <v>54</v>
      </c>
      <c r="R89" s="26" t="s">
        <v>87</v>
      </c>
      <c r="S89" s="25" t="s">
        <v>72</v>
      </c>
      <c r="T89" s="27" t="s">
        <v>65</v>
      </c>
      <c r="U89" s="22">
        <v>15000</v>
      </c>
      <c r="V89" s="28">
        <v>25.7</v>
      </c>
      <c r="W89" s="29">
        <v>32</v>
      </c>
      <c r="X89" s="29">
        <v>36</v>
      </c>
      <c r="Y89" s="30">
        <f>(表1[[#This Row],[能力素质]]*0.6+表1[[#This Row],[潜力评估]]*0.4)*2</f>
        <v>68.8</v>
      </c>
    </row>
    <row r="90" spans="1:25" x14ac:dyDescent="0.2">
      <c r="A90" s="11">
        <f t="shared" si="2"/>
        <v>88</v>
      </c>
      <c r="B90" s="12" t="s">
        <v>424</v>
      </c>
      <c r="C90" s="12" t="s">
        <v>49</v>
      </c>
      <c r="D90" s="13" t="s">
        <v>27</v>
      </c>
      <c r="E90" s="36" t="s">
        <v>425</v>
      </c>
      <c r="F90" s="15">
        <v>44370</v>
      </c>
      <c r="G90" s="16" t="s">
        <v>29</v>
      </c>
      <c r="H90" s="17">
        <f ca="1">IF(G90="","",IF(G90="离职",(DATEDIF(F90,#REF!,"y")*100+DATEDIF(F90,#REF!,"ym"))/100,(DATEDIF(F90,NOW(),"y")*100+DATEDIF(F90,NOW(),"ym"))/100))</f>
        <v>3</v>
      </c>
      <c r="I90" s="18">
        <f t="shared" ca="1" si="3"/>
        <v>27</v>
      </c>
      <c r="J90" s="19" t="str">
        <f>IF(表1[[#This Row],[证件号码]]="","",SUBSTITUTE(TEXT(--MID(表1[[#This Row],[证件号码]],7,8),"0000-00-00"),"-","/"))</f>
        <v>1997/01/19</v>
      </c>
      <c r="K90" s="20" t="s">
        <v>426</v>
      </c>
      <c r="L90" s="21"/>
      <c r="M90" s="20" t="s">
        <v>42</v>
      </c>
      <c r="N90" s="22" t="s">
        <v>42</v>
      </c>
      <c r="O90" s="23" t="s">
        <v>427</v>
      </c>
      <c r="P90" s="31"/>
      <c r="Q90" s="25" t="s">
        <v>34</v>
      </c>
      <c r="R90" s="26" t="s">
        <v>115</v>
      </c>
      <c r="S90" s="25" t="s">
        <v>116</v>
      </c>
      <c r="T90" s="27" t="s">
        <v>65</v>
      </c>
      <c r="U90" s="22">
        <v>17300</v>
      </c>
      <c r="V90" s="28">
        <v>66.592822966507185</v>
      </c>
      <c r="W90" s="29">
        <v>33</v>
      </c>
      <c r="X90" s="29">
        <v>48</v>
      </c>
      <c r="Y90" s="30">
        <f>(表1[[#This Row],[能力素质]]*0.6+表1[[#This Row],[潜力评估]]*0.4)*2</f>
        <v>84</v>
      </c>
    </row>
    <row r="91" spans="1:25" x14ac:dyDescent="0.2">
      <c r="A91" s="11">
        <f t="shared" si="2"/>
        <v>89</v>
      </c>
      <c r="B91" s="12" t="s">
        <v>428</v>
      </c>
      <c r="C91" s="12" t="s">
        <v>26</v>
      </c>
      <c r="D91" s="13" t="s">
        <v>27</v>
      </c>
      <c r="E91" s="36" t="s">
        <v>429</v>
      </c>
      <c r="F91" s="15">
        <v>44371</v>
      </c>
      <c r="G91" s="16" t="s">
        <v>29</v>
      </c>
      <c r="H91" s="17">
        <f ca="1">IF(G91="","",IF(G91="离职",(DATEDIF(F91,#REF!,"y")*100+DATEDIF(F91,#REF!,"ym"))/100,(DATEDIF(F91,NOW(),"y")*100+DATEDIF(F91,NOW(),"ym"))/100))</f>
        <v>3</v>
      </c>
      <c r="I91" s="18">
        <f t="shared" ca="1" si="3"/>
        <v>23</v>
      </c>
      <c r="J91" s="19" t="str">
        <f>IF(表1[[#This Row],[证件号码]]="","",SUBSTITUTE(TEXT(--MID(表1[[#This Row],[证件号码]],7,8),"0000-00-00"),"-","/"))</f>
        <v>2001/10/21</v>
      </c>
      <c r="K91" s="20" t="s">
        <v>430</v>
      </c>
      <c r="L91" s="21"/>
      <c r="M91" s="20" t="s">
        <v>31</v>
      </c>
      <c r="N91" s="22" t="s">
        <v>31</v>
      </c>
      <c r="O91" s="23" t="s">
        <v>43</v>
      </c>
      <c r="P91" s="31"/>
      <c r="Q91" s="25" t="s">
        <v>44</v>
      </c>
      <c r="R91" s="26" t="s">
        <v>45</v>
      </c>
      <c r="S91" s="25" t="s">
        <v>300</v>
      </c>
      <c r="T91" s="27" t="s">
        <v>65</v>
      </c>
      <c r="U91" s="22">
        <v>7000</v>
      </c>
      <c r="V91" s="28">
        <v>137.17123665807875</v>
      </c>
      <c r="W91" s="29">
        <v>20</v>
      </c>
      <c r="X91" s="29">
        <v>32</v>
      </c>
      <c r="Y91" s="30">
        <f>(表1[[#This Row],[能力素质]]*0.6+表1[[#This Row],[潜力评估]]*0.4)*2</f>
        <v>54.4</v>
      </c>
    </row>
    <row r="92" spans="1:25" x14ac:dyDescent="0.2">
      <c r="A92" s="11">
        <f t="shared" si="2"/>
        <v>90</v>
      </c>
      <c r="B92" s="12" t="s">
        <v>431</v>
      </c>
      <c r="C92" s="12" t="s">
        <v>26</v>
      </c>
      <c r="D92" s="13" t="s">
        <v>27</v>
      </c>
      <c r="E92" s="36" t="s">
        <v>432</v>
      </c>
      <c r="F92" s="15">
        <v>44377</v>
      </c>
      <c r="G92" s="16" t="s">
        <v>29</v>
      </c>
      <c r="H92" s="17">
        <f ca="1">IF(G92="","",IF(G92="离职",(DATEDIF(F92,#REF!,"y")*100+DATEDIF(F92,#REF!,"ym"))/100,(DATEDIF(F92,NOW(),"y")*100+DATEDIF(F92,NOW(),"ym"))/100))</f>
        <v>3</v>
      </c>
      <c r="I92" s="18">
        <f t="shared" ca="1" si="3"/>
        <v>28</v>
      </c>
      <c r="J92" s="19" t="str">
        <f>IF(表1[[#This Row],[证件号码]]="","",SUBSTITUTE(TEXT(--MID(表1[[#This Row],[证件号码]],7,8),"0000-00-00"),"-","/"))</f>
        <v>1996/11/22</v>
      </c>
      <c r="K92" s="20" t="s">
        <v>433</v>
      </c>
      <c r="L92" s="21"/>
      <c r="M92" s="20" t="s">
        <v>42</v>
      </c>
      <c r="N92" s="29" t="s">
        <v>31</v>
      </c>
      <c r="O92" s="32" t="s">
        <v>434</v>
      </c>
      <c r="P92" s="31"/>
      <c r="Q92" s="25" t="s">
        <v>44</v>
      </c>
      <c r="R92" s="26" t="s">
        <v>45</v>
      </c>
      <c r="S92" s="25" t="s">
        <v>81</v>
      </c>
      <c r="T92" s="27" t="s">
        <v>65</v>
      </c>
      <c r="U92" s="22">
        <v>10000</v>
      </c>
      <c r="V92" s="28">
        <v>129.0465034965035</v>
      </c>
      <c r="W92" s="29">
        <v>27</v>
      </c>
      <c r="X92" s="29">
        <v>32</v>
      </c>
      <c r="Y92" s="30">
        <f>(表1[[#This Row],[能力素质]]*0.6+表1[[#This Row],[潜力评估]]*0.4)*2</f>
        <v>60</v>
      </c>
    </row>
    <row r="93" spans="1:25" ht="52.5" x14ac:dyDescent="0.2">
      <c r="A93" s="11">
        <f t="shared" si="2"/>
        <v>91</v>
      </c>
      <c r="B93" s="12" t="s">
        <v>435</v>
      </c>
      <c r="C93" s="12" t="s">
        <v>26</v>
      </c>
      <c r="D93" s="13" t="s">
        <v>27</v>
      </c>
      <c r="E93" s="36" t="s">
        <v>436</v>
      </c>
      <c r="F93" s="15">
        <v>44382</v>
      </c>
      <c r="G93" s="16" t="s">
        <v>29</v>
      </c>
      <c r="H93" s="17">
        <f ca="1">IF(G93="","",IF(G93="离职",(DATEDIF(F93,#REF!,"y")*100+DATEDIF(F93,#REF!,"ym"))/100,(DATEDIF(F93,NOW(),"y")*100+DATEDIF(F93,NOW(),"ym"))/100))</f>
        <v>3</v>
      </c>
      <c r="I93" s="18">
        <f t="shared" ca="1" si="3"/>
        <v>37</v>
      </c>
      <c r="J93" s="19" t="str">
        <f>IF(表1[[#This Row],[证件号码]]="","",SUBSTITUTE(TEXT(--MID(表1[[#This Row],[证件号码]],7,8),"0000-00-00"),"-","/"))</f>
        <v>1987/06/20</v>
      </c>
      <c r="K93" s="21" t="s">
        <v>437</v>
      </c>
      <c r="L93" s="21"/>
      <c r="M93" s="21" t="s">
        <v>60</v>
      </c>
      <c r="N93" s="22" t="s">
        <v>31</v>
      </c>
      <c r="O93" s="23" t="s">
        <v>244</v>
      </c>
      <c r="P93" s="24" t="s">
        <v>438</v>
      </c>
      <c r="Q93" s="25" t="s">
        <v>34</v>
      </c>
      <c r="R93" s="26" t="s">
        <v>93</v>
      </c>
      <c r="S93" s="25" t="s">
        <v>94</v>
      </c>
      <c r="T93" s="27" t="s">
        <v>65</v>
      </c>
      <c r="U93" s="22">
        <v>18000</v>
      </c>
      <c r="V93" s="28">
        <v>67.551104158998896</v>
      </c>
      <c r="W93" s="29">
        <v>34</v>
      </c>
      <c r="X93" s="29">
        <v>40</v>
      </c>
      <c r="Y93" s="30">
        <f>(表1[[#This Row],[能力素质]]*0.6+表1[[#This Row],[潜力评估]]*0.4)*2</f>
        <v>75.2</v>
      </c>
    </row>
    <row r="94" spans="1:25" ht="21" x14ac:dyDescent="0.2">
      <c r="A94" s="11">
        <f t="shared" si="2"/>
        <v>92</v>
      </c>
      <c r="B94" s="12" t="s">
        <v>439</v>
      </c>
      <c r="C94" s="12" t="s">
        <v>197</v>
      </c>
      <c r="D94" s="13" t="s">
        <v>27</v>
      </c>
      <c r="E94" s="36" t="s">
        <v>440</v>
      </c>
      <c r="F94" s="15">
        <v>44383</v>
      </c>
      <c r="G94" s="16" t="s">
        <v>29</v>
      </c>
      <c r="H94" s="17">
        <f ca="1">IF(G94="","",IF(G94="离职",(DATEDIF(F94,#REF!,"y")*100+DATEDIF(F94,#REF!,"ym"))/100,(DATEDIF(F94,NOW(),"y")*100+DATEDIF(F94,NOW(),"ym"))/100))</f>
        <v>2.11</v>
      </c>
      <c r="I94" s="18">
        <f t="shared" ca="1" si="3"/>
        <v>36</v>
      </c>
      <c r="J94" s="19" t="str">
        <f>IF(表1[[#This Row],[证件号码]]="","",SUBSTITUTE(TEXT(--MID(表1[[#This Row],[证件号码]],7,8),"0000-00-00"),"-","/"))</f>
        <v>1988/12/28</v>
      </c>
      <c r="K94" s="20" t="s">
        <v>441</v>
      </c>
      <c r="L94" s="21"/>
      <c r="M94" s="20" t="s">
        <v>31</v>
      </c>
      <c r="N94" s="22" t="s">
        <v>31</v>
      </c>
      <c r="O94" s="23" t="s">
        <v>43</v>
      </c>
      <c r="P94" s="24" t="s">
        <v>442</v>
      </c>
      <c r="Q94" s="25" t="s">
        <v>34</v>
      </c>
      <c r="R94" s="26" t="s">
        <v>115</v>
      </c>
      <c r="S94" s="25" t="s">
        <v>116</v>
      </c>
      <c r="T94" s="27" t="s">
        <v>65</v>
      </c>
      <c r="U94" s="22">
        <v>10500</v>
      </c>
      <c r="V94" s="28">
        <v>84.159090909090907</v>
      </c>
      <c r="W94" s="29">
        <v>34</v>
      </c>
      <c r="X94" s="29">
        <v>41</v>
      </c>
      <c r="Y94" s="30">
        <f>(表1[[#This Row],[能力素质]]*0.6+表1[[#This Row],[潜力评估]]*0.4)*2</f>
        <v>76.400000000000006</v>
      </c>
    </row>
    <row r="95" spans="1:25" x14ac:dyDescent="0.2">
      <c r="A95" s="11">
        <f t="shared" si="2"/>
        <v>93</v>
      </c>
      <c r="B95" s="12" t="s">
        <v>443</v>
      </c>
      <c r="C95" s="12" t="s">
        <v>26</v>
      </c>
      <c r="D95" s="13" t="s">
        <v>39</v>
      </c>
      <c r="E95" s="36" t="s">
        <v>444</v>
      </c>
      <c r="F95" s="15">
        <v>44389</v>
      </c>
      <c r="G95" s="16" t="s">
        <v>29</v>
      </c>
      <c r="H95" s="17">
        <f ca="1">IF(G95="","",IF(G95="离职",(DATEDIF(F95,#REF!,"y")*100+DATEDIF(F95,#REF!,"ym"))/100,(DATEDIF(F95,NOW(),"y")*100+DATEDIF(F95,NOW(),"ym"))/100))</f>
        <v>2.11</v>
      </c>
      <c r="I95" s="18">
        <f t="shared" ca="1" si="3"/>
        <v>24</v>
      </c>
      <c r="J95" s="19" t="str">
        <f>IF(表1[[#This Row],[证件号码]]="","",SUBSTITUTE(TEXT(--MID(表1[[#This Row],[证件号码]],7,8),"0000-00-00"),"-","/"))</f>
        <v>2000/07/28</v>
      </c>
      <c r="K95" s="20" t="s">
        <v>445</v>
      </c>
      <c r="L95" s="21"/>
      <c r="M95" s="20" t="s">
        <v>42</v>
      </c>
      <c r="N95" s="22" t="s">
        <v>42</v>
      </c>
      <c r="O95" s="23" t="s">
        <v>316</v>
      </c>
      <c r="P95" s="31"/>
      <c r="Q95" s="25" t="s">
        <v>34</v>
      </c>
      <c r="R95" s="26" t="s">
        <v>99</v>
      </c>
      <c r="S95" s="25" t="s">
        <v>221</v>
      </c>
      <c r="T95" s="27" t="s">
        <v>65</v>
      </c>
      <c r="U95" s="22">
        <v>5800</v>
      </c>
      <c r="V95" s="28">
        <v>68.282775119617213</v>
      </c>
      <c r="W95" s="29">
        <v>24</v>
      </c>
      <c r="X95" s="29">
        <v>40</v>
      </c>
      <c r="Y95" s="30">
        <f>(表1[[#This Row],[能力素质]]*0.6+表1[[#This Row],[潜力评估]]*0.4)*2</f>
        <v>67.2</v>
      </c>
    </row>
    <row r="96" spans="1:25" x14ac:dyDescent="0.2">
      <c r="A96" s="11">
        <f t="shared" si="2"/>
        <v>94</v>
      </c>
      <c r="B96" s="22" t="s">
        <v>446</v>
      </c>
      <c r="C96" s="12" t="s">
        <v>26</v>
      </c>
      <c r="D96" s="37" t="s">
        <v>27</v>
      </c>
      <c r="E96" s="36" t="s">
        <v>447</v>
      </c>
      <c r="F96" s="15">
        <v>44403</v>
      </c>
      <c r="G96" s="16" t="s">
        <v>29</v>
      </c>
      <c r="H96" s="17">
        <f ca="1">IF(G96="","",IF(G96="离职",(DATEDIF(F96,#REF!,"y")*100+DATEDIF(F96,#REF!,"ym"))/100,(DATEDIF(F96,NOW(),"y")*100+DATEDIF(F96,NOW(),"ym"))/100))</f>
        <v>2.11</v>
      </c>
      <c r="I96" s="18">
        <f t="shared" ca="1" si="3"/>
        <v>23</v>
      </c>
      <c r="J96" s="19" t="str">
        <f>IF(表1[[#This Row],[证件号码]]="","",SUBSTITUTE(TEXT(--MID(表1[[#This Row],[证件号码]],7,8),"0000-00-00"),"-","/"))</f>
        <v>2001/01/03</v>
      </c>
      <c r="K96" s="21" t="s">
        <v>448</v>
      </c>
      <c r="L96" s="21"/>
      <c r="M96" s="21" t="s">
        <v>60</v>
      </c>
      <c r="N96" s="22" t="s">
        <v>42</v>
      </c>
      <c r="O96" s="23" t="s">
        <v>316</v>
      </c>
      <c r="P96" s="31"/>
      <c r="Q96" s="25" t="s">
        <v>54</v>
      </c>
      <c r="R96" s="26" t="s">
        <v>145</v>
      </c>
      <c r="S96" s="25" t="s">
        <v>146</v>
      </c>
      <c r="T96" s="35" t="s">
        <v>65</v>
      </c>
      <c r="U96" s="22">
        <v>5000</v>
      </c>
      <c r="V96" s="28">
        <v>88.718181818181819</v>
      </c>
      <c r="W96" s="29">
        <v>20</v>
      </c>
      <c r="X96" s="29">
        <v>42</v>
      </c>
      <c r="Y96" s="30">
        <f>(表1[[#This Row],[能力素质]]*0.6+表1[[#This Row],[潜力评估]]*0.4)*2</f>
        <v>66.400000000000006</v>
      </c>
    </row>
    <row r="97" spans="1:25" x14ac:dyDescent="0.2">
      <c r="A97" s="11">
        <f t="shared" si="2"/>
        <v>95</v>
      </c>
      <c r="B97" s="12" t="s">
        <v>449</v>
      </c>
      <c r="C97" s="12" t="s">
        <v>49</v>
      </c>
      <c r="D97" s="13" t="s">
        <v>27</v>
      </c>
      <c r="E97" s="36" t="s">
        <v>450</v>
      </c>
      <c r="F97" s="15">
        <v>44410</v>
      </c>
      <c r="G97" s="16" t="s">
        <v>29</v>
      </c>
      <c r="H97" s="17">
        <f ca="1">IF(G97="","",IF(G97="离职",(DATEDIF(F97,#REF!,"y")*100+DATEDIF(F97,#REF!,"ym"))/100,(DATEDIF(F97,NOW(),"y")*100+DATEDIF(F97,NOW(),"ym"))/100))</f>
        <v>2.11</v>
      </c>
      <c r="I97" s="18">
        <f t="shared" ca="1" si="3"/>
        <v>40</v>
      </c>
      <c r="J97" s="19" t="str">
        <f>IF(表1[[#This Row],[证件号码]]="","",SUBSTITUTE(TEXT(--MID(表1[[#This Row],[证件号码]],7,8),"0000-00-00"),"-","/"))</f>
        <v>1984/03/20</v>
      </c>
      <c r="K97" s="21" t="s">
        <v>451</v>
      </c>
      <c r="L97" s="21"/>
      <c r="M97" s="21" t="s">
        <v>60</v>
      </c>
      <c r="N97" s="22" t="s">
        <v>42</v>
      </c>
      <c r="O97" s="23" t="s">
        <v>452</v>
      </c>
      <c r="P97" s="31"/>
      <c r="Q97" s="25" t="s">
        <v>54</v>
      </c>
      <c r="R97" s="26" t="s">
        <v>55</v>
      </c>
      <c r="S97" s="25" t="s">
        <v>453</v>
      </c>
      <c r="T97" s="27" t="s">
        <v>65</v>
      </c>
      <c r="U97" s="22">
        <v>18000</v>
      </c>
      <c r="V97" s="28">
        <v>58.772727272727273</v>
      </c>
      <c r="W97" s="29">
        <v>22</v>
      </c>
      <c r="X97" s="29">
        <v>30</v>
      </c>
      <c r="Y97" s="30">
        <f>(表1[[#This Row],[能力素质]]*0.6+表1[[#This Row],[潜力评估]]*0.4)*2</f>
        <v>53.6</v>
      </c>
    </row>
    <row r="98" spans="1:25" x14ac:dyDescent="0.2">
      <c r="A98" s="11">
        <f t="shared" si="2"/>
        <v>96</v>
      </c>
      <c r="B98" s="12" t="s">
        <v>454</v>
      </c>
      <c r="C98" s="12" t="s">
        <v>49</v>
      </c>
      <c r="D98" s="13" t="s">
        <v>27</v>
      </c>
      <c r="E98" s="36" t="s">
        <v>455</v>
      </c>
      <c r="F98" s="15">
        <v>44412</v>
      </c>
      <c r="G98" s="16" t="s">
        <v>29</v>
      </c>
      <c r="H98" s="17">
        <f ca="1">IF(G98="","",IF(G98="离职",(DATEDIF(F98,#REF!,"y")*100+DATEDIF(F98,#REF!,"ym"))/100,(DATEDIF(F98,NOW(),"y")*100+DATEDIF(F98,NOW(),"ym"))/100))</f>
        <v>2.11</v>
      </c>
      <c r="I98" s="18">
        <f t="shared" ca="1" si="3"/>
        <v>31</v>
      </c>
      <c r="J98" s="19" t="str">
        <f>IF(表1[[#This Row],[证件号码]]="","",SUBSTITUTE(TEXT(--MID(表1[[#This Row],[证件号码]],7,8),"0000-00-00"),"-","/"))</f>
        <v>1993/05/14</v>
      </c>
      <c r="K98" s="20" t="s">
        <v>456</v>
      </c>
      <c r="L98" s="21"/>
      <c r="M98" s="20" t="s">
        <v>31</v>
      </c>
      <c r="N98" s="22" t="s">
        <v>31</v>
      </c>
      <c r="O98" s="23" t="s">
        <v>160</v>
      </c>
      <c r="P98" s="31"/>
      <c r="Q98" s="25" t="s">
        <v>34</v>
      </c>
      <c r="R98" s="26" t="s">
        <v>115</v>
      </c>
      <c r="S98" s="25" t="s">
        <v>116</v>
      </c>
      <c r="T98" s="27" t="s">
        <v>65</v>
      </c>
      <c r="U98" s="22">
        <v>14000</v>
      </c>
      <c r="V98" s="28">
        <v>69.408612440191391</v>
      </c>
      <c r="W98" s="29">
        <v>29</v>
      </c>
      <c r="X98" s="29">
        <v>45</v>
      </c>
      <c r="Y98" s="30">
        <f>(表1[[#This Row],[能力素质]]*0.6+表1[[#This Row],[潜力评估]]*0.4)*2</f>
        <v>77.2</v>
      </c>
    </row>
    <row r="99" spans="1:25" x14ac:dyDescent="0.2">
      <c r="A99" s="11">
        <f t="shared" si="2"/>
        <v>97</v>
      </c>
      <c r="B99" s="12" t="s">
        <v>457</v>
      </c>
      <c r="C99" s="12" t="s">
        <v>26</v>
      </c>
      <c r="D99" s="13" t="s">
        <v>27</v>
      </c>
      <c r="E99" s="36" t="s">
        <v>458</v>
      </c>
      <c r="F99" s="15">
        <v>44419</v>
      </c>
      <c r="G99" s="16" t="s">
        <v>29</v>
      </c>
      <c r="H99" s="17">
        <f ca="1">IF(G99="","",IF(G99="离职",(DATEDIF(F99,#REF!,"y")*100+DATEDIF(F99,#REF!,"ym"))/100,(DATEDIF(F99,NOW(),"y")*100+DATEDIF(F99,NOW(),"ym"))/100))</f>
        <v>2.1</v>
      </c>
      <c r="I99" s="18">
        <f t="shared" ca="1" si="3"/>
        <v>26</v>
      </c>
      <c r="J99" s="19" t="str">
        <f>IF(表1[[#This Row],[证件号码]]="","",SUBSTITUTE(TEXT(--MID(表1[[#This Row],[证件号码]],7,8),"0000-00-00"),"-","/"))</f>
        <v>1998/04/23</v>
      </c>
      <c r="K99" s="20" t="s">
        <v>459</v>
      </c>
      <c r="L99" s="21"/>
      <c r="M99" s="20" t="s">
        <v>31</v>
      </c>
      <c r="N99" s="22" t="s">
        <v>31</v>
      </c>
      <c r="O99" s="23" t="s">
        <v>43</v>
      </c>
      <c r="P99" s="31"/>
      <c r="Q99" s="25" t="s">
        <v>44</v>
      </c>
      <c r="R99" s="26" t="s">
        <v>45</v>
      </c>
      <c r="S99" s="25" t="s">
        <v>81</v>
      </c>
      <c r="T99" s="27" t="s">
        <v>65</v>
      </c>
      <c r="U99" s="22">
        <v>9000</v>
      </c>
      <c r="V99" s="28">
        <v>126.59357747515642</v>
      </c>
      <c r="W99" s="29">
        <v>25</v>
      </c>
      <c r="X99" s="29">
        <v>34</v>
      </c>
      <c r="Y99" s="30">
        <f>(表1[[#This Row],[能力素质]]*0.6+表1[[#This Row],[潜力评估]]*0.4)*2</f>
        <v>60.8</v>
      </c>
    </row>
    <row r="100" spans="1:25" ht="21" x14ac:dyDescent="0.2">
      <c r="A100" s="11">
        <f t="shared" si="2"/>
        <v>98</v>
      </c>
      <c r="B100" s="12" t="s">
        <v>460</v>
      </c>
      <c r="C100" s="12" t="s">
        <v>26</v>
      </c>
      <c r="D100" s="13" t="s">
        <v>27</v>
      </c>
      <c r="E100" s="36" t="s">
        <v>461</v>
      </c>
      <c r="F100" s="15">
        <v>44424</v>
      </c>
      <c r="G100" s="16" t="s">
        <v>29</v>
      </c>
      <c r="H100" s="17">
        <f ca="1">IF(G100="","",IF(G100="离职",(DATEDIF(F100,#REF!,"y")*100+DATEDIF(F100,#REF!,"ym"))/100,(DATEDIF(F100,NOW(),"y")*100+DATEDIF(F100,NOW(),"ym"))/100))</f>
        <v>2.1</v>
      </c>
      <c r="I100" s="18">
        <f t="shared" ca="1" si="3"/>
        <v>33</v>
      </c>
      <c r="J100" s="19" t="str">
        <f>IF(表1[[#This Row],[证件号码]]="","",SUBSTITUTE(TEXT(--MID(表1[[#This Row],[证件号码]],7,8),"0000-00-00"),"-","/"))</f>
        <v>1991/03/16</v>
      </c>
      <c r="K100" s="21" t="s">
        <v>462</v>
      </c>
      <c r="L100" s="21"/>
      <c r="M100" s="21" t="s">
        <v>52</v>
      </c>
      <c r="N100" s="22" t="s">
        <v>31</v>
      </c>
      <c r="O100" s="34" t="s">
        <v>463</v>
      </c>
      <c r="P100" s="38" t="s">
        <v>464</v>
      </c>
      <c r="Q100" s="25" t="s">
        <v>44</v>
      </c>
      <c r="R100" s="26" t="s">
        <v>122</v>
      </c>
      <c r="S100" s="25" t="s">
        <v>465</v>
      </c>
      <c r="T100" s="27" t="s">
        <v>47</v>
      </c>
      <c r="U100" s="22">
        <v>18000</v>
      </c>
      <c r="V100" s="28">
        <v>170.87854251012146</v>
      </c>
      <c r="W100" s="29">
        <v>33</v>
      </c>
      <c r="X100" s="29">
        <v>40</v>
      </c>
      <c r="Y100" s="30">
        <f>(表1[[#This Row],[能力素质]]*0.6+表1[[#This Row],[潜力评估]]*0.4)*2</f>
        <v>74.400000000000006</v>
      </c>
    </row>
    <row r="101" spans="1:25" x14ac:dyDescent="0.2">
      <c r="A101" s="11">
        <f t="shared" si="2"/>
        <v>99</v>
      </c>
      <c r="B101" s="12" t="s">
        <v>466</v>
      </c>
      <c r="C101" s="12" t="s">
        <v>26</v>
      </c>
      <c r="D101" s="13" t="s">
        <v>27</v>
      </c>
      <c r="E101" s="36" t="s">
        <v>467</v>
      </c>
      <c r="F101" s="15">
        <v>44431</v>
      </c>
      <c r="G101" s="16" t="s">
        <v>29</v>
      </c>
      <c r="H101" s="17">
        <f ca="1">IF(G101="","",IF(G101="离职",(DATEDIF(F101,#REF!,"y")*100+DATEDIF(F101,#REF!,"ym"))/100,(DATEDIF(F101,NOW(),"y")*100+DATEDIF(F101,NOW(),"ym"))/100))</f>
        <v>2.1</v>
      </c>
      <c r="I101" s="18">
        <f t="shared" ca="1" si="3"/>
        <v>39</v>
      </c>
      <c r="J101" s="19" t="str">
        <f>IF(表1[[#This Row],[证件号码]]="","",SUBSTITUTE(TEXT(--MID(表1[[#This Row],[证件号码]],7,8),"0000-00-00"),"-","/"))</f>
        <v>1985/05/06</v>
      </c>
      <c r="K101" s="21" t="s">
        <v>468</v>
      </c>
      <c r="L101" s="21"/>
      <c r="M101" s="21" t="s">
        <v>60</v>
      </c>
      <c r="N101" s="22" t="s">
        <v>31</v>
      </c>
      <c r="O101" s="23" t="s">
        <v>343</v>
      </c>
      <c r="P101" s="31" t="s">
        <v>469</v>
      </c>
      <c r="Q101" s="25" t="s">
        <v>44</v>
      </c>
      <c r="R101" s="26" t="s">
        <v>45</v>
      </c>
      <c r="S101" s="25" t="s">
        <v>470</v>
      </c>
      <c r="T101" s="27" t="s">
        <v>37</v>
      </c>
      <c r="U101" s="22">
        <v>14000</v>
      </c>
      <c r="V101" s="28">
        <v>118.79981597350017</v>
      </c>
      <c r="W101" s="29">
        <v>22</v>
      </c>
      <c r="X101" s="29">
        <v>36</v>
      </c>
      <c r="Y101" s="30">
        <f>(表1[[#This Row],[能力素质]]*0.6+表1[[#This Row],[潜力评估]]*0.4)*2</f>
        <v>60.8</v>
      </c>
    </row>
    <row r="102" spans="1:25" x14ac:dyDescent="0.2">
      <c r="A102" s="11">
        <f t="shared" si="2"/>
        <v>100</v>
      </c>
      <c r="B102" s="12" t="s">
        <v>471</v>
      </c>
      <c r="C102" s="12" t="s">
        <v>49</v>
      </c>
      <c r="D102" s="13" t="s">
        <v>39</v>
      </c>
      <c r="E102" s="36" t="s">
        <v>472</v>
      </c>
      <c r="F102" s="15">
        <v>44432</v>
      </c>
      <c r="G102" s="16" t="s">
        <v>29</v>
      </c>
      <c r="H102" s="17">
        <f ca="1">IF(G102="","",IF(G102="离职",(DATEDIF(F102,#REF!,"y")*100+DATEDIF(F102,#REF!,"ym"))/100,(DATEDIF(F102,NOW(),"y")*100+DATEDIF(F102,NOW(),"ym"))/100))</f>
        <v>2.1</v>
      </c>
      <c r="I102" s="18">
        <f t="shared" ca="1" si="3"/>
        <v>29</v>
      </c>
      <c r="J102" s="19" t="str">
        <f>IF(表1[[#This Row],[证件号码]]="","",SUBSTITUTE(TEXT(--MID(表1[[#This Row],[证件号码]],7,8),"0000-00-00"),"-","/"))</f>
        <v>1995/08/19</v>
      </c>
      <c r="K102" s="20" t="s">
        <v>473</v>
      </c>
      <c r="L102" s="21"/>
      <c r="M102" s="20" t="s">
        <v>42</v>
      </c>
      <c r="N102" s="22" t="s">
        <v>31</v>
      </c>
      <c r="O102" s="23" t="s">
        <v>43</v>
      </c>
      <c r="P102" s="31" t="s">
        <v>464</v>
      </c>
      <c r="Q102" s="25" t="s">
        <v>34</v>
      </c>
      <c r="R102" s="26" t="s">
        <v>115</v>
      </c>
      <c r="S102" s="25" t="s">
        <v>116</v>
      </c>
      <c r="T102" s="27" t="s">
        <v>65</v>
      </c>
      <c r="U102" s="22">
        <v>13000</v>
      </c>
      <c r="V102" s="28">
        <v>70.639712918660294</v>
      </c>
      <c r="W102" s="29">
        <v>32</v>
      </c>
      <c r="X102" s="29">
        <v>46</v>
      </c>
      <c r="Y102" s="30">
        <f>(表1[[#This Row],[能力素质]]*0.6+表1[[#This Row],[潜力评估]]*0.4)*2</f>
        <v>80.8</v>
      </c>
    </row>
    <row r="103" spans="1:25" x14ac:dyDescent="0.2">
      <c r="A103" s="11">
        <f t="shared" si="2"/>
        <v>101</v>
      </c>
      <c r="B103" s="12" t="s">
        <v>474</v>
      </c>
      <c r="C103" s="12" t="s">
        <v>26</v>
      </c>
      <c r="D103" s="13" t="s">
        <v>39</v>
      </c>
      <c r="E103" s="36" t="s">
        <v>475</v>
      </c>
      <c r="F103" s="15">
        <v>44438</v>
      </c>
      <c r="G103" s="16" t="s">
        <v>29</v>
      </c>
      <c r="H103" s="17">
        <f ca="1">IF(G103="","",IF(G103="离职",(DATEDIF(F103,#REF!,"y")*100+DATEDIF(F103,#REF!,"ym"))/100,(DATEDIF(F103,NOW(),"y")*100+DATEDIF(F103,NOW(),"ym"))/100))</f>
        <v>2.1</v>
      </c>
      <c r="I103" s="18">
        <f t="shared" ca="1" si="3"/>
        <v>27</v>
      </c>
      <c r="J103" s="19" t="str">
        <f>IF(表1[[#This Row],[证件号码]]="","",SUBSTITUTE(TEXT(--MID(表1[[#This Row],[证件号码]],7,8),"0000-00-00"),"-","/"))</f>
        <v>1997/02/14</v>
      </c>
      <c r="K103" s="21" t="s">
        <v>476</v>
      </c>
      <c r="L103" s="21"/>
      <c r="M103" s="21" t="s">
        <v>60</v>
      </c>
      <c r="N103" s="22" t="s">
        <v>42</v>
      </c>
      <c r="O103" s="23" t="s">
        <v>477</v>
      </c>
      <c r="P103" s="31"/>
      <c r="Q103" s="25" t="s">
        <v>54</v>
      </c>
      <c r="R103" s="26" t="s">
        <v>145</v>
      </c>
      <c r="S103" s="25" t="s">
        <v>146</v>
      </c>
      <c r="T103" s="27" t="s">
        <v>65</v>
      </c>
      <c r="U103" s="22">
        <v>5000</v>
      </c>
      <c r="V103" s="28">
        <v>93.663636363636371</v>
      </c>
      <c r="W103" s="29">
        <v>22</v>
      </c>
      <c r="X103" s="29">
        <v>42</v>
      </c>
      <c r="Y103" s="30">
        <f>(表1[[#This Row],[能力素质]]*0.6+表1[[#This Row],[潜力评估]]*0.4)*2</f>
        <v>68</v>
      </c>
    </row>
    <row r="104" spans="1:25" x14ac:dyDescent="0.2">
      <c r="A104" s="11">
        <f t="shared" si="2"/>
        <v>102</v>
      </c>
      <c r="B104" s="12" t="s">
        <v>478</v>
      </c>
      <c r="C104" s="12" t="s">
        <v>83</v>
      </c>
      <c r="D104" s="13" t="s">
        <v>27</v>
      </c>
      <c r="E104" s="36" t="s">
        <v>479</v>
      </c>
      <c r="F104" s="15">
        <v>44452</v>
      </c>
      <c r="G104" s="16" t="s">
        <v>29</v>
      </c>
      <c r="H104" s="17">
        <f ca="1">IF(G104="","",IF(G104="离职",(DATEDIF(F104,#REF!,"y")*100+DATEDIF(F104,#REF!,"ym"))/100,(DATEDIF(F104,NOW(),"y")*100+DATEDIF(F104,NOW(),"ym"))/100))</f>
        <v>2.09</v>
      </c>
      <c r="I104" s="18">
        <f t="shared" ca="1" si="3"/>
        <v>28</v>
      </c>
      <c r="J104" s="19" t="str">
        <f>IF(表1[[#This Row],[证件号码]]="","",SUBSTITUTE(TEXT(--MID(表1[[#This Row],[证件号码]],7,8),"0000-00-00"),"-","/"))</f>
        <v>1996/05/02</v>
      </c>
      <c r="K104" s="20" t="s">
        <v>480</v>
      </c>
      <c r="L104" s="21"/>
      <c r="M104" s="20" t="s">
        <v>42</v>
      </c>
      <c r="N104" s="22" t="s">
        <v>42</v>
      </c>
      <c r="O104" s="23" t="s">
        <v>481</v>
      </c>
      <c r="P104" s="31"/>
      <c r="Q104" s="25" t="s">
        <v>34</v>
      </c>
      <c r="R104" s="26" t="s">
        <v>115</v>
      </c>
      <c r="S104" s="25" t="s">
        <v>116</v>
      </c>
      <c r="T104" s="27" t="s">
        <v>65</v>
      </c>
      <c r="U104" s="22">
        <v>7700</v>
      </c>
      <c r="V104" s="28">
        <v>87.409090909090907</v>
      </c>
      <c r="W104" s="29">
        <v>30</v>
      </c>
      <c r="X104" s="29">
        <v>46</v>
      </c>
      <c r="Y104" s="30">
        <f>(表1[[#This Row],[能力素质]]*0.6+表1[[#This Row],[潜力评估]]*0.4)*2</f>
        <v>79.199999999999989</v>
      </c>
    </row>
    <row r="105" spans="1:25" x14ac:dyDescent="0.2">
      <c r="A105" s="11">
        <f t="shared" si="2"/>
        <v>103</v>
      </c>
      <c r="B105" s="12" t="s">
        <v>482</v>
      </c>
      <c r="C105" s="12" t="s">
        <v>26</v>
      </c>
      <c r="D105" s="13" t="s">
        <v>39</v>
      </c>
      <c r="E105" s="36" t="s">
        <v>483</v>
      </c>
      <c r="F105" s="15">
        <v>44461</v>
      </c>
      <c r="G105" s="16" t="s">
        <v>29</v>
      </c>
      <c r="H105" s="17">
        <f ca="1">IF(G105="","",IF(G105="离职",(DATEDIF(F105,#REF!,"y")*100+DATEDIF(F105,#REF!,"ym"))/100,(DATEDIF(F105,NOW(),"y")*100+DATEDIF(F105,NOW(),"ym"))/100))</f>
        <v>2.09</v>
      </c>
      <c r="I105" s="18">
        <f t="shared" ca="1" si="3"/>
        <v>34</v>
      </c>
      <c r="J105" s="19" t="str">
        <f>IF(表1[[#This Row],[证件号码]]="","",SUBSTITUTE(TEXT(--MID(表1[[#This Row],[证件号码]],7,8),"0000-00-00"),"-","/"))</f>
        <v>1990/07/06</v>
      </c>
      <c r="K105" s="21" t="s">
        <v>484</v>
      </c>
      <c r="L105" s="21"/>
      <c r="M105" s="21" t="s">
        <v>60</v>
      </c>
      <c r="N105" s="22" t="s">
        <v>42</v>
      </c>
      <c r="O105" s="23" t="s">
        <v>154</v>
      </c>
      <c r="P105" s="31" t="s">
        <v>485</v>
      </c>
      <c r="Q105" s="25" t="s">
        <v>54</v>
      </c>
      <c r="R105" s="26" t="s">
        <v>145</v>
      </c>
      <c r="S105" s="25" t="s">
        <v>146</v>
      </c>
      <c r="T105" s="27" t="s">
        <v>65</v>
      </c>
      <c r="U105" s="22">
        <v>5000</v>
      </c>
      <c r="V105" s="28">
        <v>88.88545454545455</v>
      </c>
      <c r="W105" s="29">
        <v>26</v>
      </c>
      <c r="X105" s="29">
        <v>42</v>
      </c>
      <c r="Y105" s="30">
        <f>(表1[[#This Row],[能力素质]]*0.6+表1[[#This Row],[潜力评估]]*0.4)*2</f>
        <v>71.2</v>
      </c>
    </row>
    <row r="106" spans="1:25" x14ac:dyDescent="0.2">
      <c r="A106" s="11">
        <f t="shared" si="2"/>
        <v>104</v>
      </c>
      <c r="B106" s="12" t="s">
        <v>486</v>
      </c>
      <c r="C106" s="12" t="s">
        <v>49</v>
      </c>
      <c r="D106" s="13" t="s">
        <v>39</v>
      </c>
      <c r="E106" s="36" t="s">
        <v>487</v>
      </c>
      <c r="F106" s="15">
        <v>44501</v>
      </c>
      <c r="G106" s="16" t="s">
        <v>29</v>
      </c>
      <c r="H106" s="17">
        <f ca="1">IF(G106="","",IF(G106="离职",(DATEDIF(F106,#REF!,"y")*100+DATEDIF(F106,#REF!,"ym"))/100,(DATEDIF(F106,NOW(),"y")*100+DATEDIF(F106,NOW(),"ym"))/100))</f>
        <v>2.08</v>
      </c>
      <c r="I106" s="18">
        <f t="shared" ca="1" si="3"/>
        <v>32</v>
      </c>
      <c r="J106" s="19" t="str">
        <f>IF(表1[[#This Row],[证件号码]]="","",SUBSTITUTE(TEXT(--MID(表1[[#This Row],[证件号码]],7,8),"0000-00-00"),"-","/"))</f>
        <v>1992/10/01</v>
      </c>
      <c r="K106" s="21" t="s">
        <v>488</v>
      </c>
      <c r="L106" s="21"/>
      <c r="M106" s="21" t="s">
        <v>52</v>
      </c>
      <c r="N106" s="22" t="s">
        <v>31</v>
      </c>
      <c r="O106" s="23" t="s">
        <v>489</v>
      </c>
      <c r="P106" s="31"/>
      <c r="Q106" s="25" t="s">
        <v>54</v>
      </c>
      <c r="R106" s="26" t="s">
        <v>246</v>
      </c>
      <c r="S106" s="25" t="s">
        <v>490</v>
      </c>
      <c r="T106" s="27" t="s">
        <v>65</v>
      </c>
      <c r="U106" s="22">
        <v>11000</v>
      </c>
      <c r="V106" s="28">
        <v>85.218181818181819</v>
      </c>
      <c r="W106" s="29">
        <v>37</v>
      </c>
      <c r="X106" s="39">
        <v>36</v>
      </c>
      <c r="Y106" s="30">
        <f>(表1[[#This Row],[能力素质]]*0.6+表1[[#This Row],[潜力评估]]*0.4)*2</f>
        <v>72.8</v>
      </c>
    </row>
    <row r="107" spans="1:25" x14ac:dyDescent="0.2">
      <c r="A107" s="11">
        <f t="shared" si="2"/>
        <v>105</v>
      </c>
      <c r="B107" s="12" t="s">
        <v>491</v>
      </c>
      <c r="C107" s="12" t="s">
        <v>26</v>
      </c>
      <c r="D107" s="13" t="s">
        <v>27</v>
      </c>
      <c r="E107" s="36" t="s">
        <v>492</v>
      </c>
      <c r="F107" s="15">
        <v>44501</v>
      </c>
      <c r="G107" s="16" t="s">
        <v>29</v>
      </c>
      <c r="H107" s="17">
        <f ca="1">IF(G107="","",IF(G107="离职",(DATEDIF(F107,#REF!,"y")*100+DATEDIF(F107,#REF!,"ym"))/100,(DATEDIF(F107,NOW(),"y")*100+DATEDIF(F107,NOW(),"ym"))/100))</f>
        <v>2.08</v>
      </c>
      <c r="I107" s="18">
        <f t="shared" ca="1" si="3"/>
        <v>40</v>
      </c>
      <c r="J107" s="19" t="str">
        <f>IF(表1[[#This Row],[证件号码]]="","",SUBSTITUTE(TEXT(--MID(表1[[#This Row],[证件号码]],7,8),"0000-00-00"),"-","/"))</f>
        <v>1984/10/23</v>
      </c>
      <c r="K107" s="20" t="s">
        <v>493</v>
      </c>
      <c r="L107" s="21"/>
      <c r="M107" s="20" t="s">
        <v>42</v>
      </c>
      <c r="N107" s="29" t="s">
        <v>31</v>
      </c>
      <c r="O107" s="23" t="s">
        <v>244</v>
      </c>
      <c r="P107" s="31"/>
      <c r="Q107" s="25" t="s">
        <v>44</v>
      </c>
      <c r="R107" s="26" t="s">
        <v>45</v>
      </c>
      <c r="S107" s="25" t="s">
        <v>494</v>
      </c>
      <c r="T107" s="27" t="s">
        <v>47</v>
      </c>
      <c r="U107" s="22">
        <v>27000</v>
      </c>
      <c r="V107" s="28">
        <v>119.76739050423261</v>
      </c>
      <c r="W107" s="29">
        <v>37</v>
      </c>
      <c r="X107" s="29">
        <v>44</v>
      </c>
      <c r="Y107" s="30">
        <f>(表1[[#This Row],[能力素质]]*0.6+表1[[#This Row],[潜力评估]]*0.4)*2</f>
        <v>82.4</v>
      </c>
    </row>
    <row r="108" spans="1:25" x14ac:dyDescent="0.2">
      <c r="A108" s="11">
        <f t="shared" si="2"/>
        <v>106</v>
      </c>
      <c r="B108" s="12" t="s">
        <v>495</v>
      </c>
      <c r="C108" s="12" t="s">
        <v>26</v>
      </c>
      <c r="D108" s="13" t="s">
        <v>27</v>
      </c>
      <c r="E108" s="36" t="s">
        <v>496</v>
      </c>
      <c r="F108" s="15">
        <v>44501</v>
      </c>
      <c r="G108" s="16" t="s">
        <v>29</v>
      </c>
      <c r="H108" s="17">
        <f ca="1">IF(G108="","",IF(G108="离职",(DATEDIF(F108,#REF!,"y")*100+DATEDIF(F108,#REF!,"ym"))/100,(DATEDIF(F108,NOW(),"y")*100+DATEDIF(F108,NOW(),"ym"))/100))</f>
        <v>2.08</v>
      </c>
      <c r="I108" s="18">
        <f t="shared" ca="1" si="3"/>
        <v>26</v>
      </c>
      <c r="J108" s="19" t="str">
        <f>IF(表1[[#This Row],[证件号码]]="","",SUBSTITUTE(TEXT(--MID(表1[[#This Row],[证件号码]],7,8),"0000-00-00"),"-","/"))</f>
        <v>1998/11/24</v>
      </c>
      <c r="K108" s="20" t="s">
        <v>497</v>
      </c>
      <c r="L108" s="21"/>
      <c r="M108" s="20" t="s">
        <v>42</v>
      </c>
      <c r="N108" s="29" t="s">
        <v>31</v>
      </c>
      <c r="O108" s="23" t="s">
        <v>43</v>
      </c>
      <c r="P108" s="31"/>
      <c r="Q108" s="25" t="s">
        <v>44</v>
      </c>
      <c r="R108" s="26" t="s">
        <v>45</v>
      </c>
      <c r="S108" s="25" t="s">
        <v>81</v>
      </c>
      <c r="T108" s="27" t="s">
        <v>65</v>
      </c>
      <c r="U108" s="22">
        <v>9500</v>
      </c>
      <c r="V108" s="28">
        <v>114.70506440927494</v>
      </c>
      <c r="W108" s="29">
        <v>31</v>
      </c>
      <c r="X108" s="29">
        <v>38</v>
      </c>
      <c r="Y108" s="30">
        <f>(表1[[#This Row],[能力素质]]*0.6+表1[[#This Row],[潜力评估]]*0.4)*2</f>
        <v>70.400000000000006</v>
      </c>
    </row>
    <row r="109" spans="1:25" x14ac:dyDescent="0.2">
      <c r="A109" s="11">
        <f t="shared" si="2"/>
        <v>107</v>
      </c>
      <c r="B109" s="12" t="s">
        <v>498</v>
      </c>
      <c r="C109" s="12" t="s">
        <v>368</v>
      </c>
      <c r="D109" s="13" t="s">
        <v>27</v>
      </c>
      <c r="E109" s="36" t="s">
        <v>499</v>
      </c>
      <c r="F109" s="15">
        <v>44502</v>
      </c>
      <c r="G109" s="16" t="s">
        <v>29</v>
      </c>
      <c r="H109" s="17">
        <f ca="1">IF(G109="","",IF(G109="离职",(DATEDIF(F109,#REF!,"y")*100+DATEDIF(F109,#REF!,"ym"))/100,(DATEDIF(F109,NOW(),"y")*100+DATEDIF(F109,NOW(),"ym"))/100))</f>
        <v>2.08</v>
      </c>
      <c r="I109" s="18">
        <f t="shared" ca="1" si="3"/>
        <v>32</v>
      </c>
      <c r="J109" s="19" t="str">
        <f>IF(表1[[#This Row],[证件号码]]="","",SUBSTITUTE(TEXT(--MID(表1[[#This Row],[证件号码]],7,8),"0000-00-00"),"-","/"))</f>
        <v>1992/08/06</v>
      </c>
      <c r="K109" s="20" t="s">
        <v>500</v>
      </c>
      <c r="L109" s="21"/>
      <c r="M109" s="20" t="s">
        <v>42</v>
      </c>
      <c r="N109" s="22" t="s">
        <v>42</v>
      </c>
      <c r="O109" s="23" t="s">
        <v>133</v>
      </c>
      <c r="P109" s="31"/>
      <c r="Q109" s="25" t="s">
        <v>34</v>
      </c>
      <c r="R109" s="26" t="s">
        <v>115</v>
      </c>
      <c r="S109" s="25" t="s">
        <v>116</v>
      </c>
      <c r="T109" s="27" t="s">
        <v>65</v>
      </c>
      <c r="U109" s="22">
        <v>11000</v>
      </c>
      <c r="V109" s="28">
        <v>90.927272727272737</v>
      </c>
      <c r="W109" s="29">
        <v>30</v>
      </c>
      <c r="X109" s="29">
        <v>37</v>
      </c>
      <c r="Y109" s="30">
        <f>(表1[[#This Row],[能力素质]]*0.6+表1[[#This Row],[潜力评估]]*0.4)*2</f>
        <v>68.400000000000006</v>
      </c>
    </row>
    <row r="110" spans="1:25" x14ac:dyDescent="0.2">
      <c r="A110" s="11">
        <f t="shared" si="2"/>
        <v>108</v>
      </c>
      <c r="B110" s="12" t="s">
        <v>501</v>
      </c>
      <c r="C110" s="12" t="s">
        <v>26</v>
      </c>
      <c r="D110" s="13" t="s">
        <v>27</v>
      </c>
      <c r="E110" s="36" t="s">
        <v>502</v>
      </c>
      <c r="F110" s="15">
        <v>44522</v>
      </c>
      <c r="G110" s="16" t="s">
        <v>29</v>
      </c>
      <c r="H110" s="17">
        <f ca="1">IF(G110="","",IF(G110="离职",(DATEDIF(F110,#REF!,"y")*100+DATEDIF(F110,#REF!,"ym"))/100,(DATEDIF(F110,NOW(),"y")*100+DATEDIF(F110,NOW(),"ym"))/100))</f>
        <v>2.0699999999999998</v>
      </c>
      <c r="I110" s="18">
        <f t="shared" ca="1" si="3"/>
        <v>34</v>
      </c>
      <c r="J110" s="19" t="str">
        <f>IF(表1[[#This Row],[证件号码]]="","",SUBSTITUTE(TEXT(--MID(表1[[#This Row],[证件号码]],7,8),"0000-00-00"),"-","/"))</f>
        <v>1990/05/25</v>
      </c>
      <c r="K110" s="21" t="s">
        <v>503</v>
      </c>
      <c r="L110" s="21"/>
      <c r="M110" s="21" t="s">
        <v>60</v>
      </c>
      <c r="N110" s="22" t="s">
        <v>42</v>
      </c>
      <c r="O110" s="34" t="s">
        <v>504</v>
      </c>
      <c r="P110" s="31"/>
      <c r="Q110" s="25" t="s">
        <v>44</v>
      </c>
      <c r="R110" s="26" t="s">
        <v>122</v>
      </c>
      <c r="S110" s="25" t="s">
        <v>505</v>
      </c>
      <c r="T110" s="27" t="s">
        <v>65</v>
      </c>
      <c r="U110" s="22">
        <v>9000</v>
      </c>
      <c r="V110" s="28">
        <v>88.299227088700775</v>
      </c>
      <c r="W110" s="29">
        <v>24</v>
      </c>
      <c r="X110" s="29">
        <v>40</v>
      </c>
      <c r="Y110" s="30">
        <f>(表1[[#This Row],[能力素质]]*0.6+表1[[#This Row],[潜力评估]]*0.4)*2</f>
        <v>67.2</v>
      </c>
    </row>
    <row r="111" spans="1:25" x14ac:dyDescent="0.2">
      <c r="A111" s="11">
        <f t="shared" si="2"/>
        <v>109</v>
      </c>
      <c r="B111" s="22" t="s">
        <v>506</v>
      </c>
      <c r="C111" s="12" t="s">
        <v>26</v>
      </c>
      <c r="D111" s="37" t="s">
        <v>27</v>
      </c>
      <c r="E111" s="36" t="s">
        <v>507</v>
      </c>
      <c r="F111" s="15">
        <v>44529</v>
      </c>
      <c r="G111" s="16" t="s">
        <v>29</v>
      </c>
      <c r="H111" s="17">
        <f ca="1">IF(G111="","",IF(G111="离职",(DATEDIF(F111,#REF!,"y")*100+DATEDIF(F111,#REF!,"ym"))/100,(DATEDIF(F111,NOW(),"y")*100+DATEDIF(F111,NOW(),"ym"))/100))</f>
        <v>2.0699999999999998</v>
      </c>
      <c r="I111" s="18">
        <f t="shared" ca="1" si="3"/>
        <v>26</v>
      </c>
      <c r="J111" s="19" t="str">
        <f>IF(表1[[#This Row],[证件号码]]="","",SUBSTITUTE(TEXT(--MID(表1[[#This Row],[证件号码]],7,8),"0000-00-00"),"-","/"))</f>
        <v>1998/04/01</v>
      </c>
      <c r="K111" s="20" t="s">
        <v>315</v>
      </c>
      <c r="L111" s="21"/>
      <c r="M111" s="20" t="s">
        <v>42</v>
      </c>
      <c r="N111" s="22" t="s">
        <v>42</v>
      </c>
      <c r="O111" s="23" t="s">
        <v>316</v>
      </c>
      <c r="P111" s="31"/>
      <c r="Q111" s="25" t="s">
        <v>44</v>
      </c>
      <c r="R111" s="26" t="s">
        <v>45</v>
      </c>
      <c r="S111" s="25" t="s">
        <v>169</v>
      </c>
      <c r="T111" s="35" t="s">
        <v>65</v>
      </c>
      <c r="U111" s="22">
        <v>10000</v>
      </c>
      <c r="V111" s="28">
        <v>107.90403018034597</v>
      </c>
      <c r="W111" s="29">
        <v>26</v>
      </c>
      <c r="X111" s="29">
        <v>42</v>
      </c>
      <c r="Y111" s="30">
        <f>(表1[[#This Row],[能力素质]]*0.6+表1[[#This Row],[潜力评估]]*0.4)*2</f>
        <v>71.2</v>
      </c>
    </row>
    <row r="112" spans="1:25" x14ac:dyDescent="0.2">
      <c r="A112" s="11">
        <f t="shared" si="2"/>
        <v>110</v>
      </c>
      <c r="B112" s="22" t="s">
        <v>508</v>
      </c>
      <c r="C112" s="12" t="s">
        <v>26</v>
      </c>
      <c r="D112" s="37" t="s">
        <v>39</v>
      </c>
      <c r="E112" s="36" t="s">
        <v>509</v>
      </c>
      <c r="F112" s="15">
        <v>44529</v>
      </c>
      <c r="G112" s="16" t="s">
        <v>29</v>
      </c>
      <c r="H112" s="17">
        <f ca="1">IF(G112="","",IF(G112="离职",(DATEDIF(F112,#REF!,"y")*100+DATEDIF(F112,#REF!,"ym"))/100,(DATEDIF(F112,NOW(),"y")*100+DATEDIF(F112,NOW(),"ym"))/100))</f>
        <v>2.0699999999999998</v>
      </c>
      <c r="I112" s="18">
        <f t="shared" ca="1" si="3"/>
        <v>38</v>
      </c>
      <c r="J112" s="19" t="str">
        <f>IF(表1[[#This Row],[证件号码]]="","",SUBSTITUTE(TEXT(--MID(表1[[#This Row],[证件号码]],7,8),"0000-00-00"),"-","/"))</f>
        <v>1986/04/04</v>
      </c>
      <c r="K112" s="21" t="s">
        <v>510</v>
      </c>
      <c r="L112" s="21"/>
      <c r="M112" s="21" t="s">
        <v>52</v>
      </c>
      <c r="N112" s="22" t="s">
        <v>31</v>
      </c>
      <c r="O112" s="23" t="s">
        <v>511</v>
      </c>
      <c r="P112" s="31"/>
      <c r="Q112" s="25" t="s">
        <v>62</v>
      </c>
      <c r="R112" s="26" t="s">
        <v>246</v>
      </c>
      <c r="S112" s="25" t="s">
        <v>512</v>
      </c>
      <c r="T112" s="35" t="s">
        <v>37</v>
      </c>
      <c r="U112" s="22">
        <v>13000</v>
      </c>
      <c r="V112" s="28">
        <v>96.463636363636368</v>
      </c>
      <c r="W112" s="29">
        <v>35</v>
      </c>
      <c r="X112" s="29">
        <v>44</v>
      </c>
      <c r="Y112" s="30">
        <f>(表1[[#This Row],[能力素质]]*0.6+表1[[#This Row],[潜力评估]]*0.4)*2</f>
        <v>80.8</v>
      </c>
    </row>
    <row r="113" spans="1:25" x14ac:dyDescent="0.2">
      <c r="A113" s="11">
        <f t="shared" si="2"/>
        <v>111</v>
      </c>
      <c r="B113" s="12" t="s">
        <v>513</v>
      </c>
      <c r="C113" s="12" t="s">
        <v>26</v>
      </c>
      <c r="D113" s="13" t="s">
        <v>27</v>
      </c>
      <c r="E113" s="36" t="s">
        <v>514</v>
      </c>
      <c r="F113" s="15">
        <v>44531</v>
      </c>
      <c r="G113" s="16" t="s">
        <v>29</v>
      </c>
      <c r="H113" s="17">
        <f ca="1">IF(G113="","",IF(G113="离职",(DATEDIF(F113,#REF!,"y")*100+DATEDIF(F113,#REF!,"ym"))/100,(DATEDIF(F113,NOW(),"y")*100+DATEDIF(F113,NOW(),"ym"))/100))</f>
        <v>2.0699999999999998</v>
      </c>
      <c r="I113" s="18">
        <f t="shared" ca="1" si="3"/>
        <v>27</v>
      </c>
      <c r="J113" s="19" t="str">
        <f>IF(表1[[#This Row],[证件号码]]="","",SUBSTITUTE(TEXT(--MID(表1[[#This Row],[证件号码]],7,8),"0000-00-00"),"-","/"))</f>
        <v>1997/11/15</v>
      </c>
      <c r="K113" s="21" t="s">
        <v>515</v>
      </c>
      <c r="L113" s="21"/>
      <c r="M113" s="21" t="s">
        <v>60</v>
      </c>
      <c r="N113" s="22" t="s">
        <v>31</v>
      </c>
      <c r="O113" s="23" t="s">
        <v>481</v>
      </c>
      <c r="P113" s="31" t="s">
        <v>516</v>
      </c>
      <c r="Q113" s="25" t="s">
        <v>44</v>
      </c>
      <c r="R113" s="26" t="s">
        <v>45</v>
      </c>
      <c r="S113" s="25" t="s">
        <v>300</v>
      </c>
      <c r="T113" s="27" t="s">
        <v>65</v>
      </c>
      <c r="U113" s="22">
        <v>12000</v>
      </c>
      <c r="V113" s="28">
        <v>118.02668384247332</v>
      </c>
      <c r="W113" s="29">
        <v>38</v>
      </c>
      <c r="X113" s="29">
        <v>44</v>
      </c>
      <c r="Y113" s="30">
        <f>(表1[[#This Row],[能力素质]]*0.6+表1[[#This Row],[潜力评估]]*0.4)*2</f>
        <v>83.2</v>
      </c>
    </row>
    <row r="114" spans="1:25" x14ac:dyDescent="0.2">
      <c r="A114" s="11">
        <f t="shared" si="2"/>
        <v>112</v>
      </c>
      <c r="B114" s="12" t="s">
        <v>517</v>
      </c>
      <c r="C114" s="12" t="s">
        <v>26</v>
      </c>
      <c r="D114" s="13" t="s">
        <v>39</v>
      </c>
      <c r="E114" s="36" t="s">
        <v>518</v>
      </c>
      <c r="F114" s="15">
        <v>44606</v>
      </c>
      <c r="G114" s="16" t="s">
        <v>29</v>
      </c>
      <c r="H114" s="17">
        <f ca="1">IF(G114="","",IF(G114="离职",(DATEDIF(F114,#REF!,"y")*100+DATEDIF(F114,#REF!,"ym"))/100,(DATEDIF(F114,NOW(),"y")*100+DATEDIF(F114,NOW(),"ym"))/100))</f>
        <v>2.04</v>
      </c>
      <c r="I114" s="18">
        <f t="shared" ca="1" si="3"/>
        <v>33</v>
      </c>
      <c r="J114" s="19" t="str">
        <f>IF(表1[[#This Row],[证件号码]]="","",SUBSTITUTE(TEXT(--MID(表1[[#This Row],[证件号码]],7,8),"0000-00-00"),"-","/"))</f>
        <v>1991/06/02</v>
      </c>
      <c r="K114" s="21" t="s">
        <v>519</v>
      </c>
      <c r="L114" s="21"/>
      <c r="M114" s="21" t="s">
        <v>52</v>
      </c>
      <c r="N114" s="22" t="s">
        <v>31</v>
      </c>
      <c r="O114" s="23" t="s">
        <v>520</v>
      </c>
      <c r="P114" s="31" t="s">
        <v>521</v>
      </c>
      <c r="Q114" s="25" t="s">
        <v>54</v>
      </c>
      <c r="R114" s="26" t="s">
        <v>145</v>
      </c>
      <c r="S114" s="25" t="s">
        <v>146</v>
      </c>
      <c r="T114" s="27" t="s">
        <v>65</v>
      </c>
      <c r="U114" s="22">
        <v>4500</v>
      </c>
      <c r="V114" s="28">
        <v>91.2</v>
      </c>
      <c r="W114" s="29">
        <v>25</v>
      </c>
      <c r="X114" s="29">
        <v>42</v>
      </c>
      <c r="Y114" s="30">
        <f>(表1[[#This Row],[能力素质]]*0.6+表1[[#This Row],[潜力评估]]*0.4)*2</f>
        <v>70.400000000000006</v>
      </c>
    </row>
    <row r="115" spans="1:25" x14ac:dyDescent="0.2">
      <c r="A115" s="11">
        <f t="shared" si="2"/>
        <v>113</v>
      </c>
      <c r="B115" s="12" t="s">
        <v>522</v>
      </c>
      <c r="C115" s="12" t="s">
        <v>26</v>
      </c>
      <c r="D115" s="13" t="s">
        <v>27</v>
      </c>
      <c r="E115" s="36" t="s">
        <v>523</v>
      </c>
      <c r="F115" s="15">
        <v>44606</v>
      </c>
      <c r="G115" s="16" t="s">
        <v>29</v>
      </c>
      <c r="H115" s="17">
        <f ca="1">IF(G115="","",IF(G115="离职",(DATEDIF(F115,#REF!,"y")*100+DATEDIF(F115,#REF!,"ym"))/100,(DATEDIF(F115,NOW(),"y")*100+DATEDIF(F115,NOW(),"ym"))/100))</f>
        <v>2.04</v>
      </c>
      <c r="I115" s="18">
        <f t="shared" ca="1" si="3"/>
        <v>32</v>
      </c>
      <c r="J115" s="19" t="str">
        <f>IF(表1[[#This Row],[证件号码]]="","",SUBSTITUTE(TEXT(--MID(表1[[#This Row],[证件号码]],7,8),"0000-00-00"),"-","/"))</f>
        <v>1992/12/29</v>
      </c>
      <c r="K115" s="21" t="s">
        <v>524</v>
      </c>
      <c r="L115" s="21"/>
      <c r="M115" s="21" t="s">
        <v>60</v>
      </c>
      <c r="N115" s="22" t="s">
        <v>42</v>
      </c>
      <c r="O115" s="32" t="s">
        <v>525</v>
      </c>
      <c r="P115" s="31"/>
      <c r="Q115" s="25" t="s">
        <v>54</v>
      </c>
      <c r="R115" s="26" t="s">
        <v>192</v>
      </c>
      <c r="S115" s="25" t="s">
        <v>72</v>
      </c>
      <c r="T115" s="27" t="s">
        <v>65</v>
      </c>
      <c r="U115" s="22">
        <v>12000</v>
      </c>
      <c r="V115" s="28">
        <v>29.6</v>
      </c>
      <c r="W115" s="29">
        <v>28</v>
      </c>
      <c r="X115" s="29">
        <v>40</v>
      </c>
      <c r="Y115" s="30">
        <f>(表1[[#This Row],[能力素质]]*0.6+表1[[#This Row],[潜力评估]]*0.4)*2</f>
        <v>70.400000000000006</v>
      </c>
    </row>
    <row r="116" spans="1:25" ht="31.5" x14ac:dyDescent="0.2">
      <c r="A116" s="11">
        <f t="shared" si="2"/>
        <v>114</v>
      </c>
      <c r="B116" s="12" t="s">
        <v>526</v>
      </c>
      <c r="C116" s="12" t="s">
        <v>197</v>
      </c>
      <c r="D116" s="13" t="s">
        <v>27</v>
      </c>
      <c r="E116" s="36" t="s">
        <v>527</v>
      </c>
      <c r="F116" s="15">
        <v>44609</v>
      </c>
      <c r="G116" s="16" t="s">
        <v>29</v>
      </c>
      <c r="H116" s="17">
        <f ca="1">IF(G116="","",IF(G116="离职",(DATEDIF(F116,#REF!,"y")*100+DATEDIF(F116,#REF!,"ym"))/100,(DATEDIF(F116,NOW(),"y")*100+DATEDIF(F116,NOW(),"ym"))/100))</f>
        <v>2.04</v>
      </c>
      <c r="I116" s="18">
        <f t="shared" ca="1" si="3"/>
        <v>42</v>
      </c>
      <c r="J116" s="19" t="str">
        <f>IF(表1[[#This Row],[证件号码]]="","",SUBSTITUTE(TEXT(--MID(表1[[#This Row],[证件号码]],7,8),"0000-00-00"),"-","/"))</f>
        <v>1982/09/06</v>
      </c>
      <c r="K116" s="20" t="s">
        <v>528</v>
      </c>
      <c r="L116" s="21"/>
      <c r="M116" s="20" t="s">
        <v>31</v>
      </c>
      <c r="N116" s="22" t="s">
        <v>31</v>
      </c>
      <c r="O116" s="23" t="s">
        <v>43</v>
      </c>
      <c r="P116" s="24" t="s">
        <v>529</v>
      </c>
      <c r="Q116" s="25" t="s">
        <v>34</v>
      </c>
      <c r="R116" s="26" t="s">
        <v>93</v>
      </c>
      <c r="S116" s="25" t="s">
        <v>530</v>
      </c>
      <c r="T116" s="27" t="s">
        <v>37</v>
      </c>
      <c r="U116" s="22">
        <v>19500</v>
      </c>
      <c r="V116" s="28">
        <v>95.190909090909088</v>
      </c>
      <c r="W116" s="29">
        <v>38</v>
      </c>
      <c r="X116" s="29">
        <v>42</v>
      </c>
      <c r="Y116" s="30">
        <f>(表1[[#This Row],[能力素质]]*0.6+表1[[#This Row],[潜力评估]]*0.4)*2</f>
        <v>80.8</v>
      </c>
    </row>
    <row r="117" spans="1:25" x14ac:dyDescent="0.2">
      <c r="A117" s="11">
        <f t="shared" si="2"/>
        <v>115</v>
      </c>
      <c r="B117" s="12" t="s">
        <v>531</v>
      </c>
      <c r="C117" s="12" t="s">
        <v>26</v>
      </c>
      <c r="D117" s="13" t="s">
        <v>27</v>
      </c>
      <c r="E117" s="36" t="s">
        <v>532</v>
      </c>
      <c r="F117" s="15">
        <v>44613</v>
      </c>
      <c r="G117" s="16" t="s">
        <v>29</v>
      </c>
      <c r="H117" s="17">
        <f ca="1">IF(G117="","",IF(G117="离职",(DATEDIF(F117,#REF!,"y")*100+DATEDIF(F117,#REF!,"ym"))/100,(DATEDIF(F117,NOW(),"y")*100+DATEDIF(F117,NOW(),"ym"))/100))</f>
        <v>2.04</v>
      </c>
      <c r="I117" s="18">
        <f t="shared" ca="1" si="3"/>
        <v>32</v>
      </c>
      <c r="J117" s="19" t="str">
        <f>IF(表1[[#This Row],[证件号码]]="","",SUBSTITUTE(TEXT(--MID(表1[[#This Row],[证件号码]],7,8),"0000-00-00"),"-","/"))</f>
        <v>1992/11/22</v>
      </c>
      <c r="K117" s="20" t="s">
        <v>533</v>
      </c>
      <c r="L117" s="21"/>
      <c r="M117" s="20" t="s">
        <v>31</v>
      </c>
      <c r="N117" s="22" t="s">
        <v>31</v>
      </c>
      <c r="O117" s="23" t="s">
        <v>481</v>
      </c>
      <c r="P117" s="31"/>
      <c r="Q117" s="25" t="s">
        <v>44</v>
      </c>
      <c r="R117" s="26" t="s">
        <v>45</v>
      </c>
      <c r="S117" s="25" t="s">
        <v>300</v>
      </c>
      <c r="T117" s="27" t="s">
        <v>65</v>
      </c>
      <c r="U117" s="22">
        <v>13000</v>
      </c>
      <c r="V117" s="28">
        <v>109.22013249907985</v>
      </c>
      <c r="W117" s="29">
        <v>32</v>
      </c>
      <c r="X117" s="29">
        <v>40</v>
      </c>
      <c r="Y117" s="30">
        <f>(表1[[#This Row],[能力素质]]*0.6+表1[[#This Row],[潜力评估]]*0.4)*2</f>
        <v>73.599999999999994</v>
      </c>
    </row>
    <row r="118" spans="1:25" x14ac:dyDescent="0.2">
      <c r="A118" s="11">
        <f t="shared" si="2"/>
        <v>116</v>
      </c>
      <c r="B118" s="12" t="s">
        <v>534</v>
      </c>
      <c r="C118" s="12" t="s">
        <v>26</v>
      </c>
      <c r="D118" s="13" t="s">
        <v>39</v>
      </c>
      <c r="E118" s="36" t="s">
        <v>535</v>
      </c>
      <c r="F118" s="15">
        <v>44613</v>
      </c>
      <c r="G118" s="16" t="s">
        <v>29</v>
      </c>
      <c r="H118" s="17">
        <f ca="1">IF(G118="","",IF(G118="离职",(DATEDIF(F118,#REF!,"y")*100+DATEDIF(F118,#REF!,"ym"))/100,(DATEDIF(F118,NOW(),"y")*100+DATEDIF(F118,NOW(),"ym"))/100))</f>
        <v>2.04</v>
      </c>
      <c r="I118" s="18">
        <f t="shared" ca="1" si="3"/>
        <v>37</v>
      </c>
      <c r="J118" s="19" t="str">
        <f>IF(表1[[#This Row],[证件号码]]="","",SUBSTITUTE(TEXT(--MID(表1[[#This Row],[证件号码]],7,8),"0000-00-00"),"-","/"))</f>
        <v>1987/06/15</v>
      </c>
      <c r="K118" s="21" t="s">
        <v>437</v>
      </c>
      <c r="L118" s="21"/>
      <c r="M118" s="21" t="s">
        <v>60</v>
      </c>
      <c r="N118" s="22" t="s">
        <v>31</v>
      </c>
      <c r="O118" s="23" t="s">
        <v>182</v>
      </c>
      <c r="P118" s="31"/>
      <c r="Q118" s="25" t="s">
        <v>44</v>
      </c>
      <c r="R118" s="26" t="s">
        <v>45</v>
      </c>
      <c r="S118" s="25" t="s">
        <v>169</v>
      </c>
      <c r="T118" s="27" t="s">
        <v>65</v>
      </c>
      <c r="U118" s="22">
        <v>9000</v>
      </c>
      <c r="V118" s="28">
        <v>86.493894000736105</v>
      </c>
      <c r="W118" s="29">
        <v>31</v>
      </c>
      <c r="X118" s="29">
        <v>42</v>
      </c>
      <c r="Y118" s="30">
        <f>(表1[[#This Row],[能力素质]]*0.6+表1[[#This Row],[潜力评估]]*0.4)*2</f>
        <v>75.2</v>
      </c>
    </row>
    <row r="119" spans="1:25" x14ac:dyDescent="0.2">
      <c r="A119" s="11">
        <f t="shared" si="2"/>
        <v>117</v>
      </c>
      <c r="B119" s="12" t="s">
        <v>536</v>
      </c>
      <c r="C119" s="12" t="s">
        <v>26</v>
      </c>
      <c r="D119" s="13" t="s">
        <v>27</v>
      </c>
      <c r="E119" s="36" t="s">
        <v>537</v>
      </c>
      <c r="F119" s="15">
        <v>44617</v>
      </c>
      <c r="G119" s="16" t="s">
        <v>29</v>
      </c>
      <c r="H119" s="17">
        <f ca="1">IF(G119="","",IF(G119="离职",(DATEDIF(F119,#REF!,"y")*100+DATEDIF(F119,#REF!,"ym"))/100,(DATEDIF(F119,NOW(),"y")*100+DATEDIF(F119,NOW(),"ym"))/100))</f>
        <v>2.04</v>
      </c>
      <c r="I119" s="18">
        <f t="shared" ca="1" si="3"/>
        <v>38</v>
      </c>
      <c r="J119" s="19" t="str">
        <f>IF(表1[[#This Row],[证件号码]]="","",SUBSTITUTE(TEXT(--MID(表1[[#This Row],[证件号码]],7,8),"0000-00-00"),"-","/"))</f>
        <v>1986/12/05</v>
      </c>
      <c r="K119" s="20" t="s">
        <v>538</v>
      </c>
      <c r="L119" s="21"/>
      <c r="M119" s="20" t="s">
        <v>31</v>
      </c>
      <c r="N119" s="22" t="s">
        <v>31</v>
      </c>
      <c r="O119" s="23" t="s">
        <v>43</v>
      </c>
      <c r="P119" s="31"/>
      <c r="Q119" s="25" t="s">
        <v>44</v>
      </c>
      <c r="R119" s="26" t="s">
        <v>45</v>
      </c>
      <c r="S119" s="25" t="s">
        <v>81</v>
      </c>
      <c r="T119" s="27" t="s">
        <v>65</v>
      </c>
      <c r="U119" s="22">
        <v>14000</v>
      </c>
      <c r="V119" s="28">
        <v>102.6635075450865</v>
      </c>
      <c r="W119" s="29">
        <v>33</v>
      </c>
      <c r="X119" s="29">
        <v>42</v>
      </c>
      <c r="Y119" s="30">
        <f>(表1[[#This Row],[能力素质]]*0.6+表1[[#This Row],[潜力评估]]*0.4)*2</f>
        <v>76.8</v>
      </c>
    </row>
    <row r="120" spans="1:25" x14ac:dyDescent="0.2">
      <c r="A120" s="11">
        <f t="shared" si="2"/>
        <v>118</v>
      </c>
      <c r="B120" s="12" t="s">
        <v>539</v>
      </c>
      <c r="C120" s="12" t="s">
        <v>26</v>
      </c>
      <c r="D120" s="13" t="s">
        <v>27</v>
      </c>
      <c r="E120" s="36" t="s">
        <v>540</v>
      </c>
      <c r="F120" s="15">
        <v>44620</v>
      </c>
      <c r="G120" s="16" t="s">
        <v>29</v>
      </c>
      <c r="H120" s="17">
        <f ca="1">IF(G120="","",IF(G120="离职",(DATEDIF(F120,#REF!,"y")*100+DATEDIF(F120,#REF!,"ym"))/100,(DATEDIF(F120,NOW(),"y")*100+DATEDIF(F120,NOW(),"ym"))/100))</f>
        <v>2.04</v>
      </c>
      <c r="I120" s="18">
        <f t="shared" ca="1" si="3"/>
        <v>26</v>
      </c>
      <c r="J120" s="19" t="str">
        <f>IF(表1[[#This Row],[证件号码]]="","",SUBSTITUTE(TEXT(--MID(表1[[#This Row],[证件号码]],7,8),"0000-00-00"),"-","/"))</f>
        <v>1998/02/24</v>
      </c>
      <c r="K120" s="21" t="s">
        <v>377</v>
      </c>
      <c r="L120" s="21"/>
      <c r="M120" s="21" t="s">
        <v>52</v>
      </c>
      <c r="N120" s="22" t="s">
        <v>31</v>
      </c>
      <c r="O120" s="23" t="s">
        <v>244</v>
      </c>
      <c r="P120" s="31"/>
      <c r="Q120" s="25" t="s">
        <v>54</v>
      </c>
      <c r="R120" s="26" t="s">
        <v>541</v>
      </c>
      <c r="S120" s="25" t="s">
        <v>344</v>
      </c>
      <c r="T120" s="27" t="s">
        <v>65</v>
      </c>
      <c r="U120" s="22">
        <v>5000</v>
      </c>
      <c r="V120" s="28">
        <v>62.027272727272731</v>
      </c>
      <c r="W120" s="29">
        <v>24</v>
      </c>
      <c r="X120" s="29">
        <v>38</v>
      </c>
      <c r="Y120" s="30">
        <f>(表1[[#This Row],[能力素质]]*0.6+表1[[#This Row],[潜力评估]]*0.4)*2</f>
        <v>64.800000000000011</v>
      </c>
    </row>
    <row r="121" spans="1:25" x14ac:dyDescent="0.2">
      <c r="A121" s="11">
        <f t="shared" si="2"/>
        <v>119</v>
      </c>
      <c r="B121" s="12" t="s">
        <v>542</v>
      </c>
      <c r="C121" s="12" t="s">
        <v>26</v>
      </c>
      <c r="D121" s="13" t="s">
        <v>39</v>
      </c>
      <c r="E121" s="36" t="s">
        <v>543</v>
      </c>
      <c r="F121" s="15">
        <v>44620</v>
      </c>
      <c r="G121" s="16" t="s">
        <v>29</v>
      </c>
      <c r="H121" s="17">
        <f ca="1">IF(G121="","",IF(G121="离职",(DATEDIF(F121,#REF!,"y")*100+DATEDIF(F121,#REF!,"ym"))/100,(DATEDIF(F121,NOW(),"y")*100+DATEDIF(F121,NOW(),"ym"))/100))</f>
        <v>2.04</v>
      </c>
      <c r="I121" s="18">
        <f t="shared" ca="1" si="3"/>
        <v>25</v>
      </c>
      <c r="J121" s="19" t="str">
        <f>IF(表1[[#This Row],[证件号码]]="","",SUBSTITUTE(TEXT(--MID(表1[[#This Row],[证件号码]],7,8),"0000-00-00"),"-","/"))</f>
        <v>1999/01/24</v>
      </c>
      <c r="K121" s="21" t="s">
        <v>544</v>
      </c>
      <c r="L121" s="21"/>
      <c r="M121" s="21" t="s">
        <v>52</v>
      </c>
      <c r="N121" s="22" t="s">
        <v>31</v>
      </c>
      <c r="O121" s="23" t="s">
        <v>326</v>
      </c>
      <c r="P121" s="31"/>
      <c r="Q121" s="25" t="s">
        <v>62</v>
      </c>
      <c r="R121" s="26" t="s">
        <v>545</v>
      </c>
      <c r="S121" s="25" t="s">
        <v>490</v>
      </c>
      <c r="T121" s="27" t="s">
        <v>65</v>
      </c>
      <c r="U121" s="22">
        <v>7000</v>
      </c>
      <c r="V121" s="28">
        <v>93</v>
      </c>
      <c r="W121" s="29">
        <v>33</v>
      </c>
      <c r="X121" s="29">
        <v>40</v>
      </c>
      <c r="Y121" s="30">
        <f>(表1[[#This Row],[能力素质]]*0.6+表1[[#This Row],[潜力评估]]*0.4)*2</f>
        <v>74.400000000000006</v>
      </c>
    </row>
    <row r="122" spans="1:25" x14ac:dyDescent="0.2">
      <c r="A122" s="11">
        <f t="shared" si="2"/>
        <v>120</v>
      </c>
      <c r="B122" s="22" t="s">
        <v>546</v>
      </c>
      <c r="C122" s="12" t="s">
        <v>26</v>
      </c>
      <c r="D122" s="37" t="s">
        <v>27</v>
      </c>
      <c r="E122" s="36" t="s">
        <v>547</v>
      </c>
      <c r="F122" s="15">
        <v>44621</v>
      </c>
      <c r="G122" s="16" t="s">
        <v>29</v>
      </c>
      <c r="H122" s="17">
        <f ca="1">IF(G122="","",IF(G122="离职",(DATEDIF(F122,#REF!,"y")*100+DATEDIF(F122,#REF!,"ym"))/100,(DATEDIF(F122,NOW(),"y")*100+DATEDIF(F122,NOW(),"ym"))/100))</f>
        <v>2.04</v>
      </c>
      <c r="I122" s="18">
        <f t="shared" ca="1" si="3"/>
        <v>34</v>
      </c>
      <c r="J122" s="19" t="str">
        <f>IF(表1[[#This Row],[证件号码]]="","",SUBSTITUTE(TEXT(--MID(表1[[#This Row],[证件号码]],7,8),"0000-00-00"),"-","/"))</f>
        <v>1990/07/03</v>
      </c>
      <c r="K122" s="20" t="s">
        <v>138</v>
      </c>
      <c r="L122" s="21"/>
      <c r="M122" s="20" t="s">
        <v>42</v>
      </c>
      <c r="N122" s="22" t="s">
        <v>42</v>
      </c>
      <c r="O122" s="23" t="s">
        <v>138</v>
      </c>
      <c r="P122" s="31" t="s">
        <v>464</v>
      </c>
      <c r="Q122" s="25" t="s">
        <v>34</v>
      </c>
      <c r="R122" s="26" t="s">
        <v>93</v>
      </c>
      <c r="S122" s="25" t="s">
        <v>94</v>
      </c>
      <c r="T122" s="35" t="s">
        <v>65</v>
      </c>
      <c r="U122" s="22">
        <v>15800</v>
      </c>
      <c r="V122" s="28">
        <v>77.643448656606552</v>
      </c>
      <c r="W122" s="29">
        <v>26</v>
      </c>
      <c r="X122" s="29">
        <v>37</v>
      </c>
      <c r="Y122" s="30">
        <f>(表1[[#This Row],[能力素质]]*0.6+表1[[#This Row],[潜力评估]]*0.4)*2</f>
        <v>65.2</v>
      </c>
    </row>
    <row r="123" spans="1:25" x14ac:dyDescent="0.2">
      <c r="A123" s="11">
        <f t="shared" si="2"/>
        <v>121</v>
      </c>
      <c r="B123" s="12" t="s">
        <v>548</v>
      </c>
      <c r="C123" s="12" t="s">
        <v>26</v>
      </c>
      <c r="D123" s="13" t="s">
        <v>27</v>
      </c>
      <c r="E123" s="36" t="s">
        <v>549</v>
      </c>
      <c r="F123" s="15">
        <v>44621</v>
      </c>
      <c r="G123" s="16" t="s">
        <v>29</v>
      </c>
      <c r="H123" s="17">
        <f ca="1">IF(G123="","",IF(G123="离职",(DATEDIF(F123,#REF!,"y")*100+DATEDIF(F123,#REF!,"ym"))/100,(DATEDIF(F123,NOW(),"y")*100+DATEDIF(F123,NOW(),"ym"))/100))</f>
        <v>2.04</v>
      </c>
      <c r="I123" s="18">
        <f t="shared" ca="1" si="3"/>
        <v>27</v>
      </c>
      <c r="J123" s="19" t="str">
        <f>IF(表1[[#This Row],[证件号码]]="","",SUBSTITUTE(TEXT(--MID(表1[[#This Row],[证件号码]],7,8),"0000-00-00"),"-","/"))</f>
        <v>1997/10/05</v>
      </c>
      <c r="K123" s="20" t="s">
        <v>268</v>
      </c>
      <c r="L123" s="21"/>
      <c r="M123" s="20" t="s">
        <v>42</v>
      </c>
      <c r="N123" s="22" t="s">
        <v>42</v>
      </c>
      <c r="O123" s="23" t="s">
        <v>182</v>
      </c>
      <c r="P123" s="31" t="s">
        <v>550</v>
      </c>
      <c r="Q123" s="25" t="s">
        <v>44</v>
      </c>
      <c r="R123" s="26" t="s">
        <v>45</v>
      </c>
      <c r="S123" s="25" t="s">
        <v>300</v>
      </c>
      <c r="T123" s="27" t="s">
        <v>65</v>
      </c>
      <c r="U123" s="22">
        <v>13000</v>
      </c>
      <c r="V123" s="28">
        <v>125.1721015826279</v>
      </c>
      <c r="W123" s="29">
        <v>34</v>
      </c>
      <c r="X123" s="29">
        <v>42</v>
      </c>
      <c r="Y123" s="30">
        <f>(表1[[#This Row],[能力素质]]*0.6+表1[[#This Row],[潜力评估]]*0.4)*2</f>
        <v>77.599999999999994</v>
      </c>
    </row>
    <row r="124" spans="1:25" x14ac:dyDescent="0.2">
      <c r="A124" s="11">
        <f t="shared" si="2"/>
        <v>122</v>
      </c>
      <c r="B124" s="12" t="s">
        <v>551</v>
      </c>
      <c r="C124" s="12" t="s">
        <v>26</v>
      </c>
      <c r="D124" s="13" t="s">
        <v>27</v>
      </c>
      <c r="E124" s="36" t="s">
        <v>552</v>
      </c>
      <c r="F124" s="15">
        <v>44630</v>
      </c>
      <c r="G124" s="16" t="s">
        <v>29</v>
      </c>
      <c r="H124" s="17">
        <f ca="1">IF(G124="","",IF(G124="离职",(DATEDIF(F124,#REF!,"y")*100+DATEDIF(F124,#REF!,"ym"))/100,(DATEDIF(F124,NOW(),"y")*100+DATEDIF(F124,NOW(),"ym"))/100))</f>
        <v>2.0299999999999998</v>
      </c>
      <c r="I124" s="18">
        <f t="shared" ca="1" si="3"/>
        <v>35</v>
      </c>
      <c r="J124" s="19" t="str">
        <f>IF(表1[[#This Row],[证件号码]]="","",SUBSTITUTE(TEXT(--MID(表1[[#This Row],[证件号码]],7,8),"0000-00-00"),"-","/"))</f>
        <v>1989/06/08</v>
      </c>
      <c r="K124" s="20" t="s">
        <v>325</v>
      </c>
      <c r="L124" s="21"/>
      <c r="M124" s="20" t="s">
        <v>31</v>
      </c>
      <c r="N124" s="22" t="s">
        <v>31</v>
      </c>
      <c r="O124" s="23" t="s">
        <v>244</v>
      </c>
      <c r="P124" s="31"/>
      <c r="Q124" s="25" t="s">
        <v>44</v>
      </c>
      <c r="R124" s="26" t="s">
        <v>45</v>
      </c>
      <c r="S124" s="25" t="s">
        <v>81</v>
      </c>
      <c r="T124" s="27" t="s">
        <v>65</v>
      </c>
      <c r="U124" s="22">
        <v>16000</v>
      </c>
      <c r="V124" s="28">
        <v>110.30372469635628</v>
      </c>
      <c r="W124" s="29">
        <v>33</v>
      </c>
      <c r="X124" s="29">
        <v>38</v>
      </c>
      <c r="Y124" s="30">
        <f>(表1[[#This Row],[能力素质]]*0.6+表1[[#This Row],[潜力评估]]*0.4)*2</f>
        <v>72</v>
      </c>
    </row>
    <row r="125" spans="1:25" x14ac:dyDescent="0.2">
      <c r="A125" s="11">
        <f t="shared" si="2"/>
        <v>123</v>
      </c>
      <c r="B125" s="12" t="s">
        <v>553</v>
      </c>
      <c r="C125" s="12" t="s">
        <v>26</v>
      </c>
      <c r="D125" s="13" t="s">
        <v>27</v>
      </c>
      <c r="E125" s="36" t="s">
        <v>554</v>
      </c>
      <c r="F125" s="15">
        <v>44630</v>
      </c>
      <c r="G125" s="16" t="s">
        <v>29</v>
      </c>
      <c r="H125" s="17">
        <f ca="1">IF(G125="","",IF(G125="离职",(DATEDIF(F125,#REF!,"y")*100+DATEDIF(F125,#REF!,"ym"))/100,(DATEDIF(F125,NOW(),"y")*100+DATEDIF(F125,NOW(),"ym"))/100))</f>
        <v>2.0299999999999998</v>
      </c>
      <c r="I125" s="18">
        <f t="shared" ca="1" si="3"/>
        <v>31</v>
      </c>
      <c r="J125" s="19" t="str">
        <f>IF(表1[[#This Row],[证件号码]]="","",SUBSTITUTE(TEXT(--MID(表1[[#This Row],[证件号码]],7,8),"0000-00-00"),"-","/"))</f>
        <v>1993/08/03</v>
      </c>
      <c r="K125" s="20" t="s">
        <v>555</v>
      </c>
      <c r="L125" s="21"/>
      <c r="M125" s="20" t="s">
        <v>31</v>
      </c>
      <c r="N125" s="22" t="s">
        <v>31</v>
      </c>
      <c r="O125" s="23" t="s">
        <v>556</v>
      </c>
      <c r="P125" s="31"/>
      <c r="Q125" s="25" t="s">
        <v>44</v>
      </c>
      <c r="R125" s="26" t="s">
        <v>45</v>
      </c>
      <c r="S125" s="25" t="s">
        <v>81</v>
      </c>
      <c r="T125" s="27" t="s">
        <v>65</v>
      </c>
      <c r="U125" s="22">
        <v>13500</v>
      </c>
      <c r="V125" s="28">
        <v>97.981258741258728</v>
      </c>
      <c r="W125" s="29">
        <v>29</v>
      </c>
      <c r="X125" s="29">
        <v>40</v>
      </c>
      <c r="Y125" s="30">
        <f>(表1[[#This Row],[能力素质]]*0.6+表1[[#This Row],[潜力评估]]*0.4)*2</f>
        <v>71.2</v>
      </c>
    </row>
    <row r="126" spans="1:25" x14ac:dyDescent="0.2">
      <c r="A126" s="11">
        <f t="shared" si="2"/>
        <v>124</v>
      </c>
      <c r="B126" s="12" t="s">
        <v>557</v>
      </c>
      <c r="C126" s="12" t="s">
        <v>26</v>
      </c>
      <c r="D126" s="13" t="s">
        <v>39</v>
      </c>
      <c r="E126" s="36" t="s">
        <v>558</v>
      </c>
      <c r="F126" s="15">
        <v>44641</v>
      </c>
      <c r="G126" s="16" t="s">
        <v>29</v>
      </c>
      <c r="H126" s="17">
        <f ca="1">IF(G126="","",IF(G126="离职",(DATEDIF(F126,#REF!,"y")*100+DATEDIF(F126,#REF!,"ym"))/100,(DATEDIF(F126,NOW(),"y")*100+DATEDIF(F126,NOW(),"ym"))/100))</f>
        <v>2.0299999999999998</v>
      </c>
      <c r="I126" s="18">
        <f t="shared" ca="1" si="3"/>
        <v>34</v>
      </c>
      <c r="J126" s="19" t="str">
        <f>IF(表1[[#This Row],[证件号码]]="","",SUBSTITUTE(TEXT(--MID(表1[[#This Row],[证件号码]],7,8),"0000-00-00"),"-","/"))</f>
        <v>1990/09/23</v>
      </c>
      <c r="K126" s="20" t="s">
        <v>559</v>
      </c>
      <c r="L126" s="21"/>
      <c r="M126" s="20" t="s">
        <v>331</v>
      </c>
      <c r="N126" s="22" t="s">
        <v>331</v>
      </c>
      <c r="O126" s="23" t="s">
        <v>560</v>
      </c>
      <c r="P126" s="31" t="s">
        <v>561</v>
      </c>
      <c r="Q126" s="25" t="s">
        <v>34</v>
      </c>
      <c r="R126" s="26" t="s">
        <v>93</v>
      </c>
      <c r="S126" s="25" t="s">
        <v>216</v>
      </c>
      <c r="T126" s="27" t="s">
        <v>37</v>
      </c>
      <c r="U126" s="22">
        <v>20000</v>
      </c>
      <c r="V126" s="28">
        <v>72.931358115568628</v>
      </c>
      <c r="W126" s="29">
        <v>34</v>
      </c>
      <c r="X126" s="29">
        <v>40</v>
      </c>
      <c r="Y126" s="30">
        <f>(表1[[#This Row],[能力素质]]*0.6+表1[[#This Row],[潜力评估]]*0.4)*2</f>
        <v>75.2</v>
      </c>
    </row>
    <row r="127" spans="1:25" x14ac:dyDescent="0.2">
      <c r="A127" s="11">
        <f t="shared" si="2"/>
        <v>125</v>
      </c>
      <c r="B127" s="12" t="s">
        <v>562</v>
      </c>
      <c r="C127" s="12" t="s">
        <v>83</v>
      </c>
      <c r="D127" s="13" t="s">
        <v>27</v>
      </c>
      <c r="E127" s="36" t="s">
        <v>563</v>
      </c>
      <c r="F127" s="15">
        <v>44648</v>
      </c>
      <c r="G127" s="16" t="s">
        <v>29</v>
      </c>
      <c r="H127" s="17">
        <f ca="1">IF(G127="","",IF(G127="离职",(DATEDIF(F127,#REF!,"y")*100+DATEDIF(F127,#REF!,"ym"))/100,(DATEDIF(F127,NOW(),"y")*100+DATEDIF(F127,NOW(),"ym"))/100))</f>
        <v>2.0299999999999998</v>
      </c>
      <c r="I127" s="18">
        <f t="shared" ca="1" si="3"/>
        <v>30</v>
      </c>
      <c r="J127" s="19" t="str">
        <f>IF(表1[[#This Row],[证件号码]]="","",SUBSTITUTE(TEXT(--MID(表1[[#This Row],[证件号码]],7,8),"0000-00-00"),"-","/"))</f>
        <v>1994/06/03</v>
      </c>
      <c r="K127" s="20" t="s">
        <v>564</v>
      </c>
      <c r="L127" s="21"/>
      <c r="M127" s="20" t="s">
        <v>31</v>
      </c>
      <c r="N127" s="22" t="s">
        <v>31</v>
      </c>
      <c r="O127" s="23" t="s">
        <v>565</v>
      </c>
      <c r="P127" s="31" t="s">
        <v>464</v>
      </c>
      <c r="Q127" s="25" t="s">
        <v>34</v>
      </c>
      <c r="R127" s="26" t="s">
        <v>93</v>
      </c>
      <c r="S127" s="25" t="s">
        <v>94</v>
      </c>
      <c r="T127" s="27" t="s">
        <v>65</v>
      </c>
      <c r="U127" s="22">
        <v>18500</v>
      </c>
      <c r="V127" s="28">
        <v>90.457727272727269</v>
      </c>
      <c r="W127" s="29">
        <v>34</v>
      </c>
      <c r="X127" s="29">
        <v>40</v>
      </c>
      <c r="Y127" s="30">
        <f>(表1[[#This Row],[能力素质]]*0.6+表1[[#This Row],[潜力评估]]*0.4)*2</f>
        <v>75.2</v>
      </c>
    </row>
    <row r="128" spans="1:25" ht="21" x14ac:dyDescent="0.2">
      <c r="A128" s="11">
        <f t="shared" si="2"/>
        <v>126</v>
      </c>
      <c r="B128" s="12" t="s">
        <v>566</v>
      </c>
      <c r="C128" s="12" t="s">
        <v>26</v>
      </c>
      <c r="D128" s="13" t="s">
        <v>27</v>
      </c>
      <c r="E128" s="36" t="s">
        <v>567</v>
      </c>
      <c r="F128" s="15">
        <v>44648</v>
      </c>
      <c r="G128" s="16" t="s">
        <v>29</v>
      </c>
      <c r="H128" s="17">
        <f ca="1">IF(G128="","",IF(G128="离职",(DATEDIF(F128,#REF!,"y")*100+DATEDIF(F128,#REF!,"ym"))/100,(DATEDIF(F128,NOW(),"y")*100+DATEDIF(F128,NOW(),"ym"))/100))</f>
        <v>2.0299999999999998</v>
      </c>
      <c r="I128" s="18">
        <f t="shared" ca="1" si="3"/>
        <v>31</v>
      </c>
      <c r="J128" s="19" t="str">
        <f>IF(表1[[#This Row],[证件号码]]="","",SUBSTITUTE(TEXT(--MID(表1[[#This Row],[证件号码]],7,8),"0000-00-00"),"-","/"))</f>
        <v>1993/12/08</v>
      </c>
      <c r="K128" s="21" t="s">
        <v>568</v>
      </c>
      <c r="L128" s="21"/>
      <c r="M128" s="21" t="s">
        <v>60</v>
      </c>
      <c r="N128" s="22" t="s">
        <v>42</v>
      </c>
      <c r="O128" s="34" t="s">
        <v>133</v>
      </c>
      <c r="P128" s="31"/>
      <c r="Q128" s="25" t="s">
        <v>44</v>
      </c>
      <c r="R128" s="26" t="s">
        <v>122</v>
      </c>
      <c r="S128" s="25" t="s">
        <v>123</v>
      </c>
      <c r="T128" s="27" t="s">
        <v>65</v>
      </c>
      <c r="U128" s="22">
        <v>17000</v>
      </c>
      <c r="V128" s="28">
        <v>108.83603238866397</v>
      </c>
      <c r="W128" s="29">
        <v>26</v>
      </c>
      <c r="X128" s="29">
        <v>44</v>
      </c>
      <c r="Y128" s="30">
        <f>(表1[[#This Row],[能力素质]]*0.6+表1[[#This Row],[潜力评估]]*0.4)*2</f>
        <v>73.599999999999994</v>
      </c>
    </row>
    <row r="129" spans="1:25" x14ac:dyDescent="0.2">
      <c r="A129" s="11">
        <f t="shared" si="2"/>
        <v>127</v>
      </c>
      <c r="B129" s="12" t="s">
        <v>569</v>
      </c>
      <c r="C129" s="12" t="s">
        <v>26</v>
      </c>
      <c r="D129" s="13" t="s">
        <v>39</v>
      </c>
      <c r="E129" s="36" t="s">
        <v>570</v>
      </c>
      <c r="F129" s="15">
        <v>44648</v>
      </c>
      <c r="G129" s="16" t="s">
        <v>29</v>
      </c>
      <c r="H129" s="17">
        <f ca="1">IF(G129="","",IF(G129="离职",(DATEDIF(F129,#REF!,"y")*100+DATEDIF(F129,#REF!,"ym"))/100,(DATEDIF(F129,NOW(),"y")*100+DATEDIF(F129,NOW(),"ym"))/100))</f>
        <v>2.0299999999999998</v>
      </c>
      <c r="I129" s="18">
        <f t="shared" ca="1" si="3"/>
        <v>25</v>
      </c>
      <c r="J129" s="19" t="str">
        <f>IF(表1[[#This Row],[证件号码]]="","",SUBSTITUTE(TEXT(--MID(表1[[#This Row],[证件号码]],7,8),"0000-00-00"),"-","/"))</f>
        <v>1999/06/02</v>
      </c>
      <c r="K129" s="20" t="s">
        <v>315</v>
      </c>
      <c r="L129" s="21"/>
      <c r="M129" s="20" t="s">
        <v>42</v>
      </c>
      <c r="N129" s="22" t="s">
        <v>42</v>
      </c>
      <c r="O129" s="23" t="s">
        <v>316</v>
      </c>
      <c r="P129" s="31"/>
      <c r="Q129" s="25" t="s">
        <v>44</v>
      </c>
      <c r="R129" s="26" t="s">
        <v>45</v>
      </c>
      <c r="S129" s="25" t="s">
        <v>81</v>
      </c>
      <c r="T129" s="27" t="s">
        <v>65</v>
      </c>
      <c r="U129" s="22">
        <v>11000</v>
      </c>
      <c r="V129" s="28">
        <v>83.276573426573421</v>
      </c>
      <c r="W129" s="29">
        <v>28</v>
      </c>
      <c r="X129" s="29">
        <v>42</v>
      </c>
      <c r="Y129" s="30">
        <f>(表1[[#This Row],[能力素质]]*0.6+表1[[#This Row],[潜力评估]]*0.4)*2</f>
        <v>72.8</v>
      </c>
    </row>
    <row r="130" spans="1:25" x14ac:dyDescent="0.2">
      <c r="A130" s="11">
        <f t="shared" si="2"/>
        <v>128</v>
      </c>
      <c r="B130" s="12" t="s">
        <v>571</v>
      </c>
      <c r="C130" s="12" t="s">
        <v>49</v>
      </c>
      <c r="D130" s="13" t="s">
        <v>39</v>
      </c>
      <c r="E130" s="36" t="s">
        <v>572</v>
      </c>
      <c r="F130" s="15">
        <v>44650</v>
      </c>
      <c r="G130" s="16" t="s">
        <v>29</v>
      </c>
      <c r="H130" s="17">
        <f ca="1">IF(G130="","",IF(G130="离职",(DATEDIF(F130,#REF!,"y")*100+DATEDIF(F130,#REF!,"ym"))/100,(DATEDIF(F130,NOW(),"y")*100+DATEDIF(F130,NOW(),"ym"))/100))</f>
        <v>2.0299999999999998</v>
      </c>
      <c r="I130" s="18">
        <f t="shared" ca="1" si="3"/>
        <v>35</v>
      </c>
      <c r="J130" s="19" t="str">
        <f>IF(表1[[#This Row],[证件号码]]="","",SUBSTITUTE(TEXT(--MID(表1[[#This Row],[证件号码]],7,8),"0000-00-00"),"-","/"))</f>
        <v>1989/09/03</v>
      </c>
      <c r="K130" s="21" t="s">
        <v>573</v>
      </c>
      <c r="L130" s="21"/>
      <c r="M130" s="21" t="s">
        <v>60</v>
      </c>
      <c r="N130" s="22" t="s">
        <v>31</v>
      </c>
      <c r="O130" s="23" t="s">
        <v>43</v>
      </c>
      <c r="P130" s="31"/>
      <c r="Q130" s="25" t="s">
        <v>34</v>
      </c>
      <c r="R130" s="26" t="s">
        <v>115</v>
      </c>
      <c r="S130" s="25" t="s">
        <v>574</v>
      </c>
      <c r="T130" s="27" t="s">
        <v>65</v>
      </c>
      <c r="U130" s="22">
        <v>20000</v>
      </c>
      <c r="V130" s="28">
        <v>67.133492822966502</v>
      </c>
      <c r="W130" s="29">
        <v>33</v>
      </c>
      <c r="X130" s="29">
        <v>46</v>
      </c>
      <c r="Y130" s="30">
        <f>(表1[[#This Row],[能力素质]]*0.6+表1[[#This Row],[潜力评估]]*0.4)*2</f>
        <v>81.599999999999994</v>
      </c>
    </row>
    <row r="131" spans="1:25" x14ac:dyDescent="0.2">
      <c r="A131" s="11">
        <f t="shared" ref="A131:A194" si="4">ROW()-2</f>
        <v>129</v>
      </c>
      <c r="B131" s="12" t="s">
        <v>575</v>
      </c>
      <c r="C131" s="12" t="s">
        <v>26</v>
      </c>
      <c r="D131" s="13" t="s">
        <v>39</v>
      </c>
      <c r="E131" s="36" t="s">
        <v>576</v>
      </c>
      <c r="F131" s="15">
        <v>44652</v>
      </c>
      <c r="G131" s="16" t="s">
        <v>29</v>
      </c>
      <c r="H131" s="17">
        <f ca="1">IF(G131="","",IF(G131="离职",(DATEDIF(F131,#REF!,"y")*100+DATEDIF(F131,#REF!,"ym"))/100,(DATEDIF(F131,NOW(),"y")*100+DATEDIF(F131,NOW(),"ym"))/100))</f>
        <v>2.0299999999999998</v>
      </c>
      <c r="I131" s="18">
        <f t="shared" ref="I131:I194" ca="1" si="5">IF(J131="",0,YEAR(TODAY())-YEAR(J131))</f>
        <v>31</v>
      </c>
      <c r="J131" s="19" t="str">
        <f>IF(表1[[#This Row],[证件号码]]="","",SUBSTITUTE(TEXT(--MID(表1[[#This Row],[证件号码]],7,8),"0000-00-00"),"-","/"))</f>
        <v>1993/12/10</v>
      </c>
      <c r="K131" s="21" t="s">
        <v>577</v>
      </c>
      <c r="L131" s="21"/>
      <c r="M131" s="21" t="s">
        <v>52</v>
      </c>
      <c r="N131" s="22" t="s">
        <v>31</v>
      </c>
      <c r="O131" s="23" t="s">
        <v>182</v>
      </c>
      <c r="P131" s="31"/>
      <c r="Q131" s="25" t="s">
        <v>54</v>
      </c>
      <c r="R131" s="26" t="s">
        <v>578</v>
      </c>
      <c r="S131" s="25" t="s">
        <v>579</v>
      </c>
      <c r="T131" s="27" t="s">
        <v>65</v>
      </c>
      <c r="U131" s="22">
        <v>11000</v>
      </c>
      <c r="V131" s="28">
        <v>94.718181818181819</v>
      </c>
      <c r="W131" s="29">
        <v>25</v>
      </c>
      <c r="X131" s="29">
        <v>36</v>
      </c>
      <c r="Y131" s="30">
        <f>(表1[[#This Row],[能力素质]]*0.6+表1[[#This Row],[潜力评估]]*0.4)*2</f>
        <v>63.199999999999996</v>
      </c>
    </row>
    <row r="132" spans="1:25" x14ac:dyDescent="0.2">
      <c r="A132" s="11">
        <f t="shared" si="4"/>
        <v>130</v>
      </c>
      <c r="B132" s="12" t="s">
        <v>580</v>
      </c>
      <c r="C132" s="12" t="s">
        <v>26</v>
      </c>
      <c r="D132" s="13" t="s">
        <v>27</v>
      </c>
      <c r="E132" s="36" t="s">
        <v>581</v>
      </c>
      <c r="F132" s="15">
        <v>44657</v>
      </c>
      <c r="G132" s="16" t="s">
        <v>29</v>
      </c>
      <c r="H132" s="17">
        <f ca="1">IF(G132="","",IF(G132="离职",(DATEDIF(F132,#REF!,"y")*100+DATEDIF(F132,#REF!,"ym"))/100,(DATEDIF(F132,NOW(),"y")*100+DATEDIF(F132,NOW(),"ym"))/100))</f>
        <v>2.02</v>
      </c>
      <c r="I132" s="18">
        <f t="shared" ca="1" si="5"/>
        <v>26</v>
      </c>
      <c r="J132" s="19" t="str">
        <f>IF(表1[[#This Row],[证件号码]]="","",SUBSTITUTE(TEXT(--MID(表1[[#This Row],[证件号码]],7,8),"0000-00-00"),"-","/"))</f>
        <v>1998/07/06</v>
      </c>
      <c r="K132" s="20" t="s">
        <v>168</v>
      </c>
      <c r="L132" s="21"/>
      <c r="M132" s="20" t="s">
        <v>42</v>
      </c>
      <c r="N132" s="22" t="s">
        <v>42</v>
      </c>
      <c r="O132" s="23" t="s">
        <v>481</v>
      </c>
      <c r="P132" s="31" t="s">
        <v>582</v>
      </c>
      <c r="Q132" s="25" t="s">
        <v>44</v>
      </c>
      <c r="R132" s="26" t="s">
        <v>45</v>
      </c>
      <c r="S132" s="25" t="s">
        <v>81</v>
      </c>
      <c r="T132" s="27" t="s">
        <v>65</v>
      </c>
      <c r="U132" s="22">
        <v>11500</v>
      </c>
      <c r="V132" s="28">
        <v>114.28165255796834</v>
      </c>
      <c r="W132" s="29">
        <v>32</v>
      </c>
      <c r="X132" s="29">
        <v>48</v>
      </c>
      <c r="Y132" s="30">
        <f>(表1[[#This Row],[能力素质]]*0.6+表1[[#This Row],[潜力评估]]*0.4)*2</f>
        <v>83.199999999999989</v>
      </c>
    </row>
    <row r="133" spans="1:25" x14ac:dyDescent="0.2">
      <c r="A133" s="11">
        <f t="shared" si="4"/>
        <v>131</v>
      </c>
      <c r="B133" s="12" t="s">
        <v>583</v>
      </c>
      <c r="C133" s="12" t="s">
        <v>26</v>
      </c>
      <c r="D133" s="13" t="s">
        <v>27</v>
      </c>
      <c r="E133" s="36" t="s">
        <v>584</v>
      </c>
      <c r="F133" s="15">
        <v>44657</v>
      </c>
      <c r="G133" s="16" t="s">
        <v>29</v>
      </c>
      <c r="H133" s="17">
        <f ca="1">IF(G133="","",IF(G133="离职",(DATEDIF(F133,#REF!,"y")*100+DATEDIF(F133,#REF!,"ym"))/100,(DATEDIF(F133,NOW(),"y")*100+DATEDIF(F133,NOW(),"ym"))/100))</f>
        <v>2.02</v>
      </c>
      <c r="I133" s="18">
        <f t="shared" ca="1" si="5"/>
        <v>23</v>
      </c>
      <c r="J133" s="19" t="str">
        <f>IF(表1[[#This Row],[证件号码]]="","",SUBSTITUTE(TEXT(--MID(表1[[#This Row],[证件号码]],7,8),"0000-00-00"),"-","/"))</f>
        <v>2001/10/29</v>
      </c>
      <c r="K133" s="21" t="s">
        <v>585</v>
      </c>
      <c r="L133" s="21"/>
      <c r="M133" s="21" t="s">
        <v>60</v>
      </c>
      <c r="N133" s="22" t="s">
        <v>31</v>
      </c>
      <c r="O133" s="23" t="s">
        <v>586</v>
      </c>
      <c r="P133" s="31"/>
      <c r="Q133" s="25" t="s">
        <v>44</v>
      </c>
      <c r="R133" s="26" t="s">
        <v>45</v>
      </c>
      <c r="S133" s="25" t="s">
        <v>81</v>
      </c>
      <c r="T133" s="27" t="s">
        <v>65</v>
      </c>
      <c r="U133" s="22">
        <v>11000</v>
      </c>
      <c r="V133" s="28">
        <v>142.54977916820022</v>
      </c>
      <c r="W133" s="29">
        <v>31</v>
      </c>
      <c r="X133" s="29">
        <v>38</v>
      </c>
      <c r="Y133" s="30">
        <f>(表1[[#This Row],[能力素质]]*0.6+表1[[#This Row],[潜力评估]]*0.4)*2</f>
        <v>70.400000000000006</v>
      </c>
    </row>
    <row r="134" spans="1:25" x14ac:dyDescent="0.2">
      <c r="A134" s="11">
        <f t="shared" si="4"/>
        <v>132</v>
      </c>
      <c r="B134" s="12" t="s">
        <v>587</v>
      </c>
      <c r="C134" s="12" t="s">
        <v>26</v>
      </c>
      <c r="D134" s="13" t="s">
        <v>27</v>
      </c>
      <c r="E134" s="36" t="s">
        <v>588</v>
      </c>
      <c r="F134" s="15">
        <v>44657</v>
      </c>
      <c r="G134" s="16" t="s">
        <v>29</v>
      </c>
      <c r="H134" s="17">
        <f ca="1">IF(G134="","",IF(G134="离职",(DATEDIF(F134,#REF!,"y")*100+DATEDIF(F134,#REF!,"ym"))/100,(DATEDIF(F134,NOW(),"y")*100+DATEDIF(F134,NOW(),"ym"))/100))</f>
        <v>2.02</v>
      </c>
      <c r="I134" s="18">
        <f t="shared" ca="1" si="5"/>
        <v>26</v>
      </c>
      <c r="J134" s="19" t="str">
        <f>IF(表1[[#This Row],[证件号码]]="","",SUBSTITUTE(TEXT(--MID(表1[[#This Row],[证件号码]],7,8),"0000-00-00"),"-","/"))</f>
        <v>1998/11/10</v>
      </c>
      <c r="K134" s="20" t="s">
        <v>459</v>
      </c>
      <c r="L134" s="21"/>
      <c r="M134" s="20" t="s">
        <v>31</v>
      </c>
      <c r="N134" s="22" t="s">
        <v>31</v>
      </c>
      <c r="O134" s="23" t="s">
        <v>43</v>
      </c>
      <c r="P134" s="31"/>
      <c r="Q134" s="25" t="s">
        <v>44</v>
      </c>
      <c r="R134" s="26" t="s">
        <v>45</v>
      </c>
      <c r="S134" s="25" t="s">
        <v>81</v>
      </c>
      <c r="T134" s="27" t="s">
        <v>65</v>
      </c>
      <c r="U134" s="22">
        <v>11000</v>
      </c>
      <c r="V134" s="28">
        <v>84.47916820022084</v>
      </c>
      <c r="W134" s="29">
        <v>25</v>
      </c>
      <c r="X134" s="29">
        <v>38</v>
      </c>
      <c r="Y134" s="30">
        <f>(表1[[#This Row],[能力素质]]*0.6+表1[[#This Row],[潜力评估]]*0.4)*2</f>
        <v>65.599999999999994</v>
      </c>
    </row>
    <row r="135" spans="1:25" x14ac:dyDescent="0.2">
      <c r="A135" s="11">
        <f t="shared" si="4"/>
        <v>133</v>
      </c>
      <c r="B135" s="12" t="s">
        <v>589</v>
      </c>
      <c r="C135" s="12" t="s">
        <v>26</v>
      </c>
      <c r="D135" s="13" t="s">
        <v>27</v>
      </c>
      <c r="E135" s="36" t="s">
        <v>590</v>
      </c>
      <c r="F135" s="15">
        <v>44662</v>
      </c>
      <c r="G135" s="16" t="s">
        <v>29</v>
      </c>
      <c r="H135" s="17">
        <f ca="1">IF(G135="","",IF(G135="离职",(DATEDIF(F135,#REF!,"y")*100+DATEDIF(F135,#REF!,"ym"))/100,(DATEDIF(F135,NOW(),"y")*100+DATEDIF(F135,NOW(),"ym"))/100))</f>
        <v>2.02</v>
      </c>
      <c r="I135" s="18">
        <f t="shared" ca="1" si="5"/>
        <v>30</v>
      </c>
      <c r="J135" s="19" t="str">
        <f>IF(表1[[#This Row],[证件号码]]="","",SUBSTITUTE(TEXT(--MID(表1[[#This Row],[证件号码]],7,8),"0000-00-00"),"-","/"))</f>
        <v>1994/01/07</v>
      </c>
      <c r="K135" s="20" t="s">
        <v>591</v>
      </c>
      <c r="L135" s="21"/>
      <c r="M135" s="20" t="s">
        <v>42</v>
      </c>
      <c r="N135" s="29" t="s">
        <v>31</v>
      </c>
      <c r="O135" s="23" t="s">
        <v>592</v>
      </c>
      <c r="P135" s="31"/>
      <c r="Q135" s="25" t="s">
        <v>44</v>
      </c>
      <c r="R135" s="26" t="s">
        <v>45</v>
      </c>
      <c r="S135" s="25" t="s">
        <v>81</v>
      </c>
      <c r="T135" s="27" t="s">
        <v>65</v>
      </c>
      <c r="U135" s="22">
        <v>14000</v>
      </c>
      <c r="V135" s="28">
        <v>88.356772175193214</v>
      </c>
      <c r="W135" s="29">
        <v>32</v>
      </c>
      <c r="X135" s="29">
        <v>42</v>
      </c>
      <c r="Y135" s="30">
        <f>(表1[[#This Row],[能力素质]]*0.6+表1[[#This Row],[潜力评估]]*0.4)*2</f>
        <v>76</v>
      </c>
    </row>
    <row r="136" spans="1:25" x14ac:dyDescent="0.2">
      <c r="A136" s="11">
        <f t="shared" si="4"/>
        <v>134</v>
      </c>
      <c r="B136" s="12" t="s">
        <v>593</v>
      </c>
      <c r="C136" s="12" t="s">
        <v>26</v>
      </c>
      <c r="D136" s="13" t="s">
        <v>39</v>
      </c>
      <c r="E136" s="36" t="s">
        <v>594</v>
      </c>
      <c r="F136" s="15">
        <v>44665</v>
      </c>
      <c r="G136" s="16" t="s">
        <v>29</v>
      </c>
      <c r="H136" s="17">
        <f ca="1">IF(G136="","",IF(G136="离职",(DATEDIF(F136,#REF!,"y")*100+DATEDIF(F136,#REF!,"ym"))/100,(DATEDIF(F136,NOW(),"y")*100+DATEDIF(F136,NOW(),"ym"))/100))</f>
        <v>2.02</v>
      </c>
      <c r="I136" s="18">
        <f t="shared" ca="1" si="5"/>
        <v>30</v>
      </c>
      <c r="J136" s="19" t="str">
        <f>IF(表1[[#This Row],[证件号码]]="","",SUBSTITUTE(TEXT(--MID(表1[[#This Row],[证件号码]],7,8),"0000-00-00"),"-","/"))</f>
        <v>1994/10/10</v>
      </c>
      <c r="K136" s="20" t="s">
        <v>595</v>
      </c>
      <c r="L136" s="21"/>
      <c r="M136" s="20" t="s">
        <v>31</v>
      </c>
      <c r="N136" s="22" t="s">
        <v>31</v>
      </c>
      <c r="O136" s="23" t="s">
        <v>43</v>
      </c>
      <c r="P136" s="31"/>
      <c r="Q136" s="25" t="s">
        <v>44</v>
      </c>
      <c r="R136" s="26" t="s">
        <v>45</v>
      </c>
      <c r="S136" s="25" t="s">
        <v>596</v>
      </c>
      <c r="T136" s="27" t="s">
        <v>65</v>
      </c>
      <c r="U136" s="22">
        <v>10000</v>
      </c>
      <c r="V136" s="28">
        <v>91.412458594037531</v>
      </c>
      <c r="W136" s="29">
        <v>29</v>
      </c>
      <c r="X136" s="29">
        <v>38</v>
      </c>
      <c r="Y136" s="30">
        <f>(表1[[#This Row],[能力素质]]*0.6+表1[[#This Row],[潜力评估]]*0.4)*2</f>
        <v>68.800000000000011</v>
      </c>
    </row>
    <row r="137" spans="1:25" x14ac:dyDescent="0.2">
      <c r="A137" s="11">
        <f t="shared" si="4"/>
        <v>135</v>
      </c>
      <c r="B137" s="12" t="s">
        <v>597</v>
      </c>
      <c r="C137" s="12" t="s">
        <v>26</v>
      </c>
      <c r="D137" s="13" t="s">
        <v>27</v>
      </c>
      <c r="E137" s="36" t="s">
        <v>598</v>
      </c>
      <c r="F137" s="15">
        <v>44669</v>
      </c>
      <c r="G137" s="16" t="s">
        <v>29</v>
      </c>
      <c r="H137" s="17">
        <f ca="1">IF(G137="","",IF(G137="离职",(DATEDIF(F137,#REF!,"y")*100+DATEDIF(F137,#REF!,"ym"))/100,(DATEDIF(F137,NOW(),"y")*100+DATEDIF(F137,NOW(),"ym"))/100))</f>
        <v>2.02</v>
      </c>
      <c r="I137" s="18">
        <f t="shared" ca="1" si="5"/>
        <v>29</v>
      </c>
      <c r="J137" s="19" t="str">
        <f>IF(表1[[#This Row],[证件号码]]="","",SUBSTITUTE(TEXT(--MID(表1[[#This Row],[证件号码]],7,8),"0000-00-00"),"-","/"))</f>
        <v>1995/12/18</v>
      </c>
      <c r="K137" s="20" t="s">
        <v>555</v>
      </c>
      <c r="L137" s="21"/>
      <c r="M137" s="21" t="s">
        <v>60</v>
      </c>
      <c r="N137" s="22" t="s">
        <v>31</v>
      </c>
      <c r="O137" s="23" t="s">
        <v>599</v>
      </c>
      <c r="P137" s="31"/>
      <c r="Q137" s="25" t="s">
        <v>44</v>
      </c>
      <c r="R137" s="26" t="s">
        <v>45</v>
      </c>
      <c r="S137" s="25" t="s">
        <v>81</v>
      </c>
      <c r="T137" s="27" t="s">
        <v>65</v>
      </c>
      <c r="U137" s="22">
        <v>16000</v>
      </c>
      <c r="V137" s="28">
        <v>114.94285977180715</v>
      </c>
      <c r="W137" s="29">
        <v>32</v>
      </c>
      <c r="X137" s="29">
        <v>44</v>
      </c>
      <c r="Y137" s="30">
        <f>(表1[[#This Row],[能力素质]]*0.6+表1[[#This Row],[潜力评估]]*0.4)*2</f>
        <v>78.400000000000006</v>
      </c>
    </row>
    <row r="138" spans="1:25" x14ac:dyDescent="0.2">
      <c r="A138" s="11">
        <f t="shared" si="4"/>
        <v>136</v>
      </c>
      <c r="B138" s="12" t="s">
        <v>600</v>
      </c>
      <c r="C138" s="12" t="s">
        <v>26</v>
      </c>
      <c r="D138" s="13" t="s">
        <v>27</v>
      </c>
      <c r="E138" s="36" t="s">
        <v>601</v>
      </c>
      <c r="F138" s="15">
        <v>44670</v>
      </c>
      <c r="G138" s="16" t="s">
        <v>29</v>
      </c>
      <c r="H138" s="17">
        <f ca="1">IF(G138="","",IF(G138="离职",(DATEDIF(F138,#REF!,"y")*100+DATEDIF(F138,#REF!,"ym"))/100,(DATEDIF(F138,NOW(),"y")*100+DATEDIF(F138,NOW(),"ym"))/100))</f>
        <v>2.02</v>
      </c>
      <c r="I138" s="18">
        <f t="shared" ca="1" si="5"/>
        <v>35</v>
      </c>
      <c r="J138" s="19" t="str">
        <f>IF(表1[[#This Row],[证件号码]]="","",SUBSTITUTE(TEXT(--MID(表1[[#This Row],[证件号码]],7,8),"0000-00-00"),"-","/"))</f>
        <v>1989/11/13</v>
      </c>
      <c r="K138" s="21" t="s">
        <v>602</v>
      </c>
      <c r="L138" s="21"/>
      <c r="M138" s="21" t="s">
        <v>60</v>
      </c>
      <c r="N138" s="22" t="s">
        <v>31</v>
      </c>
      <c r="O138" s="23" t="s">
        <v>43</v>
      </c>
      <c r="P138" s="31"/>
      <c r="Q138" s="25" t="s">
        <v>44</v>
      </c>
      <c r="R138" s="26" t="s">
        <v>45</v>
      </c>
      <c r="S138" s="25" t="s">
        <v>603</v>
      </c>
      <c r="T138" s="27" t="s">
        <v>65</v>
      </c>
      <c r="U138" s="22">
        <v>15000</v>
      </c>
      <c r="V138" s="28">
        <v>65.895270518954732</v>
      </c>
      <c r="W138" s="29">
        <v>27</v>
      </c>
      <c r="X138" s="29">
        <v>40</v>
      </c>
      <c r="Y138" s="30">
        <f>(表1[[#This Row],[能力素质]]*0.6+表1[[#This Row],[潜力评估]]*0.4)*2</f>
        <v>69.599999999999994</v>
      </c>
    </row>
    <row r="139" spans="1:25" x14ac:dyDescent="0.2">
      <c r="A139" s="11">
        <f t="shared" si="4"/>
        <v>137</v>
      </c>
      <c r="B139" s="12" t="s">
        <v>604</v>
      </c>
      <c r="C139" s="12" t="s">
        <v>26</v>
      </c>
      <c r="D139" s="13" t="s">
        <v>27</v>
      </c>
      <c r="E139" s="36" t="s">
        <v>605</v>
      </c>
      <c r="F139" s="15">
        <v>44670</v>
      </c>
      <c r="G139" s="16" t="s">
        <v>29</v>
      </c>
      <c r="H139" s="17">
        <f ca="1">IF(G139="","",IF(G139="离职",(DATEDIF(F139,#REF!,"y")*100+DATEDIF(F139,#REF!,"ym"))/100,(DATEDIF(F139,NOW(),"y")*100+DATEDIF(F139,NOW(),"ym"))/100))</f>
        <v>2.02</v>
      </c>
      <c r="I139" s="18">
        <f t="shared" ca="1" si="5"/>
        <v>25</v>
      </c>
      <c r="J139" s="19" t="str">
        <f>IF(表1[[#This Row],[证件号码]]="","",SUBSTITUTE(TEXT(--MID(表1[[#This Row],[证件号码]],7,8),"0000-00-00"),"-","/"))</f>
        <v>1999/04/26</v>
      </c>
      <c r="K139" s="20" t="s">
        <v>75</v>
      </c>
      <c r="L139" s="21"/>
      <c r="M139" s="20" t="s">
        <v>31</v>
      </c>
      <c r="N139" s="22" t="s">
        <v>31</v>
      </c>
      <c r="O139" s="23" t="s">
        <v>43</v>
      </c>
      <c r="P139" s="31"/>
      <c r="Q139" s="25" t="s">
        <v>44</v>
      </c>
      <c r="R139" s="26" t="s">
        <v>45</v>
      </c>
      <c r="S139" s="25" t="s">
        <v>81</v>
      </c>
      <c r="T139" s="27" t="s">
        <v>65</v>
      </c>
      <c r="U139" s="22">
        <v>11500</v>
      </c>
      <c r="V139" s="28">
        <v>91.291369157158641</v>
      </c>
      <c r="W139" s="29">
        <v>33</v>
      </c>
      <c r="X139" s="29">
        <v>42</v>
      </c>
      <c r="Y139" s="30">
        <f>(表1[[#This Row],[能力素质]]*0.6+表1[[#This Row],[潜力评估]]*0.4)*2</f>
        <v>76.8</v>
      </c>
    </row>
    <row r="140" spans="1:25" x14ac:dyDescent="0.2">
      <c r="A140" s="11">
        <f t="shared" si="4"/>
        <v>138</v>
      </c>
      <c r="B140" s="12" t="s">
        <v>606</v>
      </c>
      <c r="C140" s="12" t="s">
        <v>607</v>
      </c>
      <c r="D140" s="13" t="s">
        <v>27</v>
      </c>
      <c r="E140" s="36" t="s">
        <v>608</v>
      </c>
      <c r="F140" s="15">
        <v>44676</v>
      </c>
      <c r="G140" s="16" t="s">
        <v>29</v>
      </c>
      <c r="H140" s="17">
        <f ca="1">IF(G140="","",IF(G140="离职",(DATEDIF(F140,#REF!,"y")*100+DATEDIF(F140,#REF!,"ym"))/100,(DATEDIF(F140,NOW(),"y")*100+DATEDIF(F140,NOW(),"ym"))/100))</f>
        <v>2.02</v>
      </c>
      <c r="I140" s="18">
        <f t="shared" ca="1" si="5"/>
        <v>28</v>
      </c>
      <c r="J140" s="19" t="str">
        <f>IF(表1[[#This Row],[证件号码]]="","",SUBSTITUTE(TEXT(--MID(表1[[#This Row],[证件号码]],7,8),"0000-00-00"),"-","/"))</f>
        <v>1996/11/25</v>
      </c>
      <c r="K140" s="20" t="s">
        <v>609</v>
      </c>
      <c r="L140" s="21"/>
      <c r="M140" s="20" t="s">
        <v>31</v>
      </c>
      <c r="N140" s="22" t="s">
        <v>31</v>
      </c>
      <c r="O140" s="23" t="s">
        <v>160</v>
      </c>
      <c r="P140" s="31"/>
      <c r="Q140" s="25" t="s">
        <v>34</v>
      </c>
      <c r="R140" s="26" t="s">
        <v>115</v>
      </c>
      <c r="S140" s="25" t="s">
        <v>116</v>
      </c>
      <c r="T140" s="27" t="s">
        <v>65</v>
      </c>
      <c r="U140" s="22">
        <v>8800</v>
      </c>
      <c r="V140" s="28">
        <v>95.199999999999989</v>
      </c>
      <c r="W140" s="29">
        <v>31</v>
      </c>
      <c r="X140" s="29">
        <v>43</v>
      </c>
      <c r="Y140" s="30">
        <f>(表1[[#This Row],[能力素质]]*0.6+表1[[#This Row],[潜力评估]]*0.4)*2</f>
        <v>76.400000000000006</v>
      </c>
    </row>
    <row r="141" spans="1:25" x14ac:dyDescent="0.2">
      <c r="A141" s="11">
        <f t="shared" si="4"/>
        <v>139</v>
      </c>
      <c r="B141" s="12" t="s">
        <v>610</v>
      </c>
      <c r="C141" s="12" t="s">
        <v>607</v>
      </c>
      <c r="D141" s="13" t="s">
        <v>27</v>
      </c>
      <c r="E141" s="36" t="s">
        <v>611</v>
      </c>
      <c r="F141" s="15">
        <v>44686</v>
      </c>
      <c r="G141" s="16" t="s">
        <v>29</v>
      </c>
      <c r="H141" s="17">
        <f ca="1">IF(G141="","",IF(G141="离职",(DATEDIF(F141,#REF!,"y")*100+DATEDIF(F141,#REF!,"ym"))/100,(DATEDIF(F141,NOW(),"y")*100+DATEDIF(F141,NOW(),"ym"))/100))</f>
        <v>2.02</v>
      </c>
      <c r="I141" s="18">
        <f t="shared" ca="1" si="5"/>
        <v>27</v>
      </c>
      <c r="J141" s="19" t="str">
        <f>IF(表1[[#This Row],[证件号码]]="","",SUBSTITUTE(TEXT(--MID(表1[[#This Row],[证件号码]],7,8),"0000-00-00"),"-","/"))</f>
        <v>1997/09/05</v>
      </c>
      <c r="K141" s="20" t="s">
        <v>612</v>
      </c>
      <c r="L141" s="21"/>
      <c r="M141" s="20" t="s">
        <v>42</v>
      </c>
      <c r="N141" s="22" t="s">
        <v>42</v>
      </c>
      <c r="O141" s="23" t="s">
        <v>133</v>
      </c>
      <c r="P141" s="31"/>
      <c r="Q141" s="25" t="s">
        <v>34</v>
      </c>
      <c r="R141" s="26" t="s">
        <v>115</v>
      </c>
      <c r="S141" s="25" t="s">
        <v>116</v>
      </c>
      <c r="T141" s="27" t="s">
        <v>65</v>
      </c>
      <c r="U141" s="22">
        <v>8000</v>
      </c>
      <c r="V141" s="28">
        <v>94.381818181818176</v>
      </c>
      <c r="W141" s="29">
        <v>28</v>
      </c>
      <c r="X141" s="29">
        <v>41</v>
      </c>
      <c r="Y141" s="30">
        <f>(表1[[#This Row],[能力素质]]*0.6+表1[[#This Row],[潜力评估]]*0.4)*2</f>
        <v>71.599999999999994</v>
      </c>
    </row>
    <row r="142" spans="1:25" x14ac:dyDescent="0.2">
      <c r="A142" s="11">
        <f t="shared" si="4"/>
        <v>140</v>
      </c>
      <c r="B142" s="12" t="s">
        <v>613</v>
      </c>
      <c r="C142" s="12" t="s">
        <v>49</v>
      </c>
      <c r="D142" s="13" t="s">
        <v>27</v>
      </c>
      <c r="E142" s="36" t="s">
        <v>614</v>
      </c>
      <c r="F142" s="15">
        <v>44687</v>
      </c>
      <c r="G142" s="16" t="s">
        <v>29</v>
      </c>
      <c r="H142" s="17">
        <f ca="1">IF(G142="","",IF(G142="离职",(DATEDIF(F142,#REF!,"y")*100+DATEDIF(F142,#REF!,"ym"))/100,(DATEDIF(F142,NOW(),"y")*100+DATEDIF(F142,NOW(),"ym"))/100))</f>
        <v>2.0099999999999998</v>
      </c>
      <c r="I142" s="18">
        <f t="shared" ca="1" si="5"/>
        <v>34</v>
      </c>
      <c r="J142" s="19" t="str">
        <f>IF(表1[[#This Row],[证件号码]]="","",SUBSTITUTE(TEXT(--MID(表1[[#This Row],[证件号码]],7,8),"0000-00-00"),"-","/"))</f>
        <v>1990/09/09</v>
      </c>
      <c r="K142" s="20" t="s">
        <v>615</v>
      </c>
      <c r="L142" s="21"/>
      <c r="M142" s="20" t="s">
        <v>42</v>
      </c>
      <c r="N142" s="22" t="s">
        <v>42</v>
      </c>
      <c r="O142" s="23" t="s">
        <v>616</v>
      </c>
      <c r="P142" s="31" t="s">
        <v>464</v>
      </c>
      <c r="Q142" s="25" t="s">
        <v>34</v>
      </c>
      <c r="R142" s="26" t="s">
        <v>115</v>
      </c>
      <c r="S142" s="25" t="s">
        <v>116</v>
      </c>
      <c r="T142" s="27" t="s">
        <v>65</v>
      </c>
      <c r="U142" s="22">
        <v>11800</v>
      </c>
      <c r="V142" s="28">
        <v>73.516774015458225</v>
      </c>
      <c r="W142" s="29">
        <v>31</v>
      </c>
      <c r="X142" s="29">
        <v>45</v>
      </c>
      <c r="Y142" s="30">
        <f>(表1[[#This Row],[能力素质]]*0.6+表1[[#This Row],[潜力评估]]*0.4)*2</f>
        <v>78.8</v>
      </c>
    </row>
    <row r="143" spans="1:25" x14ac:dyDescent="0.2">
      <c r="A143" s="11">
        <f t="shared" si="4"/>
        <v>141</v>
      </c>
      <c r="B143" s="12" t="s">
        <v>617</v>
      </c>
      <c r="C143" s="12" t="s">
        <v>618</v>
      </c>
      <c r="D143" s="13" t="s">
        <v>27</v>
      </c>
      <c r="E143" s="36" t="s">
        <v>619</v>
      </c>
      <c r="F143" s="15">
        <v>44693</v>
      </c>
      <c r="G143" s="16" t="s">
        <v>29</v>
      </c>
      <c r="H143" s="17">
        <f ca="1">IF(G143="","",IF(G143="离职",(DATEDIF(F143,#REF!,"y")*100+DATEDIF(F143,#REF!,"ym"))/100,(DATEDIF(F143,NOW(),"y")*100+DATEDIF(F143,NOW(),"ym"))/100))</f>
        <v>2.0099999999999998</v>
      </c>
      <c r="I143" s="18">
        <f t="shared" ca="1" si="5"/>
        <v>34</v>
      </c>
      <c r="J143" s="19" t="str">
        <f>IF(表1[[#This Row],[证件号码]]="","",SUBSTITUTE(TEXT(--MID(表1[[#This Row],[证件号码]],7,8),"0000-00-00"),"-","/"))</f>
        <v>1990/03/12</v>
      </c>
      <c r="K143" s="21" t="s">
        <v>620</v>
      </c>
      <c r="L143" s="21"/>
      <c r="M143" s="21" t="s">
        <v>60</v>
      </c>
      <c r="N143" s="22" t="s">
        <v>42</v>
      </c>
      <c r="O143" s="23" t="s">
        <v>621</v>
      </c>
      <c r="P143" s="31"/>
      <c r="Q143" s="25" t="s">
        <v>54</v>
      </c>
      <c r="R143" s="26" t="s">
        <v>87</v>
      </c>
      <c r="S143" s="25" t="s">
        <v>622</v>
      </c>
      <c r="T143" s="27" t="s">
        <v>37</v>
      </c>
      <c r="U143" s="22">
        <v>15000</v>
      </c>
      <c r="V143" s="28">
        <v>69.172727272727272</v>
      </c>
      <c r="W143" s="29">
        <v>35</v>
      </c>
      <c r="X143" s="29">
        <v>42</v>
      </c>
      <c r="Y143" s="30">
        <f>(表1[[#This Row],[能力素质]]*0.6+表1[[#This Row],[潜力评估]]*0.4)*2</f>
        <v>78.400000000000006</v>
      </c>
    </row>
    <row r="144" spans="1:25" x14ac:dyDescent="0.2">
      <c r="A144" s="11">
        <f t="shared" si="4"/>
        <v>142</v>
      </c>
      <c r="B144" s="12" t="s">
        <v>623</v>
      </c>
      <c r="C144" s="12" t="s">
        <v>26</v>
      </c>
      <c r="D144" s="13" t="s">
        <v>27</v>
      </c>
      <c r="E144" s="36" t="s">
        <v>624</v>
      </c>
      <c r="F144" s="15">
        <v>44704</v>
      </c>
      <c r="G144" s="16" t="s">
        <v>29</v>
      </c>
      <c r="H144" s="17">
        <f ca="1">IF(G144="","",IF(G144="离职",(DATEDIF(F144,#REF!,"y")*100+DATEDIF(F144,#REF!,"ym"))/100,(DATEDIF(F144,NOW(),"y")*100+DATEDIF(F144,NOW(),"ym"))/100))</f>
        <v>2.0099999999999998</v>
      </c>
      <c r="I144" s="18">
        <f t="shared" ca="1" si="5"/>
        <v>26</v>
      </c>
      <c r="J144" s="19" t="str">
        <f>IF(表1[[#This Row],[证件号码]]="","",SUBSTITUTE(TEXT(--MID(表1[[#This Row],[证件号码]],7,8),"0000-00-00"),"-","/"))</f>
        <v>1998/03/24</v>
      </c>
      <c r="K144" s="20" t="s">
        <v>75</v>
      </c>
      <c r="L144" s="21"/>
      <c r="M144" s="20" t="s">
        <v>42</v>
      </c>
      <c r="N144" s="29" t="s">
        <v>31</v>
      </c>
      <c r="O144" s="23" t="s">
        <v>43</v>
      </c>
      <c r="P144" s="31"/>
      <c r="Q144" s="25" t="s">
        <v>44</v>
      </c>
      <c r="R144" s="26" t="s">
        <v>45</v>
      </c>
      <c r="S144" s="25" t="s">
        <v>81</v>
      </c>
      <c r="T144" s="27" t="s">
        <v>65</v>
      </c>
      <c r="U144" s="22">
        <v>12000</v>
      </c>
      <c r="V144" s="28">
        <v>109.02364740522634</v>
      </c>
      <c r="W144" s="29">
        <v>26</v>
      </c>
      <c r="X144" s="29">
        <v>40</v>
      </c>
      <c r="Y144" s="30">
        <f>(表1[[#This Row],[能力素质]]*0.6+表1[[#This Row],[潜力评估]]*0.4)*2</f>
        <v>68.8</v>
      </c>
    </row>
    <row r="145" spans="1:25" x14ac:dyDescent="0.2">
      <c r="A145" s="11">
        <f t="shared" si="4"/>
        <v>143</v>
      </c>
      <c r="B145" s="12" t="s">
        <v>625</v>
      </c>
      <c r="C145" s="12" t="s">
        <v>26</v>
      </c>
      <c r="D145" s="13" t="s">
        <v>39</v>
      </c>
      <c r="E145" s="36" t="s">
        <v>626</v>
      </c>
      <c r="F145" s="15">
        <v>44705</v>
      </c>
      <c r="G145" s="16" t="s">
        <v>29</v>
      </c>
      <c r="H145" s="17">
        <f ca="1">IF(G145="","",IF(G145="离职",(DATEDIF(F145,#REF!,"y")*100+DATEDIF(F145,#REF!,"ym"))/100,(DATEDIF(F145,NOW(),"y")*100+DATEDIF(F145,NOW(),"ym"))/100))</f>
        <v>2.0099999999999998</v>
      </c>
      <c r="I145" s="18">
        <f t="shared" ca="1" si="5"/>
        <v>28</v>
      </c>
      <c r="J145" s="19" t="str">
        <f>IF(表1[[#This Row],[证件号码]]="","",SUBSTITUTE(TEXT(--MID(表1[[#This Row],[证件号码]],7,8),"0000-00-00"),"-","/"))</f>
        <v>1996/11/22</v>
      </c>
      <c r="K145" s="20" t="s">
        <v>595</v>
      </c>
      <c r="L145" s="21"/>
      <c r="M145" s="20" t="s">
        <v>31</v>
      </c>
      <c r="N145" s="22" t="s">
        <v>31</v>
      </c>
      <c r="O145" s="23" t="s">
        <v>182</v>
      </c>
      <c r="P145" s="31"/>
      <c r="Q145" s="25" t="s">
        <v>44</v>
      </c>
      <c r="R145" s="26" t="s">
        <v>45</v>
      </c>
      <c r="S145" s="25" t="s">
        <v>300</v>
      </c>
      <c r="T145" s="27" t="s">
        <v>65</v>
      </c>
      <c r="U145" s="22">
        <v>10000</v>
      </c>
      <c r="V145" s="28">
        <v>109.21775855723223</v>
      </c>
      <c r="W145" s="29">
        <v>25</v>
      </c>
      <c r="X145" s="29">
        <v>38</v>
      </c>
      <c r="Y145" s="30">
        <f>(表1[[#This Row],[能力素质]]*0.6+表1[[#This Row],[潜力评估]]*0.4)*2</f>
        <v>65.599999999999994</v>
      </c>
    </row>
    <row r="146" spans="1:25" x14ac:dyDescent="0.2">
      <c r="A146" s="11">
        <f t="shared" si="4"/>
        <v>144</v>
      </c>
      <c r="B146" s="12" t="s">
        <v>627</v>
      </c>
      <c r="C146" s="12" t="s">
        <v>26</v>
      </c>
      <c r="D146" s="13" t="s">
        <v>27</v>
      </c>
      <c r="E146" s="36" t="s">
        <v>628</v>
      </c>
      <c r="F146" s="15">
        <v>44707</v>
      </c>
      <c r="G146" s="16" t="s">
        <v>29</v>
      </c>
      <c r="H146" s="17">
        <f ca="1">IF(G146="","",IF(G146="离职",(DATEDIF(F146,#REF!,"y")*100+DATEDIF(F146,#REF!,"ym"))/100,(DATEDIF(F146,NOW(),"y")*100+DATEDIF(F146,NOW(),"ym"))/100))</f>
        <v>2.0099999999999998</v>
      </c>
      <c r="I146" s="18">
        <f t="shared" ca="1" si="5"/>
        <v>27</v>
      </c>
      <c r="J146" s="19" t="str">
        <f>IF(表1[[#This Row],[证件号码]]="","",SUBSTITUTE(TEXT(--MID(表1[[#This Row],[证件号码]],7,8),"0000-00-00"),"-","/"))</f>
        <v>1997/04/03</v>
      </c>
      <c r="K146" s="20" t="s">
        <v>629</v>
      </c>
      <c r="L146" s="21"/>
      <c r="M146" s="20" t="s">
        <v>42</v>
      </c>
      <c r="N146" s="29" t="s">
        <v>31</v>
      </c>
      <c r="O146" s="32" t="s">
        <v>43</v>
      </c>
      <c r="P146" s="31"/>
      <c r="Q146" s="25" t="s">
        <v>44</v>
      </c>
      <c r="R146" s="26" t="s">
        <v>45</v>
      </c>
      <c r="S146" s="25" t="s">
        <v>300</v>
      </c>
      <c r="T146" s="27" t="s">
        <v>65</v>
      </c>
      <c r="U146" s="22">
        <v>10000</v>
      </c>
      <c r="V146" s="28">
        <v>110.5092933382407</v>
      </c>
      <c r="W146" s="29">
        <v>23</v>
      </c>
      <c r="X146" s="29">
        <v>31</v>
      </c>
      <c r="Y146" s="30">
        <f>(表1[[#This Row],[能力素质]]*0.6+表1[[#This Row],[潜力评估]]*0.4)*2</f>
        <v>55.599999999999994</v>
      </c>
    </row>
    <row r="147" spans="1:25" x14ac:dyDescent="0.2">
      <c r="A147" s="11">
        <f t="shared" si="4"/>
        <v>145</v>
      </c>
      <c r="B147" s="12" t="s">
        <v>630</v>
      </c>
      <c r="C147" s="12" t="s">
        <v>26</v>
      </c>
      <c r="D147" s="13" t="s">
        <v>27</v>
      </c>
      <c r="E147" s="36" t="s">
        <v>631</v>
      </c>
      <c r="F147" s="15">
        <v>44712</v>
      </c>
      <c r="G147" s="16" t="s">
        <v>29</v>
      </c>
      <c r="H147" s="17">
        <f ca="1">IF(G147="","",IF(G147="离职",(DATEDIF(F147,#REF!,"y")*100+DATEDIF(F147,#REF!,"ym"))/100,(DATEDIF(F147,NOW(),"y")*100+DATEDIF(F147,NOW(),"ym"))/100))</f>
        <v>2.0099999999999998</v>
      </c>
      <c r="I147" s="18">
        <f t="shared" ca="1" si="5"/>
        <v>25</v>
      </c>
      <c r="J147" s="19" t="str">
        <f>IF(表1[[#This Row],[证件号码]]="","",SUBSTITUTE(TEXT(--MID(表1[[#This Row],[证件号码]],7,8),"0000-00-00"),"-","/"))</f>
        <v>1999/01/07</v>
      </c>
      <c r="K147" s="21" t="s">
        <v>632</v>
      </c>
      <c r="L147" s="21"/>
      <c r="M147" s="21" t="s">
        <v>60</v>
      </c>
      <c r="N147" s="22" t="s">
        <v>31</v>
      </c>
      <c r="O147" s="23" t="s">
        <v>489</v>
      </c>
      <c r="P147" s="31"/>
      <c r="Q147" s="25" t="s">
        <v>44</v>
      </c>
      <c r="R147" s="26" t="s">
        <v>45</v>
      </c>
      <c r="S147" s="25" t="s">
        <v>81</v>
      </c>
      <c r="T147" s="27" t="s">
        <v>65</v>
      </c>
      <c r="U147" s="22">
        <v>10000</v>
      </c>
      <c r="V147" s="28">
        <v>122.84344497607655</v>
      </c>
      <c r="W147" s="29">
        <v>26</v>
      </c>
      <c r="X147" s="29">
        <v>40</v>
      </c>
      <c r="Y147" s="30">
        <f>(表1[[#This Row],[能力素质]]*0.6+表1[[#This Row],[潜力评估]]*0.4)*2</f>
        <v>68.8</v>
      </c>
    </row>
    <row r="148" spans="1:25" ht="21" x14ac:dyDescent="0.2">
      <c r="A148" s="11">
        <f t="shared" si="4"/>
        <v>146</v>
      </c>
      <c r="B148" s="12" t="s">
        <v>633</v>
      </c>
      <c r="C148" s="12" t="s">
        <v>26</v>
      </c>
      <c r="D148" s="13" t="s">
        <v>27</v>
      </c>
      <c r="E148" s="36" t="s">
        <v>634</v>
      </c>
      <c r="F148" s="15">
        <v>44725</v>
      </c>
      <c r="G148" s="16" t="s">
        <v>29</v>
      </c>
      <c r="H148" s="17">
        <f ca="1">IF(G148="","",IF(G148="离职",(DATEDIF(F148,#REF!,"y")*100+DATEDIF(F148,#REF!,"ym"))/100,(DATEDIF(F148,NOW(),"y")*100+DATEDIF(F148,NOW(),"ym"))/100))</f>
        <v>2</v>
      </c>
      <c r="I148" s="18">
        <f t="shared" ca="1" si="5"/>
        <v>33</v>
      </c>
      <c r="J148" s="19" t="str">
        <f>IF(表1[[#This Row],[证件号码]]="","",SUBSTITUTE(TEXT(--MID(表1[[#This Row],[证件号码]],7,8),"0000-00-00"),"-","/"))</f>
        <v>1991/08/23</v>
      </c>
      <c r="K148" s="21" t="s">
        <v>635</v>
      </c>
      <c r="L148" s="21"/>
      <c r="M148" s="21" t="s">
        <v>60</v>
      </c>
      <c r="N148" s="22" t="s">
        <v>31</v>
      </c>
      <c r="O148" s="23" t="s">
        <v>481</v>
      </c>
      <c r="P148" s="24" t="s">
        <v>636</v>
      </c>
      <c r="Q148" s="25" t="s">
        <v>44</v>
      </c>
      <c r="R148" s="26" t="s">
        <v>45</v>
      </c>
      <c r="S148" s="25" t="s">
        <v>81</v>
      </c>
      <c r="T148" s="27" t="s">
        <v>65</v>
      </c>
      <c r="U148" s="22">
        <v>17500</v>
      </c>
      <c r="V148" s="28">
        <v>111.93255428781744</v>
      </c>
      <c r="W148" s="29">
        <v>36</v>
      </c>
      <c r="X148" s="29">
        <v>44</v>
      </c>
      <c r="Y148" s="30">
        <f>(表1[[#This Row],[能力素质]]*0.6+表1[[#This Row],[潜力评估]]*0.4)*2</f>
        <v>81.599999999999994</v>
      </c>
    </row>
    <row r="149" spans="1:25" x14ac:dyDescent="0.2">
      <c r="A149" s="11">
        <f t="shared" si="4"/>
        <v>147</v>
      </c>
      <c r="B149" s="12" t="s">
        <v>637</v>
      </c>
      <c r="C149" s="12" t="s">
        <v>26</v>
      </c>
      <c r="D149" s="13" t="s">
        <v>27</v>
      </c>
      <c r="E149" s="36" t="s">
        <v>638</v>
      </c>
      <c r="F149" s="15">
        <v>44760</v>
      </c>
      <c r="G149" s="16" t="s">
        <v>29</v>
      </c>
      <c r="H149" s="17">
        <f ca="1">IF(G149="","",IF(G149="离职",(DATEDIF(F149,#REF!,"y")*100+DATEDIF(F149,#REF!,"ym"))/100,(DATEDIF(F149,NOW(),"y")*100+DATEDIF(F149,NOW(),"ym"))/100))</f>
        <v>1.1100000000000001</v>
      </c>
      <c r="I149" s="18">
        <f t="shared" ca="1" si="5"/>
        <v>24</v>
      </c>
      <c r="J149" s="19" t="str">
        <f>IF(表1[[#This Row],[证件号码]]="","",SUBSTITUTE(TEXT(--MID(表1[[#This Row],[证件号码]],7,8),"0000-00-00"),"-","/"))</f>
        <v>2000/09/12</v>
      </c>
      <c r="K149" s="20" t="s">
        <v>639</v>
      </c>
      <c r="L149" s="21"/>
      <c r="M149" s="20" t="s">
        <v>42</v>
      </c>
      <c r="N149" s="22" t="s">
        <v>42</v>
      </c>
      <c r="O149" s="23" t="s">
        <v>316</v>
      </c>
      <c r="P149" s="31"/>
      <c r="Q149" s="25" t="s">
        <v>44</v>
      </c>
      <c r="R149" s="26" t="s">
        <v>45</v>
      </c>
      <c r="S149" s="25" t="s">
        <v>300</v>
      </c>
      <c r="T149" s="27" t="s">
        <v>65</v>
      </c>
      <c r="U149" s="22">
        <v>11000</v>
      </c>
      <c r="V149" s="28">
        <v>120.12541405962457</v>
      </c>
      <c r="W149" s="29">
        <v>28</v>
      </c>
      <c r="X149" s="29">
        <v>42</v>
      </c>
      <c r="Y149" s="30">
        <f>(表1[[#This Row],[能力素质]]*0.6+表1[[#This Row],[潜力评估]]*0.4)*2</f>
        <v>72.8</v>
      </c>
    </row>
    <row r="150" spans="1:25" x14ac:dyDescent="0.2">
      <c r="A150" s="11">
        <f t="shared" si="4"/>
        <v>148</v>
      </c>
      <c r="B150" s="12" t="s">
        <v>640</v>
      </c>
      <c r="C150" s="12" t="s">
        <v>26</v>
      </c>
      <c r="D150" s="13" t="s">
        <v>27</v>
      </c>
      <c r="E150" s="36" t="s">
        <v>641</v>
      </c>
      <c r="F150" s="15">
        <v>44767</v>
      </c>
      <c r="G150" s="16" t="s">
        <v>29</v>
      </c>
      <c r="H150" s="17">
        <f ca="1">IF(G150="","",IF(G150="离职",(DATEDIF(F150,#REF!,"y")*100+DATEDIF(F150,#REF!,"ym"))/100,(DATEDIF(F150,NOW(),"y")*100+DATEDIF(F150,NOW(),"ym"))/100))</f>
        <v>1.1100000000000001</v>
      </c>
      <c r="I150" s="18">
        <f t="shared" ca="1" si="5"/>
        <v>25</v>
      </c>
      <c r="J150" s="19" t="str">
        <f>IF(表1[[#This Row],[证件号码]]="","",SUBSTITUTE(TEXT(--MID(表1[[#This Row],[证件号码]],7,8),"0000-00-00"),"-","/"))</f>
        <v>1999/08/04</v>
      </c>
      <c r="K150" s="20" t="s">
        <v>642</v>
      </c>
      <c r="L150" s="21"/>
      <c r="M150" s="20" t="s">
        <v>42</v>
      </c>
      <c r="N150" s="22" t="s">
        <v>42</v>
      </c>
      <c r="O150" s="23" t="s">
        <v>643</v>
      </c>
      <c r="P150" s="31"/>
      <c r="Q150" s="25" t="s">
        <v>44</v>
      </c>
      <c r="R150" s="26" t="s">
        <v>45</v>
      </c>
      <c r="S150" s="25" t="s">
        <v>300</v>
      </c>
      <c r="T150" s="27" t="s">
        <v>65</v>
      </c>
      <c r="U150" s="22">
        <v>9500</v>
      </c>
      <c r="V150" s="28">
        <v>94.360599926389398</v>
      </c>
      <c r="W150" s="29">
        <v>31</v>
      </c>
      <c r="X150" s="29">
        <v>46</v>
      </c>
      <c r="Y150" s="30">
        <f>(表1[[#This Row],[能力素质]]*0.6+表1[[#This Row],[潜力评估]]*0.4)*2</f>
        <v>80</v>
      </c>
    </row>
    <row r="151" spans="1:25" x14ac:dyDescent="0.2">
      <c r="A151" s="11">
        <f t="shared" si="4"/>
        <v>149</v>
      </c>
      <c r="B151" s="12" t="s">
        <v>644</v>
      </c>
      <c r="C151" s="12" t="s">
        <v>26</v>
      </c>
      <c r="D151" s="13" t="s">
        <v>27</v>
      </c>
      <c r="E151" s="36" t="s">
        <v>645</v>
      </c>
      <c r="F151" s="15">
        <v>44767</v>
      </c>
      <c r="G151" s="16" t="s">
        <v>29</v>
      </c>
      <c r="H151" s="17">
        <f ca="1">IF(G151="","",IF(G151="离职",(DATEDIF(F151,#REF!,"y")*100+DATEDIF(F151,#REF!,"ym"))/100,(DATEDIF(F151,NOW(),"y")*100+DATEDIF(F151,NOW(),"ym"))/100))</f>
        <v>1.1100000000000001</v>
      </c>
      <c r="I151" s="18">
        <f t="shared" ca="1" si="5"/>
        <v>27</v>
      </c>
      <c r="J151" s="19" t="str">
        <f>IF(表1[[#This Row],[证件号码]]="","",SUBSTITUTE(TEXT(--MID(表1[[#This Row],[证件号码]],7,8),"0000-00-00"),"-","/"))</f>
        <v>1997/01/13</v>
      </c>
      <c r="K151" s="20" t="s">
        <v>315</v>
      </c>
      <c r="L151" s="21"/>
      <c r="M151" s="20" t="s">
        <v>42</v>
      </c>
      <c r="N151" s="29" t="s">
        <v>31</v>
      </c>
      <c r="O151" s="32" t="s">
        <v>646</v>
      </c>
      <c r="P151" s="31" t="s">
        <v>464</v>
      </c>
      <c r="Q151" s="25" t="s">
        <v>44</v>
      </c>
      <c r="R151" s="26" t="s">
        <v>206</v>
      </c>
      <c r="S151" s="25" t="s">
        <v>81</v>
      </c>
      <c r="T151" s="27" t="s">
        <v>65</v>
      </c>
      <c r="U151" s="22">
        <v>12000</v>
      </c>
      <c r="V151" s="28">
        <v>93.497055576002936</v>
      </c>
      <c r="W151" s="29">
        <v>27</v>
      </c>
      <c r="X151" s="39">
        <v>41</v>
      </c>
      <c r="Y151" s="30">
        <f>(表1[[#This Row],[能力素质]]*0.6+表1[[#This Row],[潜力评估]]*0.4)*2</f>
        <v>70.8</v>
      </c>
    </row>
    <row r="152" spans="1:25" x14ac:dyDescent="0.2">
      <c r="A152" s="11">
        <f t="shared" si="4"/>
        <v>150</v>
      </c>
      <c r="B152" s="12" t="s">
        <v>647</v>
      </c>
      <c r="C152" s="12" t="s">
        <v>26</v>
      </c>
      <c r="D152" s="13" t="s">
        <v>27</v>
      </c>
      <c r="E152" s="36" t="s">
        <v>648</v>
      </c>
      <c r="F152" s="15">
        <v>44767</v>
      </c>
      <c r="G152" s="16" t="s">
        <v>29</v>
      </c>
      <c r="H152" s="17">
        <f ca="1">IF(G152="","",IF(G152="离职",(DATEDIF(F152,#REF!,"y")*100+DATEDIF(F152,#REF!,"ym"))/100,(DATEDIF(F152,NOW(),"y")*100+DATEDIF(F152,NOW(),"ym"))/100))</f>
        <v>1.1100000000000001</v>
      </c>
      <c r="I152" s="18">
        <f t="shared" ca="1" si="5"/>
        <v>24</v>
      </c>
      <c r="J152" s="19" t="str">
        <f>IF(表1[[#This Row],[证件号码]]="","",SUBSTITUTE(TEXT(--MID(表1[[#This Row],[证件号码]],7,8),"0000-00-00"),"-","/"))</f>
        <v>2000/10/17</v>
      </c>
      <c r="K152" s="20" t="s">
        <v>649</v>
      </c>
      <c r="L152" s="21"/>
      <c r="M152" s="20" t="s">
        <v>42</v>
      </c>
      <c r="N152" s="22" t="s">
        <v>42</v>
      </c>
      <c r="O152" s="23" t="s">
        <v>316</v>
      </c>
      <c r="P152" s="31"/>
      <c r="Q152" s="25" t="s">
        <v>44</v>
      </c>
      <c r="R152" s="26" t="s">
        <v>45</v>
      </c>
      <c r="S152" s="25" t="s">
        <v>81</v>
      </c>
      <c r="T152" s="27" t="s">
        <v>65</v>
      </c>
      <c r="U152" s="22">
        <v>10000</v>
      </c>
      <c r="V152" s="28">
        <v>91.933860875966133</v>
      </c>
      <c r="W152" s="29">
        <v>29</v>
      </c>
      <c r="X152" s="29">
        <v>38</v>
      </c>
      <c r="Y152" s="30">
        <f>(表1[[#This Row],[能力素质]]*0.6+表1[[#This Row],[潜力评估]]*0.4)*2</f>
        <v>68.800000000000011</v>
      </c>
    </row>
    <row r="153" spans="1:25" x14ac:dyDescent="0.2">
      <c r="A153" s="11">
        <f t="shared" si="4"/>
        <v>151</v>
      </c>
      <c r="B153" s="12" t="s">
        <v>650</v>
      </c>
      <c r="C153" s="12" t="s">
        <v>26</v>
      </c>
      <c r="D153" s="13" t="s">
        <v>27</v>
      </c>
      <c r="E153" s="36" t="s">
        <v>651</v>
      </c>
      <c r="F153" s="15">
        <v>44774</v>
      </c>
      <c r="G153" s="16" t="s">
        <v>29</v>
      </c>
      <c r="H153" s="17">
        <f ca="1">IF(G153="","",IF(G153="离职",(DATEDIF(F153,#REF!,"y")*100+DATEDIF(F153,#REF!,"ym"))/100,(DATEDIF(F153,NOW(),"y")*100+DATEDIF(F153,NOW(),"ym"))/100))</f>
        <v>1.1100000000000001</v>
      </c>
      <c r="I153" s="18">
        <f t="shared" ca="1" si="5"/>
        <v>29</v>
      </c>
      <c r="J153" s="19" t="str">
        <f>IF(表1[[#This Row],[证件号码]]="","",SUBSTITUTE(TEXT(--MID(表1[[#This Row],[证件号码]],7,8),"0000-00-00"),"-","/"))</f>
        <v>1995/02/14</v>
      </c>
      <c r="K153" s="20" t="s">
        <v>652</v>
      </c>
      <c r="L153" s="21"/>
      <c r="M153" s="20" t="s">
        <v>31</v>
      </c>
      <c r="N153" s="22" t="s">
        <v>31</v>
      </c>
      <c r="O153" s="23" t="s">
        <v>160</v>
      </c>
      <c r="P153" s="31"/>
      <c r="Q153" s="25" t="s">
        <v>44</v>
      </c>
      <c r="R153" s="26" t="s">
        <v>45</v>
      </c>
      <c r="S153" s="25" t="s">
        <v>300</v>
      </c>
      <c r="T153" s="27" t="s">
        <v>65</v>
      </c>
      <c r="U153" s="22">
        <v>13000</v>
      </c>
      <c r="V153" s="28">
        <v>88.130934854619056</v>
      </c>
      <c r="W153" s="29">
        <v>27</v>
      </c>
      <c r="X153" s="29">
        <v>38</v>
      </c>
      <c r="Y153" s="30">
        <f>(表1[[#This Row],[能力素质]]*0.6+表1[[#This Row],[潜力评估]]*0.4)*2</f>
        <v>67.2</v>
      </c>
    </row>
    <row r="154" spans="1:25" x14ac:dyDescent="0.2">
      <c r="A154" s="11">
        <f t="shared" si="4"/>
        <v>152</v>
      </c>
      <c r="B154" s="12" t="s">
        <v>653</v>
      </c>
      <c r="C154" s="12" t="s">
        <v>26</v>
      </c>
      <c r="D154" s="13" t="s">
        <v>39</v>
      </c>
      <c r="E154" s="36" t="s">
        <v>654</v>
      </c>
      <c r="F154" s="15">
        <v>44781</v>
      </c>
      <c r="G154" s="16" t="s">
        <v>29</v>
      </c>
      <c r="H154" s="17">
        <f ca="1">IF(G154="","",IF(G154="离职",(DATEDIF(F154,#REF!,"y")*100+DATEDIF(F154,#REF!,"ym"))/100,(DATEDIF(F154,NOW(),"y")*100+DATEDIF(F154,NOW(),"ym"))/100))</f>
        <v>1.1000000000000001</v>
      </c>
      <c r="I154" s="18">
        <f t="shared" ca="1" si="5"/>
        <v>36</v>
      </c>
      <c r="J154" s="19" t="str">
        <f>IF(表1[[#This Row],[证件号码]]="","",SUBSTITUTE(TEXT(--MID(表1[[#This Row],[证件号码]],7,8),"0000-00-00"),"-","/"))</f>
        <v>1988/01/11</v>
      </c>
      <c r="K154" s="21" t="s">
        <v>655</v>
      </c>
      <c r="L154" s="21"/>
      <c r="M154" s="21" t="s">
        <v>60</v>
      </c>
      <c r="N154" s="22" t="s">
        <v>42</v>
      </c>
      <c r="O154" s="23" t="s">
        <v>656</v>
      </c>
      <c r="P154" s="31" t="s">
        <v>464</v>
      </c>
      <c r="Q154" s="25" t="s">
        <v>44</v>
      </c>
      <c r="R154" s="26" t="s">
        <v>122</v>
      </c>
      <c r="S154" s="25" t="s">
        <v>123</v>
      </c>
      <c r="T154" s="27" t="s">
        <v>65</v>
      </c>
      <c r="U154" s="22">
        <v>12500</v>
      </c>
      <c r="V154" s="28">
        <v>86.782373941847624</v>
      </c>
      <c r="W154" s="29">
        <v>24</v>
      </c>
      <c r="X154" s="29">
        <v>38</v>
      </c>
      <c r="Y154" s="30">
        <f>(表1[[#This Row],[能力素质]]*0.6+表1[[#This Row],[潜力评估]]*0.4)*2</f>
        <v>64.800000000000011</v>
      </c>
    </row>
    <row r="155" spans="1:25" x14ac:dyDescent="0.2">
      <c r="A155" s="11">
        <f t="shared" si="4"/>
        <v>153</v>
      </c>
      <c r="B155" s="12" t="s">
        <v>657</v>
      </c>
      <c r="C155" s="12" t="s">
        <v>197</v>
      </c>
      <c r="D155" s="13" t="s">
        <v>27</v>
      </c>
      <c r="E155" s="36" t="s">
        <v>658</v>
      </c>
      <c r="F155" s="15">
        <v>44790</v>
      </c>
      <c r="G155" s="16" t="s">
        <v>29</v>
      </c>
      <c r="H155" s="17">
        <f ca="1">IF(G155="","",IF(G155="离职",(DATEDIF(F155,#REF!,"y")*100+DATEDIF(F155,#REF!,"ym"))/100,(DATEDIF(F155,NOW(),"y")*100+DATEDIF(F155,NOW(),"ym"))/100))</f>
        <v>1.1000000000000001</v>
      </c>
      <c r="I155" s="18">
        <f t="shared" ca="1" si="5"/>
        <v>26</v>
      </c>
      <c r="J155" s="19" t="str">
        <f>IF(表1[[#This Row],[证件号码]]="","",SUBSTITUTE(TEXT(--MID(表1[[#This Row],[证件号码]],7,8),"0000-00-00"),"-","/"))</f>
        <v>1998/09/29</v>
      </c>
      <c r="K155" s="20" t="s">
        <v>659</v>
      </c>
      <c r="L155" s="21"/>
      <c r="M155" s="20" t="s">
        <v>42</v>
      </c>
      <c r="N155" s="22" t="s">
        <v>42</v>
      </c>
      <c r="O155" s="23" t="s">
        <v>133</v>
      </c>
      <c r="P155" s="31" t="s">
        <v>660</v>
      </c>
      <c r="Q155" s="25" t="s">
        <v>34</v>
      </c>
      <c r="R155" s="26" t="s">
        <v>115</v>
      </c>
      <c r="S155" s="25" t="s">
        <v>116</v>
      </c>
      <c r="T155" s="27" t="s">
        <v>65</v>
      </c>
      <c r="U155" s="22">
        <v>8500</v>
      </c>
      <c r="V155" s="28">
        <v>95.418181818181822</v>
      </c>
      <c r="W155" s="29">
        <v>28</v>
      </c>
      <c r="X155" s="29">
        <v>41</v>
      </c>
      <c r="Y155" s="30">
        <f>(表1[[#This Row],[能力素质]]*0.6+表1[[#This Row],[潜力评估]]*0.4)*2</f>
        <v>71.599999999999994</v>
      </c>
    </row>
    <row r="156" spans="1:25" x14ac:dyDescent="0.2">
      <c r="A156" s="11">
        <f t="shared" si="4"/>
        <v>154</v>
      </c>
      <c r="B156" s="12" t="s">
        <v>661</v>
      </c>
      <c r="C156" s="12" t="s">
        <v>26</v>
      </c>
      <c r="D156" s="13" t="s">
        <v>27</v>
      </c>
      <c r="E156" s="36" t="s">
        <v>662</v>
      </c>
      <c r="F156" s="15">
        <v>44791</v>
      </c>
      <c r="G156" s="16" t="s">
        <v>29</v>
      </c>
      <c r="H156" s="17">
        <f ca="1">IF(G156="","",IF(G156="离职",(DATEDIF(F156,#REF!,"y")*100+DATEDIF(F156,#REF!,"ym"))/100,(DATEDIF(F156,NOW(),"y")*100+DATEDIF(F156,NOW(),"ym"))/100))</f>
        <v>1.1000000000000001</v>
      </c>
      <c r="I156" s="18">
        <f t="shared" ca="1" si="5"/>
        <v>30</v>
      </c>
      <c r="J156" s="19" t="str">
        <f>IF(表1[[#This Row],[证件号码]]="","",SUBSTITUTE(TEXT(--MID(表1[[#This Row],[证件号码]],7,8),"0000-00-00"),"-","/"))</f>
        <v>1994/07/11</v>
      </c>
      <c r="K156" s="20" t="s">
        <v>663</v>
      </c>
      <c r="L156" s="21"/>
      <c r="M156" s="20" t="s">
        <v>31</v>
      </c>
      <c r="N156" s="22" t="s">
        <v>31</v>
      </c>
      <c r="O156" s="23" t="s">
        <v>256</v>
      </c>
      <c r="P156" s="31"/>
      <c r="Q156" s="25" t="s">
        <v>44</v>
      </c>
      <c r="R156" s="26" t="s">
        <v>206</v>
      </c>
      <c r="S156" s="25" t="s">
        <v>300</v>
      </c>
      <c r="T156" s="27" t="s">
        <v>65</v>
      </c>
      <c r="U156" s="22">
        <v>14500</v>
      </c>
      <c r="V156" s="28">
        <v>94.10618329039383</v>
      </c>
      <c r="W156" s="29">
        <v>35</v>
      </c>
      <c r="X156" s="29">
        <v>48</v>
      </c>
      <c r="Y156" s="30">
        <f>(表1[[#This Row],[能力素质]]*0.6+表1[[#This Row],[潜力评估]]*0.4)*2</f>
        <v>85.6</v>
      </c>
    </row>
    <row r="157" spans="1:25" x14ac:dyDescent="0.2">
      <c r="A157" s="11">
        <f t="shared" si="4"/>
        <v>155</v>
      </c>
      <c r="B157" s="12" t="s">
        <v>664</v>
      </c>
      <c r="C157" s="12" t="s">
        <v>26</v>
      </c>
      <c r="D157" s="13" t="s">
        <v>27</v>
      </c>
      <c r="E157" s="36" t="s">
        <v>665</v>
      </c>
      <c r="F157" s="15">
        <v>44802</v>
      </c>
      <c r="G157" s="16" t="s">
        <v>29</v>
      </c>
      <c r="H157" s="17">
        <f ca="1">IF(G157="","",IF(G157="离职",(DATEDIF(F157,#REF!,"y")*100+DATEDIF(F157,#REF!,"ym"))/100,(DATEDIF(F157,NOW(),"y")*100+DATEDIF(F157,NOW(),"ym"))/100))</f>
        <v>1.1000000000000001</v>
      </c>
      <c r="I157" s="18">
        <f t="shared" ca="1" si="5"/>
        <v>28</v>
      </c>
      <c r="J157" s="19" t="str">
        <f>IF(表1[[#This Row],[证件号码]]="","",SUBSTITUTE(TEXT(--MID(表1[[#This Row],[证件号码]],7,8),"0000-00-00"),"-","/"))</f>
        <v>1996/09/13</v>
      </c>
      <c r="K157" s="20" t="s">
        <v>374</v>
      </c>
      <c r="L157" s="21"/>
      <c r="M157" s="20" t="s">
        <v>42</v>
      </c>
      <c r="N157" s="29" t="s">
        <v>31</v>
      </c>
      <c r="O157" s="32" t="s">
        <v>646</v>
      </c>
      <c r="P157" s="31"/>
      <c r="Q157" s="25" t="s">
        <v>44</v>
      </c>
      <c r="R157" s="26" t="s">
        <v>45</v>
      </c>
      <c r="S157" s="25" t="s">
        <v>300</v>
      </c>
      <c r="T157" s="27" t="s">
        <v>65</v>
      </c>
      <c r="U157" s="22">
        <v>10000</v>
      </c>
      <c r="V157" s="28">
        <v>114.09891424365108</v>
      </c>
      <c r="W157" s="29">
        <v>27</v>
      </c>
      <c r="X157" s="29">
        <v>40</v>
      </c>
      <c r="Y157" s="30">
        <f>(表1[[#This Row],[能力素质]]*0.6+表1[[#This Row],[潜力评估]]*0.4)*2</f>
        <v>69.599999999999994</v>
      </c>
    </row>
    <row r="158" spans="1:25" x14ac:dyDescent="0.2">
      <c r="A158" s="11">
        <f t="shared" si="4"/>
        <v>156</v>
      </c>
      <c r="B158" s="22" t="s">
        <v>666</v>
      </c>
      <c r="C158" s="12" t="s">
        <v>26</v>
      </c>
      <c r="D158" s="37" t="s">
        <v>39</v>
      </c>
      <c r="E158" s="36" t="s">
        <v>667</v>
      </c>
      <c r="F158" s="15">
        <v>44811</v>
      </c>
      <c r="G158" s="16" t="s">
        <v>29</v>
      </c>
      <c r="H158" s="17">
        <f ca="1">IF(G158="","",IF(G158="离职",(DATEDIF(F158,#REF!,"y")*100+DATEDIF(F158,#REF!,"ym"))/100,(DATEDIF(F158,NOW(),"y")*100+DATEDIF(F158,NOW(),"ym"))/100))</f>
        <v>1.0900000000000001</v>
      </c>
      <c r="I158" s="18">
        <f t="shared" ca="1" si="5"/>
        <v>28</v>
      </c>
      <c r="J158" s="19" t="str">
        <f>IF(表1[[#This Row],[证件号码]]="","",SUBSTITUTE(TEXT(--MID(表1[[#This Row],[证件号码]],7,8),"0000-00-00"),"-","/"))</f>
        <v>1996/04/15</v>
      </c>
      <c r="K158" s="21" t="s">
        <v>289</v>
      </c>
      <c r="L158" s="21"/>
      <c r="M158" s="21" t="s">
        <v>52</v>
      </c>
      <c r="N158" s="22" t="s">
        <v>31</v>
      </c>
      <c r="O158" s="23" t="s">
        <v>668</v>
      </c>
      <c r="P158" s="31"/>
      <c r="Q158" s="25" t="s">
        <v>54</v>
      </c>
      <c r="R158" s="26" t="s">
        <v>578</v>
      </c>
      <c r="S158" s="25" t="s">
        <v>669</v>
      </c>
      <c r="T158" s="35" t="s">
        <v>65</v>
      </c>
      <c r="U158" s="22">
        <v>8000</v>
      </c>
      <c r="V158" s="28">
        <v>93.972727272727269</v>
      </c>
      <c r="W158" s="29">
        <v>29</v>
      </c>
      <c r="X158" s="29">
        <v>40</v>
      </c>
      <c r="Y158" s="30">
        <f>(表1[[#This Row],[能力素质]]*0.6+表1[[#This Row],[潜力评估]]*0.4)*2</f>
        <v>71.2</v>
      </c>
    </row>
    <row r="159" spans="1:25" x14ac:dyDescent="0.2">
      <c r="A159" s="11">
        <f t="shared" si="4"/>
        <v>157</v>
      </c>
      <c r="B159" s="12" t="s">
        <v>670</v>
      </c>
      <c r="C159" s="12" t="s">
        <v>26</v>
      </c>
      <c r="D159" s="13" t="s">
        <v>27</v>
      </c>
      <c r="E159" s="36" t="s">
        <v>671</v>
      </c>
      <c r="F159" s="15">
        <v>44811</v>
      </c>
      <c r="G159" s="16" t="s">
        <v>29</v>
      </c>
      <c r="H159" s="17">
        <f ca="1">IF(G159="","",IF(G159="离职",(DATEDIF(F159,#REF!,"y")*100+DATEDIF(F159,#REF!,"ym"))/100,(DATEDIF(F159,NOW(),"y")*100+DATEDIF(F159,NOW(),"ym"))/100))</f>
        <v>1.0900000000000001</v>
      </c>
      <c r="I159" s="18">
        <f t="shared" ca="1" si="5"/>
        <v>31</v>
      </c>
      <c r="J159" s="19" t="str">
        <f>IF(表1[[#This Row],[证件号码]]="","",SUBSTITUTE(TEXT(--MID(表1[[#This Row],[证件号码]],7,8),"0000-00-00"),"-","/"))</f>
        <v>1993/07/12</v>
      </c>
      <c r="K159" s="21" t="s">
        <v>420</v>
      </c>
      <c r="L159" s="21"/>
      <c r="M159" s="21" t="s">
        <v>60</v>
      </c>
      <c r="N159" s="22" t="s">
        <v>31</v>
      </c>
      <c r="O159" s="23" t="s">
        <v>672</v>
      </c>
      <c r="P159" s="31"/>
      <c r="Q159" s="25" t="s">
        <v>44</v>
      </c>
      <c r="R159" s="26" t="s">
        <v>45</v>
      </c>
      <c r="S159" s="25" t="s">
        <v>169</v>
      </c>
      <c r="T159" s="27" t="s">
        <v>65</v>
      </c>
      <c r="U159" s="22">
        <v>10000</v>
      </c>
      <c r="V159" s="28">
        <v>122.67252484357746</v>
      </c>
      <c r="W159" s="29">
        <v>35</v>
      </c>
      <c r="X159" s="29">
        <v>44</v>
      </c>
      <c r="Y159" s="30">
        <f>(表1[[#This Row],[能力素质]]*0.6+表1[[#This Row],[潜力评估]]*0.4)*2</f>
        <v>80.8</v>
      </c>
    </row>
    <row r="160" spans="1:25" x14ac:dyDescent="0.2">
      <c r="A160" s="11">
        <f t="shared" si="4"/>
        <v>158</v>
      </c>
      <c r="B160" s="12" t="s">
        <v>673</v>
      </c>
      <c r="C160" s="12" t="s">
        <v>26</v>
      </c>
      <c r="D160" s="13" t="s">
        <v>27</v>
      </c>
      <c r="E160" s="36" t="s">
        <v>674</v>
      </c>
      <c r="F160" s="15">
        <v>44817</v>
      </c>
      <c r="G160" s="16" t="s">
        <v>29</v>
      </c>
      <c r="H160" s="17">
        <f ca="1">IF(G160="","",IF(G160="离职",(DATEDIF(F160,#REF!,"y")*100+DATEDIF(F160,#REF!,"ym"))/100,(DATEDIF(F160,NOW(),"y")*100+DATEDIF(F160,NOW(),"ym"))/100))</f>
        <v>1.0900000000000001</v>
      </c>
      <c r="I160" s="18">
        <f t="shared" ca="1" si="5"/>
        <v>27</v>
      </c>
      <c r="J160" s="19" t="str">
        <f>IF(表1[[#This Row],[证件号码]]="","",SUBSTITUTE(TEXT(--MID(表1[[#This Row],[证件号码]],7,8),"0000-00-00"),"-","/"))</f>
        <v>1997/03/06</v>
      </c>
      <c r="K160" s="20" t="s">
        <v>675</v>
      </c>
      <c r="L160" s="21"/>
      <c r="M160" s="20" t="s">
        <v>42</v>
      </c>
      <c r="N160" s="22" t="s">
        <v>42</v>
      </c>
      <c r="O160" s="23" t="s">
        <v>316</v>
      </c>
      <c r="P160" s="31" t="s">
        <v>676</v>
      </c>
      <c r="Q160" s="25" t="s">
        <v>44</v>
      </c>
      <c r="R160" s="26" t="s">
        <v>206</v>
      </c>
      <c r="S160" s="25" t="s">
        <v>300</v>
      </c>
      <c r="T160" s="27" t="s">
        <v>65</v>
      </c>
      <c r="U160" s="22">
        <v>13500</v>
      </c>
      <c r="V160" s="28">
        <v>91.808240706661763</v>
      </c>
      <c r="W160" s="29">
        <v>32</v>
      </c>
      <c r="X160" s="29">
        <v>46</v>
      </c>
      <c r="Y160" s="30">
        <f>(表1[[#This Row],[能力素质]]*0.6+表1[[#This Row],[潜力评估]]*0.4)*2</f>
        <v>80.8</v>
      </c>
    </row>
    <row r="161" spans="1:25" x14ac:dyDescent="0.2">
      <c r="A161" s="11">
        <f t="shared" si="4"/>
        <v>159</v>
      </c>
      <c r="B161" s="12" t="s">
        <v>677</v>
      </c>
      <c r="C161" s="12" t="s">
        <v>26</v>
      </c>
      <c r="D161" s="13" t="s">
        <v>39</v>
      </c>
      <c r="E161" s="36" t="s">
        <v>678</v>
      </c>
      <c r="F161" s="15">
        <v>44825</v>
      </c>
      <c r="G161" s="16" t="s">
        <v>29</v>
      </c>
      <c r="H161" s="17">
        <f ca="1">IF(G161="","",IF(G161="离职",(DATEDIF(F161,#REF!,"y")*100+DATEDIF(F161,#REF!,"ym"))/100,(DATEDIF(F161,NOW(),"y")*100+DATEDIF(F161,NOW(),"ym"))/100))</f>
        <v>1.0900000000000001</v>
      </c>
      <c r="I161" s="18">
        <f t="shared" ca="1" si="5"/>
        <v>30</v>
      </c>
      <c r="J161" s="19" t="str">
        <f>IF(表1[[#This Row],[证件号码]]="","",SUBSTITUTE(TEXT(--MID(表1[[#This Row],[证件号码]],7,8),"0000-00-00"),"-","/"))</f>
        <v>1994/12/20</v>
      </c>
      <c r="K161" s="21" t="s">
        <v>679</v>
      </c>
      <c r="L161" s="21"/>
      <c r="M161" s="21" t="s">
        <v>52</v>
      </c>
      <c r="N161" s="22" t="s">
        <v>31</v>
      </c>
      <c r="O161" s="23" t="s">
        <v>256</v>
      </c>
      <c r="P161" s="31"/>
      <c r="Q161" s="25" t="s">
        <v>54</v>
      </c>
      <c r="R161" s="26" t="s">
        <v>145</v>
      </c>
      <c r="S161" s="25" t="s">
        <v>146</v>
      </c>
      <c r="T161" s="27" t="s">
        <v>65</v>
      </c>
      <c r="U161" s="22">
        <v>4500</v>
      </c>
      <c r="V161" s="28">
        <v>82.770909090909086</v>
      </c>
      <c r="W161" s="29">
        <v>25</v>
      </c>
      <c r="X161" s="29">
        <v>42</v>
      </c>
      <c r="Y161" s="30">
        <f>(表1[[#This Row],[能力素质]]*0.6+表1[[#This Row],[潜力评估]]*0.4)*2</f>
        <v>70.400000000000006</v>
      </c>
    </row>
    <row r="162" spans="1:25" x14ac:dyDescent="0.2">
      <c r="A162" s="11">
        <f t="shared" si="4"/>
        <v>160</v>
      </c>
      <c r="B162" s="12" t="s">
        <v>680</v>
      </c>
      <c r="C162" s="12" t="s">
        <v>26</v>
      </c>
      <c r="D162" s="13" t="s">
        <v>39</v>
      </c>
      <c r="E162" s="36" t="s">
        <v>681</v>
      </c>
      <c r="F162" s="15">
        <v>44830</v>
      </c>
      <c r="G162" s="16" t="s">
        <v>29</v>
      </c>
      <c r="H162" s="17">
        <f ca="1">IF(G162="","",IF(G162="离职",(DATEDIF(F162,#REF!,"y")*100+DATEDIF(F162,#REF!,"ym"))/100,(DATEDIF(F162,NOW(),"y")*100+DATEDIF(F162,NOW(),"ym"))/100))</f>
        <v>1.0900000000000001</v>
      </c>
      <c r="I162" s="18">
        <f t="shared" ca="1" si="5"/>
        <v>30</v>
      </c>
      <c r="J162" s="19" t="str">
        <f>IF(表1[[#This Row],[证件号码]]="","",SUBSTITUTE(TEXT(--MID(表1[[#This Row],[证件号码]],7,8),"0000-00-00"),"-","/"))</f>
        <v>1994/10/20</v>
      </c>
      <c r="K162" s="21" t="s">
        <v>682</v>
      </c>
      <c r="L162" s="21"/>
      <c r="M162" s="21" t="s">
        <v>52</v>
      </c>
      <c r="N162" s="22" t="s">
        <v>31</v>
      </c>
      <c r="O162" s="23" t="s">
        <v>387</v>
      </c>
      <c r="P162" s="31"/>
      <c r="Q162" s="25" t="s">
        <v>54</v>
      </c>
      <c r="R162" s="26" t="s">
        <v>578</v>
      </c>
      <c r="S162" s="25" t="s">
        <v>683</v>
      </c>
      <c r="T162" s="27" t="s">
        <v>65</v>
      </c>
      <c r="U162" s="22">
        <v>9000</v>
      </c>
      <c r="V162" s="28">
        <v>90.781818181818181</v>
      </c>
      <c r="W162" s="29">
        <v>25</v>
      </c>
      <c r="X162" s="29">
        <v>38</v>
      </c>
      <c r="Y162" s="30">
        <f>(表1[[#This Row],[能力素质]]*0.6+表1[[#This Row],[潜力评估]]*0.4)*2</f>
        <v>65.599999999999994</v>
      </c>
    </row>
    <row r="163" spans="1:25" x14ac:dyDescent="0.2">
      <c r="A163" s="11">
        <f t="shared" si="4"/>
        <v>161</v>
      </c>
      <c r="B163" s="12" t="s">
        <v>684</v>
      </c>
      <c r="C163" s="12" t="s">
        <v>26</v>
      </c>
      <c r="D163" s="13" t="s">
        <v>27</v>
      </c>
      <c r="E163" s="36" t="s">
        <v>685</v>
      </c>
      <c r="F163" s="15">
        <v>44832</v>
      </c>
      <c r="G163" s="16" t="s">
        <v>29</v>
      </c>
      <c r="H163" s="17">
        <f ca="1">IF(G163="","",IF(G163="离职",(DATEDIF(F163,#REF!,"y")*100+DATEDIF(F163,#REF!,"ym"))/100,(DATEDIF(F163,NOW(),"y")*100+DATEDIF(F163,NOW(),"ym"))/100))</f>
        <v>1.0900000000000001</v>
      </c>
      <c r="I163" s="18">
        <f t="shared" ca="1" si="5"/>
        <v>31</v>
      </c>
      <c r="J163" s="19" t="str">
        <f>IF(表1[[#This Row],[证件号码]]="","",SUBSTITUTE(TEXT(--MID(表1[[#This Row],[证件号码]],7,8),"0000-00-00"),"-","/"))</f>
        <v>1993/09/01</v>
      </c>
      <c r="K163" s="20" t="s">
        <v>686</v>
      </c>
      <c r="L163" s="21"/>
      <c r="M163" s="20" t="s">
        <v>31</v>
      </c>
      <c r="N163" s="22" t="s">
        <v>31</v>
      </c>
      <c r="O163" s="23" t="s">
        <v>687</v>
      </c>
      <c r="P163" s="31"/>
      <c r="Q163" s="25" t="s">
        <v>44</v>
      </c>
      <c r="R163" s="26" t="s">
        <v>45</v>
      </c>
      <c r="S163" s="25" t="s">
        <v>169</v>
      </c>
      <c r="T163" s="27" t="s">
        <v>65</v>
      </c>
      <c r="U163" s="22">
        <v>14000</v>
      </c>
      <c r="V163" s="28">
        <v>122.95509753404491</v>
      </c>
      <c r="W163" s="29">
        <v>37</v>
      </c>
      <c r="X163" s="29">
        <v>44</v>
      </c>
      <c r="Y163" s="30">
        <f>(表1[[#This Row],[能力素质]]*0.6+表1[[#This Row],[潜力评估]]*0.4)*2</f>
        <v>82.4</v>
      </c>
    </row>
    <row r="164" spans="1:25" x14ac:dyDescent="0.2">
      <c r="A164" s="11">
        <f t="shared" si="4"/>
        <v>162</v>
      </c>
      <c r="B164" s="12" t="s">
        <v>688</v>
      </c>
      <c r="C164" s="12" t="s">
        <v>49</v>
      </c>
      <c r="D164" s="13" t="s">
        <v>27</v>
      </c>
      <c r="E164" s="36" t="s">
        <v>689</v>
      </c>
      <c r="F164" s="15">
        <v>44854</v>
      </c>
      <c r="G164" s="16" t="s">
        <v>29</v>
      </c>
      <c r="H164" s="17">
        <f ca="1">IF(G164="","",IF(G164="离职",(DATEDIF(F164,#REF!,"y")*100+DATEDIF(F164,#REF!,"ym"))/100,(DATEDIF(F164,NOW(),"y")*100+DATEDIF(F164,NOW(),"ym"))/100))</f>
        <v>1.08</v>
      </c>
      <c r="I164" s="18">
        <f t="shared" ca="1" si="5"/>
        <v>31</v>
      </c>
      <c r="J164" s="19" t="str">
        <f>IF(表1[[#This Row],[证件号码]]="","",SUBSTITUTE(TEXT(--MID(表1[[#This Row],[证件号码]],7,8),"0000-00-00"),"-","/"))</f>
        <v>1993/05/15</v>
      </c>
      <c r="K164" s="21" t="s">
        <v>690</v>
      </c>
      <c r="L164" s="21"/>
      <c r="M164" s="21" t="s">
        <v>52</v>
      </c>
      <c r="N164" s="22" t="s">
        <v>31</v>
      </c>
      <c r="O164" s="23" t="s">
        <v>244</v>
      </c>
      <c r="P164" s="31"/>
      <c r="Q164" s="25" t="s">
        <v>54</v>
      </c>
      <c r="R164" s="26" t="s">
        <v>541</v>
      </c>
      <c r="S164" s="25" t="s">
        <v>691</v>
      </c>
      <c r="T164" s="27" t="s">
        <v>37</v>
      </c>
      <c r="U164" s="22">
        <v>20000</v>
      </c>
      <c r="V164" s="28">
        <v>74.8</v>
      </c>
      <c r="W164" s="29">
        <v>41</v>
      </c>
      <c r="X164" s="29">
        <v>40</v>
      </c>
      <c r="Y164" s="30">
        <f>(表1[[#This Row],[能力素质]]*0.6+表1[[#This Row],[潜力评估]]*0.4)*2</f>
        <v>80.800000000000011</v>
      </c>
    </row>
    <row r="165" spans="1:25" x14ac:dyDescent="0.2">
      <c r="A165" s="11">
        <f t="shared" si="4"/>
        <v>163</v>
      </c>
      <c r="B165" s="12" t="s">
        <v>692</v>
      </c>
      <c r="C165" s="12" t="s">
        <v>693</v>
      </c>
      <c r="D165" s="37" t="s">
        <v>27</v>
      </c>
      <c r="E165" s="36" t="s">
        <v>694</v>
      </c>
      <c r="F165" s="15">
        <v>44865</v>
      </c>
      <c r="G165" s="16" t="s">
        <v>29</v>
      </c>
      <c r="H165" s="17">
        <f ca="1">IF(G165="","",IF(G165="离职",(DATEDIF(F165,#REF!,"y")*100+DATEDIF(F165,#REF!,"ym"))/100,(DATEDIF(F165,NOW(),"y")*100+DATEDIF(F165,NOW(),"ym"))/100))</f>
        <v>1.08</v>
      </c>
      <c r="I165" s="18">
        <f t="shared" ca="1" si="5"/>
        <v>30</v>
      </c>
      <c r="J165" s="19" t="str">
        <f>IF(表1[[#This Row],[证件号码]]="","",SUBSTITUTE(TEXT(--MID(表1[[#This Row],[证件号码]],7,8),"0000-00-00"),"-","/"))</f>
        <v>1994/12/10</v>
      </c>
      <c r="K165" s="21" t="s">
        <v>695</v>
      </c>
      <c r="L165" s="21"/>
      <c r="M165" s="21" t="s">
        <v>60</v>
      </c>
      <c r="N165" s="22" t="s">
        <v>42</v>
      </c>
      <c r="O165" s="23" t="s">
        <v>696</v>
      </c>
      <c r="P165" s="31"/>
      <c r="Q165" s="25" t="s">
        <v>54</v>
      </c>
      <c r="R165" s="26" t="s">
        <v>192</v>
      </c>
      <c r="S165" s="25" t="s">
        <v>697</v>
      </c>
      <c r="T165" s="35" t="s">
        <v>37</v>
      </c>
      <c r="U165" s="22">
        <v>15000</v>
      </c>
      <c r="V165" s="28">
        <v>85.654545454545456</v>
      </c>
      <c r="W165" s="29">
        <v>36</v>
      </c>
      <c r="X165" s="29">
        <v>42</v>
      </c>
      <c r="Y165" s="30">
        <f>(表1[[#This Row],[能力素质]]*0.6+表1[[#This Row],[潜力评估]]*0.4)*2</f>
        <v>79.2</v>
      </c>
    </row>
    <row r="166" spans="1:25" ht="21" x14ac:dyDescent="0.2">
      <c r="A166" s="11">
        <f t="shared" si="4"/>
        <v>164</v>
      </c>
      <c r="B166" s="12" t="s">
        <v>698</v>
      </c>
      <c r="C166" s="12" t="s">
        <v>26</v>
      </c>
      <c r="D166" s="13" t="s">
        <v>39</v>
      </c>
      <c r="E166" s="36" t="s">
        <v>699</v>
      </c>
      <c r="F166" s="15">
        <v>44879</v>
      </c>
      <c r="G166" s="16" t="s">
        <v>29</v>
      </c>
      <c r="H166" s="17">
        <f ca="1">IF(G166="","",IF(G166="离职",(DATEDIF(F166,#REF!,"y")*100+DATEDIF(F166,#REF!,"ym"))/100,(DATEDIF(F166,NOW(),"y")*100+DATEDIF(F166,NOW(),"ym"))/100))</f>
        <v>1.07</v>
      </c>
      <c r="I166" s="18">
        <f t="shared" ca="1" si="5"/>
        <v>35</v>
      </c>
      <c r="J166" s="19" t="str">
        <f>IF(表1[[#This Row],[证件号码]]="","",SUBSTITUTE(TEXT(--MID(表1[[#This Row],[证件号码]],7,8),"0000-00-00"),"-","/"))</f>
        <v>1989/09/11</v>
      </c>
      <c r="K166" s="21" t="s">
        <v>700</v>
      </c>
      <c r="L166" s="21"/>
      <c r="M166" s="21" t="s">
        <v>52</v>
      </c>
      <c r="N166" s="22" t="s">
        <v>31</v>
      </c>
      <c r="O166" s="34" t="s">
        <v>701</v>
      </c>
      <c r="P166" s="24" t="s">
        <v>702</v>
      </c>
      <c r="Q166" s="25" t="s">
        <v>44</v>
      </c>
      <c r="R166" s="26" t="s">
        <v>122</v>
      </c>
      <c r="S166" s="25" t="s">
        <v>703</v>
      </c>
      <c r="T166" s="27" t="s">
        <v>65</v>
      </c>
      <c r="U166" s="22">
        <v>12000</v>
      </c>
      <c r="V166" s="28">
        <v>107.95436142804564</v>
      </c>
      <c r="W166" s="29">
        <v>36</v>
      </c>
      <c r="X166" s="29">
        <v>40</v>
      </c>
      <c r="Y166" s="30">
        <f>(表1[[#This Row],[能力素质]]*0.6+表1[[#This Row],[潜力评估]]*0.4)*2</f>
        <v>76.8</v>
      </c>
    </row>
    <row r="167" spans="1:25" x14ac:dyDescent="0.2">
      <c r="A167" s="11">
        <f t="shared" si="4"/>
        <v>165</v>
      </c>
      <c r="B167" s="12" t="s">
        <v>704</v>
      </c>
      <c r="C167" s="12" t="s">
        <v>26</v>
      </c>
      <c r="D167" s="13" t="s">
        <v>27</v>
      </c>
      <c r="E167" s="36" t="s">
        <v>705</v>
      </c>
      <c r="F167" s="15">
        <v>44886</v>
      </c>
      <c r="G167" s="16" t="s">
        <v>29</v>
      </c>
      <c r="H167" s="17">
        <f ca="1">IF(G167="","",IF(G167="离职",(DATEDIF(F167,#REF!,"y")*100+DATEDIF(F167,#REF!,"ym"))/100,(DATEDIF(F167,NOW(),"y")*100+DATEDIF(F167,NOW(),"ym"))/100))</f>
        <v>1.07</v>
      </c>
      <c r="I167" s="18">
        <f t="shared" ca="1" si="5"/>
        <v>33</v>
      </c>
      <c r="J167" s="19" t="str">
        <f>IF(表1[[#This Row],[证件号码]]="","",SUBSTITUTE(TEXT(--MID(表1[[#This Row],[证件号码]],7,8),"0000-00-00"),"-","/"))</f>
        <v>1991/10/04</v>
      </c>
      <c r="K167" s="21" t="s">
        <v>706</v>
      </c>
      <c r="L167" s="21"/>
      <c r="M167" s="21" t="s">
        <v>60</v>
      </c>
      <c r="N167" s="22" t="s">
        <v>42</v>
      </c>
      <c r="O167" s="23" t="s">
        <v>707</v>
      </c>
      <c r="P167" s="31"/>
      <c r="Q167" s="25" t="s">
        <v>54</v>
      </c>
      <c r="R167" s="26" t="s">
        <v>192</v>
      </c>
      <c r="S167" s="25" t="s">
        <v>708</v>
      </c>
      <c r="T167" s="27" t="s">
        <v>47</v>
      </c>
      <c r="U167" s="22">
        <v>20000</v>
      </c>
      <c r="V167" s="28">
        <v>93.26</v>
      </c>
      <c r="W167" s="29">
        <v>42</v>
      </c>
      <c r="X167" s="29">
        <v>46</v>
      </c>
      <c r="Y167" s="30">
        <f>(表1[[#This Row],[能力素质]]*0.6+表1[[#This Row],[潜力评估]]*0.4)*2</f>
        <v>88.8</v>
      </c>
    </row>
    <row r="168" spans="1:25" x14ac:dyDescent="0.2">
      <c r="A168" s="11">
        <f t="shared" si="4"/>
        <v>166</v>
      </c>
      <c r="B168" s="12" t="s">
        <v>709</v>
      </c>
      <c r="C168" s="12" t="s">
        <v>26</v>
      </c>
      <c r="D168" s="13" t="s">
        <v>27</v>
      </c>
      <c r="E168" s="36" t="s">
        <v>710</v>
      </c>
      <c r="F168" s="15">
        <v>44893</v>
      </c>
      <c r="G168" s="16" t="s">
        <v>29</v>
      </c>
      <c r="H168" s="17">
        <f ca="1">IF(G168="","",IF(G168="离职",(DATEDIF(F168,#REF!,"y")*100+DATEDIF(F168,#REF!,"ym"))/100,(DATEDIF(F168,NOW(),"y")*100+DATEDIF(F168,NOW(),"ym"))/100))</f>
        <v>1.07</v>
      </c>
      <c r="I168" s="18">
        <f t="shared" ca="1" si="5"/>
        <v>33</v>
      </c>
      <c r="J168" s="19" t="str">
        <f>IF(表1[[#This Row],[证件号码]]="","",SUBSTITUTE(TEXT(--MID(表1[[#This Row],[证件号码]],7,8),"0000-00-00"),"-","/"))</f>
        <v>1991/09/19</v>
      </c>
      <c r="K168" s="20" t="s">
        <v>711</v>
      </c>
      <c r="L168" s="21"/>
      <c r="M168" s="20" t="s">
        <v>31</v>
      </c>
      <c r="N168" s="22" t="s">
        <v>31</v>
      </c>
      <c r="O168" s="23" t="s">
        <v>43</v>
      </c>
      <c r="P168" s="31"/>
      <c r="Q168" s="25" t="s">
        <v>44</v>
      </c>
      <c r="R168" s="26" t="s">
        <v>45</v>
      </c>
      <c r="S168" s="25" t="s">
        <v>81</v>
      </c>
      <c r="T168" s="27" t="s">
        <v>65</v>
      </c>
      <c r="U168" s="22">
        <v>16000</v>
      </c>
      <c r="V168" s="28">
        <v>109.09967979389032</v>
      </c>
      <c r="W168" s="29">
        <v>34</v>
      </c>
      <c r="X168" s="29">
        <v>42</v>
      </c>
      <c r="Y168" s="30">
        <f>(表1[[#This Row],[能力素质]]*0.6+表1[[#This Row],[潜力评估]]*0.4)*2</f>
        <v>77.599999999999994</v>
      </c>
    </row>
    <row r="169" spans="1:25" x14ac:dyDescent="0.2">
      <c r="A169" s="11">
        <f t="shared" si="4"/>
        <v>167</v>
      </c>
      <c r="B169" s="12" t="s">
        <v>712</v>
      </c>
      <c r="C169" s="12" t="s">
        <v>26</v>
      </c>
      <c r="D169" s="13" t="s">
        <v>27</v>
      </c>
      <c r="E169" s="36" t="s">
        <v>713</v>
      </c>
      <c r="F169" s="15">
        <v>44900</v>
      </c>
      <c r="G169" s="16" t="s">
        <v>29</v>
      </c>
      <c r="H169" s="17">
        <f ca="1">IF(G169="","",IF(G169="离职",(DATEDIF(F169,#REF!,"y")*100+DATEDIF(F169,#REF!,"ym"))/100,(DATEDIF(F169,NOW(),"y")*100+DATEDIF(F169,NOW(),"ym"))/100))</f>
        <v>1.07</v>
      </c>
      <c r="I169" s="18">
        <f t="shared" ca="1" si="5"/>
        <v>26</v>
      </c>
      <c r="J169" s="19" t="str">
        <f>IF(表1[[#This Row],[证件号码]]="","",SUBSTITUTE(TEXT(--MID(表1[[#This Row],[证件号码]],7,8),"0000-00-00"),"-","/"))</f>
        <v>1998/09/24</v>
      </c>
      <c r="K169" s="20" t="s">
        <v>75</v>
      </c>
      <c r="L169" s="21"/>
      <c r="M169" s="20" t="s">
        <v>31</v>
      </c>
      <c r="N169" s="22" t="s">
        <v>31</v>
      </c>
      <c r="O169" s="23" t="s">
        <v>43</v>
      </c>
      <c r="P169" s="31"/>
      <c r="Q169" s="25" t="s">
        <v>44</v>
      </c>
      <c r="R169" s="26" t="s">
        <v>206</v>
      </c>
      <c r="S169" s="25" t="s">
        <v>81</v>
      </c>
      <c r="T169" s="27" t="s">
        <v>65</v>
      </c>
      <c r="U169" s="22">
        <v>10000</v>
      </c>
      <c r="V169" s="28">
        <v>74.789068825910931</v>
      </c>
      <c r="W169" s="29">
        <v>26</v>
      </c>
      <c r="X169" s="29">
        <v>40</v>
      </c>
      <c r="Y169" s="30">
        <f>(表1[[#This Row],[能力素质]]*0.6+表1[[#This Row],[潜力评估]]*0.4)*2</f>
        <v>68.8</v>
      </c>
    </row>
    <row r="170" spans="1:25" x14ac:dyDescent="0.2">
      <c r="A170" s="11">
        <f t="shared" si="4"/>
        <v>168</v>
      </c>
      <c r="B170" s="12" t="s">
        <v>714</v>
      </c>
      <c r="C170" s="12" t="s">
        <v>618</v>
      </c>
      <c r="D170" s="13" t="s">
        <v>27</v>
      </c>
      <c r="E170" s="36" t="s">
        <v>715</v>
      </c>
      <c r="F170" s="15">
        <v>44914</v>
      </c>
      <c r="G170" s="16" t="s">
        <v>29</v>
      </c>
      <c r="H170" s="17">
        <f ca="1">IF(G170="","",IF(G170="离职",(DATEDIF(F170,#REF!,"y")*100+DATEDIF(F170,#REF!,"ym"))/100,(DATEDIF(F170,NOW(),"y")*100+DATEDIF(F170,NOW(),"ym"))/100))</f>
        <v>1.06</v>
      </c>
      <c r="I170" s="18">
        <f t="shared" ca="1" si="5"/>
        <v>36</v>
      </c>
      <c r="J170" s="19" t="str">
        <f>IF(表1[[#This Row],[证件号码]]="","",SUBSTITUTE(TEXT(--MID(表1[[#This Row],[证件号码]],7,8),"0000-00-00"),"-","/"))</f>
        <v>1988/11/20</v>
      </c>
      <c r="K170" s="21" t="s">
        <v>716</v>
      </c>
      <c r="L170" s="21"/>
      <c r="M170" s="21" t="s">
        <v>60</v>
      </c>
      <c r="N170" s="22" t="s">
        <v>42</v>
      </c>
      <c r="O170" s="23" t="s">
        <v>717</v>
      </c>
      <c r="P170" s="31" t="s">
        <v>464</v>
      </c>
      <c r="Q170" s="25" t="s">
        <v>54</v>
      </c>
      <c r="R170" s="26" t="s">
        <v>87</v>
      </c>
      <c r="S170" s="25" t="s">
        <v>72</v>
      </c>
      <c r="T170" s="27" t="s">
        <v>65</v>
      </c>
      <c r="U170" s="22">
        <v>13000</v>
      </c>
      <c r="V170" s="28">
        <v>78.3</v>
      </c>
      <c r="W170" s="29">
        <v>32</v>
      </c>
      <c r="X170" s="29">
        <v>40</v>
      </c>
      <c r="Y170" s="30">
        <f>(表1[[#This Row],[能力素质]]*0.6+表1[[#This Row],[潜力评估]]*0.4)*2</f>
        <v>73.599999999999994</v>
      </c>
    </row>
    <row r="171" spans="1:25" x14ac:dyDescent="0.2">
      <c r="A171" s="11">
        <f t="shared" si="4"/>
        <v>169</v>
      </c>
      <c r="B171" s="12" t="s">
        <v>718</v>
      </c>
      <c r="C171" s="12" t="s">
        <v>26</v>
      </c>
      <c r="D171" s="13" t="s">
        <v>27</v>
      </c>
      <c r="E171" s="36" t="s">
        <v>719</v>
      </c>
      <c r="F171" s="15">
        <v>44955</v>
      </c>
      <c r="G171" s="16" t="s">
        <v>29</v>
      </c>
      <c r="H171" s="17">
        <f ca="1">IF(G171="","",IF(G171="离职",(DATEDIF(F171,#REF!,"y")*100+DATEDIF(F171,#REF!,"ym"))/100,(DATEDIF(F171,NOW(),"y")*100+DATEDIF(F171,NOW(),"ym"))/100))</f>
        <v>1.05</v>
      </c>
      <c r="I171" s="18">
        <f t="shared" ca="1" si="5"/>
        <v>35</v>
      </c>
      <c r="J171" s="19" t="str">
        <f>IF(表1[[#This Row],[证件号码]]="","",SUBSTITUTE(TEXT(--MID(表1[[#This Row],[证件号码]],7,8),"0000-00-00"),"-","/"))</f>
        <v>1989/11/07</v>
      </c>
      <c r="K171" s="21" t="s">
        <v>720</v>
      </c>
      <c r="L171" s="21"/>
      <c r="M171" s="21" t="s">
        <v>60</v>
      </c>
      <c r="N171" s="22" t="s">
        <v>42</v>
      </c>
      <c r="O171" s="23" t="s">
        <v>316</v>
      </c>
      <c r="P171" s="31" t="s">
        <v>721</v>
      </c>
      <c r="Q171" s="25" t="s">
        <v>54</v>
      </c>
      <c r="R171" s="26" t="s">
        <v>192</v>
      </c>
      <c r="S171" s="25" t="s">
        <v>72</v>
      </c>
      <c r="T171" s="27" t="s">
        <v>65</v>
      </c>
      <c r="U171" s="22">
        <v>13000</v>
      </c>
      <c r="V171" s="28">
        <v>88.5</v>
      </c>
      <c r="W171" s="29">
        <v>26</v>
      </c>
      <c r="X171" s="29">
        <v>38</v>
      </c>
      <c r="Y171" s="30">
        <f>(表1[[#This Row],[能力素质]]*0.6+表1[[#This Row],[潜力评估]]*0.4)*2</f>
        <v>66.400000000000006</v>
      </c>
    </row>
    <row r="172" spans="1:25" x14ac:dyDescent="0.2">
      <c r="A172" s="11">
        <f t="shared" si="4"/>
        <v>170</v>
      </c>
      <c r="B172" s="12" t="s">
        <v>722</v>
      </c>
      <c r="C172" s="12" t="s">
        <v>723</v>
      </c>
      <c r="D172" s="13" t="s">
        <v>27</v>
      </c>
      <c r="E172" s="36" t="s">
        <v>724</v>
      </c>
      <c r="F172" s="15">
        <v>44966</v>
      </c>
      <c r="G172" s="16" t="s">
        <v>29</v>
      </c>
      <c r="H172" s="17">
        <f ca="1">IF(G172="","",IF(G172="离职",(DATEDIF(F172,#REF!,"y")*100+DATEDIF(F172,#REF!,"ym"))/100,(DATEDIF(F172,NOW(),"y")*100+DATEDIF(F172,NOW(),"ym"))/100))</f>
        <v>1.04</v>
      </c>
      <c r="I172" s="18">
        <f t="shared" ca="1" si="5"/>
        <v>37</v>
      </c>
      <c r="J172" s="19" t="str">
        <f>IF(表1[[#This Row],[证件号码]]="","",SUBSTITUTE(TEXT(--MID(表1[[#This Row],[证件号码]],7,8),"0000-00-00"),"-","/"))</f>
        <v>1987/02/07</v>
      </c>
      <c r="K172" s="21" t="s">
        <v>725</v>
      </c>
      <c r="L172" s="21"/>
      <c r="M172" s="21" t="s">
        <v>52</v>
      </c>
      <c r="N172" s="22" t="s">
        <v>31</v>
      </c>
      <c r="O172" s="23" t="s">
        <v>726</v>
      </c>
      <c r="P172" s="31"/>
      <c r="Q172" s="25" t="s">
        <v>54</v>
      </c>
      <c r="R172" s="26" t="s">
        <v>87</v>
      </c>
      <c r="S172" s="25" t="s">
        <v>727</v>
      </c>
      <c r="T172" s="27" t="s">
        <v>37</v>
      </c>
      <c r="U172" s="22">
        <v>13500</v>
      </c>
      <c r="V172" s="28">
        <v>87.724999999999994</v>
      </c>
      <c r="W172" s="29">
        <v>31</v>
      </c>
      <c r="X172" s="29">
        <v>42</v>
      </c>
      <c r="Y172" s="30">
        <f>(表1[[#This Row],[能力素质]]*0.6+表1[[#This Row],[潜力评估]]*0.4)*2</f>
        <v>75.2</v>
      </c>
    </row>
    <row r="173" spans="1:25" ht="21" x14ac:dyDescent="0.2">
      <c r="A173" s="11">
        <f t="shared" si="4"/>
        <v>171</v>
      </c>
      <c r="B173" s="12" t="s">
        <v>728</v>
      </c>
      <c r="C173" s="12" t="s">
        <v>26</v>
      </c>
      <c r="D173" s="13" t="s">
        <v>39</v>
      </c>
      <c r="E173" s="36" t="s">
        <v>729</v>
      </c>
      <c r="F173" s="15">
        <v>44970</v>
      </c>
      <c r="G173" s="16" t="s">
        <v>29</v>
      </c>
      <c r="H173" s="17">
        <f ca="1">IF(G173="","",IF(G173="离职",(DATEDIF(F173,#REF!,"y")*100+DATEDIF(F173,#REF!,"ym"))/100,(DATEDIF(F173,NOW(),"y")*100+DATEDIF(F173,NOW(),"ym"))/100))</f>
        <v>1.04</v>
      </c>
      <c r="I173" s="18">
        <f t="shared" ca="1" si="5"/>
        <v>25</v>
      </c>
      <c r="J173" s="19" t="str">
        <f>IF(表1[[#This Row],[证件号码]]="","",SUBSTITUTE(TEXT(--MID(表1[[#This Row],[证件号码]],7,8),"0000-00-00"),"-","/"))</f>
        <v>1999/01/10</v>
      </c>
      <c r="K173" s="21" t="s">
        <v>730</v>
      </c>
      <c r="L173" s="21"/>
      <c r="M173" s="21" t="s">
        <v>52</v>
      </c>
      <c r="N173" s="22" t="s">
        <v>31</v>
      </c>
      <c r="O173" s="34" t="s">
        <v>43</v>
      </c>
      <c r="P173" s="31"/>
      <c r="Q173" s="25" t="s">
        <v>44</v>
      </c>
      <c r="R173" s="26" t="s">
        <v>122</v>
      </c>
      <c r="S173" s="25" t="s">
        <v>123</v>
      </c>
      <c r="T173" s="27" t="s">
        <v>65</v>
      </c>
      <c r="U173" s="22">
        <v>8000</v>
      </c>
      <c r="V173" s="28">
        <v>73.869635627530357</v>
      </c>
      <c r="W173" s="29">
        <v>25</v>
      </c>
      <c r="X173" s="29">
        <v>42</v>
      </c>
      <c r="Y173" s="30">
        <f>(表1[[#This Row],[能力素质]]*0.6+表1[[#This Row],[潜力评估]]*0.4)*2</f>
        <v>70.400000000000006</v>
      </c>
    </row>
    <row r="174" spans="1:25" x14ac:dyDescent="0.2">
      <c r="A174" s="11">
        <f t="shared" si="4"/>
        <v>172</v>
      </c>
      <c r="B174" s="12" t="s">
        <v>731</v>
      </c>
      <c r="C174" s="12" t="s">
        <v>162</v>
      </c>
      <c r="D174" s="13" t="s">
        <v>27</v>
      </c>
      <c r="E174" s="36" t="s">
        <v>732</v>
      </c>
      <c r="F174" s="15">
        <v>44977</v>
      </c>
      <c r="G174" s="16" t="s">
        <v>29</v>
      </c>
      <c r="H174" s="17">
        <f ca="1">IF(G174="","",IF(G174="离职",(DATEDIF(F174,#REF!,"y")*100+DATEDIF(F174,#REF!,"ym"))/100,(DATEDIF(F174,NOW(),"y")*100+DATEDIF(F174,NOW(),"ym"))/100))</f>
        <v>1.04</v>
      </c>
      <c r="I174" s="18">
        <f t="shared" ca="1" si="5"/>
        <v>26</v>
      </c>
      <c r="J174" s="19" t="str">
        <f>IF(表1[[#This Row],[证件号码]]="","",SUBSTITUTE(TEXT(--MID(表1[[#This Row],[证件号码]],7,8),"0000-00-00"),"-","/"))</f>
        <v>1998/07/28</v>
      </c>
      <c r="K174" s="20" t="s">
        <v>733</v>
      </c>
      <c r="L174" s="21"/>
      <c r="M174" s="20" t="s">
        <v>31</v>
      </c>
      <c r="N174" s="22" t="s">
        <v>31</v>
      </c>
      <c r="O174" s="23" t="s">
        <v>43</v>
      </c>
      <c r="P174" s="31"/>
      <c r="Q174" s="25" t="s">
        <v>34</v>
      </c>
      <c r="R174" s="26" t="s">
        <v>115</v>
      </c>
      <c r="S174" s="25" t="s">
        <v>178</v>
      </c>
      <c r="T174" s="27" t="s">
        <v>65</v>
      </c>
      <c r="U174" s="22">
        <v>9500</v>
      </c>
      <c r="V174" s="28">
        <v>97.277777777777786</v>
      </c>
      <c r="W174" s="29">
        <v>30</v>
      </c>
      <c r="X174" s="29">
        <v>39</v>
      </c>
      <c r="Y174" s="30">
        <f>(表1[[#This Row],[能力素质]]*0.6+表1[[#This Row],[潜力评估]]*0.4)*2</f>
        <v>70.8</v>
      </c>
    </row>
    <row r="175" spans="1:25" x14ac:dyDescent="0.2">
      <c r="A175" s="11">
        <f t="shared" si="4"/>
        <v>173</v>
      </c>
      <c r="B175" s="12" t="s">
        <v>734</v>
      </c>
      <c r="C175" s="12" t="s">
        <v>26</v>
      </c>
      <c r="D175" s="13" t="s">
        <v>27</v>
      </c>
      <c r="E175" s="36" t="s">
        <v>735</v>
      </c>
      <c r="F175" s="15">
        <v>44977</v>
      </c>
      <c r="G175" s="16" t="s">
        <v>29</v>
      </c>
      <c r="H175" s="17">
        <f ca="1">IF(G175="","",IF(G175="离职",(DATEDIF(F175,#REF!,"y")*100+DATEDIF(F175,#REF!,"ym"))/100,(DATEDIF(F175,NOW(),"y")*100+DATEDIF(F175,NOW(),"ym"))/100))</f>
        <v>1.04</v>
      </c>
      <c r="I175" s="18">
        <f t="shared" ca="1" si="5"/>
        <v>26</v>
      </c>
      <c r="J175" s="19" t="str">
        <f>IF(表1[[#This Row],[证件号码]]="","",SUBSTITUTE(TEXT(--MID(表1[[#This Row],[证件号码]],7,8),"0000-00-00"),"-","/"))</f>
        <v>1998/06/23</v>
      </c>
      <c r="K175" s="21" t="s">
        <v>602</v>
      </c>
      <c r="L175" s="21"/>
      <c r="M175" s="21" t="s">
        <v>60</v>
      </c>
      <c r="N175" s="22" t="s">
        <v>31</v>
      </c>
      <c r="O175" s="23" t="s">
        <v>182</v>
      </c>
      <c r="P175" s="31"/>
      <c r="Q175" s="25" t="s">
        <v>44</v>
      </c>
      <c r="R175" s="26" t="s">
        <v>45</v>
      </c>
      <c r="S175" s="25" t="s">
        <v>81</v>
      </c>
      <c r="T175" s="27" t="s">
        <v>65</v>
      </c>
      <c r="U175" s="22">
        <v>14000</v>
      </c>
      <c r="V175" s="28">
        <v>86.348987854251021</v>
      </c>
      <c r="W175" s="29">
        <v>32</v>
      </c>
      <c r="X175" s="29">
        <v>40</v>
      </c>
      <c r="Y175" s="30">
        <f>(表1[[#This Row],[能力素质]]*0.6+表1[[#This Row],[潜力评估]]*0.4)*2</f>
        <v>73.599999999999994</v>
      </c>
    </row>
    <row r="176" spans="1:25" x14ac:dyDescent="0.2">
      <c r="A176" s="11">
        <f t="shared" si="4"/>
        <v>174</v>
      </c>
      <c r="B176" s="12" t="s">
        <v>736</v>
      </c>
      <c r="C176" s="12" t="s">
        <v>26</v>
      </c>
      <c r="D176" s="13" t="s">
        <v>39</v>
      </c>
      <c r="E176" s="36" t="s">
        <v>737</v>
      </c>
      <c r="F176" s="15">
        <v>44977</v>
      </c>
      <c r="G176" s="16" t="s">
        <v>29</v>
      </c>
      <c r="H176" s="17">
        <f ca="1">IF(G176="","",IF(G176="离职",(DATEDIF(F176,#REF!,"y")*100+DATEDIF(F176,#REF!,"ym"))/100,(DATEDIF(F176,NOW(),"y")*100+DATEDIF(F176,NOW(),"ym"))/100))</f>
        <v>1.04</v>
      </c>
      <c r="I176" s="18">
        <f t="shared" ca="1" si="5"/>
        <v>31</v>
      </c>
      <c r="J176" s="19" t="str">
        <f>IF(表1[[#This Row],[证件号码]]="","",SUBSTITUTE(TEXT(--MID(表1[[#This Row],[证件号码]],7,8),"0000-00-00"),"-","/"))</f>
        <v>1993/09/10</v>
      </c>
      <c r="K176" s="21" t="s">
        <v>738</v>
      </c>
      <c r="L176" s="21"/>
      <c r="M176" s="21" t="s">
        <v>52</v>
      </c>
      <c r="N176" s="22" t="s">
        <v>31</v>
      </c>
      <c r="O176" s="34" t="s">
        <v>739</v>
      </c>
      <c r="P176" s="31" t="s">
        <v>464</v>
      </c>
      <c r="Q176" s="25" t="s">
        <v>44</v>
      </c>
      <c r="R176" s="26" t="s">
        <v>122</v>
      </c>
      <c r="S176" s="25" t="s">
        <v>123</v>
      </c>
      <c r="T176" s="27" t="s">
        <v>65</v>
      </c>
      <c r="U176" s="22">
        <v>18000</v>
      </c>
      <c r="V176" s="28">
        <v>91.607287449392715</v>
      </c>
      <c r="W176" s="29">
        <v>39</v>
      </c>
      <c r="X176" s="29">
        <v>45</v>
      </c>
      <c r="Y176" s="30">
        <f>(表1[[#This Row],[能力素质]]*0.6+表1[[#This Row],[潜力评估]]*0.4)*2</f>
        <v>85.2</v>
      </c>
    </row>
    <row r="177" spans="1:25" x14ac:dyDescent="0.2">
      <c r="A177" s="11">
        <f t="shared" si="4"/>
        <v>175</v>
      </c>
      <c r="B177" s="12" t="s">
        <v>740</v>
      </c>
      <c r="C177" s="12" t="s">
        <v>26</v>
      </c>
      <c r="D177" s="13" t="s">
        <v>27</v>
      </c>
      <c r="E177" s="36" t="s">
        <v>741</v>
      </c>
      <c r="F177" s="15">
        <v>44977</v>
      </c>
      <c r="G177" s="16" t="s">
        <v>29</v>
      </c>
      <c r="H177" s="17">
        <f ca="1">IF(G177="","",IF(G177="离职",(DATEDIF(F177,#REF!,"y")*100+DATEDIF(F177,#REF!,"ym"))/100,(DATEDIF(F177,NOW(),"y")*100+DATEDIF(F177,NOW(),"ym"))/100))</f>
        <v>1.04</v>
      </c>
      <c r="I177" s="18">
        <f t="shared" ca="1" si="5"/>
        <v>23</v>
      </c>
      <c r="J177" s="19" t="str">
        <f>IF(表1[[#This Row],[证件号码]]="","",SUBSTITUTE(TEXT(--MID(表1[[#This Row],[证件号码]],7,8),"0000-00-00"),"-","/"))</f>
        <v>2001/02/07</v>
      </c>
      <c r="K177" s="20" t="s">
        <v>742</v>
      </c>
      <c r="L177" s="21"/>
      <c r="M177" s="20" t="s">
        <v>31</v>
      </c>
      <c r="N177" s="22" t="s">
        <v>31</v>
      </c>
      <c r="O177" s="23" t="s">
        <v>43</v>
      </c>
      <c r="P177" s="31"/>
      <c r="Q177" s="25" t="s">
        <v>34</v>
      </c>
      <c r="R177" s="26" t="s">
        <v>35</v>
      </c>
      <c r="S177" s="25" t="s">
        <v>743</v>
      </c>
      <c r="T177" s="27" t="s">
        <v>65</v>
      </c>
      <c r="U177" s="22">
        <v>7500</v>
      </c>
      <c r="V177" s="28">
        <v>100.55506072874493</v>
      </c>
      <c r="W177" s="29">
        <v>32</v>
      </c>
      <c r="X177" s="29">
        <v>42</v>
      </c>
      <c r="Y177" s="30">
        <f>(表1[[#This Row],[能力素质]]*0.6+表1[[#This Row],[潜力评估]]*0.4)*2</f>
        <v>76</v>
      </c>
    </row>
    <row r="178" spans="1:25" x14ac:dyDescent="0.2">
      <c r="A178" s="11">
        <f t="shared" si="4"/>
        <v>176</v>
      </c>
      <c r="B178" s="12" t="s">
        <v>744</v>
      </c>
      <c r="C178" s="12" t="s">
        <v>49</v>
      </c>
      <c r="D178" s="13" t="s">
        <v>27</v>
      </c>
      <c r="E178" s="36" t="s">
        <v>745</v>
      </c>
      <c r="F178" s="15">
        <v>44986</v>
      </c>
      <c r="G178" s="16" t="s">
        <v>29</v>
      </c>
      <c r="H178" s="17">
        <f ca="1">IF(G178="","",IF(G178="离职",(DATEDIF(F178,#REF!,"y")*100+DATEDIF(F178,#REF!,"ym"))/100,(DATEDIF(F178,NOW(),"y")*100+DATEDIF(F178,NOW(),"ym"))/100))</f>
        <v>1.04</v>
      </c>
      <c r="I178" s="18">
        <f t="shared" ca="1" si="5"/>
        <v>30</v>
      </c>
      <c r="J178" s="19" t="str">
        <f>IF(表1[[#This Row],[证件号码]]="","",SUBSTITUTE(TEXT(--MID(表1[[#This Row],[证件号码]],7,8),"0000-00-00"),"-","/"))</f>
        <v>1994/02/26</v>
      </c>
      <c r="K178" s="21" t="s">
        <v>746</v>
      </c>
      <c r="L178" s="21"/>
      <c r="M178" s="21" t="s">
        <v>52</v>
      </c>
      <c r="N178" s="22" t="s">
        <v>31</v>
      </c>
      <c r="O178" s="23" t="s">
        <v>747</v>
      </c>
      <c r="P178" s="31"/>
      <c r="Q178" s="25" t="s">
        <v>54</v>
      </c>
      <c r="R178" s="26" t="s">
        <v>748</v>
      </c>
      <c r="S178" s="25" t="s">
        <v>749</v>
      </c>
      <c r="T178" s="27" t="s">
        <v>65</v>
      </c>
      <c r="U178" s="22">
        <v>18000</v>
      </c>
      <c r="V178" s="28">
        <v>87.887500000000003</v>
      </c>
      <c r="W178" s="29">
        <v>33</v>
      </c>
      <c r="X178" s="29">
        <v>42</v>
      </c>
      <c r="Y178" s="30">
        <f>(表1[[#This Row],[能力素质]]*0.6+表1[[#This Row],[潜力评估]]*0.4)*2</f>
        <v>76.8</v>
      </c>
    </row>
    <row r="179" spans="1:25" x14ac:dyDescent="0.2">
      <c r="A179" s="11">
        <f t="shared" si="4"/>
        <v>177</v>
      </c>
      <c r="B179" s="12" t="s">
        <v>750</v>
      </c>
      <c r="C179" s="12" t="s">
        <v>26</v>
      </c>
      <c r="D179" s="13" t="s">
        <v>27</v>
      </c>
      <c r="E179" s="36" t="s">
        <v>751</v>
      </c>
      <c r="F179" s="15">
        <v>44991</v>
      </c>
      <c r="G179" s="16" t="s">
        <v>29</v>
      </c>
      <c r="H179" s="17">
        <f ca="1">IF(G179="","",IF(G179="离职",(DATEDIF(F179,#REF!,"y")*100+DATEDIF(F179,#REF!,"ym"))/100,(DATEDIF(F179,NOW(),"y")*100+DATEDIF(F179,NOW(),"ym"))/100))</f>
        <v>1.03</v>
      </c>
      <c r="I179" s="18">
        <f t="shared" ca="1" si="5"/>
        <v>27</v>
      </c>
      <c r="J179" s="19" t="str">
        <f>IF(表1[[#This Row],[证件号码]]="","",SUBSTITUTE(TEXT(--MID(表1[[#This Row],[证件号码]],7,8),"0000-00-00"),"-","/"))</f>
        <v>1997/11/18</v>
      </c>
      <c r="K179" s="20" t="s">
        <v>752</v>
      </c>
      <c r="L179" s="21"/>
      <c r="M179" s="20" t="s">
        <v>31</v>
      </c>
      <c r="N179" s="22" t="s">
        <v>31</v>
      </c>
      <c r="O179" s="23" t="s">
        <v>43</v>
      </c>
      <c r="P179" s="31"/>
      <c r="Q179" s="25" t="s">
        <v>44</v>
      </c>
      <c r="R179" s="26" t="s">
        <v>45</v>
      </c>
      <c r="S179" s="25" t="s">
        <v>169</v>
      </c>
      <c r="T179" s="27" t="s">
        <v>65</v>
      </c>
      <c r="U179" s="22">
        <v>8000</v>
      </c>
      <c r="V179" s="28">
        <v>69.279001349527675</v>
      </c>
      <c r="W179" s="29">
        <v>23</v>
      </c>
      <c r="X179" s="29">
        <v>38</v>
      </c>
      <c r="Y179" s="30">
        <f>(表1[[#This Row],[能力素质]]*0.6+表1[[#This Row],[潜力评估]]*0.4)*2</f>
        <v>64</v>
      </c>
    </row>
    <row r="180" spans="1:25" x14ac:dyDescent="0.2">
      <c r="A180" s="11">
        <f t="shared" si="4"/>
        <v>178</v>
      </c>
      <c r="B180" s="12" t="s">
        <v>753</v>
      </c>
      <c r="C180" s="12" t="s">
        <v>26</v>
      </c>
      <c r="D180" s="13" t="s">
        <v>27</v>
      </c>
      <c r="E180" s="36" t="s">
        <v>754</v>
      </c>
      <c r="F180" s="15">
        <v>44995</v>
      </c>
      <c r="G180" s="16" t="s">
        <v>29</v>
      </c>
      <c r="H180" s="17">
        <f ca="1">IF(G180="","",IF(G180="离职",(DATEDIF(F180,#REF!,"y")*100+DATEDIF(F180,#REF!,"ym"))/100,(DATEDIF(F180,NOW(),"y")*100+DATEDIF(F180,NOW(),"ym"))/100))</f>
        <v>1.03</v>
      </c>
      <c r="I180" s="18">
        <f t="shared" ca="1" si="5"/>
        <v>42</v>
      </c>
      <c r="J180" s="19" t="str">
        <f>IF(表1[[#This Row],[证件号码]]="","",SUBSTITUTE(TEXT(--MID(表1[[#This Row],[证件号码]],7,8),"0000-00-00"),"-","/"))</f>
        <v>1982/11/03</v>
      </c>
      <c r="K180" s="21" t="s">
        <v>755</v>
      </c>
      <c r="L180" s="21"/>
      <c r="M180" s="21" t="s">
        <v>52</v>
      </c>
      <c r="N180" s="22" t="s">
        <v>31</v>
      </c>
      <c r="O180" s="23" t="s">
        <v>244</v>
      </c>
      <c r="P180" s="31"/>
      <c r="Q180" s="25" t="s">
        <v>54</v>
      </c>
      <c r="R180" s="26" t="s">
        <v>192</v>
      </c>
      <c r="S180" s="25" t="s">
        <v>72</v>
      </c>
      <c r="T180" s="27" t="s">
        <v>65</v>
      </c>
      <c r="U180" s="22">
        <v>17000</v>
      </c>
      <c r="V180" s="28">
        <v>90</v>
      </c>
      <c r="W180" s="29">
        <v>29</v>
      </c>
      <c r="X180" s="29">
        <v>38</v>
      </c>
      <c r="Y180" s="30">
        <f>(表1[[#This Row],[能力素质]]*0.6+表1[[#This Row],[潜力评估]]*0.4)*2</f>
        <v>68.800000000000011</v>
      </c>
    </row>
    <row r="181" spans="1:25" x14ac:dyDescent="0.2">
      <c r="A181" s="11">
        <f t="shared" si="4"/>
        <v>179</v>
      </c>
      <c r="B181" s="12" t="s">
        <v>756</v>
      </c>
      <c r="C181" s="12" t="s">
        <v>26</v>
      </c>
      <c r="D181" s="13" t="s">
        <v>27</v>
      </c>
      <c r="E181" s="36" t="s">
        <v>757</v>
      </c>
      <c r="F181" s="15">
        <v>44998</v>
      </c>
      <c r="G181" s="16" t="s">
        <v>29</v>
      </c>
      <c r="H181" s="17">
        <f ca="1">IF(G181="","",IF(G181="离职",(DATEDIF(F181,#REF!,"y")*100+DATEDIF(F181,#REF!,"ym"))/100,(DATEDIF(F181,NOW(),"y")*100+DATEDIF(F181,NOW(),"ym"))/100))</f>
        <v>1.03</v>
      </c>
      <c r="I181" s="18">
        <f t="shared" ca="1" si="5"/>
        <v>38</v>
      </c>
      <c r="J181" s="19" t="str">
        <f>IF(表1[[#This Row],[证件号码]]="","",SUBSTITUTE(TEXT(--MID(表1[[#This Row],[证件号码]],7,8),"0000-00-00"),"-","/"))</f>
        <v>1986/08/22</v>
      </c>
      <c r="K181" s="21" t="s">
        <v>758</v>
      </c>
      <c r="L181" s="21"/>
      <c r="M181" s="21" t="s">
        <v>52</v>
      </c>
      <c r="N181" s="22" t="s">
        <v>31</v>
      </c>
      <c r="O181" s="34" t="s">
        <v>182</v>
      </c>
      <c r="P181" s="31"/>
      <c r="Q181" s="25" t="s">
        <v>44</v>
      </c>
      <c r="R181" s="26" t="s">
        <v>122</v>
      </c>
      <c r="S181" s="25" t="s">
        <v>123</v>
      </c>
      <c r="T181" s="27" t="s">
        <v>65</v>
      </c>
      <c r="U181" s="22">
        <v>13000</v>
      </c>
      <c r="V181" s="28">
        <v>85.923944476576054</v>
      </c>
      <c r="W181" s="29">
        <v>31</v>
      </c>
      <c r="X181" s="29">
        <v>42</v>
      </c>
      <c r="Y181" s="30">
        <f>(表1[[#This Row],[能力素质]]*0.6+表1[[#This Row],[潜力评估]]*0.4)*2</f>
        <v>75.2</v>
      </c>
    </row>
    <row r="182" spans="1:25" x14ac:dyDescent="0.2">
      <c r="A182" s="11">
        <f t="shared" si="4"/>
        <v>180</v>
      </c>
      <c r="B182" s="12" t="s">
        <v>759</v>
      </c>
      <c r="C182" s="12" t="s">
        <v>49</v>
      </c>
      <c r="D182" s="13" t="s">
        <v>27</v>
      </c>
      <c r="E182" s="36" t="s">
        <v>760</v>
      </c>
      <c r="F182" s="15">
        <v>44999</v>
      </c>
      <c r="G182" s="16" t="s">
        <v>29</v>
      </c>
      <c r="H182" s="17">
        <f ca="1">IF(G182="","",IF(G182="离职",(DATEDIF(F182,#REF!,"y")*100+DATEDIF(F182,#REF!,"ym"))/100,(DATEDIF(F182,NOW(),"y")*100+DATEDIF(F182,NOW(),"ym"))/100))</f>
        <v>1.03</v>
      </c>
      <c r="I182" s="18">
        <f t="shared" ca="1" si="5"/>
        <v>32</v>
      </c>
      <c r="J182" s="19" t="str">
        <f>IF(表1[[#This Row],[证件号码]]="","",SUBSTITUTE(TEXT(--MID(表1[[#This Row],[证件号码]],7,8),"0000-00-00"),"-","/"))</f>
        <v>1992/06/07</v>
      </c>
      <c r="K182" s="20" t="s">
        <v>733</v>
      </c>
      <c r="L182" s="21"/>
      <c r="M182" s="20" t="s">
        <v>42</v>
      </c>
      <c r="N182" s="22" t="s">
        <v>42</v>
      </c>
      <c r="O182" s="23" t="s">
        <v>761</v>
      </c>
      <c r="P182" s="31"/>
      <c r="Q182" s="25" t="s">
        <v>34</v>
      </c>
      <c r="R182" s="26" t="s">
        <v>93</v>
      </c>
      <c r="S182" s="25" t="s">
        <v>94</v>
      </c>
      <c r="T182" s="27" t="s">
        <v>65</v>
      </c>
      <c r="U182" s="22">
        <v>25000</v>
      </c>
      <c r="V182" s="28">
        <v>69.566576698155643</v>
      </c>
      <c r="W182" s="29">
        <v>26</v>
      </c>
      <c r="X182" s="29">
        <v>39</v>
      </c>
      <c r="Y182" s="30">
        <f>(表1[[#This Row],[能力素质]]*0.6+表1[[#This Row],[潜力评估]]*0.4)*2</f>
        <v>67.599999999999994</v>
      </c>
    </row>
    <row r="183" spans="1:25" x14ac:dyDescent="0.2">
      <c r="A183" s="11">
        <f t="shared" si="4"/>
        <v>181</v>
      </c>
      <c r="B183" s="12" t="s">
        <v>762</v>
      </c>
      <c r="C183" s="12" t="s">
        <v>26</v>
      </c>
      <c r="D183" s="13" t="s">
        <v>27</v>
      </c>
      <c r="E183" s="36" t="s">
        <v>763</v>
      </c>
      <c r="F183" s="15">
        <v>45005</v>
      </c>
      <c r="G183" s="16" t="s">
        <v>29</v>
      </c>
      <c r="H183" s="17">
        <f ca="1">IF(G183="","",IF(G183="离职",(DATEDIF(F183,#REF!,"y")*100+DATEDIF(F183,#REF!,"ym"))/100,(DATEDIF(F183,NOW(),"y")*100+DATEDIF(F183,NOW(),"ym"))/100))</f>
        <v>1.03</v>
      </c>
      <c r="I183" s="18">
        <f t="shared" ca="1" si="5"/>
        <v>33</v>
      </c>
      <c r="J183" s="19" t="str">
        <f>IF(表1[[#This Row],[证件号码]]="","",SUBSTITUTE(TEXT(--MID(表1[[#This Row],[证件号码]],7,8),"0000-00-00"),"-","/"))</f>
        <v>1991/08/20</v>
      </c>
      <c r="K183" s="20" t="s">
        <v>764</v>
      </c>
      <c r="L183" s="21"/>
      <c r="M183" s="20" t="s">
        <v>31</v>
      </c>
      <c r="N183" s="22" t="s">
        <v>31</v>
      </c>
      <c r="O183" s="23" t="s">
        <v>481</v>
      </c>
      <c r="P183" s="31"/>
      <c r="Q183" s="25" t="s">
        <v>44</v>
      </c>
      <c r="R183" s="26" t="s">
        <v>45</v>
      </c>
      <c r="S183" s="25" t="s">
        <v>81</v>
      </c>
      <c r="T183" s="27" t="s">
        <v>65</v>
      </c>
      <c r="U183" s="22">
        <v>14000</v>
      </c>
      <c r="V183" s="28">
        <v>91.455176402544822</v>
      </c>
      <c r="W183" s="29">
        <v>29</v>
      </c>
      <c r="X183" s="29">
        <v>40</v>
      </c>
      <c r="Y183" s="30">
        <f>(表1[[#This Row],[能力素质]]*0.6+表1[[#This Row],[潜力评估]]*0.4)*2</f>
        <v>71.2</v>
      </c>
    </row>
    <row r="184" spans="1:25" x14ac:dyDescent="0.2">
      <c r="A184" s="11">
        <f t="shared" si="4"/>
        <v>182</v>
      </c>
      <c r="B184" s="12" t="s">
        <v>765</v>
      </c>
      <c r="C184" s="12" t="s">
        <v>766</v>
      </c>
      <c r="D184" s="13" t="s">
        <v>27</v>
      </c>
      <c r="E184" s="36" t="s">
        <v>767</v>
      </c>
      <c r="F184" s="15">
        <v>45008</v>
      </c>
      <c r="G184" s="16" t="s">
        <v>29</v>
      </c>
      <c r="H184" s="17">
        <f ca="1">IF(G184="","",IF(G184="离职",(DATEDIF(F184,#REF!,"y")*100+DATEDIF(F184,#REF!,"ym"))/100,(DATEDIF(F184,NOW(),"y")*100+DATEDIF(F184,NOW(),"ym"))/100))</f>
        <v>1.03</v>
      </c>
      <c r="I184" s="18">
        <f t="shared" ca="1" si="5"/>
        <v>38</v>
      </c>
      <c r="J184" s="19" t="str">
        <f>IF(表1[[#This Row],[证件号码]]="","",SUBSTITUTE(TEXT(--MID(表1[[#This Row],[证件号码]],7,8),"0000-00-00"),"-","/"))</f>
        <v>1986/09/12</v>
      </c>
      <c r="K184" s="21" t="s">
        <v>768</v>
      </c>
      <c r="L184" s="21"/>
      <c r="M184" s="21" t="s">
        <v>31</v>
      </c>
      <c r="N184" s="22" t="s">
        <v>31</v>
      </c>
      <c r="O184" s="23" t="s">
        <v>43</v>
      </c>
      <c r="P184" s="31"/>
      <c r="Q184" s="25" t="s">
        <v>54</v>
      </c>
      <c r="R184" s="26" t="s">
        <v>87</v>
      </c>
      <c r="S184" s="25" t="s">
        <v>72</v>
      </c>
      <c r="T184" s="27" t="s">
        <v>65</v>
      </c>
      <c r="U184" s="22">
        <v>12000</v>
      </c>
      <c r="V184" s="28">
        <v>73.5</v>
      </c>
      <c r="W184" s="29">
        <v>21</v>
      </c>
      <c r="X184" s="29">
        <v>30</v>
      </c>
      <c r="Y184" s="30">
        <f>(表1[[#This Row],[能力素质]]*0.6+表1[[#This Row],[潜力评估]]*0.4)*2</f>
        <v>52.8</v>
      </c>
    </row>
    <row r="185" spans="1:25" x14ac:dyDescent="0.2">
      <c r="A185" s="11">
        <f t="shared" si="4"/>
        <v>183</v>
      </c>
      <c r="B185" s="12" t="s">
        <v>769</v>
      </c>
      <c r="C185" s="12" t="s">
        <v>368</v>
      </c>
      <c r="D185" s="13" t="s">
        <v>27</v>
      </c>
      <c r="E185" s="36" t="s">
        <v>770</v>
      </c>
      <c r="F185" s="15">
        <v>45012</v>
      </c>
      <c r="G185" s="16" t="s">
        <v>29</v>
      </c>
      <c r="H185" s="17">
        <f ca="1">IF(G185="","",IF(G185="离职",(DATEDIF(F185,#REF!,"y")*100+DATEDIF(F185,#REF!,"ym"))/100,(DATEDIF(F185,NOW(),"y")*100+DATEDIF(F185,NOW(),"ym"))/100))</f>
        <v>1.03</v>
      </c>
      <c r="I185" s="18">
        <f t="shared" ca="1" si="5"/>
        <v>37</v>
      </c>
      <c r="J185" s="19" t="str">
        <f>IF(表1[[#This Row],[证件号码]]="","",SUBSTITUTE(TEXT(--MID(表1[[#This Row],[证件号码]],7,8),"0000-00-00"),"-","/"))</f>
        <v>1987/01/10</v>
      </c>
      <c r="K185" s="21" t="s">
        <v>771</v>
      </c>
      <c r="L185" s="21"/>
      <c r="M185" s="21" t="s">
        <v>264</v>
      </c>
      <c r="N185" s="22" t="s">
        <v>70</v>
      </c>
      <c r="O185" s="23" t="s">
        <v>772</v>
      </c>
      <c r="P185" s="31" t="s">
        <v>773</v>
      </c>
      <c r="Q185" s="25" t="s">
        <v>54</v>
      </c>
      <c r="R185" s="26" t="s">
        <v>192</v>
      </c>
      <c r="S185" s="25" t="s">
        <v>727</v>
      </c>
      <c r="T185" s="27" t="s">
        <v>37</v>
      </c>
      <c r="U185" s="22">
        <v>20000</v>
      </c>
      <c r="V185" s="28">
        <v>82.45</v>
      </c>
      <c r="W185" s="29">
        <v>33</v>
      </c>
      <c r="X185" s="29">
        <v>42</v>
      </c>
      <c r="Y185" s="30">
        <f>(表1[[#This Row],[能力素质]]*0.6+表1[[#This Row],[潜力评估]]*0.4)*2</f>
        <v>76.8</v>
      </c>
    </row>
    <row r="186" spans="1:25" x14ac:dyDescent="0.2">
      <c r="A186" s="11">
        <f t="shared" si="4"/>
        <v>184</v>
      </c>
      <c r="B186" s="12" t="s">
        <v>774</v>
      </c>
      <c r="C186" s="12" t="s">
        <v>26</v>
      </c>
      <c r="D186" s="13" t="s">
        <v>27</v>
      </c>
      <c r="E186" s="36" t="s">
        <v>775</v>
      </c>
      <c r="F186" s="15">
        <v>45012</v>
      </c>
      <c r="G186" s="16" t="s">
        <v>29</v>
      </c>
      <c r="H186" s="17">
        <f ca="1">IF(G186="","",IF(G186="离职",(DATEDIF(F186,#REF!,"y")*100+DATEDIF(F186,#REF!,"ym"))/100,(DATEDIF(F186,NOW(),"y")*100+DATEDIF(F186,NOW(),"ym"))/100))</f>
        <v>1.03</v>
      </c>
      <c r="I186" s="18">
        <f t="shared" ca="1" si="5"/>
        <v>28</v>
      </c>
      <c r="J186" s="19" t="str">
        <f>IF(表1[[#This Row],[证件号码]]="","",SUBSTITUTE(TEXT(--MID(表1[[#This Row],[证件号码]],7,8),"0000-00-00"),"-","/"))</f>
        <v>1996/06/19</v>
      </c>
      <c r="K186" s="20" t="s">
        <v>776</v>
      </c>
      <c r="L186" s="21"/>
      <c r="M186" s="20" t="s">
        <v>31</v>
      </c>
      <c r="N186" s="22" t="s">
        <v>31</v>
      </c>
      <c r="O186" s="23" t="s">
        <v>777</v>
      </c>
      <c r="P186" s="31"/>
      <c r="Q186" s="25" t="s">
        <v>34</v>
      </c>
      <c r="R186" s="26" t="s">
        <v>35</v>
      </c>
      <c r="S186" s="25" t="s">
        <v>743</v>
      </c>
      <c r="T186" s="27" t="s">
        <v>65</v>
      </c>
      <c r="U186" s="22">
        <v>9000</v>
      </c>
      <c r="V186" s="28">
        <v>90.553338474391097</v>
      </c>
      <c r="W186" s="29">
        <v>36</v>
      </c>
      <c r="X186" s="29">
        <v>42</v>
      </c>
      <c r="Y186" s="30">
        <f>(表1[[#This Row],[能力素质]]*0.6+表1[[#This Row],[潜力评估]]*0.4)*2</f>
        <v>79.2</v>
      </c>
    </row>
    <row r="187" spans="1:25" x14ac:dyDescent="0.2">
      <c r="A187" s="11">
        <f t="shared" si="4"/>
        <v>185</v>
      </c>
      <c r="B187" s="12" t="s">
        <v>778</v>
      </c>
      <c r="C187" s="12" t="s">
        <v>26</v>
      </c>
      <c r="D187" s="13" t="s">
        <v>27</v>
      </c>
      <c r="E187" s="36" t="s">
        <v>779</v>
      </c>
      <c r="F187" s="15">
        <v>45019</v>
      </c>
      <c r="G187" s="16" t="s">
        <v>29</v>
      </c>
      <c r="H187" s="17">
        <f ca="1">IF(G187="","",IF(G187="离职",(DATEDIF(F187,#REF!,"y")*100+DATEDIF(F187,#REF!,"ym"))/100,(DATEDIF(F187,NOW(),"y")*100+DATEDIF(F187,NOW(),"ym"))/100))</f>
        <v>1.03</v>
      </c>
      <c r="I187" s="18">
        <f t="shared" ca="1" si="5"/>
        <v>30</v>
      </c>
      <c r="J187" s="19" t="str">
        <f>IF(表1[[#This Row],[证件号码]]="","",SUBSTITUTE(TEXT(--MID(表1[[#This Row],[证件号码]],7,8),"0000-00-00"),"-","/"))</f>
        <v>1994/09/13</v>
      </c>
      <c r="K187" s="21" t="s">
        <v>780</v>
      </c>
      <c r="L187" s="21"/>
      <c r="M187" s="21" t="s">
        <v>60</v>
      </c>
      <c r="N187" s="22" t="s">
        <v>31</v>
      </c>
      <c r="O187" s="23" t="s">
        <v>781</v>
      </c>
      <c r="P187" s="31" t="s">
        <v>464</v>
      </c>
      <c r="Q187" s="25" t="s">
        <v>34</v>
      </c>
      <c r="R187" s="26" t="s">
        <v>115</v>
      </c>
      <c r="S187" s="25" t="s">
        <v>574</v>
      </c>
      <c r="T187" s="27" t="s">
        <v>65</v>
      </c>
      <c r="U187" s="22">
        <v>16000</v>
      </c>
      <c r="V187" s="28">
        <v>72.132677848467324</v>
      </c>
      <c r="W187" s="29">
        <v>36</v>
      </c>
      <c r="X187" s="29">
        <v>41</v>
      </c>
      <c r="Y187" s="30">
        <f>(表1[[#This Row],[能力素质]]*0.6+表1[[#This Row],[潜力评估]]*0.4)*2</f>
        <v>78</v>
      </c>
    </row>
    <row r="188" spans="1:25" x14ac:dyDescent="0.2">
      <c r="A188" s="11">
        <f t="shared" si="4"/>
        <v>186</v>
      </c>
      <c r="B188" s="12" t="s">
        <v>782</v>
      </c>
      <c r="C188" s="12" t="s">
        <v>49</v>
      </c>
      <c r="D188" s="13" t="s">
        <v>27</v>
      </c>
      <c r="E188" s="36" t="s">
        <v>783</v>
      </c>
      <c r="F188" s="15">
        <v>45027</v>
      </c>
      <c r="G188" s="16" t="s">
        <v>29</v>
      </c>
      <c r="H188" s="17">
        <f ca="1">IF(G188="","",IF(G188="离职",(DATEDIF(F188,#REF!,"y")*100+DATEDIF(F188,#REF!,"ym"))/100,(DATEDIF(F188,NOW(),"y")*100+DATEDIF(F188,NOW(),"ym"))/100))</f>
        <v>1.02</v>
      </c>
      <c r="I188" s="18">
        <f t="shared" ca="1" si="5"/>
        <v>29</v>
      </c>
      <c r="J188" s="19" t="str">
        <f>IF(表1[[#This Row],[证件号码]]="","",SUBSTITUTE(TEXT(--MID(表1[[#This Row],[证件号码]],7,8),"0000-00-00"),"-","/"))</f>
        <v>1995/05/31</v>
      </c>
      <c r="K188" s="20" t="s">
        <v>784</v>
      </c>
      <c r="L188" s="21"/>
      <c r="M188" s="20" t="s">
        <v>31</v>
      </c>
      <c r="N188" s="22" t="s">
        <v>31</v>
      </c>
      <c r="O188" s="23" t="s">
        <v>785</v>
      </c>
      <c r="P188" s="31"/>
      <c r="Q188" s="25" t="s">
        <v>34</v>
      </c>
      <c r="R188" s="26" t="s">
        <v>93</v>
      </c>
      <c r="S188" s="25" t="s">
        <v>94</v>
      </c>
      <c r="T188" s="27" t="s">
        <v>65</v>
      </c>
      <c r="U188" s="22">
        <v>21000</v>
      </c>
      <c r="V188" s="28">
        <v>67.531578947368416</v>
      </c>
      <c r="W188" s="29">
        <v>31</v>
      </c>
      <c r="X188" s="29">
        <v>41</v>
      </c>
      <c r="Y188" s="30">
        <f>(表1[[#This Row],[能力素质]]*0.6+表1[[#This Row],[潜力评估]]*0.4)*2</f>
        <v>74</v>
      </c>
    </row>
    <row r="189" spans="1:25" ht="52.5" x14ac:dyDescent="0.2">
      <c r="A189" s="11">
        <f t="shared" si="4"/>
        <v>187</v>
      </c>
      <c r="B189" s="12" t="s">
        <v>786</v>
      </c>
      <c r="C189" s="12" t="s">
        <v>197</v>
      </c>
      <c r="D189" s="13" t="s">
        <v>27</v>
      </c>
      <c r="E189" s="36" t="s">
        <v>787</v>
      </c>
      <c r="F189" s="15">
        <v>45061</v>
      </c>
      <c r="G189" s="16" t="s">
        <v>29</v>
      </c>
      <c r="H189" s="17">
        <f ca="1">IF(G189="","",IF(G189="离职",(DATEDIF(F189,#REF!,"y")*100+DATEDIF(F189,#REF!,"ym"))/100,(DATEDIF(F189,NOW(),"y")*100+DATEDIF(F189,NOW(),"ym"))/100))</f>
        <v>1.01</v>
      </c>
      <c r="I189" s="18">
        <f t="shared" ca="1" si="5"/>
        <v>39</v>
      </c>
      <c r="J189" s="19" t="str">
        <f>IF(表1[[#This Row],[证件号码]]="","",SUBSTITUTE(TEXT(--MID(表1[[#This Row],[证件号码]],7,8),"0000-00-00"),"-","/"))</f>
        <v>1985/10/02</v>
      </c>
      <c r="K189" s="20" t="s">
        <v>788</v>
      </c>
      <c r="L189" s="21"/>
      <c r="M189" s="20" t="s">
        <v>31</v>
      </c>
      <c r="N189" s="22" t="s">
        <v>31</v>
      </c>
      <c r="O189" s="23" t="s">
        <v>43</v>
      </c>
      <c r="P189" s="24" t="s">
        <v>789</v>
      </c>
      <c r="Q189" s="25" t="s">
        <v>34</v>
      </c>
      <c r="R189" s="26" t="s">
        <v>115</v>
      </c>
      <c r="S189" s="25" t="s">
        <v>574</v>
      </c>
      <c r="T189" s="27" t="s">
        <v>65</v>
      </c>
      <c r="U189" s="22">
        <v>15000</v>
      </c>
      <c r="V189" s="28">
        <v>97.5</v>
      </c>
      <c r="W189" s="29">
        <v>39</v>
      </c>
      <c r="X189" s="29">
        <v>41</v>
      </c>
      <c r="Y189" s="30">
        <f>(表1[[#This Row],[能力素质]]*0.6+表1[[#This Row],[潜力评估]]*0.4)*2</f>
        <v>80.400000000000006</v>
      </c>
    </row>
    <row r="190" spans="1:25" x14ac:dyDescent="0.2">
      <c r="A190" s="11">
        <f t="shared" si="4"/>
        <v>188</v>
      </c>
      <c r="B190" s="12" t="s">
        <v>790</v>
      </c>
      <c r="C190" s="12" t="s">
        <v>26</v>
      </c>
      <c r="D190" s="13" t="s">
        <v>27</v>
      </c>
      <c r="E190" s="36" t="s">
        <v>791</v>
      </c>
      <c r="F190" s="15">
        <v>45061</v>
      </c>
      <c r="G190" s="16" t="s">
        <v>29</v>
      </c>
      <c r="H190" s="17">
        <f ca="1">IF(G190="","",IF(G190="离职",(DATEDIF(F190,#REF!,"y")*100+DATEDIF(F190,#REF!,"ym"))/100,(DATEDIF(F190,NOW(),"y")*100+DATEDIF(F190,NOW(),"ym"))/100))</f>
        <v>1.01</v>
      </c>
      <c r="I190" s="18">
        <f t="shared" ca="1" si="5"/>
        <v>29</v>
      </c>
      <c r="J190" s="19" t="str">
        <f>IF(表1[[#This Row],[证件号码]]="","",SUBSTITUTE(TEXT(--MID(表1[[#This Row],[证件号码]],7,8),"0000-00-00"),"-","/"))</f>
        <v>1995/09/19</v>
      </c>
      <c r="K190" s="20" t="s">
        <v>792</v>
      </c>
      <c r="L190" s="21"/>
      <c r="M190" s="20" t="s">
        <v>31</v>
      </c>
      <c r="N190" s="22" t="s">
        <v>31</v>
      </c>
      <c r="O190" s="23" t="s">
        <v>43</v>
      </c>
      <c r="P190" s="31"/>
      <c r="Q190" s="25" t="s">
        <v>44</v>
      </c>
      <c r="R190" s="26" t="s">
        <v>45</v>
      </c>
      <c r="S190" s="25" t="s">
        <v>81</v>
      </c>
      <c r="T190" s="27" t="s">
        <v>65</v>
      </c>
      <c r="U190" s="22">
        <v>13000</v>
      </c>
      <c r="V190" s="28">
        <v>86.087622903412381</v>
      </c>
      <c r="W190" s="29">
        <v>33</v>
      </c>
      <c r="X190" s="29">
        <v>40</v>
      </c>
      <c r="Y190" s="30">
        <f>(表1[[#This Row],[能力素质]]*0.6+表1[[#This Row],[潜力评估]]*0.4)*2</f>
        <v>74.400000000000006</v>
      </c>
    </row>
    <row r="191" spans="1:25" x14ac:dyDescent="0.2">
      <c r="A191" s="11">
        <f t="shared" si="4"/>
        <v>189</v>
      </c>
      <c r="B191" s="12" t="s">
        <v>793</v>
      </c>
      <c r="C191" s="12" t="s">
        <v>723</v>
      </c>
      <c r="D191" s="13" t="s">
        <v>39</v>
      </c>
      <c r="E191" s="36" t="s">
        <v>794</v>
      </c>
      <c r="F191" s="15">
        <v>45103</v>
      </c>
      <c r="G191" s="16" t="s">
        <v>29</v>
      </c>
      <c r="H191" s="17">
        <f ca="1">IF(G191="","",IF(G191="离职",(DATEDIF(F191,#REF!,"y")*100+DATEDIF(F191,#REF!,"ym"))/100,(DATEDIF(F191,NOW(),"y")*100+DATEDIF(F191,NOW(),"ym"))/100))</f>
        <v>1</v>
      </c>
      <c r="I191" s="18">
        <f t="shared" ca="1" si="5"/>
        <v>45</v>
      </c>
      <c r="J191" s="19" t="str">
        <f>IF(表1[[#This Row],[证件号码]]="","",SUBSTITUTE(TEXT(--MID(表1[[#This Row],[证件号码]],7,8),"0000-00-00"),"-","/"))</f>
        <v>1979/01/02</v>
      </c>
      <c r="K191" s="21" t="s">
        <v>795</v>
      </c>
      <c r="L191" s="21"/>
      <c r="M191" s="21" t="s">
        <v>796</v>
      </c>
      <c r="N191" s="22" t="s">
        <v>31</v>
      </c>
      <c r="O191" s="23" t="s">
        <v>797</v>
      </c>
      <c r="P191" s="31" t="s">
        <v>798</v>
      </c>
      <c r="Q191" s="25" t="s">
        <v>54</v>
      </c>
      <c r="R191" s="26" t="s">
        <v>87</v>
      </c>
      <c r="S191" s="25" t="s">
        <v>72</v>
      </c>
      <c r="T191" s="27" t="s">
        <v>65</v>
      </c>
      <c r="U191" s="22">
        <v>12000</v>
      </c>
      <c r="V191" s="28">
        <v>85.44</v>
      </c>
      <c r="W191" s="29">
        <v>33</v>
      </c>
      <c r="X191" s="29">
        <v>40</v>
      </c>
      <c r="Y191" s="30">
        <f>(表1[[#This Row],[能力素质]]*0.6+表1[[#This Row],[潜力评估]]*0.4)*2</f>
        <v>74.400000000000006</v>
      </c>
    </row>
    <row r="192" spans="1:25" x14ac:dyDescent="0.2">
      <c r="A192" s="11">
        <f t="shared" si="4"/>
        <v>190</v>
      </c>
      <c r="B192" s="12" t="s">
        <v>799</v>
      </c>
      <c r="C192" s="12" t="s">
        <v>26</v>
      </c>
      <c r="D192" s="13" t="s">
        <v>27</v>
      </c>
      <c r="E192" s="36" t="s">
        <v>800</v>
      </c>
      <c r="F192" s="15">
        <v>45105</v>
      </c>
      <c r="G192" s="16" t="s">
        <v>29</v>
      </c>
      <c r="H192" s="17">
        <f ca="1">IF(G192="","",IF(G192="离职",(DATEDIF(F192,#REF!,"y")*100+DATEDIF(F192,#REF!,"ym"))/100,(DATEDIF(F192,NOW(),"y")*100+DATEDIF(F192,NOW(),"ym"))/100))</f>
        <v>1</v>
      </c>
      <c r="I192" s="18">
        <f t="shared" ca="1" si="5"/>
        <v>35</v>
      </c>
      <c r="J192" s="19" t="str">
        <f>IF(表1[[#This Row],[证件号码]]="","",SUBSTITUTE(TEXT(--MID(表1[[#This Row],[证件号码]],7,8),"0000-00-00"),"-","/"))</f>
        <v>1989/08/10</v>
      </c>
      <c r="K192" s="21" t="s">
        <v>801</v>
      </c>
      <c r="L192" s="21"/>
      <c r="M192" s="21" t="s">
        <v>60</v>
      </c>
      <c r="N192" s="22" t="s">
        <v>42</v>
      </c>
      <c r="O192" s="23" t="s">
        <v>802</v>
      </c>
      <c r="P192" s="31"/>
      <c r="Q192" s="25" t="s">
        <v>54</v>
      </c>
      <c r="R192" s="26" t="s">
        <v>192</v>
      </c>
      <c r="S192" s="25" t="s">
        <v>803</v>
      </c>
      <c r="T192" s="27" t="s">
        <v>47</v>
      </c>
      <c r="U192" s="22">
        <v>20000</v>
      </c>
      <c r="V192" s="28">
        <v>94.4</v>
      </c>
      <c r="W192" s="29">
        <v>32</v>
      </c>
      <c r="X192" s="29">
        <v>44</v>
      </c>
      <c r="Y192" s="30">
        <f>(表1[[#This Row],[能力素质]]*0.6+表1[[#This Row],[潜力评估]]*0.4)*2</f>
        <v>78.400000000000006</v>
      </c>
    </row>
    <row r="193" spans="1:25" x14ac:dyDescent="0.2">
      <c r="A193" s="11">
        <f t="shared" si="4"/>
        <v>191</v>
      </c>
      <c r="B193" s="12" t="s">
        <v>804</v>
      </c>
      <c r="C193" s="12" t="s">
        <v>83</v>
      </c>
      <c r="D193" s="13" t="s">
        <v>27</v>
      </c>
      <c r="E193" s="36" t="s">
        <v>805</v>
      </c>
      <c r="F193" s="15">
        <v>45110</v>
      </c>
      <c r="G193" s="16" t="s">
        <v>29</v>
      </c>
      <c r="H193" s="17">
        <f ca="1">IF(G193="","",IF(G193="离职",(DATEDIF(F193,#REF!,"y")*100+DATEDIF(F193,#REF!,"ym"))/100,(DATEDIF(F193,NOW(),"y")*100+DATEDIF(F193,NOW(),"ym"))/100))</f>
        <v>1</v>
      </c>
      <c r="I193" s="18">
        <f t="shared" ca="1" si="5"/>
        <v>36</v>
      </c>
      <c r="J193" s="19" t="str">
        <f>IF(表1[[#This Row],[证件号码]]="","",SUBSTITUTE(TEXT(--MID(表1[[#This Row],[证件号码]],7,8),"0000-00-00"),"-","/"))</f>
        <v>1988/03/08</v>
      </c>
      <c r="K193" s="21" t="s">
        <v>806</v>
      </c>
      <c r="L193" s="21"/>
      <c r="M193" s="21" t="s">
        <v>60</v>
      </c>
      <c r="N193" s="22" t="s">
        <v>42</v>
      </c>
      <c r="O193" s="23" t="s">
        <v>807</v>
      </c>
      <c r="P193" s="31" t="s">
        <v>808</v>
      </c>
      <c r="Q193" s="25" t="s">
        <v>54</v>
      </c>
      <c r="R193" s="26" t="s">
        <v>87</v>
      </c>
      <c r="S193" s="25" t="s">
        <v>809</v>
      </c>
      <c r="T193" s="27" t="s">
        <v>37</v>
      </c>
      <c r="U193" s="22">
        <v>15000</v>
      </c>
      <c r="V193" s="28">
        <v>29</v>
      </c>
      <c r="W193" s="29">
        <v>37</v>
      </c>
      <c r="X193" s="29">
        <v>42</v>
      </c>
      <c r="Y193" s="30">
        <f>(表1[[#This Row],[能力素质]]*0.6+表1[[#This Row],[潜力评估]]*0.4)*2</f>
        <v>80</v>
      </c>
    </row>
    <row r="194" spans="1:25" x14ac:dyDescent="0.2">
      <c r="A194" s="11">
        <f t="shared" si="4"/>
        <v>192</v>
      </c>
      <c r="B194" s="12" t="s">
        <v>810</v>
      </c>
      <c r="C194" s="12" t="s">
        <v>26</v>
      </c>
      <c r="D194" s="13" t="s">
        <v>27</v>
      </c>
      <c r="E194" s="36" t="s">
        <v>811</v>
      </c>
      <c r="F194" s="15">
        <v>45110</v>
      </c>
      <c r="G194" s="16" t="s">
        <v>29</v>
      </c>
      <c r="H194" s="17">
        <f ca="1">IF(G194="","",IF(G194="离职",(DATEDIF(F194,#REF!,"y")*100+DATEDIF(F194,#REF!,"ym"))/100,(DATEDIF(F194,NOW(),"y")*100+DATEDIF(F194,NOW(),"ym"))/100))</f>
        <v>1</v>
      </c>
      <c r="I194" s="18">
        <f t="shared" ca="1" si="5"/>
        <v>18</v>
      </c>
      <c r="J194" s="19" t="str">
        <f>IF(表1[[#This Row],[证件号码]]="","",SUBSTITUTE(TEXT(--MID(表1[[#This Row],[证件号码]],7,8),"0000-00-00"),"-","/"))</f>
        <v>2006/10/25</v>
      </c>
      <c r="K194" s="20" t="s">
        <v>812</v>
      </c>
      <c r="L194" s="21"/>
      <c r="M194" s="20" t="s">
        <v>70</v>
      </c>
      <c r="N194" s="22" t="s">
        <v>70</v>
      </c>
      <c r="O194" s="23" t="s">
        <v>813</v>
      </c>
      <c r="P194" s="31"/>
      <c r="Q194" s="25" t="s">
        <v>34</v>
      </c>
      <c r="R194" s="26" t="s">
        <v>99</v>
      </c>
      <c r="S194" s="25" t="s">
        <v>814</v>
      </c>
      <c r="T194" s="27" t="s">
        <v>65</v>
      </c>
      <c r="U194" s="22">
        <v>3000</v>
      </c>
      <c r="V194" s="28">
        <v>56.062456140350882</v>
      </c>
      <c r="W194" s="29">
        <v>14</v>
      </c>
      <c r="X194" s="29">
        <v>32</v>
      </c>
      <c r="Y194" s="30">
        <f>(表1[[#This Row],[能力素质]]*0.6+表1[[#This Row],[潜力评估]]*0.4)*2</f>
        <v>49.6</v>
      </c>
    </row>
    <row r="195" spans="1:25" x14ac:dyDescent="0.2">
      <c r="A195" s="11">
        <f t="shared" ref="A195:A253" si="6">ROW()-2</f>
        <v>193</v>
      </c>
      <c r="B195" s="12" t="s">
        <v>815</v>
      </c>
      <c r="C195" s="12" t="s">
        <v>26</v>
      </c>
      <c r="D195" s="13" t="s">
        <v>27</v>
      </c>
      <c r="E195" s="36" t="s">
        <v>816</v>
      </c>
      <c r="F195" s="15">
        <v>45110</v>
      </c>
      <c r="G195" s="16" t="s">
        <v>29</v>
      </c>
      <c r="H195" s="17">
        <f ca="1">IF(G195="","",IF(G195="离职",(DATEDIF(F195,#REF!,"y")*100+DATEDIF(F195,#REF!,"ym"))/100,(DATEDIF(F195,NOW(),"y")*100+DATEDIF(F195,NOW(),"ym"))/100))</f>
        <v>1</v>
      </c>
      <c r="I195" s="18">
        <f t="shared" ref="I195:I253" ca="1" si="7">IF(J195="",0,YEAR(TODAY())-YEAR(J195))</f>
        <v>33</v>
      </c>
      <c r="J195" s="19" t="str">
        <f>IF(表1[[#This Row],[证件号码]]="","",SUBSTITUTE(TEXT(--MID(表1[[#This Row],[证件号码]],7,8),"0000-00-00"),"-","/"))</f>
        <v>1991/10/02</v>
      </c>
      <c r="K195" s="21" t="s">
        <v>228</v>
      </c>
      <c r="L195" s="21"/>
      <c r="M195" s="21" t="s">
        <v>60</v>
      </c>
      <c r="N195" s="22" t="s">
        <v>31</v>
      </c>
      <c r="O195" s="23" t="s">
        <v>481</v>
      </c>
      <c r="P195" s="31"/>
      <c r="Q195" s="25" t="s">
        <v>44</v>
      </c>
      <c r="R195" s="26" t="s">
        <v>206</v>
      </c>
      <c r="S195" s="25" t="s">
        <v>81</v>
      </c>
      <c r="T195" s="27" t="s">
        <v>65</v>
      </c>
      <c r="U195" s="22">
        <v>16000</v>
      </c>
      <c r="V195" s="28">
        <v>71.517286222549387</v>
      </c>
      <c r="W195" s="29">
        <v>32</v>
      </c>
      <c r="X195" s="39">
        <v>41</v>
      </c>
      <c r="Y195" s="30">
        <f>(表1[[#This Row],[能力素质]]*0.6+表1[[#This Row],[潜力评估]]*0.4)*2</f>
        <v>74.8</v>
      </c>
    </row>
    <row r="196" spans="1:25" x14ac:dyDescent="0.2">
      <c r="A196" s="11">
        <f t="shared" si="6"/>
        <v>194</v>
      </c>
      <c r="B196" s="12" t="s">
        <v>817</v>
      </c>
      <c r="C196" s="12" t="s">
        <v>197</v>
      </c>
      <c r="D196" s="13" t="s">
        <v>27</v>
      </c>
      <c r="E196" s="36" t="s">
        <v>818</v>
      </c>
      <c r="F196" s="15">
        <v>45110</v>
      </c>
      <c r="G196" s="16" t="s">
        <v>29</v>
      </c>
      <c r="H196" s="17">
        <f ca="1">IF(G196="","",IF(G196="离职",(DATEDIF(F196,#REF!,"y")*100+DATEDIF(F196,#REF!,"ym"))/100,(DATEDIF(F196,NOW(),"y")*100+DATEDIF(F196,NOW(),"ym"))/100))</f>
        <v>1</v>
      </c>
      <c r="I196" s="18">
        <f t="shared" ca="1" si="7"/>
        <v>46</v>
      </c>
      <c r="J196" s="19" t="str">
        <f>IF(表1[[#This Row],[证件号码]]="","",SUBSTITUTE(TEXT(--MID(表1[[#This Row],[证件号码]],7,8),"0000-00-00"),"-","/"))</f>
        <v>1978/02/17</v>
      </c>
      <c r="K196" s="21" t="s">
        <v>819</v>
      </c>
      <c r="L196" s="21"/>
      <c r="M196" s="21" t="s">
        <v>60</v>
      </c>
      <c r="N196" s="22" t="s">
        <v>42</v>
      </c>
      <c r="O196" s="23" t="s">
        <v>53</v>
      </c>
      <c r="P196" s="31"/>
      <c r="Q196" s="25" t="s">
        <v>54</v>
      </c>
      <c r="R196" s="26" t="s">
        <v>87</v>
      </c>
      <c r="S196" s="25" t="s">
        <v>72</v>
      </c>
      <c r="T196" s="27" t="s">
        <v>65</v>
      </c>
      <c r="U196" s="22">
        <v>15000</v>
      </c>
      <c r="V196" s="28">
        <v>30</v>
      </c>
      <c r="W196" s="29">
        <v>34</v>
      </c>
      <c r="X196" s="29">
        <v>40</v>
      </c>
      <c r="Y196" s="30">
        <f>(表1[[#This Row],[能力素质]]*0.6+表1[[#This Row],[潜力评估]]*0.4)*2</f>
        <v>75.2</v>
      </c>
    </row>
    <row r="197" spans="1:25" x14ac:dyDescent="0.2">
      <c r="A197" s="11">
        <f t="shared" si="6"/>
        <v>195</v>
      </c>
      <c r="B197" s="12" t="s">
        <v>820</v>
      </c>
      <c r="C197" s="12" t="s">
        <v>26</v>
      </c>
      <c r="D197" s="13" t="s">
        <v>27</v>
      </c>
      <c r="E197" s="36" t="s">
        <v>821</v>
      </c>
      <c r="F197" s="15">
        <v>45119</v>
      </c>
      <c r="G197" s="16" t="s">
        <v>29</v>
      </c>
      <c r="H197" s="17">
        <f ca="1">IF(G197="","",IF(G197="离职",(DATEDIF(F197,#REF!,"y")*100+DATEDIF(F197,#REF!,"ym"))/100,(DATEDIF(F197,NOW(),"y")*100+DATEDIF(F197,NOW(),"ym"))/100))</f>
        <v>0.11</v>
      </c>
      <c r="I197" s="18">
        <f t="shared" ca="1" si="7"/>
        <v>28</v>
      </c>
      <c r="J197" s="19" t="str">
        <f>IF(表1[[#This Row],[证件号码]]="","",SUBSTITUTE(TEXT(--MID(表1[[#This Row],[证件号码]],7,8),"0000-00-00"),"-","/"))</f>
        <v>1996/10/29</v>
      </c>
      <c r="K197" s="21" t="s">
        <v>706</v>
      </c>
      <c r="L197" s="21"/>
      <c r="M197" s="21" t="s">
        <v>60</v>
      </c>
      <c r="N197" s="22" t="s">
        <v>42</v>
      </c>
      <c r="O197" s="23" t="s">
        <v>182</v>
      </c>
      <c r="P197" s="31"/>
      <c r="Q197" s="25" t="s">
        <v>54</v>
      </c>
      <c r="R197" s="26" t="s">
        <v>192</v>
      </c>
      <c r="S197" s="25" t="s">
        <v>72</v>
      </c>
      <c r="T197" s="27" t="s">
        <v>65</v>
      </c>
      <c r="U197" s="22">
        <v>12000</v>
      </c>
      <c r="V197" s="28">
        <v>87.633333333333326</v>
      </c>
      <c r="W197" s="29">
        <v>22</v>
      </c>
      <c r="X197" s="29">
        <v>36</v>
      </c>
      <c r="Y197" s="30">
        <f>(表1[[#This Row],[能力素质]]*0.6+表1[[#This Row],[潜力评估]]*0.4)*2</f>
        <v>60.8</v>
      </c>
    </row>
    <row r="198" spans="1:25" x14ac:dyDescent="0.2">
      <c r="A198" s="11">
        <f t="shared" si="6"/>
        <v>196</v>
      </c>
      <c r="B198" s="12" t="s">
        <v>822</v>
      </c>
      <c r="C198" s="12" t="s">
        <v>26</v>
      </c>
      <c r="D198" s="13" t="s">
        <v>27</v>
      </c>
      <c r="E198" s="36" t="s">
        <v>823</v>
      </c>
      <c r="F198" s="15">
        <v>45138</v>
      </c>
      <c r="G198" s="16" t="s">
        <v>29</v>
      </c>
      <c r="H198" s="17">
        <f ca="1">IF(G198="","",IF(G198="离职",(DATEDIF(F198,#REF!,"y")*100+DATEDIF(F198,#REF!,"ym"))/100,(DATEDIF(F198,NOW(),"y")*100+DATEDIF(F198,NOW(),"ym"))/100))</f>
        <v>0.11</v>
      </c>
      <c r="I198" s="18">
        <f t="shared" ca="1" si="7"/>
        <v>33</v>
      </c>
      <c r="J198" s="19" t="str">
        <f>IF(表1[[#This Row],[证件号码]]="","",SUBSTITUTE(TEXT(--MID(表1[[#This Row],[证件号码]],7,8),"0000-00-00"),"-","/"))</f>
        <v>1991/05/10</v>
      </c>
      <c r="K198" s="21" t="s">
        <v>824</v>
      </c>
      <c r="L198" s="21"/>
      <c r="M198" s="21" t="s">
        <v>52</v>
      </c>
      <c r="N198" s="22" t="s">
        <v>31</v>
      </c>
      <c r="O198" s="23" t="s">
        <v>825</v>
      </c>
      <c r="P198" s="31"/>
      <c r="Q198" s="25" t="s">
        <v>54</v>
      </c>
      <c r="R198" s="26" t="s">
        <v>192</v>
      </c>
      <c r="S198" s="25" t="s">
        <v>826</v>
      </c>
      <c r="T198" s="27" t="s">
        <v>65</v>
      </c>
      <c r="U198" s="22">
        <v>17000</v>
      </c>
      <c r="V198" s="28">
        <v>93</v>
      </c>
      <c r="W198" s="29">
        <v>30</v>
      </c>
      <c r="X198" s="29">
        <v>40</v>
      </c>
      <c r="Y198" s="30">
        <f>(表1[[#This Row],[能力素质]]*0.6+表1[[#This Row],[潜力评估]]*0.4)*2</f>
        <v>72</v>
      </c>
    </row>
    <row r="199" spans="1:25" x14ac:dyDescent="0.2">
      <c r="A199" s="11">
        <f t="shared" si="6"/>
        <v>197</v>
      </c>
      <c r="B199" s="12" t="s">
        <v>827</v>
      </c>
      <c r="C199" s="12" t="s">
        <v>26</v>
      </c>
      <c r="D199" s="13" t="s">
        <v>39</v>
      </c>
      <c r="E199" s="36" t="s">
        <v>828</v>
      </c>
      <c r="F199" s="15">
        <v>45139</v>
      </c>
      <c r="G199" s="16" t="s">
        <v>29</v>
      </c>
      <c r="H199" s="17">
        <f ca="1">IF(G199="","",IF(G199="离职",(DATEDIF(F199,#REF!,"y")*100+DATEDIF(F199,#REF!,"ym"))/100,(DATEDIF(F199,NOW(),"y")*100+DATEDIF(F199,NOW(),"ym"))/100))</f>
        <v>0.11</v>
      </c>
      <c r="I199" s="18">
        <f t="shared" ca="1" si="7"/>
        <v>23</v>
      </c>
      <c r="J199" s="19" t="str">
        <f>IF(表1[[#This Row],[证件号码]]="","",SUBSTITUTE(TEXT(--MID(表1[[#This Row],[证件号码]],7,8),"0000-00-00"),"-","/"))</f>
        <v>2001/11/09</v>
      </c>
      <c r="K199" s="20" t="s">
        <v>413</v>
      </c>
      <c r="L199" s="21"/>
      <c r="M199" s="20" t="s">
        <v>42</v>
      </c>
      <c r="N199" s="22" t="s">
        <v>42</v>
      </c>
      <c r="O199" s="23" t="s">
        <v>133</v>
      </c>
      <c r="P199" s="31"/>
      <c r="Q199" s="25" t="s">
        <v>44</v>
      </c>
      <c r="R199" s="26" t="s">
        <v>45</v>
      </c>
      <c r="S199" s="25" t="s">
        <v>829</v>
      </c>
      <c r="T199" s="27" t="s">
        <v>65</v>
      </c>
      <c r="U199" s="22">
        <v>3500</v>
      </c>
      <c r="V199" s="28">
        <v>79.520242914979747</v>
      </c>
      <c r="W199" s="29">
        <v>15</v>
      </c>
      <c r="X199" s="29">
        <v>32</v>
      </c>
      <c r="Y199" s="30">
        <f>(表1[[#This Row],[能力素质]]*0.6+表1[[#This Row],[潜力评估]]*0.4)*2</f>
        <v>50.4</v>
      </c>
    </row>
    <row r="200" spans="1:25" x14ac:dyDescent="0.2">
      <c r="A200" s="11">
        <f t="shared" si="6"/>
        <v>198</v>
      </c>
      <c r="B200" s="12" t="s">
        <v>830</v>
      </c>
      <c r="C200" s="12" t="s">
        <v>26</v>
      </c>
      <c r="D200" s="13" t="s">
        <v>27</v>
      </c>
      <c r="E200" s="36" t="s">
        <v>831</v>
      </c>
      <c r="F200" s="15">
        <v>45145</v>
      </c>
      <c r="G200" s="16" t="s">
        <v>29</v>
      </c>
      <c r="H200" s="17">
        <f ca="1">IF(G200="","",IF(G200="离职",(DATEDIF(F200,#REF!,"y")*100+DATEDIF(F200,#REF!,"ym"))/100,(DATEDIF(F200,NOW(),"y")*100+DATEDIF(F200,NOW(),"ym"))/100))</f>
        <v>0.1</v>
      </c>
      <c r="I200" s="18">
        <f t="shared" ca="1" si="7"/>
        <v>26</v>
      </c>
      <c r="J200" s="19" t="str">
        <f>IF(表1[[#This Row],[证件号码]]="","",SUBSTITUTE(TEXT(--MID(表1[[#This Row],[证件号码]],7,8),"0000-00-00"),"-","/"))</f>
        <v>1998/12/30</v>
      </c>
      <c r="K200" s="20" t="s">
        <v>832</v>
      </c>
      <c r="L200" s="21"/>
      <c r="M200" s="20" t="s">
        <v>42</v>
      </c>
      <c r="N200" s="22" t="s">
        <v>42</v>
      </c>
      <c r="O200" s="23" t="s">
        <v>316</v>
      </c>
      <c r="P200" s="31"/>
      <c r="Q200" s="25" t="s">
        <v>44</v>
      </c>
      <c r="R200" s="26" t="s">
        <v>206</v>
      </c>
      <c r="S200" s="25" t="s">
        <v>833</v>
      </c>
      <c r="T200" s="27" t="s">
        <v>65</v>
      </c>
      <c r="U200" s="22">
        <v>10000</v>
      </c>
      <c r="V200" s="28">
        <v>75.645263157894732</v>
      </c>
      <c r="W200" s="29">
        <v>26</v>
      </c>
      <c r="X200" s="29">
        <v>42</v>
      </c>
      <c r="Y200" s="30">
        <f>(表1[[#This Row],[能力素质]]*0.6+表1[[#This Row],[潜力评估]]*0.4)*2</f>
        <v>71.2</v>
      </c>
    </row>
    <row r="201" spans="1:25" x14ac:dyDescent="0.2">
      <c r="A201" s="11">
        <f t="shared" si="6"/>
        <v>199</v>
      </c>
      <c r="B201" s="12" t="s">
        <v>834</v>
      </c>
      <c r="C201" s="12" t="s">
        <v>835</v>
      </c>
      <c r="D201" s="13" t="s">
        <v>27</v>
      </c>
      <c r="E201" s="36" t="s">
        <v>836</v>
      </c>
      <c r="F201" s="15">
        <v>45168</v>
      </c>
      <c r="G201" s="16" t="s">
        <v>29</v>
      </c>
      <c r="H201" s="17">
        <f ca="1">IF(G201="","",IF(G201="离职",(DATEDIF(F201,#REF!,"y")*100+DATEDIF(F201,#REF!,"ym"))/100,(DATEDIF(F201,NOW(),"y")*100+DATEDIF(F201,NOW(),"ym"))/100))</f>
        <v>0.1</v>
      </c>
      <c r="I201" s="18">
        <f t="shared" ca="1" si="7"/>
        <v>32</v>
      </c>
      <c r="J201" s="19" t="str">
        <f>IF(表1[[#This Row],[证件号码]]="","",SUBSTITUTE(TEXT(--MID(表1[[#This Row],[证件号码]],7,8),"0000-00-00"),"-","/"))</f>
        <v>1992/01/04</v>
      </c>
      <c r="K201" s="21" t="s">
        <v>837</v>
      </c>
      <c r="L201" s="21"/>
      <c r="M201" s="21" t="s">
        <v>52</v>
      </c>
      <c r="N201" s="22" t="s">
        <v>31</v>
      </c>
      <c r="O201" s="23" t="s">
        <v>182</v>
      </c>
      <c r="P201" s="31"/>
      <c r="Q201" s="25" t="s">
        <v>54</v>
      </c>
      <c r="R201" s="26" t="s">
        <v>87</v>
      </c>
      <c r="S201" s="25" t="s">
        <v>72</v>
      </c>
      <c r="T201" s="27" t="s">
        <v>65</v>
      </c>
      <c r="U201" s="22">
        <v>13500</v>
      </c>
      <c r="V201" s="28">
        <v>70.25</v>
      </c>
      <c r="W201" s="29">
        <v>31</v>
      </c>
      <c r="X201" s="29">
        <v>36</v>
      </c>
      <c r="Y201" s="30">
        <f>(表1[[#This Row],[能力素质]]*0.6+表1[[#This Row],[潜力评估]]*0.4)*2</f>
        <v>68</v>
      </c>
    </row>
    <row r="202" spans="1:25" x14ac:dyDescent="0.2">
      <c r="A202" s="11">
        <f t="shared" si="6"/>
        <v>200</v>
      </c>
      <c r="B202" s="12" t="s">
        <v>838</v>
      </c>
      <c r="C202" s="12" t="s">
        <v>839</v>
      </c>
      <c r="D202" s="13" t="s">
        <v>27</v>
      </c>
      <c r="E202" s="36" t="s">
        <v>840</v>
      </c>
      <c r="F202" s="15">
        <v>45170</v>
      </c>
      <c r="G202" s="16" t="s">
        <v>29</v>
      </c>
      <c r="H202" s="17">
        <f ca="1">IF(G202="","",IF(G202="离职",(DATEDIF(F202,#REF!,"y")*100+DATEDIF(F202,#REF!,"ym"))/100,(DATEDIF(F202,NOW(),"y")*100+DATEDIF(F202,NOW(),"ym"))/100))</f>
        <v>0.1</v>
      </c>
      <c r="I202" s="18">
        <f t="shared" ca="1" si="7"/>
        <v>35</v>
      </c>
      <c r="J202" s="19" t="str">
        <f>IF(表1[[#This Row],[证件号码]]="","",SUBSTITUTE(TEXT(--MID(表1[[#This Row],[证件号码]],7,8),"0000-00-00"),"-","/"))</f>
        <v>1989/05/28</v>
      </c>
      <c r="K202" s="21" t="s">
        <v>841</v>
      </c>
      <c r="L202" s="21"/>
      <c r="M202" s="21" t="s">
        <v>60</v>
      </c>
      <c r="N202" s="22" t="s">
        <v>42</v>
      </c>
      <c r="O202" s="23" t="s">
        <v>842</v>
      </c>
      <c r="P202" s="31"/>
      <c r="Q202" s="25" t="s">
        <v>54</v>
      </c>
      <c r="R202" s="26" t="s">
        <v>87</v>
      </c>
      <c r="S202" s="25" t="s">
        <v>453</v>
      </c>
      <c r="T202" s="27" t="s">
        <v>65</v>
      </c>
      <c r="U202" s="22">
        <v>20000</v>
      </c>
      <c r="V202" s="28">
        <v>29.5</v>
      </c>
      <c r="W202" s="29">
        <v>32</v>
      </c>
      <c r="X202" s="29">
        <v>46</v>
      </c>
      <c r="Y202" s="30">
        <f>(表1[[#This Row],[能力素质]]*0.6+表1[[#This Row],[潜力评估]]*0.4)*2</f>
        <v>80.8</v>
      </c>
    </row>
    <row r="203" spans="1:25" x14ac:dyDescent="0.2">
      <c r="A203" s="11">
        <f t="shared" si="6"/>
        <v>201</v>
      </c>
      <c r="B203" s="12" t="s">
        <v>843</v>
      </c>
      <c r="C203" s="12" t="s">
        <v>26</v>
      </c>
      <c r="D203" s="13" t="s">
        <v>27</v>
      </c>
      <c r="E203" s="36" t="s">
        <v>844</v>
      </c>
      <c r="F203" s="15">
        <v>45170</v>
      </c>
      <c r="G203" s="16" t="s">
        <v>29</v>
      </c>
      <c r="H203" s="17">
        <f ca="1">IF(G203="","",IF(G203="离职",(DATEDIF(F203,#REF!,"y")*100+DATEDIF(F203,#REF!,"ym"))/100,(DATEDIF(F203,NOW(),"y")*100+DATEDIF(F203,NOW(),"ym"))/100))</f>
        <v>0.1</v>
      </c>
      <c r="I203" s="18">
        <f t="shared" ca="1" si="7"/>
        <v>34</v>
      </c>
      <c r="J203" s="19" t="str">
        <f>IF(表1[[#This Row],[证件号码]]="","",SUBSTITUTE(TEXT(--MID(表1[[#This Row],[证件号码]],7,8),"0000-00-00"),"-","/"))</f>
        <v>1990/06/10</v>
      </c>
      <c r="K203" s="21" t="s">
        <v>462</v>
      </c>
      <c r="L203" s="21"/>
      <c r="M203" s="21" t="s">
        <v>52</v>
      </c>
      <c r="N203" s="22" t="s">
        <v>31</v>
      </c>
      <c r="O203" s="23" t="s">
        <v>845</v>
      </c>
      <c r="P203" s="31" t="s">
        <v>846</v>
      </c>
      <c r="Q203" s="25" t="s">
        <v>54</v>
      </c>
      <c r="R203" s="26" t="s">
        <v>192</v>
      </c>
      <c r="S203" s="25" t="s">
        <v>72</v>
      </c>
      <c r="T203" s="27" t="s">
        <v>65</v>
      </c>
      <c r="U203" s="22">
        <v>17000</v>
      </c>
      <c r="V203" s="28">
        <v>88.1</v>
      </c>
      <c r="W203" s="29">
        <v>29</v>
      </c>
      <c r="X203" s="29">
        <v>36</v>
      </c>
      <c r="Y203" s="30">
        <f>(表1[[#This Row],[能力素质]]*0.6+表1[[#This Row],[潜力评估]]*0.4)*2</f>
        <v>66.400000000000006</v>
      </c>
    </row>
    <row r="204" spans="1:25" x14ac:dyDescent="0.2">
      <c r="A204" s="11">
        <f t="shared" si="6"/>
        <v>202</v>
      </c>
      <c r="B204" s="12" t="s">
        <v>847</v>
      </c>
      <c r="C204" s="12" t="s">
        <v>83</v>
      </c>
      <c r="D204" s="13" t="s">
        <v>27</v>
      </c>
      <c r="E204" s="36" t="s">
        <v>848</v>
      </c>
      <c r="F204" s="15">
        <v>45187</v>
      </c>
      <c r="G204" s="16" t="s">
        <v>29</v>
      </c>
      <c r="H204" s="17">
        <f ca="1">IF(G204="","",IF(G204="离职",(DATEDIF(F204,#REF!,"y")*100+DATEDIF(F204,#REF!,"ym"))/100,(DATEDIF(F204,NOW(),"y")*100+DATEDIF(F204,NOW(),"ym"))/100))</f>
        <v>0.09</v>
      </c>
      <c r="I204" s="18">
        <f t="shared" ca="1" si="7"/>
        <v>38</v>
      </c>
      <c r="J204" s="19" t="str">
        <f>IF(表1[[#This Row],[证件号码]]="","",SUBSTITUTE(TEXT(--MID(表1[[#This Row],[证件号码]],7,8),"0000-00-00"),"-","/"))</f>
        <v>1986/09/03</v>
      </c>
      <c r="K204" s="21" t="s">
        <v>849</v>
      </c>
      <c r="L204" s="21"/>
      <c r="M204" s="21" t="s">
        <v>60</v>
      </c>
      <c r="N204" s="22" t="s">
        <v>42</v>
      </c>
      <c r="O204" s="23" t="s">
        <v>53</v>
      </c>
      <c r="P204" s="31"/>
      <c r="Q204" s="25" t="s">
        <v>54</v>
      </c>
      <c r="R204" s="26" t="s">
        <v>87</v>
      </c>
      <c r="S204" s="25" t="s">
        <v>72</v>
      </c>
      <c r="T204" s="27" t="s">
        <v>65</v>
      </c>
      <c r="U204" s="22">
        <v>18000</v>
      </c>
      <c r="V204" s="28">
        <v>28.5</v>
      </c>
      <c r="W204" s="29">
        <v>34</v>
      </c>
      <c r="X204" s="29">
        <v>44</v>
      </c>
      <c r="Y204" s="30">
        <f>(表1[[#This Row],[能力素质]]*0.6+表1[[#This Row],[潜力评估]]*0.4)*2</f>
        <v>80</v>
      </c>
    </row>
    <row r="205" spans="1:25" x14ac:dyDescent="0.2">
      <c r="A205" s="11">
        <f t="shared" si="6"/>
        <v>203</v>
      </c>
      <c r="B205" s="12" t="s">
        <v>850</v>
      </c>
      <c r="C205" s="12" t="s">
        <v>26</v>
      </c>
      <c r="D205" s="13" t="s">
        <v>27</v>
      </c>
      <c r="E205" s="36" t="s">
        <v>851</v>
      </c>
      <c r="F205" s="15">
        <v>45187</v>
      </c>
      <c r="G205" s="16" t="s">
        <v>29</v>
      </c>
      <c r="H205" s="17">
        <f ca="1">IF(G205="","",IF(G205="离职",(DATEDIF(F205,#REF!,"y")*100+DATEDIF(F205,#REF!,"ym"))/100,(DATEDIF(F205,NOW(),"y")*100+DATEDIF(F205,NOW(),"ym"))/100))</f>
        <v>0.09</v>
      </c>
      <c r="I205" s="18">
        <f t="shared" ca="1" si="7"/>
        <v>31</v>
      </c>
      <c r="J205" s="19" t="str">
        <f>IF(表1[[#This Row],[证件号码]]="","",SUBSTITUTE(TEXT(--MID(表1[[#This Row],[证件号码]],7,8),"0000-00-00"),"-","/"))</f>
        <v>1993/03/16</v>
      </c>
      <c r="K205" s="20" t="s">
        <v>315</v>
      </c>
      <c r="L205" s="21"/>
      <c r="M205" s="20" t="s">
        <v>42</v>
      </c>
      <c r="N205" s="22" t="s">
        <v>42</v>
      </c>
      <c r="O205" s="23" t="s">
        <v>160</v>
      </c>
      <c r="P205" s="31"/>
      <c r="Q205" s="25" t="s">
        <v>44</v>
      </c>
      <c r="R205" s="26" t="s">
        <v>206</v>
      </c>
      <c r="S205" s="25" t="s">
        <v>833</v>
      </c>
      <c r="T205" s="27" t="s">
        <v>65</v>
      </c>
      <c r="U205" s="22">
        <v>10000</v>
      </c>
      <c r="V205" s="28">
        <v>73.547570850202433</v>
      </c>
      <c r="W205" s="29">
        <v>28</v>
      </c>
      <c r="X205" s="29">
        <v>40</v>
      </c>
      <c r="Y205" s="30">
        <f>(表1[[#This Row],[能力素质]]*0.6+表1[[#This Row],[潜力评估]]*0.4)*2</f>
        <v>70.400000000000006</v>
      </c>
    </row>
    <row r="206" spans="1:25" x14ac:dyDescent="0.2">
      <c r="A206" s="11">
        <f t="shared" si="6"/>
        <v>204</v>
      </c>
      <c r="B206" s="12" t="s">
        <v>852</v>
      </c>
      <c r="C206" s="12" t="s">
        <v>26</v>
      </c>
      <c r="D206" s="13" t="s">
        <v>39</v>
      </c>
      <c r="E206" s="36" t="s">
        <v>853</v>
      </c>
      <c r="F206" s="15">
        <v>45187</v>
      </c>
      <c r="G206" s="16" t="s">
        <v>29</v>
      </c>
      <c r="H206" s="17">
        <f ca="1">IF(G206="","",IF(G206="离职",(DATEDIF(F206,#REF!,"y")*100+DATEDIF(F206,#REF!,"ym"))/100,(DATEDIF(F206,NOW(),"y")*100+DATEDIF(F206,NOW(),"ym"))/100))</f>
        <v>0.09</v>
      </c>
      <c r="I206" s="18">
        <f t="shared" ca="1" si="7"/>
        <v>27</v>
      </c>
      <c r="J206" s="19" t="str">
        <f>IF(表1[[#This Row],[证件号码]]="","",SUBSTITUTE(TEXT(--MID(表1[[#This Row],[证件号码]],7,8),"0000-00-00"),"-","/"))</f>
        <v>1997/07/06</v>
      </c>
      <c r="K206" s="21" t="s">
        <v>854</v>
      </c>
      <c r="L206" s="21"/>
      <c r="M206" s="21" t="s">
        <v>52</v>
      </c>
      <c r="N206" s="22" t="s">
        <v>31</v>
      </c>
      <c r="O206" s="23" t="s">
        <v>326</v>
      </c>
      <c r="P206" s="31"/>
      <c r="Q206" s="25" t="s">
        <v>54</v>
      </c>
      <c r="R206" s="26" t="s">
        <v>145</v>
      </c>
      <c r="S206" s="25" t="s">
        <v>146</v>
      </c>
      <c r="T206" s="27" t="s">
        <v>65</v>
      </c>
      <c r="U206" s="22">
        <v>4500</v>
      </c>
      <c r="V206" s="28">
        <v>91</v>
      </c>
      <c r="W206" s="29">
        <v>25</v>
      </c>
      <c r="X206" s="29">
        <v>44</v>
      </c>
      <c r="Y206" s="30">
        <f>(表1[[#This Row],[能力素质]]*0.6+表1[[#This Row],[潜力评估]]*0.4)*2</f>
        <v>72.8</v>
      </c>
    </row>
    <row r="207" spans="1:25" x14ac:dyDescent="0.2">
      <c r="A207" s="11">
        <f t="shared" si="6"/>
        <v>205</v>
      </c>
      <c r="B207" s="12" t="s">
        <v>855</v>
      </c>
      <c r="C207" s="12" t="s">
        <v>110</v>
      </c>
      <c r="D207" s="13" t="s">
        <v>27</v>
      </c>
      <c r="E207" s="36" t="s">
        <v>856</v>
      </c>
      <c r="F207" s="15">
        <v>45206</v>
      </c>
      <c r="G207" s="16" t="s">
        <v>29</v>
      </c>
      <c r="H207" s="17">
        <f ca="1">IF(G207="","",IF(G207="离职",(DATEDIF(F207,#REF!,"y")*100+DATEDIF(F207,#REF!,"ym"))/100,(DATEDIF(F207,NOW(),"y")*100+DATEDIF(F207,NOW(),"ym"))/100))</f>
        <v>0.08</v>
      </c>
      <c r="I207" s="18">
        <f t="shared" ca="1" si="7"/>
        <v>38</v>
      </c>
      <c r="J207" s="19" t="str">
        <f>IF(表1[[#This Row],[证件号码]]="","",SUBSTITUTE(TEXT(--MID(表1[[#This Row],[证件号码]],7,8),"0000-00-00"),"-","/"))</f>
        <v>1986/01/24</v>
      </c>
      <c r="K207" s="21" t="s">
        <v>857</v>
      </c>
      <c r="L207" s="21"/>
      <c r="M207" s="21" t="s">
        <v>52</v>
      </c>
      <c r="N207" s="22" t="s">
        <v>42</v>
      </c>
      <c r="O207" s="23" t="s">
        <v>182</v>
      </c>
      <c r="P207" s="31"/>
      <c r="Q207" s="25" t="s">
        <v>54</v>
      </c>
      <c r="R207" s="26" t="s">
        <v>192</v>
      </c>
      <c r="S207" s="25" t="s">
        <v>72</v>
      </c>
      <c r="T207" s="27" t="s">
        <v>65</v>
      </c>
      <c r="U207" s="22">
        <v>17000</v>
      </c>
      <c r="V207" s="28">
        <v>30</v>
      </c>
      <c r="W207" s="29">
        <v>24</v>
      </c>
      <c r="X207" s="29">
        <v>38</v>
      </c>
      <c r="Y207" s="30">
        <f>(表1[[#This Row],[能力素质]]*0.6+表1[[#This Row],[潜力评估]]*0.4)*2</f>
        <v>64.800000000000011</v>
      </c>
    </row>
    <row r="208" spans="1:25" x14ac:dyDescent="0.2">
      <c r="A208" s="11">
        <f t="shared" si="6"/>
        <v>206</v>
      </c>
      <c r="B208" s="12" t="s">
        <v>858</v>
      </c>
      <c r="C208" s="12" t="s">
        <v>26</v>
      </c>
      <c r="D208" s="13" t="s">
        <v>27</v>
      </c>
      <c r="E208" s="36" t="s">
        <v>859</v>
      </c>
      <c r="F208" s="15">
        <v>45215</v>
      </c>
      <c r="G208" s="16" t="s">
        <v>29</v>
      </c>
      <c r="H208" s="17">
        <f ca="1">IF(G208="","",IF(G208="离职",(DATEDIF(F208,#REF!,"y")*100+DATEDIF(F208,#REF!,"ym"))/100,(DATEDIF(F208,NOW(),"y")*100+DATEDIF(F208,NOW(),"ym"))/100))</f>
        <v>0.08</v>
      </c>
      <c r="I208" s="18">
        <f t="shared" ca="1" si="7"/>
        <v>25</v>
      </c>
      <c r="J208" s="19" t="str">
        <f>IF(表1[[#This Row],[证件号码]]="","",SUBSTITUTE(TEXT(--MID(表1[[#This Row],[证件号码]],7,8),"0000-00-00"),"-","/"))</f>
        <v>1999/08/28</v>
      </c>
      <c r="K208" s="20" t="s">
        <v>860</v>
      </c>
      <c r="L208" s="21"/>
      <c r="M208" s="20" t="s">
        <v>31</v>
      </c>
      <c r="N208" s="22" t="s">
        <v>31</v>
      </c>
      <c r="O208" s="23" t="s">
        <v>244</v>
      </c>
      <c r="P208" s="31" t="s">
        <v>861</v>
      </c>
      <c r="Q208" s="25" t="s">
        <v>34</v>
      </c>
      <c r="R208" s="26" t="s">
        <v>99</v>
      </c>
      <c r="S208" s="25" t="s">
        <v>221</v>
      </c>
      <c r="T208" s="27" t="s">
        <v>65</v>
      </c>
      <c r="U208" s="22">
        <v>6500</v>
      </c>
      <c r="V208" s="28">
        <v>68.778947368421058</v>
      </c>
      <c r="W208" s="29">
        <v>31</v>
      </c>
      <c r="X208" s="29">
        <v>40</v>
      </c>
      <c r="Y208" s="30">
        <f>(表1[[#This Row],[能力素质]]*0.6+表1[[#This Row],[潜力评估]]*0.4)*2</f>
        <v>72.8</v>
      </c>
    </row>
    <row r="209" spans="1:25" x14ac:dyDescent="0.2">
      <c r="A209" s="11">
        <f t="shared" si="6"/>
        <v>207</v>
      </c>
      <c r="B209" s="12" t="s">
        <v>862</v>
      </c>
      <c r="C209" s="12" t="s">
        <v>26</v>
      </c>
      <c r="D209" s="13" t="s">
        <v>27</v>
      </c>
      <c r="E209" s="36" t="s">
        <v>863</v>
      </c>
      <c r="F209" s="15">
        <v>45229</v>
      </c>
      <c r="G209" s="16" t="s">
        <v>29</v>
      </c>
      <c r="H209" s="17">
        <f ca="1">IF(G209="","",IF(G209="离职",(DATEDIF(F209,#REF!,"y")*100+DATEDIF(F209,#REF!,"ym"))/100,(DATEDIF(F209,NOW(),"y")*100+DATEDIF(F209,NOW(),"ym"))/100))</f>
        <v>0.08</v>
      </c>
      <c r="I209" s="18">
        <f t="shared" ca="1" si="7"/>
        <v>26</v>
      </c>
      <c r="J209" s="19" t="str">
        <f>IF(表1[[#This Row],[证件号码]]="","",SUBSTITUTE(TEXT(--MID(表1[[#This Row],[证件号码]],7,8),"0000-00-00"),"-","/"))</f>
        <v>1998/10/20</v>
      </c>
      <c r="K209" s="20" t="s">
        <v>832</v>
      </c>
      <c r="L209" s="21"/>
      <c r="M209" s="20" t="s">
        <v>42</v>
      </c>
      <c r="N209" s="22" t="s">
        <v>42</v>
      </c>
      <c r="O209" s="23" t="s">
        <v>864</v>
      </c>
      <c r="P209" s="31"/>
      <c r="Q209" s="25" t="s">
        <v>34</v>
      </c>
      <c r="R209" s="26" t="s">
        <v>99</v>
      </c>
      <c r="S209" s="25" t="s">
        <v>865</v>
      </c>
      <c r="T209" s="27" t="s">
        <v>65</v>
      </c>
      <c r="U209" s="22">
        <v>6000</v>
      </c>
      <c r="V209" s="28">
        <v>69.5</v>
      </c>
      <c r="W209" s="29">
        <v>26</v>
      </c>
      <c r="X209" s="29">
        <v>36</v>
      </c>
      <c r="Y209" s="30">
        <f>(表1[[#This Row],[能力素质]]*0.6+表1[[#This Row],[潜力评估]]*0.4)*2</f>
        <v>64</v>
      </c>
    </row>
    <row r="210" spans="1:25" x14ac:dyDescent="0.2">
      <c r="A210" s="11">
        <f t="shared" si="6"/>
        <v>208</v>
      </c>
      <c r="B210" s="12" t="s">
        <v>866</v>
      </c>
      <c r="C210" s="12" t="s">
        <v>26</v>
      </c>
      <c r="D210" s="13" t="s">
        <v>39</v>
      </c>
      <c r="E210" s="36" t="s">
        <v>867</v>
      </c>
      <c r="F210" s="15">
        <v>45243</v>
      </c>
      <c r="G210" s="16" t="s">
        <v>29</v>
      </c>
      <c r="H210" s="17">
        <f ca="1">IF(G210="","",IF(G210="离职",(DATEDIF(F210,#REF!,"y")*100+DATEDIF(F210,#REF!,"ym"))/100,(DATEDIF(F210,NOW(),"y")*100+DATEDIF(F210,NOW(),"ym"))/100))</f>
        <v>7.0000000000000007E-2</v>
      </c>
      <c r="I210" s="18">
        <f t="shared" ca="1" si="7"/>
        <v>24</v>
      </c>
      <c r="J210" s="19" t="str">
        <f>IF(表1[[#This Row],[证件号码]]="","",SUBSTITUTE(TEXT(--MID(表1[[#This Row],[证件号码]],7,8),"0000-00-00"),"-","/"))</f>
        <v>2000/10/30</v>
      </c>
      <c r="K210" s="21" t="s">
        <v>868</v>
      </c>
      <c r="L210" s="21"/>
      <c r="M210" s="21" t="s">
        <v>52</v>
      </c>
      <c r="N210" s="22" t="s">
        <v>31</v>
      </c>
      <c r="O210" s="23" t="s">
        <v>244</v>
      </c>
      <c r="P210" s="31"/>
      <c r="Q210" s="25" t="s">
        <v>54</v>
      </c>
      <c r="R210" s="26" t="s">
        <v>145</v>
      </c>
      <c r="S210" s="25" t="s">
        <v>146</v>
      </c>
      <c r="T210" s="27" t="s">
        <v>65</v>
      </c>
      <c r="U210" s="22">
        <v>4500</v>
      </c>
      <c r="V210" s="28">
        <v>30</v>
      </c>
      <c r="W210" s="29">
        <v>26</v>
      </c>
      <c r="X210" s="29">
        <v>44</v>
      </c>
      <c r="Y210" s="30">
        <f>(表1[[#This Row],[能力素质]]*0.6+表1[[#This Row],[潜力评估]]*0.4)*2</f>
        <v>73.599999999999994</v>
      </c>
    </row>
    <row r="211" spans="1:25" x14ac:dyDescent="0.2">
      <c r="A211" s="11">
        <f t="shared" si="6"/>
        <v>209</v>
      </c>
      <c r="B211" s="12" t="s">
        <v>869</v>
      </c>
      <c r="C211" s="12" t="s">
        <v>49</v>
      </c>
      <c r="D211" s="13" t="s">
        <v>27</v>
      </c>
      <c r="E211" s="36" t="s">
        <v>870</v>
      </c>
      <c r="F211" s="15">
        <v>45250</v>
      </c>
      <c r="G211" s="16" t="s">
        <v>29</v>
      </c>
      <c r="H211" s="17">
        <f ca="1">IF(G211="","",IF(G211="离职",(DATEDIF(F211,#REF!,"y")*100+DATEDIF(F211,#REF!,"ym"))/100,(DATEDIF(F211,NOW(),"y")*100+DATEDIF(F211,NOW(),"ym"))/100))</f>
        <v>7.0000000000000007E-2</v>
      </c>
      <c r="I211" s="18">
        <f t="shared" ca="1" si="7"/>
        <v>30</v>
      </c>
      <c r="J211" s="19" t="str">
        <f>IF(表1[[#This Row],[证件号码]]="","",SUBSTITUTE(TEXT(--MID(表1[[#This Row],[证件号码]],7,8),"0000-00-00"),"-","/"))</f>
        <v>1994/10/27</v>
      </c>
      <c r="K211" s="21" t="s">
        <v>871</v>
      </c>
      <c r="L211" s="21"/>
      <c r="M211" s="21" t="s">
        <v>60</v>
      </c>
      <c r="N211" s="22" t="s">
        <v>42</v>
      </c>
      <c r="O211" s="23" t="s">
        <v>616</v>
      </c>
      <c r="P211" s="31"/>
      <c r="Q211" s="25" t="s">
        <v>54</v>
      </c>
      <c r="R211" s="26" t="s">
        <v>541</v>
      </c>
      <c r="S211" s="25" t="s">
        <v>344</v>
      </c>
      <c r="T211" s="27" t="s">
        <v>65</v>
      </c>
      <c r="U211" s="22">
        <v>15000</v>
      </c>
      <c r="V211" s="28">
        <v>30</v>
      </c>
      <c r="W211" s="29">
        <v>27</v>
      </c>
      <c r="X211" s="29">
        <v>40</v>
      </c>
      <c r="Y211" s="30">
        <f>(表1[[#This Row],[能力素质]]*0.6+表1[[#This Row],[潜力评估]]*0.4)*2</f>
        <v>69.599999999999994</v>
      </c>
    </row>
    <row r="212" spans="1:25" x14ac:dyDescent="0.2">
      <c r="A212" s="11">
        <f t="shared" si="6"/>
        <v>210</v>
      </c>
      <c r="B212" s="12" t="s">
        <v>872</v>
      </c>
      <c r="C212" s="12" t="s">
        <v>26</v>
      </c>
      <c r="D212" s="13" t="s">
        <v>27</v>
      </c>
      <c r="E212" s="36" t="s">
        <v>873</v>
      </c>
      <c r="F212" s="15">
        <v>45252</v>
      </c>
      <c r="G212" s="16" t="s">
        <v>29</v>
      </c>
      <c r="H212" s="17">
        <f ca="1">IF(G212="","",IF(G212="离职",(DATEDIF(F212,#REF!,"y")*100+DATEDIF(F212,#REF!,"ym"))/100,(DATEDIF(F212,NOW(),"y")*100+DATEDIF(F212,NOW(),"ym"))/100))</f>
        <v>7.0000000000000007E-2</v>
      </c>
      <c r="I212" s="18">
        <f t="shared" ca="1" si="7"/>
        <v>24</v>
      </c>
      <c r="J212" s="19" t="str">
        <f>IF(表1[[#This Row],[证件号码]]="","",SUBSTITUTE(TEXT(--MID(表1[[#This Row],[证件号码]],7,8),"0000-00-00"),"-","/"))</f>
        <v>2000/01/22</v>
      </c>
      <c r="K212" s="21" t="s">
        <v>874</v>
      </c>
      <c r="L212" s="21"/>
      <c r="M212" s="21" t="s">
        <v>60</v>
      </c>
      <c r="N212" s="22" t="s">
        <v>42</v>
      </c>
      <c r="O212" s="23" t="s">
        <v>133</v>
      </c>
      <c r="P212" s="31"/>
      <c r="Q212" s="25" t="s">
        <v>54</v>
      </c>
      <c r="R212" s="26" t="s">
        <v>541</v>
      </c>
      <c r="S212" s="25" t="s">
        <v>875</v>
      </c>
      <c r="T212" s="27" t="s">
        <v>65</v>
      </c>
      <c r="U212" s="22">
        <v>8000</v>
      </c>
      <c r="V212" s="28">
        <v>30</v>
      </c>
      <c r="W212" s="29">
        <v>30</v>
      </c>
      <c r="X212" s="29">
        <v>40</v>
      </c>
      <c r="Y212" s="30">
        <f>(表1[[#This Row],[能力素质]]*0.6+表1[[#This Row],[潜力评估]]*0.4)*2</f>
        <v>72</v>
      </c>
    </row>
    <row r="213" spans="1:25" x14ac:dyDescent="0.2">
      <c r="A213" s="11">
        <f t="shared" si="6"/>
        <v>211</v>
      </c>
      <c r="B213" s="12" t="s">
        <v>876</v>
      </c>
      <c r="C213" s="12" t="s">
        <v>26</v>
      </c>
      <c r="D213" s="13" t="s">
        <v>27</v>
      </c>
      <c r="E213" s="36" t="s">
        <v>877</v>
      </c>
      <c r="F213" s="15">
        <v>45293</v>
      </c>
      <c r="G213" s="16" t="s">
        <v>29</v>
      </c>
      <c r="H213" s="17">
        <f ca="1">IF(G213="","",IF(G213="离职",(DATEDIF(F213,#REF!,"y")*100+DATEDIF(F213,#REF!,"ym"))/100,(DATEDIF(F213,NOW(),"y")*100+DATEDIF(F213,NOW(),"ym"))/100))</f>
        <v>0.06</v>
      </c>
      <c r="I213" s="18">
        <f t="shared" ca="1" si="7"/>
        <v>31</v>
      </c>
      <c r="J213" s="19" t="str">
        <f>IF(表1[[#This Row],[证件号码]]="","",SUBSTITUTE(TEXT(--MID(表1[[#This Row],[证件号码]],7,8),"0000-00-00"),"-","/"))</f>
        <v>1993/10/25</v>
      </c>
      <c r="K213" s="20" t="s">
        <v>187</v>
      </c>
      <c r="L213" s="21"/>
      <c r="M213" s="20" t="s">
        <v>31</v>
      </c>
      <c r="N213" s="22" t="s">
        <v>31</v>
      </c>
      <c r="O213" s="23" t="s">
        <v>504</v>
      </c>
      <c r="P213" s="31"/>
      <c r="Q213" s="25" t="s">
        <v>44</v>
      </c>
      <c r="R213" s="26" t="s">
        <v>45</v>
      </c>
      <c r="S213" s="25" t="s">
        <v>300</v>
      </c>
      <c r="T213" s="27" t="s">
        <v>65</v>
      </c>
      <c r="U213" s="22">
        <v>10000</v>
      </c>
      <c r="V213" s="28" t="s">
        <v>263</v>
      </c>
      <c r="W213" s="29">
        <v>30</v>
      </c>
      <c r="X213" s="29">
        <v>40</v>
      </c>
      <c r="Y213" s="30">
        <f>(表1[[#This Row],[能力素质]]*0.6+表1[[#This Row],[潜力评估]]*0.4)*2</f>
        <v>72</v>
      </c>
    </row>
    <row r="214" spans="1:25" x14ac:dyDescent="0.2">
      <c r="A214" s="11">
        <f t="shared" si="6"/>
        <v>212</v>
      </c>
      <c r="B214" s="12" t="s">
        <v>878</v>
      </c>
      <c r="C214" s="12" t="s">
        <v>83</v>
      </c>
      <c r="D214" s="13" t="s">
        <v>27</v>
      </c>
      <c r="E214" s="36" t="s">
        <v>879</v>
      </c>
      <c r="F214" s="15">
        <v>45352</v>
      </c>
      <c r="G214" s="16" t="s">
        <v>29</v>
      </c>
      <c r="H214" s="17">
        <f ca="1">IF(G214="","",IF(G214="离职",(DATEDIF(F214,#REF!,"y")*100+DATEDIF(F214,#REF!,"ym"))/100,(DATEDIF(F214,NOW(),"y")*100+DATEDIF(F214,NOW(),"ym"))/100))</f>
        <v>0.04</v>
      </c>
      <c r="I214" s="18">
        <f t="shared" ca="1" si="7"/>
        <v>25</v>
      </c>
      <c r="J214" s="19" t="str">
        <f>IF(表1[[#This Row],[证件号码]]="","",SUBSTITUTE(TEXT(--MID(表1[[#This Row],[证件号码]],7,8),"0000-00-00"),"-","/"))</f>
        <v>1999/10/25</v>
      </c>
      <c r="K214" s="20" t="s">
        <v>880</v>
      </c>
      <c r="L214" s="21"/>
      <c r="M214" s="20" t="s">
        <v>42</v>
      </c>
      <c r="N214" s="22" t="s">
        <v>42</v>
      </c>
      <c r="O214" s="23" t="s">
        <v>43</v>
      </c>
      <c r="P214" s="31"/>
      <c r="Q214" s="25" t="s">
        <v>34</v>
      </c>
      <c r="R214" s="26" t="s">
        <v>115</v>
      </c>
      <c r="S214" s="25" t="s">
        <v>178</v>
      </c>
      <c r="T214" s="27" t="s">
        <v>65</v>
      </c>
      <c r="U214" s="22">
        <v>6500</v>
      </c>
      <c r="V214" s="28" t="s">
        <v>263</v>
      </c>
      <c r="W214" s="29">
        <v>30</v>
      </c>
      <c r="X214" s="29">
        <v>44</v>
      </c>
      <c r="Y214" s="30">
        <f>(表1[[#This Row],[能力素质]]*0.6+表1[[#This Row],[潜力评估]]*0.4)*2</f>
        <v>76.8</v>
      </c>
    </row>
    <row r="215" spans="1:25" x14ac:dyDescent="0.2">
      <c r="A215" s="11">
        <f t="shared" si="6"/>
        <v>213</v>
      </c>
      <c r="B215" s="12" t="s">
        <v>881</v>
      </c>
      <c r="C215" s="12" t="s">
        <v>26</v>
      </c>
      <c r="D215" s="13" t="s">
        <v>39</v>
      </c>
      <c r="E215" s="36" t="s">
        <v>882</v>
      </c>
      <c r="F215" s="15">
        <v>45348</v>
      </c>
      <c r="G215" s="16" t="s">
        <v>29</v>
      </c>
      <c r="H215" s="17">
        <f ca="1">IF(G215="","",IF(G215="离职",(DATEDIF(F215,#REF!,"y")*100+DATEDIF(F215,#REF!,"ym"))/100,(DATEDIF(F215,NOW(),"y")*100+DATEDIF(F215,NOW(),"ym"))/100))</f>
        <v>0.04</v>
      </c>
      <c r="I215" s="18">
        <f t="shared" ca="1" si="7"/>
        <v>25</v>
      </c>
      <c r="J215" s="19" t="str">
        <f>IF(表1[[#This Row],[证件号码]]="","",SUBSTITUTE(TEXT(--MID(表1[[#This Row],[证件号码]],7,8),"0000-00-00"),"-","/"))</f>
        <v>1999/05/07</v>
      </c>
      <c r="K215" s="20" t="s">
        <v>374</v>
      </c>
      <c r="L215" s="21"/>
      <c r="M215" s="20" t="s">
        <v>31</v>
      </c>
      <c r="N215" s="22" t="s">
        <v>31</v>
      </c>
      <c r="O215" s="23" t="s">
        <v>883</v>
      </c>
      <c r="P215" s="31"/>
      <c r="Q215" s="25" t="s">
        <v>34</v>
      </c>
      <c r="R215" s="26" t="s">
        <v>99</v>
      </c>
      <c r="S215" s="25" t="s">
        <v>221</v>
      </c>
      <c r="T215" s="27" t="s">
        <v>65</v>
      </c>
      <c r="U215" s="22">
        <v>6000</v>
      </c>
      <c r="V215" s="28" t="s">
        <v>263</v>
      </c>
      <c r="W215" s="29">
        <v>29</v>
      </c>
      <c r="X215" s="29">
        <v>38</v>
      </c>
      <c r="Y215" s="30">
        <f>(表1[[#This Row],[能力素质]]*0.6+表1[[#This Row],[潜力评估]]*0.4)*2</f>
        <v>68.800000000000011</v>
      </c>
    </row>
    <row r="216" spans="1:25" x14ac:dyDescent="0.2">
      <c r="A216" s="11">
        <f t="shared" si="6"/>
        <v>214</v>
      </c>
      <c r="B216" s="12" t="s">
        <v>884</v>
      </c>
      <c r="C216" s="12" t="s">
        <v>885</v>
      </c>
      <c r="D216" s="13" t="s">
        <v>27</v>
      </c>
      <c r="E216" s="36" t="s">
        <v>886</v>
      </c>
      <c r="F216" s="15">
        <v>45348</v>
      </c>
      <c r="G216" s="16" t="s">
        <v>29</v>
      </c>
      <c r="H216" s="17">
        <f ca="1">IF(G216="","",IF(G216="离职",(DATEDIF(F216,#REF!,"y")*100+DATEDIF(F216,#REF!,"ym"))/100,(DATEDIF(F216,NOW(),"y")*100+DATEDIF(F216,NOW(),"ym"))/100))</f>
        <v>0.04</v>
      </c>
      <c r="I216" s="18">
        <f t="shared" ca="1" si="7"/>
        <v>30</v>
      </c>
      <c r="J216" s="19" t="str">
        <f>IF(表1[[#This Row],[证件号码]]="","",SUBSTITUTE(TEXT(--MID(表1[[#This Row],[证件号码]],7,8),"0000-00-00"),"-","/"))</f>
        <v>1994/10/27</v>
      </c>
      <c r="K216" s="21" t="s">
        <v>887</v>
      </c>
      <c r="L216" s="21"/>
      <c r="M216" s="21" t="s">
        <v>60</v>
      </c>
      <c r="N216" s="22" t="s">
        <v>42</v>
      </c>
      <c r="O216" s="23" t="s">
        <v>133</v>
      </c>
      <c r="P216" s="31"/>
      <c r="Q216" s="25" t="s">
        <v>54</v>
      </c>
      <c r="R216" s="26" t="s">
        <v>748</v>
      </c>
      <c r="S216" s="25" t="s">
        <v>888</v>
      </c>
      <c r="T216" s="27" t="s">
        <v>65</v>
      </c>
      <c r="U216" s="22">
        <v>15000</v>
      </c>
      <c r="V216" s="28" t="s">
        <v>263</v>
      </c>
      <c r="W216" s="29">
        <v>34</v>
      </c>
      <c r="X216" s="29">
        <v>42</v>
      </c>
      <c r="Y216" s="30">
        <f>(表1[[#This Row],[能力素质]]*0.6+表1[[#This Row],[潜力评估]]*0.4)*2</f>
        <v>77.599999999999994</v>
      </c>
    </row>
    <row r="217" spans="1:25" x14ac:dyDescent="0.2">
      <c r="A217" s="11">
        <f t="shared" si="6"/>
        <v>215</v>
      </c>
      <c r="B217" s="12" t="s">
        <v>889</v>
      </c>
      <c r="C217" s="12" t="s">
        <v>693</v>
      </c>
      <c r="D217" s="13" t="s">
        <v>27</v>
      </c>
      <c r="E217" s="36" t="s">
        <v>890</v>
      </c>
      <c r="F217" s="15">
        <v>45348</v>
      </c>
      <c r="G217" s="16" t="s">
        <v>29</v>
      </c>
      <c r="H217" s="17">
        <f ca="1">IF(G217="","",IF(G217="离职",(DATEDIF(F217,#REF!,"y")*100+DATEDIF(F217,#REF!,"ym"))/100,(DATEDIF(F217,NOW(),"y")*100+DATEDIF(F217,NOW(),"ym"))/100))</f>
        <v>0.04</v>
      </c>
      <c r="I217" s="18">
        <f t="shared" ca="1" si="7"/>
        <v>31</v>
      </c>
      <c r="J217" s="19" t="str">
        <f>IF(表1[[#This Row],[证件号码]]="","",SUBSTITUTE(TEXT(--MID(表1[[#This Row],[证件号码]],7,8),"0000-00-00"),"-","/"))</f>
        <v>1993/03/07</v>
      </c>
      <c r="K217" s="21" t="s">
        <v>891</v>
      </c>
      <c r="L217" s="21"/>
      <c r="M217" s="21" t="s">
        <v>52</v>
      </c>
      <c r="N217" s="22" t="s">
        <v>31</v>
      </c>
      <c r="O217" s="23" t="s">
        <v>892</v>
      </c>
      <c r="P217" s="31"/>
      <c r="Q217" s="25" t="s">
        <v>54</v>
      </c>
      <c r="R217" s="26" t="s">
        <v>748</v>
      </c>
      <c r="S217" s="25" t="s">
        <v>888</v>
      </c>
      <c r="T217" s="27" t="s">
        <v>65</v>
      </c>
      <c r="U217" s="22">
        <v>15000</v>
      </c>
      <c r="V217" s="28" t="s">
        <v>263</v>
      </c>
      <c r="W217" s="29">
        <v>29</v>
      </c>
      <c r="X217" s="29">
        <v>40</v>
      </c>
      <c r="Y217" s="30">
        <f>(表1[[#This Row],[能力素质]]*0.6+表1[[#This Row],[潜力评估]]*0.4)*2</f>
        <v>71.2</v>
      </c>
    </row>
    <row r="218" spans="1:25" x14ac:dyDescent="0.2">
      <c r="A218" s="11">
        <f t="shared" si="6"/>
        <v>216</v>
      </c>
      <c r="B218" s="12" t="s">
        <v>893</v>
      </c>
      <c r="C218" s="12" t="s">
        <v>26</v>
      </c>
      <c r="D218" s="13" t="s">
        <v>39</v>
      </c>
      <c r="E218" s="36" t="s">
        <v>894</v>
      </c>
      <c r="F218" s="15">
        <v>45369</v>
      </c>
      <c r="G218" s="16" t="s">
        <v>29</v>
      </c>
      <c r="H218" s="17">
        <f ca="1">IF(G218="","",IF(G218="离职",(DATEDIF(F218,#REF!,"y")*100+DATEDIF(F218,#REF!,"ym"))/100,(DATEDIF(F218,NOW(),"y")*100+DATEDIF(F218,NOW(),"ym"))/100))</f>
        <v>0.03</v>
      </c>
      <c r="I218" s="18">
        <f t="shared" ca="1" si="7"/>
        <v>26</v>
      </c>
      <c r="J218" s="19" t="str">
        <f>IF(表1[[#This Row],[证件号码]]="","",SUBSTITUTE(TEXT(--MID(表1[[#This Row],[证件号码]],7,8),"0000-00-00"),"-","/"))</f>
        <v>1998/05/23</v>
      </c>
      <c r="K218" s="20" t="s">
        <v>187</v>
      </c>
      <c r="L218" s="21"/>
      <c r="M218" s="20" t="s">
        <v>31</v>
      </c>
      <c r="N218" s="22" t="s">
        <v>31</v>
      </c>
      <c r="O218" s="23" t="s">
        <v>43</v>
      </c>
      <c r="P218" s="31"/>
      <c r="Q218" s="25" t="s">
        <v>34</v>
      </c>
      <c r="R218" s="26" t="s">
        <v>99</v>
      </c>
      <c r="S218" s="25" t="s">
        <v>221</v>
      </c>
      <c r="T218" s="27" t="s">
        <v>65</v>
      </c>
      <c r="U218" s="22">
        <v>7000</v>
      </c>
      <c r="V218" s="28" t="s">
        <v>263</v>
      </c>
      <c r="W218" s="29">
        <v>23</v>
      </c>
      <c r="X218" s="29">
        <v>36</v>
      </c>
      <c r="Y218" s="30">
        <f>(表1[[#This Row],[能力素质]]*0.6+表1[[#This Row],[潜力评估]]*0.4)*2</f>
        <v>61.599999999999994</v>
      </c>
    </row>
    <row r="219" spans="1:25" x14ac:dyDescent="0.2">
      <c r="A219" s="11">
        <f t="shared" si="6"/>
        <v>217</v>
      </c>
      <c r="B219" s="12" t="s">
        <v>895</v>
      </c>
      <c r="C219" s="12" t="s">
        <v>26</v>
      </c>
      <c r="D219" s="13" t="s">
        <v>27</v>
      </c>
      <c r="E219" s="36" t="s">
        <v>896</v>
      </c>
      <c r="F219" s="15">
        <v>45369</v>
      </c>
      <c r="G219" s="16" t="s">
        <v>29</v>
      </c>
      <c r="H219" s="17">
        <f ca="1">IF(G219="","",IF(G219="离职",(DATEDIF(F219,#REF!,"y")*100+DATEDIF(F219,#REF!,"ym"))/100,(DATEDIF(F219,NOW(),"y")*100+DATEDIF(F219,NOW(),"ym"))/100))</f>
        <v>0.03</v>
      </c>
      <c r="I219" s="18">
        <f t="shared" ca="1" si="7"/>
        <v>22</v>
      </c>
      <c r="J219" s="19" t="str">
        <f>IF(表1[[#This Row],[证件号码]]="","",SUBSTITUTE(TEXT(--MID(表1[[#This Row],[证件号码]],7,8),"0000-00-00"),"-","/"))</f>
        <v>2002/08/07</v>
      </c>
      <c r="K219" s="20" t="s">
        <v>272</v>
      </c>
      <c r="L219" s="21"/>
      <c r="M219" s="20" t="s">
        <v>42</v>
      </c>
      <c r="N219" s="22" t="s">
        <v>42</v>
      </c>
      <c r="O219" s="23" t="s">
        <v>316</v>
      </c>
      <c r="P219" s="31"/>
      <c r="Q219" s="25" t="s">
        <v>34</v>
      </c>
      <c r="R219" s="26" t="s">
        <v>99</v>
      </c>
      <c r="S219" s="25" t="s">
        <v>221</v>
      </c>
      <c r="T219" s="27" t="s">
        <v>65</v>
      </c>
      <c r="U219" s="22">
        <v>5000</v>
      </c>
      <c r="V219" s="28" t="s">
        <v>263</v>
      </c>
      <c r="W219" s="29">
        <v>24</v>
      </c>
      <c r="X219" s="29">
        <v>36</v>
      </c>
      <c r="Y219" s="30">
        <f>(表1[[#This Row],[能力素质]]*0.6+表1[[#This Row],[潜力评估]]*0.4)*2</f>
        <v>62.4</v>
      </c>
    </row>
    <row r="220" spans="1:25" ht="63" x14ac:dyDescent="0.2">
      <c r="A220" s="11">
        <f t="shared" si="6"/>
        <v>218</v>
      </c>
      <c r="B220" s="12" t="s">
        <v>897</v>
      </c>
      <c r="C220" s="12" t="s">
        <v>693</v>
      </c>
      <c r="D220" s="13" t="s">
        <v>27</v>
      </c>
      <c r="E220" s="36" t="s">
        <v>898</v>
      </c>
      <c r="F220" s="15">
        <v>45355</v>
      </c>
      <c r="G220" s="16" t="s">
        <v>29</v>
      </c>
      <c r="H220" s="17">
        <f ca="1">IF(G220="","",IF(G220="离职",(DATEDIF(F220,#REF!,"y")*100+DATEDIF(F220,#REF!,"ym"))/100,(DATEDIF(F220,NOW(),"y")*100+DATEDIF(F220,NOW(),"ym"))/100))</f>
        <v>0.04</v>
      </c>
      <c r="I220" s="18">
        <f t="shared" ca="1" si="7"/>
        <v>34</v>
      </c>
      <c r="J220" s="19" t="str">
        <f>IF(表1[[#This Row],[证件号码]]="","",SUBSTITUTE(TEXT(--MID(表1[[#This Row],[证件号码]],7,8),"0000-00-00"),"-","/"))</f>
        <v>1990/08/17</v>
      </c>
      <c r="K220" s="20" t="s">
        <v>899</v>
      </c>
      <c r="L220" s="21"/>
      <c r="M220" s="20" t="s">
        <v>31</v>
      </c>
      <c r="N220" s="22" t="s">
        <v>31</v>
      </c>
      <c r="O220" s="23" t="s">
        <v>120</v>
      </c>
      <c r="P220" s="24" t="s">
        <v>900</v>
      </c>
      <c r="Q220" s="25" t="s">
        <v>34</v>
      </c>
      <c r="R220" s="26" t="s">
        <v>93</v>
      </c>
      <c r="S220" s="25" t="s">
        <v>94</v>
      </c>
      <c r="T220" s="27" t="s">
        <v>65</v>
      </c>
      <c r="U220" s="22">
        <v>16000</v>
      </c>
      <c r="V220" s="28" t="s">
        <v>263</v>
      </c>
      <c r="W220" s="29">
        <v>34</v>
      </c>
      <c r="X220" s="29">
        <v>40</v>
      </c>
      <c r="Y220" s="30">
        <f>(表1[[#This Row],[能力素质]]*0.6+表1[[#This Row],[潜力评估]]*0.4)*2</f>
        <v>75.2</v>
      </c>
    </row>
    <row r="221" spans="1:25" x14ac:dyDescent="0.2">
      <c r="A221" s="11">
        <f t="shared" si="6"/>
        <v>219</v>
      </c>
      <c r="B221" s="12" t="s">
        <v>901</v>
      </c>
      <c r="C221" s="12" t="s">
        <v>49</v>
      </c>
      <c r="D221" s="13" t="s">
        <v>39</v>
      </c>
      <c r="E221" s="36" t="s">
        <v>902</v>
      </c>
      <c r="F221" s="15">
        <v>45355</v>
      </c>
      <c r="G221" s="16" t="s">
        <v>29</v>
      </c>
      <c r="H221" s="17">
        <f ca="1">IF(G221="","",IF(G221="离职",(DATEDIF(F221,#REF!,"y")*100+DATEDIF(F221,#REF!,"ym"))/100,(DATEDIF(F221,NOW(),"y")*100+DATEDIF(F221,NOW(),"ym"))/100))</f>
        <v>0.04</v>
      </c>
      <c r="I221" s="18">
        <f t="shared" ca="1" si="7"/>
        <v>31</v>
      </c>
      <c r="J221" s="19" t="str">
        <f>IF(表1[[#This Row],[证件号码]]="","",SUBSTITUTE(TEXT(--MID(表1[[#This Row],[证件号码]],7,8),"0000-00-00"),"-","/"))</f>
        <v>1993/03/24</v>
      </c>
      <c r="K221" s="21" t="s">
        <v>903</v>
      </c>
      <c r="L221" s="21"/>
      <c r="M221" s="21" t="s">
        <v>52</v>
      </c>
      <c r="N221" s="22" t="s">
        <v>31</v>
      </c>
      <c r="O221" s="23" t="s">
        <v>904</v>
      </c>
      <c r="P221" s="31"/>
      <c r="Q221" s="25" t="s">
        <v>54</v>
      </c>
      <c r="R221" s="26" t="s">
        <v>541</v>
      </c>
      <c r="S221" s="25" t="s">
        <v>72</v>
      </c>
      <c r="T221" s="27" t="s">
        <v>65</v>
      </c>
      <c r="U221" s="22">
        <v>18000</v>
      </c>
      <c r="V221" s="28" t="s">
        <v>263</v>
      </c>
      <c r="W221" s="29">
        <v>27</v>
      </c>
      <c r="X221" s="29">
        <v>38</v>
      </c>
      <c r="Y221" s="30">
        <f>(表1[[#This Row],[能力素质]]*0.6+表1[[#This Row],[潜力评估]]*0.4)*2</f>
        <v>67.2</v>
      </c>
    </row>
    <row r="222" spans="1:25" x14ac:dyDescent="0.2">
      <c r="A222" s="11">
        <f t="shared" si="6"/>
        <v>220</v>
      </c>
      <c r="B222" s="12" t="s">
        <v>905</v>
      </c>
      <c r="C222" s="12" t="s">
        <v>83</v>
      </c>
      <c r="D222" s="13" t="s">
        <v>39</v>
      </c>
      <c r="E222" s="36" t="s">
        <v>906</v>
      </c>
      <c r="F222" s="15">
        <v>45376</v>
      </c>
      <c r="G222" s="16" t="s">
        <v>29</v>
      </c>
      <c r="H222" s="17">
        <f ca="1">IF(G222="","",IF(G222="离职",(DATEDIF(F222,#REF!,"y")*100+DATEDIF(F222,#REF!,"ym"))/100,(DATEDIF(F222,NOW(),"y")*100+DATEDIF(F222,NOW(),"ym"))/100))</f>
        <v>0.03</v>
      </c>
      <c r="I222" s="18">
        <f t="shared" ca="1" si="7"/>
        <v>31</v>
      </c>
      <c r="J222" s="19" t="str">
        <f>IF(表1[[#This Row],[证件号码]]="","",SUBSTITUTE(TEXT(--MID(表1[[#This Row],[证件号码]],7,8),"0000-00-00"),"-","/"))</f>
        <v>1993/05/14</v>
      </c>
      <c r="K222" s="21" t="s">
        <v>907</v>
      </c>
      <c r="L222" s="21"/>
      <c r="M222" s="21" t="s">
        <v>60</v>
      </c>
      <c r="N222" s="22" t="s">
        <v>42</v>
      </c>
      <c r="O222" s="23" t="s">
        <v>908</v>
      </c>
      <c r="P222" s="31" t="s">
        <v>909</v>
      </c>
      <c r="Q222" s="25" t="s">
        <v>54</v>
      </c>
      <c r="R222" s="26" t="s">
        <v>87</v>
      </c>
      <c r="S222" s="25" t="s">
        <v>910</v>
      </c>
      <c r="T222" s="27" t="s">
        <v>65</v>
      </c>
      <c r="U222" s="22">
        <v>12000</v>
      </c>
      <c r="V222" s="28" t="s">
        <v>263</v>
      </c>
      <c r="W222" s="29">
        <v>37</v>
      </c>
      <c r="X222" s="29">
        <v>46</v>
      </c>
      <c r="Y222" s="30">
        <f>(表1[[#This Row],[能力素质]]*0.6+表1[[#This Row],[潜力评估]]*0.4)*2</f>
        <v>84.8</v>
      </c>
    </row>
    <row r="223" spans="1:25" ht="31.5" x14ac:dyDescent="0.2">
      <c r="A223" s="11">
        <f t="shared" si="6"/>
        <v>221</v>
      </c>
      <c r="B223" s="12" t="s">
        <v>911</v>
      </c>
      <c r="C223" s="12" t="s">
        <v>26</v>
      </c>
      <c r="D223" s="13" t="s">
        <v>27</v>
      </c>
      <c r="E223" s="36" t="s">
        <v>912</v>
      </c>
      <c r="F223" s="15">
        <v>45404</v>
      </c>
      <c r="G223" s="16" t="s">
        <v>29</v>
      </c>
      <c r="H223" s="17">
        <f ca="1">IF(G223="","",IF(G223="离职",(DATEDIF(F223,#REF!,"y")*100+DATEDIF(F223,#REF!,"ym"))/100,(DATEDIF(F223,NOW(),"y")*100+DATEDIF(F223,NOW(),"ym"))/100))</f>
        <v>0.02</v>
      </c>
      <c r="I223" s="18">
        <f t="shared" ca="1" si="7"/>
        <v>37</v>
      </c>
      <c r="J223" s="19" t="str">
        <f>IF(表1[[#This Row],[证件号码]]="","",SUBSTITUTE(TEXT(--MID(表1[[#This Row],[证件号码]],7,8),"0000-00-00"),"-","/"))</f>
        <v>1987/10/06</v>
      </c>
      <c r="K223" s="21" t="s">
        <v>913</v>
      </c>
      <c r="L223" s="21"/>
      <c r="M223" s="21" t="s">
        <v>60</v>
      </c>
      <c r="N223" s="22" t="s">
        <v>31</v>
      </c>
      <c r="O223" s="23" t="s">
        <v>701</v>
      </c>
      <c r="P223" s="24" t="s">
        <v>914</v>
      </c>
      <c r="Q223" s="25" t="s">
        <v>44</v>
      </c>
      <c r="R223" s="26" t="s">
        <v>45</v>
      </c>
      <c r="S223" s="25" t="s">
        <v>169</v>
      </c>
      <c r="T223" s="27" t="s">
        <v>65</v>
      </c>
      <c r="U223" s="22">
        <v>13000</v>
      </c>
      <c r="V223" s="28" t="s">
        <v>263</v>
      </c>
      <c r="W223" s="29">
        <v>25</v>
      </c>
      <c r="X223" s="29">
        <v>36</v>
      </c>
      <c r="Y223" s="30">
        <f>(表1[[#This Row],[能力素质]]*0.6+表1[[#This Row],[潜力评估]]*0.4)*2</f>
        <v>63.199999999999996</v>
      </c>
    </row>
    <row r="224" spans="1:25" x14ac:dyDescent="0.2">
      <c r="A224" s="11">
        <f t="shared" si="6"/>
        <v>222</v>
      </c>
      <c r="B224" s="12" t="s">
        <v>915</v>
      </c>
      <c r="C224" s="12" t="s">
        <v>26</v>
      </c>
      <c r="D224" s="13" t="s">
        <v>39</v>
      </c>
      <c r="E224" s="36" t="s">
        <v>916</v>
      </c>
      <c r="F224" s="15">
        <v>45398</v>
      </c>
      <c r="G224" s="16" t="s">
        <v>29</v>
      </c>
      <c r="H224" s="17">
        <f ca="1">IF(G224="","",IF(G224="离职",(DATEDIF(F224,#REF!,"y")*100+DATEDIF(F224,#REF!,"ym"))/100,(DATEDIF(F224,NOW(),"y")*100+DATEDIF(F224,NOW(),"ym"))/100))</f>
        <v>0.02</v>
      </c>
      <c r="I224" s="18">
        <f t="shared" ca="1" si="7"/>
        <v>24</v>
      </c>
      <c r="J224" s="19" t="str">
        <f>IF(表1[[#This Row],[证件号码]]="","",SUBSTITUTE(TEXT(--MID(表1[[#This Row],[证件号码]],7,8),"0000-00-00"),"-","/"))</f>
        <v>2000/05/26</v>
      </c>
      <c r="K224" s="21" t="s">
        <v>758</v>
      </c>
      <c r="L224" s="21"/>
      <c r="M224" s="21" t="s">
        <v>917</v>
      </c>
      <c r="N224" s="22" t="s">
        <v>331</v>
      </c>
      <c r="O224" s="34" t="s">
        <v>481</v>
      </c>
      <c r="P224" s="31" t="s">
        <v>918</v>
      </c>
      <c r="Q224" s="25" t="s">
        <v>44</v>
      </c>
      <c r="R224" s="26" t="s">
        <v>122</v>
      </c>
      <c r="S224" s="25" t="s">
        <v>123</v>
      </c>
      <c r="T224" s="27" t="s">
        <v>65</v>
      </c>
      <c r="U224" s="22">
        <v>10000</v>
      </c>
      <c r="V224" s="28" t="s">
        <v>263</v>
      </c>
      <c r="W224" s="29">
        <v>26</v>
      </c>
      <c r="X224" s="29">
        <v>38</v>
      </c>
      <c r="Y224" s="30">
        <f>(表1[[#This Row],[能力素质]]*0.6+表1[[#This Row],[潜力评估]]*0.4)*2</f>
        <v>66.400000000000006</v>
      </c>
    </row>
    <row r="225" spans="1:25" x14ac:dyDescent="0.2">
      <c r="A225" s="11">
        <f t="shared" si="6"/>
        <v>223</v>
      </c>
      <c r="B225" s="12" t="s">
        <v>919</v>
      </c>
      <c r="C225" s="12" t="s">
        <v>26</v>
      </c>
      <c r="D225" s="37" t="s">
        <v>27</v>
      </c>
      <c r="E225" s="36" t="s">
        <v>920</v>
      </c>
      <c r="F225" s="15">
        <v>45398</v>
      </c>
      <c r="G225" s="16" t="s">
        <v>29</v>
      </c>
      <c r="H225" s="17">
        <f ca="1">IF(G225="","",IF(G225="离职",(DATEDIF(F225,#REF!,"y")*100+DATEDIF(F225,#REF!,"ym"))/100,(DATEDIF(F225,NOW(),"y")*100+DATEDIF(F225,NOW(),"ym"))/100))</f>
        <v>0.02</v>
      </c>
      <c r="I225" s="18">
        <f t="shared" ca="1" si="7"/>
        <v>26</v>
      </c>
      <c r="J225" s="19" t="str">
        <f>IF(表1[[#This Row],[证件号码]]="","",SUBSTITUTE(TEXT(--MID(表1[[#This Row],[证件号码]],7,8),"0000-00-00"),"-","/"))</f>
        <v>1998/06/04</v>
      </c>
      <c r="K225" s="20" t="s">
        <v>921</v>
      </c>
      <c r="L225" s="21"/>
      <c r="M225" s="21" t="s">
        <v>60</v>
      </c>
      <c r="N225" s="22" t="s">
        <v>42</v>
      </c>
      <c r="O225" s="23" t="s">
        <v>922</v>
      </c>
      <c r="P225" s="31"/>
      <c r="Q225" s="25" t="s">
        <v>34</v>
      </c>
      <c r="R225" s="26" t="s">
        <v>115</v>
      </c>
      <c r="S225" s="25" t="s">
        <v>116</v>
      </c>
      <c r="T225" s="35" t="s">
        <v>65</v>
      </c>
      <c r="U225" s="22">
        <v>7500</v>
      </c>
      <c r="V225" s="28" t="s">
        <v>263</v>
      </c>
      <c r="W225" s="29">
        <v>26</v>
      </c>
      <c r="X225" s="29">
        <v>40</v>
      </c>
      <c r="Y225" s="30">
        <f>(表1[[#This Row],[能力素质]]*0.6+表1[[#This Row],[潜力评估]]*0.4)*2</f>
        <v>68.8</v>
      </c>
    </row>
    <row r="226" spans="1:25" x14ac:dyDescent="0.2">
      <c r="A226" s="11">
        <f t="shared" si="6"/>
        <v>224</v>
      </c>
      <c r="B226" s="12" t="s">
        <v>923</v>
      </c>
      <c r="C226" s="12" t="s">
        <v>49</v>
      </c>
      <c r="D226" s="37" t="s">
        <v>27</v>
      </c>
      <c r="E226" s="36" t="s">
        <v>924</v>
      </c>
      <c r="F226" s="15">
        <v>45397</v>
      </c>
      <c r="G226" s="16" t="s">
        <v>29</v>
      </c>
      <c r="H226" s="17">
        <f ca="1">IF(G226="","",IF(G226="离职",(DATEDIF(F226,#REF!,"y")*100+DATEDIF(F226,#REF!,"ym"))/100,(DATEDIF(F226,NOW(),"y")*100+DATEDIF(F226,NOW(),"ym"))/100))</f>
        <v>0.02</v>
      </c>
      <c r="I226" s="18">
        <f t="shared" ca="1" si="7"/>
        <v>32</v>
      </c>
      <c r="J226" s="19" t="str">
        <f>IF(表1[[#This Row],[证件号码]]="","",SUBSTITUTE(TEXT(--MID(表1[[#This Row],[证件号码]],7,8),"0000-00-00"),"-","/"))</f>
        <v>1992/02/08</v>
      </c>
      <c r="K226" s="21" t="s">
        <v>925</v>
      </c>
      <c r="L226" s="21"/>
      <c r="M226" s="21" t="s">
        <v>60</v>
      </c>
      <c r="N226" s="29" t="s">
        <v>31</v>
      </c>
      <c r="O226" s="23" t="s">
        <v>120</v>
      </c>
      <c r="P226" s="31"/>
      <c r="Q226" s="25" t="s">
        <v>54</v>
      </c>
      <c r="R226" s="26" t="s">
        <v>55</v>
      </c>
      <c r="S226" s="25" t="s">
        <v>453</v>
      </c>
      <c r="T226" s="35" t="s">
        <v>65</v>
      </c>
      <c r="U226" s="22">
        <v>25000</v>
      </c>
      <c r="V226" s="28" t="s">
        <v>263</v>
      </c>
      <c r="W226" s="29">
        <v>38</v>
      </c>
      <c r="X226" s="29">
        <v>46</v>
      </c>
      <c r="Y226" s="30">
        <f>(表1[[#This Row],[能力素质]]*0.6+表1[[#This Row],[潜力评估]]*0.4)*2</f>
        <v>85.6</v>
      </c>
    </row>
    <row r="227" spans="1:25" x14ac:dyDescent="0.2">
      <c r="A227" s="11">
        <f t="shared" si="6"/>
        <v>225</v>
      </c>
      <c r="B227" s="12" t="s">
        <v>926</v>
      </c>
      <c r="C227" s="12" t="s">
        <v>26</v>
      </c>
      <c r="D227" s="37" t="s">
        <v>27</v>
      </c>
      <c r="E227" s="36" t="s">
        <v>927</v>
      </c>
      <c r="F227" s="15">
        <v>45397</v>
      </c>
      <c r="G227" s="16" t="s">
        <v>29</v>
      </c>
      <c r="H227" s="17">
        <f ca="1">IF(G227="","",IF(G227="离职",(DATEDIF(F227,#REF!,"y")*100+DATEDIF(F227,#REF!,"ym"))/100,(DATEDIF(F227,NOW(),"y")*100+DATEDIF(F227,NOW(),"ym"))/100))</f>
        <v>0.02</v>
      </c>
      <c r="I227" s="18">
        <f t="shared" ca="1" si="7"/>
        <v>31</v>
      </c>
      <c r="J227" s="19" t="str">
        <f>IF(表1[[#This Row],[证件号码]]="","",SUBSTITUTE(TEXT(--MID(表1[[#This Row],[证件号码]],7,8),"0000-00-00"),"-","/"))</f>
        <v>1993/09/01</v>
      </c>
      <c r="K227" s="20" t="s">
        <v>204</v>
      </c>
      <c r="L227" s="21"/>
      <c r="M227" s="20" t="s">
        <v>31</v>
      </c>
      <c r="N227" s="22" t="s">
        <v>31</v>
      </c>
      <c r="O227" s="23" t="s">
        <v>120</v>
      </c>
      <c r="P227" s="31"/>
      <c r="Q227" s="25" t="s">
        <v>44</v>
      </c>
      <c r="R227" s="26" t="s">
        <v>206</v>
      </c>
      <c r="S227" s="25" t="s">
        <v>928</v>
      </c>
      <c r="T227" s="35" t="s">
        <v>65</v>
      </c>
      <c r="U227" s="22">
        <v>20000</v>
      </c>
      <c r="V227" s="28" t="s">
        <v>263</v>
      </c>
      <c r="W227" s="29">
        <v>31</v>
      </c>
      <c r="X227" s="29">
        <v>42</v>
      </c>
      <c r="Y227" s="30">
        <f>(表1[[#This Row],[能力素质]]*0.6+表1[[#This Row],[潜力评估]]*0.4)*2</f>
        <v>75.2</v>
      </c>
    </row>
    <row r="228" spans="1:25" ht="31.5" x14ac:dyDescent="0.2">
      <c r="A228" s="11">
        <f t="shared" si="6"/>
        <v>226</v>
      </c>
      <c r="B228" s="12" t="s">
        <v>929</v>
      </c>
      <c r="C228" s="12" t="s">
        <v>26</v>
      </c>
      <c r="D228" s="13" t="s">
        <v>27</v>
      </c>
      <c r="E228" s="36" t="s">
        <v>930</v>
      </c>
      <c r="F228" s="15">
        <v>45390</v>
      </c>
      <c r="G228" s="16" t="s">
        <v>29</v>
      </c>
      <c r="H228" s="17">
        <f ca="1">IF(G228="","",IF(G228="离职",(DATEDIF(F228,#REF!,"y")*100+DATEDIF(F228,#REF!,"ym"))/100,(DATEDIF(F228,NOW(),"y")*100+DATEDIF(F228,NOW(),"ym"))/100))</f>
        <v>0.02</v>
      </c>
      <c r="I228" s="18">
        <f t="shared" ca="1" si="7"/>
        <v>31</v>
      </c>
      <c r="J228" s="19" t="str">
        <f>IF(表1[[#This Row],[证件号码]]="","",SUBSTITUTE(TEXT(--MID(表1[[#This Row],[证件号码]],7,8),"0000-00-00"),"-","/"))</f>
        <v>1993/05/10</v>
      </c>
      <c r="K228" s="21" t="s">
        <v>159</v>
      </c>
      <c r="L228" s="21"/>
      <c r="M228" s="21" t="s">
        <v>52</v>
      </c>
      <c r="N228" s="22" t="s">
        <v>31</v>
      </c>
      <c r="O228" s="34" t="s">
        <v>687</v>
      </c>
      <c r="P228" s="31"/>
      <c r="Q228" s="25" t="s">
        <v>44</v>
      </c>
      <c r="R228" s="26" t="s">
        <v>122</v>
      </c>
      <c r="S228" s="25" t="s">
        <v>123</v>
      </c>
      <c r="T228" s="27" t="s">
        <v>37</v>
      </c>
      <c r="U228" s="22">
        <v>21000</v>
      </c>
      <c r="V228" s="28" t="s">
        <v>263</v>
      </c>
      <c r="W228" s="29">
        <v>31</v>
      </c>
      <c r="X228" s="29">
        <v>42</v>
      </c>
      <c r="Y228" s="30">
        <f>(表1[[#This Row],[能力素质]]*0.6+表1[[#This Row],[潜力评估]]*0.4)*2</f>
        <v>75.2</v>
      </c>
    </row>
    <row r="229" spans="1:25" x14ac:dyDescent="0.2">
      <c r="A229" s="11">
        <f t="shared" si="6"/>
        <v>227</v>
      </c>
      <c r="B229" s="12" t="s">
        <v>931</v>
      </c>
      <c r="C229" s="12" t="s">
        <v>693</v>
      </c>
      <c r="D229" s="13" t="s">
        <v>27</v>
      </c>
      <c r="E229" s="36" t="s">
        <v>932</v>
      </c>
      <c r="F229" s="15">
        <v>45384</v>
      </c>
      <c r="G229" s="16" t="s">
        <v>29</v>
      </c>
      <c r="H229" s="17">
        <f ca="1">IF(G229="","",IF(G229="离职",(DATEDIF(F229,#REF!,"y")*100+DATEDIF(F229,#REF!,"ym"))/100,(DATEDIF(F229,NOW(),"y")*100+DATEDIF(F229,NOW(),"ym"))/100))</f>
        <v>0.03</v>
      </c>
      <c r="I229" s="18">
        <f t="shared" ca="1" si="7"/>
        <v>25</v>
      </c>
      <c r="J229" s="19" t="str">
        <f>IF(表1[[#This Row],[证件号码]]="","",SUBSTITUTE(TEXT(--MID(表1[[#This Row],[证件号码]],7,8),"0000-00-00"),"-","/"))</f>
        <v>1999/06/03</v>
      </c>
      <c r="K229" s="20" t="s">
        <v>933</v>
      </c>
      <c r="L229" s="21"/>
      <c r="M229" s="20" t="s">
        <v>42</v>
      </c>
      <c r="N229" s="22" t="s">
        <v>42</v>
      </c>
      <c r="O229" s="23" t="s">
        <v>160</v>
      </c>
      <c r="P229" s="31"/>
      <c r="Q229" s="25" t="s">
        <v>34</v>
      </c>
      <c r="R229" s="26" t="s">
        <v>115</v>
      </c>
      <c r="S229" s="25" t="s">
        <v>116</v>
      </c>
      <c r="T229" s="27" t="s">
        <v>65</v>
      </c>
      <c r="U229" s="22">
        <v>8500</v>
      </c>
      <c r="V229" s="28" t="s">
        <v>263</v>
      </c>
      <c r="W229" s="29">
        <v>26</v>
      </c>
      <c r="X229" s="29">
        <v>38</v>
      </c>
      <c r="Y229" s="30">
        <f>(表1[[#This Row],[能力素质]]*0.6+表1[[#This Row],[潜力评估]]*0.4)*2</f>
        <v>66.400000000000006</v>
      </c>
    </row>
    <row r="230" spans="1:25" x14ac:dyDescent="0.2">
      <c r="A230" s="40">
        <f t="shared" si="6"/>
        <v>228</v>
      </c>
      <c r="B230" s="41" t="s">
        <v>934</v>
      </c>
      <c r="C230" s="41" t="s">
        <v>26</v>
      </c>
      <c r="D230" s="42" t="s">
        <v>27</v>
      </c>
      <c r="E230" s="36" t="s">
        <v>935</v>
      </c>
      <c r="F230" s="43">
        <v>45454</v>
      </c>
      <c r="G230" s="44" t="s">
        <v>29</v>
      </c>
      <c r="H230" s="45">
        <f ca="1">IF(G230="","",IF(G230="离职",(DATEDIF(F230,#REF!,"y")*100+DATEDIF(F230,#REF!,"ym"))/100,(DATEDIF(F230,NOW(),"y")*100+DATEDIF(F230,NOW(),"ym"))/100))</f>
        <v>0</v>
      </c>
      <c r="I230" s="46">
        <f t="shared" ca="1" si="7"/>
        <v>25</v>
      </c>
      <c r="J230" s="47" t="str">
        <f>IF(表1[[#This Row],[证件号码]]="","",SUBSTITUTE(TEXT(--MID(表1[[#This Row],[证件号码]],7,8),"0000-00-00"),"-","/"))</f>
        <v>1999/05/04</v>
      </c>
      <c r="K230" s="48" t="s">
        <v>632</v>
      </c>
      <c r="L230" s="48"/>
      <c r="M230" s="48" t="s">
        <v>60</v>
      </c>
      <c r="N230" s="49" t="s">
        <v>31</v>
      </c>
      <c r="O230" s="50" t="s">
        <v>481</v>
      </c>
      <c r="P230" s="51"/>
      <c r="Q230" s="25" t="s">
        <v>34</v>
      </c>
      <c r="R230" s="52" t="s">
        <v>115</v>
      </c>
      <c r="S230" s="53" t="s">
        <v>178</v>
      </c>
      <c r="T230" s="54" t="s">
        <v>65</v>
      </c>
      <c r="U230" s="49">
        <v>7000</v>
      </c>
      <c r="V230" s="28" t="s">
        <v>263</v>
      </c>
      <c r="W230" s="29">
        <v>27</v>
      </c>
      <c r="X230" s="29">
        <v>35</v>
      </c>
      <c r="Y230" s="30">
        <f>(表1[[#This Row],[能力素质]]*0.6+表1[[#This Row],[潜力评估]]*0.4)*2</f>
        <v>63.6</v>
      </c>
    </row>
    <row r="231" spans="1:25" x14ac:dyDescent="0.2">
      <c r="A231" s="40">
        <f t="shared" si="6"/>
        <v>229</v>
      </c>
      <c r="B231" s="41" t="s">
        <v>936</v>
      </c>
      <c r="C231" s="41" t="s">
        <v>26</v>
      </c>
      <c r="D231" s="42" t="s">
        <v>27</v>
      </c>
      <c r="E231" s="36" t="s">
        <v>937</v>
      </c>
      <c r="F231" s="43">
        <v>45447</v>
      </c>
      <c r="G231" s="44" t="s">
        <v>29</v>
      </c>
      <c r="H231" s="45">
        <f ca="1">IF(G231="","",IF(G231="离职",(DATEDIF(F231,#REF!,"y")*100+DATEDIF(F231,#REF!,"ym"))/100,(DATEDIF(F231,NOW(),"y")*100+DATEDIF(F231,NOW(),"ym"))/100))</f>
        <v>0.01</v>
      </c>
      <c r="I231" s="46">
        <f t="shared" ca="1" si="7"/>
        <v>26</v>
      </c>
      <c r="J231" s="47" t="str">
        <f>IF(表1[[#This Row],[证件号码]]="","",SUBSTITUTE(TEXT(--MID(表1[[#This Row],[证件号码]],7,8),"0000-00-00"),"-","/"))</f>
        <v>1998/10/26</v>
      </c>
      <c r="K231" s="48" t="s">
        <v>758</v>
      </c>
      <c r="L231" s="48"/>
      <c r="M231" s="48" t="s">
        <v>52</v>
      </c>
      <c r="N231" s="49" t="s">
        <v>31</v>
      </c>
      <c r="O231" s="50" t="s">
        <v>938</v>
      </c>
      <c r="P231" s="51" t="s">
        <v>939</v>
      </c>
      <c r="Q231" s="25" t="s">
        <v>34</v>
      </c>
      <c r="R231" s="52" t="s">
        <v>940</v>
      </c>
      <c r="S231" s="53" t="s">
        <v>941</v>
      </c>
      <c r="T231" s="54" t="s">
        <v>65</v>
      </c>
      <c r="U231" s="49">
        <v>7500</v>
      </c>
      <c r="V231" s="28" t="s">
        <v>263</v>
      </c>
      <c r="W231" s="29">
        <v>28</v>
      </c>
      <c r="X231" s="29">
        <v>36</v>
      </c>
      <c r="Y231" s="30">
        <f>(表1[[#This Row],[能力素质]]*0.6+表1[[#This Row],[潜力评估]]*0.4)*2</f>
        <v>65.599999999999994</v>
      </c>
    </row>
    <row r="232" spans="1:25" x14ac:dyDescent="0.2">
      <c r="A232" s="40">
        <f>ROW()-2</f>
        <v>230</v>
      </c>
      <c r="B232" s="41" t="s">
        <v>942</v>
      </c>
      <c r="C232" s="41" t="s">
        <v>26</v>
      </c>
      <c r="D232" s="42" t="s">
        <v>27</v>
      </c>
      <c r="E232" s="36" t="s">
        <v>943</v>
      </c>
      <c r="F232" s="43">
        <v>45461</v>
      </c>
      <c r="G232" s="44" t="s">
        <v>29</v>
      </c>
      <c r="H232" s="55">
        <f ca="1">IF(G232="","",IF(G232="离职",(DATEDIF(F232,#REF!,"y")*100+DATEDIF(F232,#REF!,"ym"))/100,(DATEDIF(F232,NOW(),"y")*100+DATEDIF(F232,NOW(),"ym"))/100))</f>
        <v>0</v>
      </c>
      <c r="I232" s="46">
        <f ca="1">IF(J232="",0,YEAR(TODAY())-YEAR(J232))</f>
        <v>36</v>
      </c>
      <c r="J232" s="47" t="str">
        <f>IF(表1[[#This Row],[证件号码]]="","",SUBSTITUTE(TEXT(--MID(表1[[#This Row],[证件号码]],7,8),"0000-00-00"),"-","/"))</f>
        <v>1988/12/18</v>
      </c>
      <c r="K232" s="56" t="s">
        <v>159</v>
      </c>
      <c r="L232" s="56"/>
      <c r="M232" s="48" t="s">
        <v>52</v>
      </c>
      <c r="N232" s="48" t="s">
        <v>52</v>
      </c>
      <c r="O232" s="50" t="s">
        <v>944</v>
      </c>
      <c r="P232" s="57"/>
      <c r="Q232" s="25" t="s">
        <v>34</v>
      </c>
      <c r="R232" s="52" t="s">
        <v>945</v>
      </c>
      <c r="S232" s="53" t="s">
        <v>946</v>
      </c>
      <c r="T232" s="58" t="s">
        <v>947</v>
      </c>
      <c r="U232" s="49">
        <v>11000</v>
      </c>
      <c r="V232" s="59"/>
      <c r="W232" s="29">
        <v>33</v>
      </c>
      <c r="X232" s="60">
        <v>42</v>
      </c>
      <c r="Y232" s="30">
        <f>(表1[[#This Row],[能力素质]]*0.6+表1[[#This Row],[潜力评估]]*0.4)*2</f>
        <v>76.8</v>
      </c>
    </row>
  </sheetData>
  <phoneticPr fontId="2" type="noConversion"/>
  <conditionalFormatting sqref="B2">
    <cfRule type="duplicateValues" dxfId="30" priority="1"/>
  </conditionalFormatting>
  <conditionalFormatting sqref="B230:B231">
    <cfRule type="duplicateValues" dxfId="29" priority="2"/>
  </conditionalFormatting>
  <dataValidations count="9">
    <dataValidation type="list" allowBlank="1" showInputMessage="1" showErrorMessage="1" sqref="Q3:Q232" xr:uid="{66C78EB6-FBE7-4BC2-A47E-6AED066BE195}">
      <formula1>DW</formula1>
    </dataValidation>
    <dataValidation type="list" allowBlank="1" showInputMessage="1" showErrorMessage="1" sqref="E3:E231 D3:D232" xr:uid="{F0EADB90-D8F0-47C1-A62B-E813CEEA446A}">
      <formula1>"男,女"</formula1>
    </dataValidation>
    <dataValidation type="list" allowBlank="1" showInputMessage="1" showErrorMessage="1" sqref="R3:R232" xr:uid="{74794A8C-70BE-4902-ADA0-461684135F26}">
      <formula1>BM</formula1>
    </dataValidation>
    <dataValidation type="list" allowBlank="1" showInputMessage="1" showErrorMessage="1" sqref="S3:S232" xr:uid="{664F114C-C5D6-451A-B4B0-6925A518C8BA}">
      <formula1>JW</formula1>
    </dataValidation>
    <dataValidation type="list" allowBlank="1" showInputMessage="1" showErrorMessage="1" sqref="O3:P232" xr:uid="{A477F70C-AD6A-4618-B446-D64780982888}">
      <formula1>zy</formula1>
    </dataValidation>
    <dataValidation type="list" allowBlank="1" showInputMessage="1" showErrorMessage="1" sqref="N3:N231" xr:uid="{DC1396BC-1AEC-4EA2-9EDC-FBEB8D8850D2}">
      <formula1>INDIRECT("xl")</formula1>
    </dataValidation>
    <dataValidation allowBlank="1" showInputMessage="1" showErrorMessage="1" prompt="高管人员填写A，中高管人员填写B，基层主管填写C，员工填写D" sqref="T3:T232" xr:uid="{37F64D9B-724D-45BE-863F-709F454645A3}"/>
    <dataValidation operator="greaterThan" allowBlank="1" showInputMessage="1" showErrorMessage="1" promptTitle="日期格式为：YYYY-MM-DD" prompt="如2007年12月12日，以&quot;2007-12-12&quot;方式输入！" sqref="F3:F229" xr:uid="{2BD3AC9E-969E-4AFF-984F-67EE0FD4FBED}"/>
    <dataValidation operator="greaterThan" allowBlank="1" showInputMessage="1" showErrorMessage="1" sqref="F2 F230:F231" xr:uid="{E533E9C7-3541-4065-9682-949B66CB5E37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光明 向</dc:creator>
  <cp:lastModifiedBy>光明 向</cp:lastModifiedBy>
  <dcterms:created xsi:type="dcterms:W3CDTF">2024-07-05T09:02:01Z</dcterms:created>
  <dcterms:modified xsi:type="dcterms:W3CDTF">2024-07-05T09:03:00Z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06b565b05ab011ef8000370300003703" pid="2" fmtid="{D5CDD505-2E9C-101B-9397-08002B2CF9AE}">
    <vt:lpwstr>CWMMvGk9WcKZXiIFVE3GwI0Hn2aeaR9kyqFVdX91JnSAUrZq+yd2QY8VKID9hHFegBzGh4jP7NWa8UF3LAiHeGRNg==</vt:lpwstr>
  </property>
</Properties>
</file>