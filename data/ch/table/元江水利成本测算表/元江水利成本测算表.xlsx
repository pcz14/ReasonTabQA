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1000" windowHeight="9495" tabRatio="785"/>
  </bookViews>
  <sheets>
    <sheet name="元江县水利灌区管理局县管水利工程供水成本费用申报表" sheetId="2" r:id="rId1"/>
    <sheet name="元江县县管水利工程供水基本情况申报表" sheetId="5" r:id="rId2"/>
    <sheet name="供水量统计表 " sheetId="4" r:id="rId3"/>
  </sheets>
  <definedNames>
    <definedName name="_xlnm.Print_Area" localSheetId="2">'供水量统计表 '!$A$1:$Q$8</definedName>
    <definedName name="_xlnm.Print_Area" localSheetId="0">元江县水利灌区管理局县管水利工程供水成本费用申报表!$A$1:$G$60</definedName>
    <definedName name="_xlnm.Print_Titles" localSheetId="0">元江县水利灌区管理局县管水利工程供水成本费用申报表!$1:$4</definedName>
    <definedName name="_xlnm.Print_Titles" localSheetId="1">元江县县管水利工程供水基本情况申报表!$1:$4</definedName>
  </definedNames>
  <calcPr calcId="124519"/>
</workbook>
</file>

<file path=xl/calcChain.xml><?xml version="1.0" encoding="utf-8"?>
<calcChain xmlns="http://schemas.openxmlformats.org/spreadsheetml/2006/main">
  <c r="K8" i="4"/>
  <c r="G8"/>
  <c r="C8"/>
  <c r="H23" i="5"/>
  <c r="H37"/>
  <c r="H44"/>
  <c r="H42"/>
  <c r="H40"/>
  <c r="H38"/>
  <c r="Q8" i="4"/>
  <c r="M6"/>
  <c r="I6"/>
  <c r="E6"/>
  <c r="M7"/>
  <c r="I7"/>
  <c r="E7"/>
  <c r="M5"/>
  <c r="I5"/>
  <c r="E5"/>
  <c r="M4"/>
  <c r="M8" s="1"/>
  <c r="I4"/>
  <c r="I8" s="1"/>
  <c r="E4"/>
  <c r="E8" s="1"/>
  <c r="O6"/>
  <c r="O5"/>
  <c r="O4"/>
  <c r="H28" i="5"/>
  <c r="G13"/>
  <c r="F13"/>
  <c r="E13"/>
  <c r="H13" s="1"/>
  <c r="H12"/>
  <c r="H11"/>
  <c r="H10"/>
  <c r="H9"/>
  <c r="H8"/>
  <c r="H7"/>
  <c r="G7"/>
  <c r="F7"/>
  <c r="E7"/>
  <c r="H6"/>
  <c r="G6"/>
  <c r="F6"/>
  <c r="E6"/>
  <c r="E53" i="2"/>
  <c r="D53"/>
  <c r="C53"/>
  <c r="E52"/>
  <c r="D52"/>
  <c r="C52"/>
  <c r="F49"/>
  <c r="F48"/>
  <c r="E45"/>
  <c r="E46" s="1"/>
  <c r="E47" s="1"/>
  <c r="E50" s="1"/>
  <c r="E54" s="1"/>
  <c r="D45"/>
  <c r="D46" s="1"/>
  <c r="D47" s="1"/>
  <c r="D50" s="1"/>
  <c r="D54" s="1"/>
  <c r="C45"/>
  <c r="C46" s="1"/>
  <c r="F44"/>
  <c r="F43"/>
  <c r="F33"/>
  <c r="F32"/>
  <c r="E31"/>
  <c r="D31"/>
  <c r="C31"/>
  <c r="F26"/>
  <c r="F25"/>
  <c r="E24"/>
  <c r="D24"/>
  <c r="C24"/>
  <c r="F23"/>
  <c r="F22"/>
  <c r="F20"/>
  <c r="F19"/>
  <c r="F18"/>
  <c r="F17"/>
  <c r="F16"/>
  <c r="F15"/>
  <c r="F14"/>
  <c r="F13"/>
  <c r="E12"/>
  <c r="D12"/>
  <c r="C12"/>
  <c r="F11"/>
  <c r="F10"/>
  <c r="F9"/>
  <c r="F8"/>
  <c r="F7"/>
  <c r="E6"/>
  <c r="D6"/>
  <c r="D5" s="1"/>
  <c r="C6"/>
  <c r="D28" l="1"/>
  <c r="D29" s="1"/>
  <c r="D30" s="1"/>
  <c r="D34" s="1"/>
  <c r="F24"/>
  <c r="F45"/>
  <c r="F53"/>
  <c r="F12"/>
  <c r="F6"/>
  <c r="E5"/>
  <c r="E28" s="1"/>
  <c r="E29" s="1"/>
  <c r="E30" s="1"/>
  <c r="E34" s="1"/>
  <c r="F31"/>
  <c r="F52"/>
  <c r="F46"/>
  <c r="C47"/>
  <c r="E51"/>
  <c r="D51"/>
  <c r="D40" s="1"/>
  <c r="C5"/>
  <c r="P6" i="4"/>
  <c r="O7"/>
  <c r="O8" s="1"/>
  <c r="P7"/>
  <c r="P5"/>
  <c r="P4"/>
  <c r="P8" s="1"/>
  <c r="D38" i="2" l="1"/>
  <c r="E35"/>
  <c r="E57" s="1"/>
  <c r="E36"/>
  <c r="D36"/>
  <c r="D35"/>
  <c r="D57" s="1"/>
  <c r="F5"/>
  <c r="C28"/>
  <c r="C50"/>
  <c r="F47"/>
  <c r="E40"/>
  <c r="E38"/>
  <c r="D42"/>
  <c r="E42"/>
  <c r="E55" l="1"/>
  <c r="E39"/>
  <c r="E59" s="1"/>
  <c r="E37"/>
  <c r="E58" s="1"/>
  <c r="D37"/>
  <c r="D58" s="1"/>
  <c r="D39"/>
  <c r="D59" s="1"/>
  <c r="D55"/>
  <c r="F50"/>
  <c r="C54"/>
  <c r="C29"/>
  <c r="F29" s="1"/>
  <c r="F28"/>
  <c r="E41" l="1"/>
  <c r="E60" s="1"/>
  <c r="F54"/>
  <c r="C51"/>
  <c r="C42" s="1"/>
  <c r="F42" s="1"/>
  <c r="D41"/>
  <c r="D60" s="1"/>
  <c r="C30"/>
  <c r="F30" l="1"/>
  <c r="C34"/>
  <c r="F51"/>
  <c r="C38"/>
  <c r="F38" s="1"/>
  <c r="C40"/>
  <c r="F40" s="1"/>
  <c r="F34" l="1"/>
  <c r="C36"/>
  <c r="C35"/>
  <c r="C37" l="1"/>
  <c r="C39"/>
  <c r="C55"/>
  <c r="F55" s="1"/>
  <c r="F36"/>
  <c r="C57"/>
  <c r="F57" s="1"/>
  <c r="F35"/>
  <c r="F39" l="1"/>
  <c r="C59"/>
  <c r="F59" s="1"/>
  <c r="C58"/>
  <c r="F58" s="1"/>
  <c r="F37"/>
  <c r="C41"/>
  <c r="C60" l="1"/>
  <c r="F60" s="1"/>
  <c r="F41"/>
</calcChain>
</file>

<file path=xl/comments1.xml><?xml version="1.0" encoding="utf-8"?>
<comments xmlns="http://schemas.openxmlformats.org/spreadsheetml/2006/main">
  <authors>
    <author>Administrator</author>
  </authors>
  <commentList>
    <comment ref="H2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发电收入按当年数测算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三年数含每月</t>
        </r>
        <r>
          <rPr>
            <sz val="9"/>
            <color indexed="81"/>
            <rFont val="Tahoma"/>
            <family val="2"/>
          </rPr>
          <t>499</t>
        </r>
        <r>
          <rPr>
            <sz val="9"/>
            <color indexed="81"/>
            <rFont val="宋体"/>
            <family val="3"/>
            <charset val="134"/>
          </rPr>
          <t>元。</t>
        </r>
      </text>
    </comment>
  </commentList>
</comments>
</file>

<file path=xl/sharedStrings.xml><?xml version="1.0" encoding="utf-8"?>
<sst xmlns="http://schemas.openxmlformats.org/spreadsheetml/2006/main" count="215" uniqueCount="181">
  <si>
    <t>项     目</t>
  </si>
  <si>
    <t>行次</t>
  </si>
  <si>
    <t xml:space="preserve">              上  报  数</t>
  </si>
  <si>
    <t>备   注</t>
  </si>
  <si>
    <t>2017年</t>
  </si>
  <si>
    <t>2018年</t>
  </si>
  <si>
    <t>2019年</t>
  </si>
  <si>
    <t>三年平均</t>
  </si>
  <si>
    <t>一、运行成本合计</t>
  </si>
  <si>
    <t xml:space="preserve"> </t>
  </si>
  <si>
    <t>（一）人员经费合计</t>
  </si>
  <si>
    <t>1、工资</t>
  </si>
  <si>
    <t>2、职业年金和工会经费</t>
  </si>
  <si>
    <t>3、社会保险费（养老医疗、失业等）</t>
  </si>
  <si>
    <t>4、公积金</t>
  </si>
  <si>
    <t>5、渠道承包人员工资</t>
  </si>
  <si>
    <t>（二）日常公用经费</t>
  </si>
  <si>
    <t xml:space="preserve">        </t>
  </si>
  <si>
    <t>1、办公经费</t>
  </si>
  <si>
    <t>2、日常修理费</t>
  </si>
  <si>
    <t>3、业务接待费</t>
  </si>
  <si>
    <t>收入总额5‰计算的业务招待费﹥实际发生数，所以据实核定。</t>
  </si>
  <si>
    <t>4、水电费</t>
  </si>
  <si>
    <t>5、车辆使用费</t>
  </si>
  <si>
    <t>6、差旅费</t>
  </si>
  <si>
    <t>7、办公设备购置费及诉讼费</t>
  </si>
  <si>
    <t>8、手续费</t>
  </si>
  <si>
    <t>9、劳务费</t>
  </si>
  <si>
    <t>10、其它费用</t>
  </si>
  <si>
    <t>（三）维修费</t>
  </si>
  <si>
    <t>二、固定资产大修理费</t>
  </si>
  <si>
    <t>按固定资产价值的1.4%计算</t>
  </si>
  <si>
    <t>1、账面固定资产大修理费</t>
  </si>
  <si>
    <t>2、已使用未移交固定资产大修费</t>
  </si>
  <si>
    <t>已使用未移交资产</t>
  </si>
  <si>
    <t>三、固定资产年折旧</t>
  </si>
  <si>
    <t>四、成本费用合计（一至三项）</t>
  </si>
  <si>
    <t>1、公益服务应承担的成本（13.96%）</t>
  </si>
  <si>
    <t>按专项审计结果（比例）分摊</t>
  </si>
  <si>
    <t>2、非公益性生产经营应承担的成本（86.04%）</t>
  </si>
  <si>
    <t>五、非公益性生产经营环节应扣减的成本费用</t>
  </si>
  <si>
    <t>扣除合计</t>
  </si>
  <si>
    <t>1、对外工程援建人员费用</t>
  </si>
  <si>
    <t>2、资产出租费用</t>
  </si>
  <si>
    <t>六、非公益性生产经营总成本</t>
  </si>
  <si>
    <t>其中：1、发电供水应承担的成本</t>
  </si>
  <si>
    <t>2、非发电供水（生活、工业、农业）应承担成本</t>
  </si>
  <si>
    <t>（1）工业供水应承担的成本</t>
  </si>
  <si>
    <t>工业供水成本分配比例</t>
  </si>
  <si>
    <t>（2）生活供水应承担的成本</t>
  </si>
  <si>
    <t>生活供水成本分配比例</t>
  </si>
  <si>
    <t>（3）农业供水应承担的成本</t>
  </si>
  <si>
    <t>农业供水成本分配比例</t>
  </si>
  <si>
    <t>七、当年水库实际供水量（原始水量，万m³）</t>
  </si>
  <si>
    <t>审计数</t>
  </si>
  <si>
    <t>西拉河水库等未发电供水量(万m³）</t>
  </si>
  <si>
    <t>发电供水原始量（万m³）</t>
  </si>
  <si>
    <t>扣除西拉河水库等非发电供水</t>
  </si>
  <si>
    <t>发电实际供水量（万m³）</t>
  </si>
  <si>
    <t>发电供水保证率执行80%</t>
  </si>
  <si>
    <t>非发电原始供水量（工业、生活、农业原始供水量，万m³）</t>
  </si>
  <si>
    <t>其中（1）工业供水量（万m³）</t>
  </si>
  <si>
    <t xml:space="preserve">审计数 </t>
  </si>
  <si>
    <t xml:space="preserve">  （2）生活供水量（万m³）</t>
  </si>
  <si>
    <t xml:space="preserve">  （3）农业供水量（万m³）</t>
  </si>
  <si>
    <t xml:space="preserve"> 倒算数</t>
  </si>
  <si>
    <t>其中:（1）工业供水量（万m³）</t>
  </si>
  <si>
    <t>工业供水保证率执行90%</t>
  </si>
  <si>
    <t xml:space="preserve">   （2）生活供水量（万m³）</t>
  </si>
  <si>
    <t>生活供水保证率执行95%</t>
  </si>
  <si>
    <t xml:space="preserve">   （3）农业供水量（万m³）</t>
  </si>
  <si>
    <t>八、非发电供水综合售水成本</t>
  </si>
  <si>
    <t>无税，不含税</t>
  </si>
  <si>
    <t>九、分类售水成本</t>
  </si>
  <si>
    <t>1、发电供水单位成本（元/m³）</t>
  </si>
  <si>
    <t>2、工业供水单位成本（元/m³）</t>
  </si>
  <si>
    <t>3、生活供水单位成本（元/m³）</t>
  </si>
  <si>
    <t>4、农业供水单位成本（元/m³）</t>
  </si>
  <si>
    <t>农业供水价格按补偿供水成本、费用的原则核算，不计利润和税金。　</t>
  </si>
  <si>
    <t xml:space="preserve">                                                                                                                         </t>
  </si>
  <si>
    <t>项    目</t>
  </si>
  <si>
    <t>申报值</t>
  </si>
  <si>
    <t>备注</t>
  </si>
  <si>
    <t>三年平均数</t>
  </si>
  <si>
    <t>一、资产、负债、所有者权益</t>
  </si>
  <si>
    <t>（一）</t>
  </si>
  <si>
    <t>资产</t>
  </si>
  <si>
    <t>固定资产净值</t>
  </si>
  <si>
    <t>其中：固定资产原值</t>
  </si>
  <si>
    <r>
      <rPr>
        <sz val="9"/>
        <color indexed="8"/>
        <rFont val="Times New Roman"/>
        <family val="1"/>
      </rPr>
      <t xml:space="preserve"> </t>
    </r>
    <r>
      <rPr>
        <sz val="9"/>
        <color indexed="8"/>
        <rFont val="宋体"/>
        <family val="3"/>
        <charset val="134"/>
      </rPr>
      <t>累计折旧</t>
    </r>
  </si>
  <si>
    <t>流动资产</t>
  </si>
  <si>
    <t>在建工程</t>
  </si>
  <si>
    <t>（二）</t>
  </si>
  <si>
    <t>负债</t>
  </si>
  <si>
    <t>（三）</t>
  </si>
  <si>
    <t>所有者权益(净资产)</t>
  </si>
  <si>
    <t>实收资本</t>
  </si>
  <si>
    <t>资本公积</t>
  </si>
  <si>
    <t>盈余公积</t>
  </si>
  <si>
    <t>未分配利润</t>
  </si>
  <si>
    <t>二、收入、支出情况</t>
  </si>
  <si>
    <t>年初财政专户余额</t>
  </si>
  <si>
    <t>加</t>
  </si>
  <si>
    <t>原水收入（本年财政拨款专户收入）</t>
  </si>
  <si>
    <t>减</t>
  </si>
  <si>
    <t>提取水源保护专项资金</t>
  </si>
  <si>
    <t>财政统筹资金</t>
  </si>
  <si>
    <t>水库收入合计</t>
  </si>
  <si>
    <t>水费收入（财政当年核拨数）</t>
  </si>
  <si>
    <t xml:space="preserve">         </t>
  </si>
  <si>
    <t>其他收入</t>
  </si>
  <si>
    <t>拨入专款</t>
  </si>
  <si>
    <t xml:space="preserve">    </t>
  </si>
  <si>
    <t xml:space="preserve">      </t>
  </si>
  <si>
    <t>附</t>
  </si>
  <si>
    <t>年末财政专户余额</t>
  </si>
  <si>
    <t>（三）支出情况</t>
  </si>
  <si>
    <t>行政事业性支出</t>
  </si>
  <si>
    <t>其它支出</t>
  </si>
  <si>
    <t>三、其他基本情况</t>
  </si>
  <si>
    <t>总库容量（万立方米）</t>
  </si>
  <si>
    <t xml:space="preserve"> 其中：死库容（万立方米）</t>
  </si>
  <si>
    <t xml:space="preserve"> 兴利库容（万立方米）</t>
  </si>
  <si>
    <t xml:space="preserve">  调洪库容（万立方米）</t>
  </si>
  <si>
    <r>
      <rPr>
        <sz val="9"/>
        <color indexed="8"/>
        <rFont val="Times New Roman"/>
        <family val="1"/>
      </rPr>
      <t xml:space="preserve">     </t>
    </r>
    <r>
      <rPr>
        <sz val="9"/>
        <color indexed="8"/>
        <rFont val="宋体"/>
        <family val="3"/>
        <charset val="134"/>
      </rPr>
      <t>防洪库容（万立方米）</t>
    </r>
  </si>
  <si>
    <t>年供水量（万立方米）</t>
  </si>
  <si>
    <t>其中：工业用水（万立方米）</t>
  </si>
  <si>
    <t xml:space="preserve">      工业用水比重（%）</t>
  </si>
  <si>
    <t xml:space="preserve">      生活用水（万立方米）</t>
  </si>
  <si>
    <t xml:space="preserve">      生活用水比重（%）</t>
  </si>
  <si>
    <t xml:space="preserve">      发电用水（万立方米）</t>
  </si>
  <si>
    <t xml:space="preserve">      发电用水比重（%）</t>
  </si>
  <si>
    <t xml:space="preserve">      农业用水（万立方米）</t>
  </si>
  <si>
    <t xml:space="preserve">      农业用水比重（%）</t>
  </si>
  <si>
    <t>年排水水量（万立方米）</t>
  </si>
  <si>
    <t>（四）</t>
  </si>
  <si>
    <t>输水管道长度（公里）</t>
  </si>
  <si>
    <t>（五）</t>
  </si>
  <si>
    <t>年耗动力电总量（万千瓦时）</t>
  </si>
  <si>
    <t>（六）</t>
  </si>
  <si>
    <r>
      <rPr>
        <sz val="8"/>
        <color indexed="8"/>
        <rFont val="宋体"/>
        <family val="3"/>
        <charset val="134"/>
      </rPr>
      <t>单位供水耗电量（万千瓦时</t>
    </r>
    <r>
      <rPr>
        <sz val="8"/>
        <color indexed="8"/>
        <rFont val="Times New Roman"/>
        <family val="1"/>
      </rPr>
      <t>/</t>
    </r>
    <r>
      <rPr>
        <sz val="8"/>
        <color indexed="8"/>
        <rFont val="宋体"/>
        <family val="3"/>
        <charset val="134"/>
      </rPr>
      <t>万立方米</t>
    </r>
    <r>
      <rPr>
        <sz val="8"/>
        <color indexed="8"/>
        <rFont val="Times New Roman"/>
        <family val="1"/>
      </rPr>
      <t>)</t>
    </r>
  </si>
  <si>
    <t>（七）</t>
  </si>
  <si>
    <t>企业职工总数（人）</t>
  </si>
  <si>
    <t>其中:核定编制人数</t>
  </si>
  <si>
    <t xml:space="preserve">     在职职工</t>
  </si>
  <si>
    <t xml:space="preserve">     离退休人员</t>
  </si>
  <si>
    <t>（八）</t>
  </si>
  <si>
    <t>在职企业工资总额(统计报表)</t>
  </si>
  <si>
    <r>
      <rPr>
        <sz val="11"/>
        <color theme="1"/>
        <rFont val="等线"/>
        <charset val="134"/>
      </rPr>
      <t>单位：万m</t>
    </r>
    <r>
      <rPr>
        <vertAlign val="superscript"/>
        <sz val="12"/>
        <rFont val="宋体"/>
        <family val="3"/>
        <charset val="134"/>
      </rPr>
      <t>3</t>
    </r>
  </si>
  <si>
    <t>序号</t>
  </si>
  <si>
    <t xml:space="preserve">         年份
         水量
项目</t>
  </si>
  <si>
    <t>2017年供水量</t>
  </si>
  <si>
    <t>供水保证率</t>
  </si>
  <si>
    <t>2017年供水保证量</t>
  </si>
  <si>
    <t>供水分配系数</t>
  </si>
  <si>
    <t>2018年供水量</t>
  </si>
  <si>
    <t>2018年供水保证量</t>
  </si>
  <si>
    <t>2019年供水量</t>
  </si>
  <si>
    <t>2019年供水保证量</t>
  </si>
  <si>
    <t>3年供量合计数</t>
  </si>
  <si>
    <t>3年平均供水保证量</t>
  </si>
  <si>
    <t>3年平均供水保证量分配系数</t>
  </si>
  <si>
    <t>工业供水量</t>
  </si>
  <si>
    <t>城市生活供水量</t>
  </si>
  <si>
    <t>按13.56%比例分摊</t>
    <phoneticPr fontId="19" type="noConversion"/>
  </si>
  <si>
    <t>按85.91%比例分摊</t>
    <phoneticPr fontId="19" type="noConversion"/>
  </si>
  <si>
    <t>非发电实际供水量（工业、生活、农业实际供水量万m³</t>
    <phoneticPr fontId="19" type="noConversion"/>
  </si>
  <si>
    <t xml:space="preserve"> </t>
    <phoneticPr fontId="19" type="noConversion"/>
  </si>
  <si>
    <t>按0.53%比例分摊　</t>
    <phoneticPr fontId="19" type="noConversion"/>
  </si>
  <si>
    <t>扣除2017年刘加文案赔偿金14.51万元。</t>
    <phoneticPr fontId="19" type="noConversion"/>
  </si>
  <si>
    <t xml:space="preserve"> </t>
    <phoneticPr fontId="19" type="noConversion"/>
  </si>
  <si>
    <t>发电供水量（重复用水）</t>
    <phoneticPr fontId="19" type="noConversion"/>
  </si>
  <si>
    <t xml:space="preserve">农业供水量 </t>
    <phoneticPr fontId="19" type="noConversion"/>
  </si>
  <si>
    <t>总供水量 （未含发电供水量）</t>
    <phoneticPr fontId="19" type="noConversion"/>
  </si>
  <si>
    <t xml:space="preserve"> </t>
    <phoneticPr fontId="19" type="noConversion"/>
  </si>
  <si>
    <t>元江县水利灌区管理局2017—2019年县属水利工程供水定调价成本测算表(表一)</t>
    <phoneticPr fontId="19" type="noConversion"/>
  </si>
  <si>
    <r>
      <t>元江县水利灌区管理局2017—2019年县属水利工程供水</t>
    </r>
    <r>
      <rPr>
        <sz val="16"/>
        <color rgb="FF000000"/>
        <rFont val="宋体"/>
        <family val="3"/>
        <charset val="134"/>
      </rPr>
      <t>定调</t>
    </r>
    <r>
      <rPr>
        <sz val="16"/>
        <color theme="1"/>
        <rFont val="宋体"/>
        <family val="3"/>
        <charset val="134"/>
      </rPr>
      <t>价成本测算表</t>
    </r>
    <phoneticPr fontId="19" type="noConversion"/>
  </si>
  <si>
    <t>元江县水利灌区管理局2017—2019年县属水利工程供水基本情况表 (表二)</t>
    <phoneticPr fontId="19" type="noConversion"/>
  </si>
  <si>
    <r>
      <t xml:space="preserve">元江县水利灌区管理局2017—2019年县属水利工程供水量统计表   </t>
    </r>
    <r>
      <rPr>
        <sz val="20"/>
        <rFont val="黑体"/>
        <family val="3"/>
        <charset val="134"/>
      </rPr>
      <t>（表三）</t>
    </r>
    <phoneticPr fontId="19" type="noConversion"/>
  </si>
  <si>
    <r>
      <rPr>
        <sz val="16"/>
        <color indexed="8"/>
        <rFont val="Times New Roman"/>
        <family val="1"/>
      </rPr>
      <t xml:space="preserve">                                                                                                        </t>
    </r>
    <r>
      <rPr>
        <sz val="12"/>
        <color indexed="8"/>
        <rFont val="宋体"/>
        <family val="3"/>
        <charset val="134"/>
      </rPr>
      <t>单位：万元</t>
    </r>
    <phoneticPr fontId="19" type="noConversion"/>
  </si>
  <si>
    <t xml:space="preserve">                                                              单位：万元</t>
    <phoneticPr fontId="19" type="noConversion"/>
  </si>
</sst>
</file>

<file path=xl/styles.xml><?xml version="1.0" encoding="utf-8"?>
<styleSheet xmlns="http://schemas.openxmlformats.org/spreadsheetml/2006/main">
  <numFmts count="7">
    <numFmt numFmtId="176" formatCode="0.0000_);[Red]\(0.0000\)"/>
    <numFmt numFmtId="177" formatCode="0.00_ "/>
    <numFmt numFmtId="178" formatCode="0.000_ "/>
    <numFmt numFmtId="179" formatCode="0.00;[Red]0.00"/>
    <numFmt numFmtId="180" formatCode="000000"/>
    <numFmt numFmtId="181" formatCode="0.0000"/>
    <numFmt numFmtId="182" formatCode="0.000;[Red]0.000"/>
  </numFmts>
  <fonts count="37">
    <font>
      <sz val="11"/>
      <color theme="1"/>
      <name val="等线"/>
      <charset val="134"/>
    </font>
    <font>
      <b/>
      <sz val="20"/>
      <name val="黑体"/>
      <family val="3"/>
      <charset val="134"/>
    </font>
    <font>
      <sz val="9"/>
      <color indexed="8"/>
      <name val="等线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Times New Roman"/>
      <family val="1"/>
    </font>
    <font>
      <sz val="9"/>
      <color indexed="10"/>
      <name val="宋体"/>
      <family val="3"/>
      <charset val="134"/>
    </font>
    <font>
      <sz val="8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57"/>
      <name val="等线"/>
      <charset val="134"/>
    </font>
    <font>
      <sz val="11"/>
      <name val="等线"/>
      <charset val="134"/>
    </font>
    <font>
      <sz val="12"/>
      <name val="宋体"/>
      <family val="3"/>
      <charset val="134"/>
    </font>
    <font>
      <sz val="9"/>
      <color theme="1"/>
      <name val="宋体"/>
      <family val="3"/>
      <charset val="134"/>
    </font>
    <font>
      <sz val="6"/>
      <name val="宋体"/>
      <family val="3"/>
      <charset val="134"/>
    </font>
    <font>
      <sz val="9"/>
      <name val="等线"/>
      <charset val="134"/>
    </font>
    <font>
      <sz val="20"/>
      <name val="黑体"/>
      <family val="3"/>
      <charset val="134"/>
    </font>
    <font>
      <vertAlign val="superscript"/>
      <sz val="12"/>
      <name val="宋体"/>
      <family val="3"/>
      <charset val="134"/>
    </font>
    <font>
      <sz val="16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8"/>
      <color theme="1"/>
      <name val="Times New Roman"/>
      <family val="1"/>
    </font>
    <font>
      <b/>
      <sz val="12"/>
      <color theme="1"/>
      <name val="黑体"/>
      <family val="3"/>
      <charset val="134"/>
    </font>
    <font>
      <sz val="16"/>
      <color theme="1"/>
      <name val="宋体"/>
      <family val="3"/>
      <charset val="134"/>
    </font>
    <font>
      <sz val="16"/>
      <color rgb="FF000000"/>
      <name val="宋体"/>
      <family val="3"/>
      <charset val="134"/>
    </font>
    <font>
      <sz val="14"/>
      <color indexed="8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13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7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0" xfId="0" applyNumberFormat="1"/>
    <xf numFmtId="49" fontId="0" fillId="0" borderId="0" xfId="0" applyNumberFormat="1"/>
    <xf numFmtId="0" fontId="14" fillId="0" borderId="0" xfId="0" applyFont="1" applyFill="1" applyBorder="1"/>
    <xf numFmtId="0" fontId="15" fillId="3" borderId="0" xfId="0" applyFont="1" applyFill="1" applyBorder="1"/>
    <xf numFmtId="0" fontId="15" fillId="0" borderId="0" xfId="0" applyFont="1" applyFill="1" applyBorder="1"/>
    <xf numFmtId="0" fontId="17" fillId="0" borderId="1" xfId="0" applyFont="1" applyFill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justify" vertical="center" wrapText="1"/>
    </xf>
    <xf numFmtId="2" fontId="4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0" fillId="0" borderId="0" xfId="0" applyFont="1" applyFill="1" applyBorder="1"/>
    <xf numFmtId="0" fontId="30" fillId="0" borderId="1" xfId="0" applyFont="1" applyFill="1" applyBorder="1" applyAlignment="1">
      <alignment horizontal="justify" vertical="center" wrapText="1"/>
    </xf>
    <xf numFmtId="0" fontId="30" fillId="0" borderId="1" xfId="0" applyFont="1" applyFill="1" applyBorder="1" applyAlignment="1">
      <alignment horizontal="center" vertical="center"/>
    </xf>
    <xf numFmtId="2" fontId="30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justify" vertical="center" wrapText="1"/>
    </xf>
    <xf numFmtId="0" fontId="1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77" fontId="0" fillId="0" borderId="0" xfId="0" applyNumberFormat="1" applyFont="1" applyFill="1" applyBorder="1"/>
    <xf numFmtId="0" fontId="31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justify" vertical="center" wrapText="1"/>
    </xf>
    <xf numFmtId="179" fontId="30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10" fontId="29" fillId="0" borderId="1" xfId="0" applyNumberFormat="1" applyFont="1" applyFill="1" applyBorder="1" applyAlignment="1">
      <alignment horizontal="center" vertical="center" wrapText="1"/>
    </xf>
    <xf numFmtId="181" fontId="17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wrapText="1"/>
    </xf>
    <xf numFmtId="10" fontId="31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182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177" fontId="17" fillId="0" borderId="1" xfId="0" applyNumberFormat="1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78" fontId="0" fillId="0" borderId="5" xfId="0" applyNumberFormat="1" applyFont="1" applyBorder="1" applyAlignment="1">
      <alignment horizontal="center" vertical="center"/>
    </xf>
    <xf numFmtId="0" fontId="0" fillId="0" borderId="0" xfId="0" applyFont="1"/>
    <xf numFmtId="0" fontId="28" fillId="0" borderId="1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justify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/>
    </xf>
    <xf numFmtId="2" fontId="30" fillId="0" borderId="13" xfId="0" applyNumberFormat="1" applyFont="1" applyFill="1" applyBorder="1" applyAlignment="1">
      <alignment horizontal="center" vertical="center"/>
    </xf>
    <xf numFmtId="0" fontId="31" fillId="0" borderId="13" xfId="0" applyFont="1" applyFill="1" applyBorder="1" applyAlignment="1">
      <alignment horizontal="center" vertical="center" wrapText="1"/>
    </xf>
    <xf numFmtId="177" fontId="0" fillId="0" borderId="0" xfId="0" applyNumberFormat="1"/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34" fillId="0" borderId="0" xfId="0" applyFont="1"/>
    <xf numFmtId="0" fontId="33" fillId="0" borderId="0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0" fontId="31" fillId="0" borderId="13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5" fillId="0" borderId="6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9525</xdr:colOff>
      <xdr:row>2</xdr:row>
      <xdr:rowOff>495300</xdr:rowOff>
    </xdr:to>
    <xdr:cxnSp macro="">
      <xdr:nvCxnSpPr>
        <xdr:cNvPr id="3" name="直接连接符 2"/>
        <xdr:cNvCxnSpPr/>
      </xdr:nvCxnSpPr>
      <xdr:spPr>
        <a:xfrm>
          <a:off x="228600" y="819150"/>
          <a:ext cx="942975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9525</xdr:rowOff>
    </xdr:to>
    <xdr:cxnSp macro="">
      <xdr:nvCxnSpPr>
        <xdr:cNvPr id="5" name="直接连接符 4"/>
        <xdr:cNvCxnSpPr/>
      </xdr:nvCxnSpPr>
      <xdr:spPr>
        <a:xfrm>
          <a:off x="228600" y="819150"/>
          <a:ext cx="933450" cy="12026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view="pageBreakPreview" topLeftCell="A43" workbookViewId="0">
      <selection activeCell="E40" sqref="E40"/>
    </sheetView>
  </sheetViews>
  <sheetFormatPr defaultColWidth="8.875" defaultRowHeight="13.5"/>
  <cols>
    <col min="1" max="1" width="24.375" style="34" customWidth="1"/>
    <col min="2" max="2" width="3.875" style="34" customWidth="1"/>
    <col min="3" max="6" width="9.75" style="34" customWidth="1"/>
    <col min="7" max="7" width="21.875" style="34" customWidth="1"/>
    <col min="8" max="8" width="9.5" style="34" customWidth="1"/>
    <col min="9" max="16384" width="8.875" style="34"/>
  </cols>
  <sheetData>
    <row r="1" spans="1:10" ht="30" customHeight="1">
      <c r="A1" s="90" t="s">
        <v>175</v>
      </c>
      <c r="B1" s="90"/>
      <c r="C1" s="90"/>
      <c r="D1" s="90"/>
      <c r="E1" s="90"/>
      <c r="F1" s="90"/>
      <c r="G1" s="90"/>
      <c r="H1" s="45"/>
      <c r="I1" s="45"/>
      <c r="J1" s="45"/>
    </row>
    <row r="2" spans="1:10" ht="25.15" customHeight="1">
      <c r="A2" s="91" t="s">
        <v>180</v>
      </c>
      <c r="B2" s="91"/>
      <c r="C2" s="91"/>
      <c r="D2" s="91"/>
      <c r="E2" s="91"/>
      <c r="F2" s="91"/>
      <c r="G2" s="91"/>
      <c r="H2" s="45"/>
      <c r="I2" s="45"/>
      <c r="J2" s="45"/>
    </row>
    <row r="3" spans="1:10" ht="18" customHeight="1">
      <c r="A3" s="94" t="s">
        <v>0</v>
      </c>
      <c r="B3" s="94" t="s">
        <v>1</v>
      </c>
      <c r="C3" s="92" t="s">
        <v>2</v>
      </c>
      <c r="D3" s="92"/>
      <c r="E3" s="92"/>
      <c r="F3" s="92"/>
      <c r="G3" s="96" t="s">
        <v>3</v>
      </c>
      <c r="H3" s="45"/>
      <c r="I3" s="45"/>
      <c r="J3" s="45"/>
    </row>
    <row r="4" spans="1:10" ht="19.5" customHeight="1">
      <c r="A4" s="95"/>
      <c r="B4" s="95"/>
      <c r="C4" s="77" t="s">
        <v>4</v>
      </c>
      <c r="D4" s="77" t="s">
        <v>5</v>
      </c>
      <c r="E4" s="77" t="s">
        <v>6</v>
      </c>
      <c r="F4" s="77" t="s">
        <v>7</v>
      </c>
      <c r="G4" s="95"/>
      <c r="H4" s="45"/>
      <c r="I4" s="45"/>
      <c r="J4" s="45"/>
    </row>
    <row r="5" spans="1:10" ht="21.95" customHeight="1">
      <c r="A5" s="78" t="s">
        <v>8</v>
      </c>
      <c r="B5" s="79">
        <v>1</v>
      </c>
      <c r="C5" s="80">
        <f>C6+C12+C23</f>
        <v>2039.56</v>
      </c>
      <c r="D5" s="80">
        <f>D6+D12+D23</f>
        <v>2267.5300000000007</v>
      </c>
      <c r="E5" s="80">
        <f>E6+E12+E23</f>
        <v>1892.81</v>
      </c>
      <c r="F5" s="81">
        <f>AVERAGE(C5:E5)</f>
        <v>2066.6333333333332</v>
      </c>
      <c r="G5" s="82" t="s">
        <v>9</v>
      </c>
      <c r="H5" s="45"/>
      <c r="I5" s="45"/>
      <c r="J5" s="45"/>
    </row>
    <row r="6" spans="1:10" ht="21.95" customHeight="1">
      <c r="A6" s="50" t="s">
        <v>10</v>
      </c>
      <c r="B6" s="35">
        <v>2</v>
      </c>
      <c r="C6" s="51">
        <f>SUM(C7:C11)</f>
        <v>1790.23</v>
      </c>
      <c r="D6" s="51">
        <f>SUM(D7:D11)</f>
        <v>1957.7900000000004</v>
      </c>
      <c r="E6" s="51">
        <f>SUM(E7:E11)</f>
        <v>1789.07</v>
      </c>
      <c r="F6" s="36">
        <f>AVERAGE(C6:E6)</f>
        <v>1845.6966666666667</v>
      </c>
      <c r="G6" s="52"/>
      <c r="H6" s="45"/>
      <c r="I6" s="45" t="s">
        <v>9</v>
      </c>
      <c r="J6" s="45"/>
    </row>
    <row r="7" spans="1:10" ht="21.95" customHeight="1">
      <c r="A7" s="50" t="s">
        <v>11</v>
      </c>
      <c r="B7" s="35">
        <v>3</v>
      </c>
      <c r="C7" s="37">
        <v>1189.3</v>
      </c>
      <c r="D7" s="51">
        <v>1320.66</v>
      </c>
      <c r="E7" s="51">
        <v>1186.22</v>
      </c>
      <c r="F7" s="36">
        <f t="shared" ref="F7:F55" si="0">AVERAGE(C7:E7)</f>
        <v>1232.0600000000002</v>
      </c>
      <c r="G7" s="52"/>
      <c r="H7" s="53" t="s">
        <v>9</v>
      </c>
      <c r="I7" s="45"/>
      <c r="J7" s="45"/>
    </row>
    <row r="8" spans="1:10" ht="21.95" customHeight="1">
      <c r="A8" s="50" t="s">
        <v>12</v>
      </c>
      <c r="B8" s="35">
        <v>4</v>
      </c>
      <c r="C8" s="51">
        <v>77.77</v>
      </c>
      <c r="D8" s="51">
        <v>83.62</v>
      </c>
      <c r="E8" s="51">
        <v>81.319999999999993</v>
      </c>
      <c r="F8" s="36">
        <f t="shared" si="0"/>
        <v>80.903333333333322</v>
      </c>
      <c r="G8" s="52"/>
      <c r="H8" s="53" t="s">
        <v>9</v>
      </c>
      <c r="I8" s="45"/>
      <c r="J8" s="45"/>
    </row>
    <row r="9" spans="1:10" ht="21.95" customHeight="1">
      <c r="A9" s="54" t="s">
        <v>13</v>
      </c>
      <c r="B9" s="35">
        <v>5</v>
      </c>
      <c r="C9" s="37">
        <v>277.3</v>
      </c>
      <c r="D9" s="51">
        <v>297.19</v>
      </c>
      <c r="E9" s="51">
        <v>268.19</v>
      </c>
      <c r="F9" s="36">
        <f t="shared" si="0"/>
        <v>280.89333333333337</v>
      </c>
      <c r="G9" s="52"/>
      <c r="H9" s="45"/>
      <c r="I9" s="45"/>
      <c r="J9" s="45"/>
    </row>
    <row r="10" spans="1:10" ht="21.95" customHeight="1">
      <c r="A10" s="50" t="s">
        <v>14</v>
      </c>
      <c r="B10" s="35">
        <v>6</v>
      </c>
      <c r="C10" s="51">
        <v>149.36000000000001</v>
      </c>
      <c r="D10" s="51">
        <v>155.44999999999999</v>
      </c>
      <c r="E10" s="51">
        <v>154.81</v>
      </c>
      <c r="F10" s="36">
        <f t="shared" si="0"/>
        <v>153.20666666666668</v>
      </c>
      <c r="G10" s="52"/>
      <c r="H10" s="45"/>
      <c r="I10" s="45"/>
      <c r="J10" s="45"/>
    </row>
    <row r="11" spans="1:10" ht="21.95" customHeight="1">
      <c r="A11" s="50" t="s">
        <v>15</v>
      </c>
      <c r="B11" s="35">
        <v>7</v>
      </c>
      <c r="C11" s="37">
        <v>96.5</v>
      </c>
      <c r="D11" s="51">
        <v>100.87</v>
      </c>
      <c r="E11" s="51">
        <v>98.53</v>
      </c>
      <c r="F11" s="36">
        <f t="shared" si="0"/>
        <v>98.633333333333326</v>
      </c>
      <c r="G11" s="52" t="s">
        <v>9</v>
      </c>
      <c r="H11" s="45"/>
      <c r="I11" s="45"/>
      <c r="J11" s="45"/>
    </row>
    <row r="12" spans="1:10" ht="21.95" customHeight="1">
      <c r="A12" s="50" t="s">
        <v>16</v>
      </c>
      <c r="B12" s="35">
        <v>8</v>
      </c>
      <c r="C12" s="51">
        <f>SUM(C13:C22)</f>
        <v>54.72</v>
      </c>
      <c r="D12" s="51">
        <f>SUM(D13:D22)</f>
        <v>109.55000000000001</v>
      </c>
      <c r="E12" s="51">
        <f>SUM(E13:E22)</f>
        <v>34.770000000000003</v>
      </c>
      <c r="F12" s="36">
        <f t="shared" si="0"/>
        <v>66.346666666666678</v>
      </c>
      <c r="G12" s="52" t="s">
        <v>17</v>
      </c>
      <c r="H12" s="45"/>
      <c r="I12" s="45"/>
      <c r="J12" s="45"/>
    </row>
    <row r="13" spans="1:10" ht="21.95" customHeight="1">
      <c r="A13" s="50" t="s">
        <v>18</v>
      </c>
      <c r="B13" s="35">
        <v>9</v>
      </c>
      <c r="C13" s="37">
        <v>6.1</v>
      </c>
      <c r="D13" s="51">
        <v>9.24</v>
      </c>
      <c r="E13" s="51">
        <v>10.63</v>
      </c>
      <c r="F13" s="36">
        <f t="shared" si="0"/>
        <v>8.6566666666666663</v>
      </c>
      <c r="G13" s="52"/>
      <c r="H13" s="45" t="s">
        <v>9</v>
      </c>
      <c r="I13" s="45"/>
      <c r="J13" s="45"/>
    </row>
    <row r="14" spans="1:10" ht="21.95" customHeight="1">
      <c r="A14" s="50" t="s">
        <v>19</v>
      </c>
      <c r="B14" s="35">
        <v>10</v>
      </c>
      <c r="C14" s="51">
        <v>5.38</v>
      </c>
      <c r="D14" s="51">
        <v>6.76</v>
      </c>
      <c r="E14" s="51">
        <v>4.25</v>
      </c>
      <c r="F14" s="36">
        <f t="shared" si="0"/>
        <v>5.4633333333333338</v>
      </c>
      <c r="G14" s="52"/>
      <c r="H14" s="45"/>
      <c r="I14" s="45"/>
      <c r="J14" s="45"/>
    </row>
    <row r="15" spans="1:10" ht="33.75" customHeight="1">
      <c r="A15" s="50" t="s">
        <v>20</v>
      </c>
      <c r="B15" s="35">
        <v>11</v>
      </c>
      <c r="C15" s="51">
        <v>0.61</v>
      </c>
      <c r="D15" s="51">
        <v>0.16</v>
      </c>
      <c r="E15" s="51">
        <v>0.26</v>
      </c>
      <c r="F15" s="36">
        <f t="shared" si="0"/>
        <v>0.34333333333333332</v>
      </c>
      <c r="G15" s="49" t="s">
        <v>21</v>
      </c>
      <c r="H15" s="45"/>
      <c r="I15" s="45"/>
      <c r="J15" s="45"/>
    </row>
    <row r="16" spans="1:10" ht="24.95" customHeight="1">
      <c r="A16" s="50" t="s">
        <v>22</v>
      </c>
      <c r="B16" s="35">
        <v>12</v>
      </c>
      <c r="C16" s="51">
        <v>4.8099999999999996</v>
      </c>
      <c r="D16" s="51">
        <v>4.96</v>
      </c>
      <c r="E16" s="37">
        <v>6</v>
      </c>
      <c r="F16" s="36">
        <f t="shared" si="0"/>
        <v>5.2566666666666668</v>
      </c>
      <c r="G16" s="55"/>
      <c r="H16" s="45"/>
      <c r="I16" s="45"/>
      <c r="J16" s="45"/>
    </row>
    <row r="17" spans="1:10" ht="24.95" customHeight="1">
      <c r="A17" s="50" t="s">
        <v>23</v>
      </c>
      <c r="B17" s="35">
        <v>13</v>
      </c>
      <c r="C17" s="51">
        <v>8.4499999999999993</v>
      </c>
      <c r="D17" s="51">
        <v>8.1199999999999992</v>
      </c>
      <c r="E17" s="51">
        <v>7.19</v>
      </c>
      <c r="F17" s="36">
        <f t="shared" si="0"/>
        <v>7.9200000000000008</v>
      </c>
      <c r="G17" s="52"/>
      <c r="H17" s="45"/>
      <c r="I17" s="45"/>
      <c r="J17" s="45"/>
    </row>
    <row r="18" spans="1:10" ht="24.95" customHeight="1">
      <c r="A18" s="50" t="s">
        <v>24</v>
      </c>
      <c r="B18" s="35">
        <v>14</v>
      </c>
      <c r="C18" s="51">
        <v>3.02</v>
      </c>
      <c r="D18" s="51">
        <v>3.66</v>
      </c>
      <c r="E18" s="51">
        <v>2.41</v>
      </c>
      <c r="F18" s="36">
        <f t="shared" si="0"/>
        <v>3.03</v>
      </c>
      <c r="G18" s="52"/>
      <c r="H18" s="45"/>
      <c r="I18" s="45"/>
      <c r="J18" s="45"/>
    </row>
    <row r="19" spans="1:10" ht="24.95" customHeight="1">
      <c r="A19" s="50" t="s">
        <v>25</v>
      </c>
      <c r="B19" s="35">
        <v>15</v>
      </c>
      <c r="C19" s="37">
        <v>3.97</v>
      </c>
      <c r="D19" s="51">
        <v>7.47</v>
      </c>
      <c r="E19" s="37">
        <v>0</v>
      </c>
      <c r="F19" s="36">
        <f t="shared" si="0"/>
        <v>3.813333333333333</v>
      </c>
      <c r="G19" s="49" t="s">
        <v>169</v>
      </c>
      <c r="H19" s="45"/>
      <c r="I19" s="45"/>
      <c r="J19" s="45"/>
    </row>
    <row r="20" spans="1:10" ht="24.95" customHeight="1">
      <c r="A20" s="50" t="s">
        <v>26</v>
      </c>
      <c r="B20" s="35">
        <v>16</v>
      </c>
      <c r="C20" s="51">
        <v>3.57</v>
      </c>
      <c r="D20" s="51">
        <v>7.48</v>
      </c>
      <c r="E20" s="51">
        <v>3.88</v>
      </c>
      <c r="F20" s="36">
        <f t="shared" si="0"/>
        <v>4.9766666666666666</v>
      </c>
      <c r="G20" s="52"/>
      <c r="H20" s="45"/>
      <c r="I20" s="45"/>
      <c r="J20" s="45"/>
    </row>
    <row r="21" spans="1:10" ht="24.95" customHeight="1">
      <c r="A21" s="50" t="s">
        <v>27</v>
      </c>
      <c r="B21" s="35">
        <v>17</v>
      </c>
      <c r="C21" s="37">
        <v>0</v>
      </c>
      <c r="D21" s="51">
        <v>28.02</v>
      </c>
      <c r="E21" s="37">
        <v>0</v>
      </c>
      <c r="F21" s="36">
        <v>9.34</v>
      </c>
      <c r="G21" s="52"/>
      <c r="H21" s="45"/>
      <c r="I21" s="45"/>
      <c r="J21" s="45"/>
    </row>
    <row r="22" spans="1:10" ht="24.95" customHeight="1">
      <c r="A22" s="50" t="s">
        <v>28</v>
      </c>
      <c r="B22" s="35">
        <v>18</v>
      </c>
      <c r="C22" s="51">
        <v>18.809999999999999</v>
      </c>
      <c r="D22" s="51">
        <v>33.68</v>
      </c>
      <c r="E22" s="51">
        <v>0.15</v>
      </c>
      <c r="F22" s="36">
        <f t="shared" si="0"/>
        <v>17.546666666666663</v>
      </c>
      <c r="G22" s="52"/>
      <c r="H22" s="45"/>
      <c r="I22" s="45"/>
      <c r="J22" s="45"/>
    </row>
    <row r="23" spans="1:10" ht="24.95" customHeight="1">
      <c r="A23" s="50" t="s">
        <v>29</v>
      </c>
      <c r="B23" s="35">
        <v>19</v>
      </c>
      <c r="C23" s="51">
        <v>194.61</v>
      </c>
      <c r="D23" s="51">
        <v>200.19</v>
      </c>
      <c r="E23" s="51">
        <v>68.97</v>
      </c>
      <c r="F23" s="36">
        <f t="shared" si="0"/>
        <v>154.59</v>
      </c>
      <c r="G23" s="52"/>
      <c r="H23" s="45"/>
      <c r="I23" s="45"/>
      <c r="J23" s="45"/>
    </row>
    <row r="24" spans="1:10" ht="24.95" customHeight="1">
      <c r="A24" s="46" t="s">
        <v>30</v>
      </c>
      <c r="B24" s="35">
        <v>20</v>
      </c>
      <c r="C24" s="47">
        <f>C25+C26</f>
        <v>459.44</v>
      </c>
      <c r="D24" s="47">
        <f>D25+D26</f>
        <v>459.44</v>
      </c>
      <c r="E24" s="47">
        <f>E25+E26</f>
        <v>459.36</v>
      </c>
      <c r="F24" s="48">
        <f t="shared" si="0"/>
        <v>459.41333333333336</v>
      </c>
      <c r="G24" s="49" t="s">
        <v>31</v>
      </c>
      <c r="H24" s="45"/>
      <c r="I24" s="45"/>
      <c r="J24" s="45"/>
    </row>
    <row r="25" spans="1:10" ht="24.95" customHeight="1">
      <c r="A25" s="50" t="s">
        <v>32</v>
      </c>
      <c r="B25" s="35">
        <v>21</v>
      </c>
      <c r="C25" s="51">
        <v>196.76</v>
      </c>
      <c r="D25" s="51">
        <v>196.76</v>
      </c>
      <c r="E25" s="51">
        <v>206.76</v>
      </c>
      <c r="F25" s="36">
        <f t="shared" si="0"/>
        <v>200.09333333333333</v>
      </c>
      <c r="G25" s="52"/>
      <c r="H25" s="45"/>
      <c r="I25" s="45"/>
      <c r="J25" s="45"/>
    </row>
    <row r="26" spans="1:10" ht="24.95" customHeight="1">
      <c r="A26" s="56" t="s">
        <v>33</v>
      </c>
      <c r="B26" s="35">
        <v>22</v>
      </c>
      <c r="C26" s="51">
        <v>262.68</v>
      </c>
      <c r="D26" s="51">
        <v>262.68</v>
      </c>
      <c r="E26" s="37">
        <v>252.6</v>
      </c>
      <c r="F26" s="36">
        <f t="shared" si="0"/>
        <v>259.32</v>
      </c>
      <c r="G26" s="49" t="s">
        <v>34</v>
      </c>
      <c r="H26" s="45"/>
      <c r="I26" s="45"/>
      <c r="J26" s="45"/>
    </row>
    <row r="27" spans="1:10" ht="24.95" customHeight="1">
      <c r="A27" s="46" t="s">
        <v>35</v>
      </c>
      <c r="B27" s="35">
        <v>23</v>
      </c>
      <c r="C27" s="47">
        <v>1010.5</v>
      </c>
      <c r="D27" s="47">
        <v>990.41</v>
      </c>
      <c r="E27" s="47">
        <v>971.58</v>
      </c>
      <c r="F27" s="47">
        <v>990.83</v>
      </c>
      <c r="G27" s="49"/>
      <c r="H27" s="45" t="s">
        <v>9</v>
      </c>
      <c r="I27" s="45" t="s">
        <v>9</v>
      </c>
      <c r="J27" s="45" t="s">
        <v>9</v>
      </c>
    </row>
    <row r="28" spans="1:10" ht="24.95" customHeight="1">
      <c r="A28" s="46" t="s">
        <v>36</v>
      </c>
      <c r="B28" s="35">
        <v>24</v>
      </c>
      <c r="C28" s="48">
        <f>C5+C24+C27</f>
        <v>3509.5</v>
      </c>
      <c r="D28" s="47">
        <f>D5+D24+D27</f>
        <v>3717.3800000000006</v>
      </c>
      <c r="E28" s="47">
        <f>E5+E24+E27</f>
        <v>3323.75</v>
      </c>
      <c r="F28" s="48">
        <f t="shared" si="0"/>
        <v>3516.876666666667</v>
      </c>
      <c r="G28" s="52"/>
      <c r="H28" s="45"/>
      <c r="I28" s="45"/>
      <c r="J28" s="45"/>
    </row>
    <row r="29" spans="1:10" ht="24.95" customHeight="1">
      <c r="A29" s="57" t="s">
        <v>37</v>
      </c>
      <c r="B29" s="35">
        <v>25</v>
      </c>
      <c r="C29" s="36">
        <f>C28*13.96%</f>
        <v>489.92619999999999</v>
      </c>
      <c r="D29" s="36">
        <f>D28*13.96%</f>
        <v>518.94624800000008</v>
      </c>
      <c r="E29" s="36">
        <f>E28*13.96%</f>
        <v>463.99549999999999</v>
      </c>
      <c r="F29" s="36">
        <f t="shared" si="0"/>
        <v>490.95598266666667</v>
      </c>
      <c r="G29" s="97" t="s">
        <v>38</v>
      </c>
      <c r="H29" s="45"/>
      <c r="I29" s="45"/>
      <c r="J29" s="45"/>
    </row>
    <row r="30" spans="1:10" ht="24.95" customHeight="1">
      <c r="A30" s="57" t="s">
        <v>39</v>
      </c>
      <c r="B30" s="35">
        <v>26</v>
      </c>
      <c r="C30" s="36">
        <f>C28-C29</f>
        <v>3019.5738000000001</v>
      </c>
      <c r="D30" s="36">
        <f>D28-D29</f>
        <v>3198.4337520000004</v>
      </c>
      <c r="E30" s="36">
        <f>E28-E29</f>
        <v>2859.7545</v>
      </c>
      <c r="F30" s="36">
        <f t="shared" si="0"/>
        <v>3025.9206840000006</v>
      </c>
      <c r="G30" s="98"/>
      <c r="H30" s="45"/>
      <c r="I30" s="45"/>
      <c r="J30" s="45"/>
    </row>
    <row r="31" spans="1:10" ht="27" customHeight="1">
      <c r="A31" s="46" t="s">
        <v>40</v>
      </c>
      <c r="B31" s="35">
        <v>27</v>
      </c>
      <c r="C31" s="58">
        <f>C32+C33</f>
        <v>294.77999999999997</v>
      </c>
      <c r="D31" s="58">
        <f>D32+D33</f>
        <v>242.26999999999998</v>
      </c>
      <c r="E31" s="58">
        <f>E32+E33</f>
        <v>207.48</v>
      </c>
      <c r="F31" s="58">
        <f>F32+F33</f>
        <v>248.17666666666668</v>
      </c>
      <c r="G31" s="52" t="s">
        <v>41</v>
      </c>
      <c r="H31" s="45"/>
      <c r="I31" s="45"/>
      <c r="J31" s="45"/>
    </row>
    <row r="32" spans="1:10" ht="24.95" customHeight="1">
      <c r="A32" s="50" t="s">
        <v>42</v>
      </c>
      <c r="B32" s="35">
        <v>28</v>
      </c>
      <c r="C32" s="37">
        <v>241</v>
      </c>
      <c r="D32" s="37">
        <v>191.47</v>
      </c>
      <c r="E32" s="37">
        <v>151.32</v>
      </c>
      <c r="F32" s="36">
        <f t="shared" si="0"/>
        <v>194.59666666666666</v>
      </c>
      <c r="G32" s="49"/>
      <c r="H32" s="45"/>
      <c r="I32" s="45"/>
      <c r="J32" s="45"/>
    </row>
    <row r="33" spans="1:10" ht="24.95" customHeight="1">
      <c r="A33" s="50" t="s">
        <v>43</v>
      </c>
      <c r="B33" s="35">
        <v>29</v>
      </c>
      <c r="C33" s="37">
        <v>53.78</v>
      </c>
      <c r="D33" s="37">
        <v>50.8</v>
      </c>
      <c r="E33" s="37">
        <v>56.16</v>
      </c>
      <c r="F33" s="36">
        <f t="shared" si="0"/>
        <v>53.580000000000005</v>
      </c>
      <c r="G33" s="49"/>
      <c r="H33" s="45"/>
      <c r="I33" s="45"/>
      <c r="J33" s="45"/>
    </row>
    <row r="34" spans="1:10" s="32" customFormat="1" ht="25.15" customHeight="1">
      <c r="A34" s="46" t="s">
        <v>44</v>
      </c>
      <c r="B34" s="35">
        <v>30</v>
      </c>
      <c r="C34" s="58">
        <f>C30-C31</f>
        <v>2724.7938000000004</v>
      </c>
      <c r="D34" s="58">
        <f>D30-D31</f>
        <v>2956.1637520000004</v>
      </c>
      <c r="E34" s="58">
        <f>E30-E31</f>
        <v>2652.2745</v>
      </c>
      <c r="F34" s="48">
        <f t="shared" si="0"/>
        <v>2777.7440173333339</v>
      </c>
      <c r="G34" s="52"/>
      <c r="H34" s="45"/>
      <c r="I34" s="45"/>
      <c r="J34" s="45"/>
    </row>
    <row r="35" spans="1:10" ht="27.75" customHeight="1">
      <c r="A35" s="50" t="s">
        <v>45</v>
      </c>
      <c r="B35" s="35">
        <v>31</v>
      </c>
      <c r="C35" s="37">
        <f>C34*44.34%</f>
        <v>1208.1735709200002</v>
      </c>
      <c r="D35" s="37">
        <f>D34*44.34%</f>
        <v>1310.7630076368002</v>
      </c>
      <c r="E35" s="37">
        <f>E34*44.34%</f>
        <v>1176.0185133</v>
      </c>
      <c r="F35" s="36">
        <f t="shared" si="0"/>
        <v>1231.6516972856002</v>
      </c>
      <c r="G35" s="60">
        <v>0.44340000000000002</v>
      </c>
      <c r="H35" s="45"/>
      <c r="I35" s="45"/>
      <c r="J35" s="45"/>
    </row>
    <row r="36" spans="1:10" s="33" customFormat="1" ht="33.950000000000003" customHeight="1">
      <c r="A36" s="50" t="s">
        <v>46</v>
      </c>
      <c r="B36" s="35">
        <v>32</v>
      </c>
      <c r="C36" s="37">
        <f>C34*55.66%</f>
        <v>1516.6202290800002</v>
      </c>
      <c r="D36" s="37">
        <f>D34*55.66%</f>
        <v>1645.4007443632001</v>
      </c>
      <c r="E36" s="37">
        <f>E34*55.66%</f>
        <v>1476.2559867</v>
      </c>
      <c r="F36" s="36">
        <f t="shared" si="0"/>
        <v>1546.0923200477334</v>
      </c>
      <c r="G36" s="60">
        <v>0.55659999999999998</v>
      </c>
      <c r="H36" s="45"/>
      <c r="I36" s="45"/>
      <c r="J36" s="45"/>
    </row>
    <row r="37" spans="1:10" ht="24.95" customHeight="1">
      <c r="A37" s="50" t="s">
        <v>47</v>
      </c>
      <c r="B37" s="35">
        <v>33</v>
      </c>
      <c r="C37" s="36">
        <f>C36*C38</f>
        <v>12.035109812119764</v>
      </c>
      <c r="D37" s="36">
        <f>D36*D38</f>
        <v>7.6825137949532731</v>
      </c>
      <c r="E37" s="36">
        <f>E36*E38</f>
        <v>4.6965961324769721</v>
      </c>
      <c r="F37" s="61">
        <f t="shared" si="0"/>
        <v>8.1380732465166705</v>
      </c>
      <c r="G37" s="49" t="s">
        <v>168</v>
      </c>
      <c r="H37" s="62"/>
      <c r="I37" s="45"/>
      <c r="J37" s="45"/>
    </row>
    <row r="38" spans="1:10" ht="24.95" customHeight="1">
      <c r="A38" s="50" t="s">
        <v>48</v>
      </c>
      <c r="B38" s="35">
        <v>34</v>
      </c>
      <c r="C38" s="61">
        <f>C52/C51</f>
        <v>7.9354802087932084E-3</v>
      </c>
      <c r="D38" s="61">
        <f>D52/D51</f>
        <v>4.6690836996834744E-3</v>
      </c>
      <c r="E38" s="61">
        <f>E52/E51</f>
        <v>3.1814239364919839E-3</v>
      </c>
      <c r="F38" s="61">
        <f t="shared" si="0"/>
        <v>5.2619959483228883E-3</v>
      </c>
      <c r="G38" s="49"/>
      <c r="H38" s="62"/>
      <c r="I38" s="45"/>
      <c r="J38" s="45"/>
    </row>
    <row r="39" spans="1:10" ht="24.95" customHeight="1">
      <c r="A39" s="50" t="s">
        <v>49</v>
      </c>
      <c r="B39" s="35">
        <v>35</v>
      </c>
      <c r="C39" s="36">
        <f>C36*C40</f>
        <v>188.04949435114395</v>
      </c>
      <c r="D39" s="36">
        <f>D36*D40</f>
        <v>226.1972263861941</v>
      </c>
      <c r="E39" s="36">
        <f>E36*E40</f>
        <v>214.75067214838515</v>
      </c>
      <c r="F39" s="36">
        <f t="shared" si="0"/>
        <v>209.66579762857441</v>
      </c>
      <c r="G39" s="49" t="s">
        <v>164</v>
      </c>
      <c r="H39" s="45"/>
      <c r="I39" s="45"/>
      <c r="J39" s="45"/>
    </row>
    <row r="40" spans="1:10" ht="24.95" customHeight="1">
      <c r="A40" s="50" t="s">
        <v>50</v>
      </c>
      <c r="B40" s="35">
        <v>36</v>
      </c>
      <c r="C40" s="61">
        <f>C53/C51</f>
        <v>0.1239924740191663</v>
      </c>
      <c r="D40" s="61">
        <f>D53/D51</f>
        <v>0.13747242254575284</v>
      </c>
      <c r="E40" s="61">
        <f>E53/E51</f>
        <v>0.14546980610621299</v>
      </c>
      <c r="F40" s="61">
        <f t="shared" si="0"/>
        <v>0.13564490089037737</v>
      </c>
      <c r="G40" s="49"/>
      <c r="H40" s="45"/>
      <c r="I40" s="45"/>
      <c r="J40" s="45"/>
    </row>
    <row r="41" spans="1:10" ht="24.95" customHeight="1">
      <c r="A41" s="50" t="s">
        <v>51</v>
      </c>
      <c r="B41" s="35">
        <v>37</v>
      </c>
      <c r="C41" s="36">
        <f>C36-C37-C39</f>
        <v>1316.5356249167364</v>
      </c>
      <c r="D41" s="36">
        <f>D36-D37-D39</f>
        <v>1411.5210041820526</v>
      </c>
      <c r="E41" s="36">
        <f>E36-E37-E39</f>
        <v>1256.8087184191379</v>
      </c>
      <c r="F41" s="36">
        <f t="shared" si="0"/>
        <v>1328.2884491726425</v>
      </c>
      <c r="G41" s="49" t="s">
        <v>165</v>
      </c>
      <c r="H41" s="45"/>
      <c r="I41" s="45"/>
      <c r="J41" s="45"/>
    </row>
    <row r="42" spans="1:10" ht="24.95" customHeight="1">
      <c r="A42" s="50" t="s">
        <v>52</v>
      </c>
      <c r="B42" s="35">
        <v>38</v>
      </c>
      <c r="C42" s="61">
        <f>C54/C51</f>
        <v>0.86807204577204045</v>
      </c>
      <c r="D42" s="61">
        <f>D54/D51</f>
        <v>0.85785849375456369</v>
      </c>
      <c r="E42" s="61">
        <f>E54/E51</f>
        <v>0.85134876995729503</v>
      </c>
      <c r="F42" s="61">
        <f t="shared" si="0"/>
        <v>0.85909310316129972</v>
      </c>
      <c r="G42" s="49"/>
      <c r="H42" s="45"/>
      <c r="I42" s="45"/>
      <c r="J42" s="45"/>
    </row>
    <row r="43" spans="1:10" ht="24.95" customHeight="1">
      <c r="A43" s="59" t="s">
        <v>53</v>
      </c>
      <c r="B43" s="35">
        <v>39</v>
      </c>
      <c r="C43" s="47">
        <v>7994.02</v>
      </c>
      <c r="D43" s="47">
        <v>7774.41</v>
      </c>
      <c r="E43" s="47">
        <v>8195.16</v>
      </c>
      <c r="F43" s="48">
        <f t="shared" si="0"/>
        <v>7987.8633333333337</v>
      </c>
      <c r="G43" s="52" t="s">
        <v>54</v>
      </c>
      <c r="H43" s="45"/>
      <c r="I43" s="45"/>
      <c r="J43" s="45"/>
    </row>
    <row r="44" spans="1:10" ht="24.95" customHeight="1">
      <c r="A44" s="56" t="s">
        <v>55</v>
      </c>
      <c r="B44" s="35">
        <v>40</v>
      </c>
      <c r="C44" s="51">
        <v>1303.49</v>
      </c>
      <c r="D44" s="51">
        <v>1635.14</v>
      </c>
      <c r="E44" s="51">
        <v>1539.65</v>
      </c>
      <c r="F44" s="36">
        <f t="shared" si="0"/>
        <v>1492.7600000000002</v>
      </c>
      <c r="G44" s="49" t="s">
        <v>54</v>
      </c>
      <c r="H44" s="45"/>
      <c r="I44" s="45"/>
      <c r="J44" s="45"/>
    </row>
    <row r="45" spans="1:10" ht="24.95" customHeight="1">
      <c r="A45" s="56" t="s">
        <v>56</v>
      </c>
      <c r="B45" s="35">
        <v>41</v>
      </c>
      <c r="C45" s="51">
        <f>C43-C44</f>
        <v>6690.5300000000007</v>
      </c>
      <c r="D45" s="51">
        <f>D43-D44</f>
        <v>6139.2699999999995</v>
      </c>
      <c r="E45" s="51">
        <f>E43-E44</f>
        <v>6655.51</v>
      </c>
      <c r="F45" s="36">
        <f t="shared" si="0"/>
        <v>6495.1033333333326</v>
      </c>
      <c r="G45" s="49" t="s">
        <v>57</v>
      </c>
      <c r="H45" s="45"/>
      <c r="I45" s="45"/>
      <c r="J45" s="45"/>
    </row>
    <row r="46" spans="1:10" ht="24.95" customHeight="1">
      <c r="A46" s="56" t="s">
        <v>58</v>
      </c>
      <c r="B46" s="35">
        <v>42</v>
      </c>
      <c r="C46" s="36">
        <f>C45*80%</f>
        <v>5352.4240000000009</v>
      </c>
      <c r="D46" s="36">
        <f>D45*80%</f>
        <v>4911.4160000000002</v>
      </c>
      <c r="E46" s="36">
        <f>E45*80%</f>
        <v>5324.4080000000004</v>
      </c>
      <c r="F46" s="36">
        <f t="shared" si="0"/>
        <v>5196.0826666666662</v>
      </c>
      <c r="G46" s="49" t="s">
        <v>59</v>
      </c>
      <c r="H46" s="45"/>
      <c r="I46" s="45"/>
      <c r="J46" s="45"/>
    </row>
    <row r="47" spans="1:10" ht="27.95" customHeight="1">
      <c r="A47" s="35" t="s">
        <v>60</v>
      </c>
      <c r="B47" s="35">
        <v>43</v>
      </c>
      <c r="C47" s="36">
        <f>C46+C44</f>
        <v>6655.9140000000007</v>
      </c>
      <c r="D47" s="36">
        <f>D46+D44</f>
        <v>6546.5560000000005</v>
      </c>
      <c r="E47" s="36">
        <f>E46+E44</f>
        <v>6864.0580000000009</v>
      </c>
      <c r="F47" s="36">
        <f t="shared" si="0"/>
        <v>6688.8426666666674</v>
      </c>
      <c r="G47" s="49"/>
      <c r="H47" s="45"/>
      <c r="I47" s="45"/>
      <c r="J47" s="45"/>
    </row>
    <row r="48" spans="1:10" ht="24.95" customHeight="1">
      <c r="A48" s="56" t="s">
        <v>61</v>
      </c>
      <c r="B48" s="35">
        <v>44</v>
      </c>
      <c r="C48" s="37">
        <v>37</v>
      </c>
      <c r="D48" s="37">
        <v>21.5</v>
      </c>
      <c r="E48" s="37">
        <v>15.4</v>
      </c>
      <c r="F48" s="36">
        <f t="shared" si="0"/>
        <v>24.633333333333336</v>
      </c>
      <c r="G48" s="63" t="s">
        <v>62</v>
      </c>
      <c r="H48" s="45"/>
      <c r="I48" s="45"/>
      <c r="J48" s="45"/>
    </row>
    <row r="49" spans="1:10" ht="24.95" customHeight="1">
      <c r="A49" s="56" t="s">
        <v>63</v>
      </c>
      <c r="B49" s="35">
        <v>45</v>
      </c>
      <c r="C49" s="37">
        <v>547.70000000000005</v>
      </c>
      <c r="D49" s="37">
        <v>599.71</v>
      </c>
      <c r="E49" s="37">
        <v>667.1</v>
      </c>
      <c r="F49" s="36">
        <f t="shared" si="0"/>
        <v>604.8366666666667</v>
      </c>
      <c r="G49" s="63" t="s">
        <v>62</v>
      </c>
      <c r="H49" s="45"/>
      <c r="I49" s="45"/>
      <c r="J49" s="45"/>
    </row>
    <row r="50" spans="1:10" ht="24.95" customHeight="1">
      <c r="A50" s="56" t="s">
        <v>64</v>
      </c>
      <c r="B50" s="35">
        <v>46</v>
      </c>
      <c r="C50" s="37">
        <f>C47-C48-C49</f>
        <v>6071.2140000000009</v>
      </c>
      <c r="D50" s="37">
        <f>D47-D48-D49</f>
        <v>5925.3460000000005</v>
      </c>
      <c r="E50" s="37">
        <f>E47-E48-E49</f>
        <v>6181.5580000000009</v>
      </c>
      <c r="F50" s="36">
        <f t="shared" si="0"/>
        <v>6059.3726666666671</v>
      </c>
      <c r="G50" s="63" t="s">
        <v>65</v>
      </c>
      <c r="H50" s="45"/>
      <c r="I50" s="45"/>
      <c r="J50" s="45"/>
    </row>
    <row r="51" spans="1:10" ht="24.95" customHeight="1">
      <c r="A51" s="56" t="s">
        <v>166</v>
      </c>
      <c r="B51" s="35">
        <v>47</v>
      </c>
      <c r="C51" s="37">
        <f>C52+C53+C54</f>
        <v>4196.3434000000007</v>
      </c>
      <c r="D51" s="37">
        <f>D52+D53+D54</f>
        <v>4144.2821000000004</v>
      </c>
      <c r="E51" s="37">
        <f>E52+E53+E54</f>
        <v>4356.5398000000005</v>
      </c>
      <c r="F51" s="36">
        <f t="shared" si="0"/>
        <v>4232.3884333333344</v>
      </c>
      <c r="G51" s="63"/>
      <c r="H51" s="45"/>
      <c r="I51" s="45"/>
      <c r="J51" s="45"/>
    </row>
    <row r="52" spans="1:10" ht="24.95" customHeight="1">
      <c r="A52" s="56" t="s">
        <v>66</v>
      </c>
      <c r="B52" s="35">
        <v>48</v>
      </c>
      <c r="C52" s="37">
        <f>C48*90%</f>
        <v>33.300000000000004</v>
      </c>
      <c r="D52" s="37">
        <f>D48*90%</f>
        <v>19.350000000000001</v>
      </c>
      <c r="E52" s="37">
        <f>E48*90%</f>
        <v>13.860000000000001</v>
      </c>
      <c r="F52" s="36">
        <f t="shared" si="0"/>
        <v>22.17</v>
      </c>
      <c r="G52" s="63" t="s">
        <v>67</v>
      </c>
      <c r="H52" s="45"/>
      <c r="I52" s="45"/>
      <c r="J52" s="45"/>
    </row>
    <row r="53" spans="1:10" ht="24.95" customHeight="1">
      <c r="A53" s="56" t="s">
        <v>68</v>
      </c>
      <c r="B53" s="35">
        <v>49</v>
      </c>
      <c r="C53" s="37">
        <f>C49*95%</f>
        <v>520.31500000000005</v>
      </c>
      <c r="D53" s="37">
        <f>D49*95%</f>
        <v>569.72450000000003</v>
      </c>
      <c r="E53" s="37">
        <f>E49*95%</f>
        <v>633.745</v>
      </c>
      <c r="F53" s="36">
        <f t="shared" si="0"/>
        <v>574.59483333333344</v>
      </c>
      <c r="G53" s="63" t="s">
        <v>69</v>
      </c>
      <c r="H53" s="45"/>
      <c r="I53" s="45"/>
      <c r="J53" s="45"/>
    </row>
    <row r="54" spans="1:10" ht="24.75" customHeight="1">
      <c r="A54" s="56" t="s">
        <v>70</v>
      </c>
      <c r="B54" s="35">
        <v>50</v>
      </c>
      <c r="C54" s="37">
        <f>C50*60%</f>
        <v>3642.7284000000004</v>
      </c>
      <c r="D54" s="37">
        <f>D50*60%</f>
        <v>3555.2076000000002</v>
      </c>
      <c r="E54" s="37">
        <f>E50*60%</f>
        <v>3708.9348000000005</v>
      </c>
      <c r="F54" s="36">
        <f t="shared" si="0"/>
        <v>3635.6236000000004</v>
      </c>
      <c r="G54" s="63" t="s">
        <v>167</v>
      </c>
      <c r="H54" s="45"/>
      <c r="I54" s="45"/>
      <c r="J54" s="45"/>
    </row>
    <row r="55" spans="1:10" ht="24.95" customHeight="1">
      <c r="A55" s="64" t="s">
        <v>71</v>
      </c>
      <c r="B55" s="35">
        <v>51</v>
      </c>
      <c r="C55" s="48">
        <f>C36/C51</f>
        <v>0.36141470907266549</v>
      </c>
      <c r="D55" s="48">
        <f>D36/D51</f>
        <v>0.39702913669009166</v>
      </c>
      <c r="E55" s="48">
        <f>E36/E51</f>
        <v>0.3388597498179633</v>
      </c>
      <c r="F55" s="48">
        <f t="shared" si="0"/>
        <v>0.36576786519357346</v>
      </c>
      <c r="G55" s="52" t="s">
        <v>72</v>
      </c>
      <c r="H55" s="45"/>
      <c r="I55" s="45"/>
      <c r="J55" s="45"/>
    </row>
    <row r="56" spans="1:10" ht="24.95" customHeight="1">
      <c r="A56" s="64" t="s">
        <v>73</v>
      </c>
      <c r="B56" s="35">
        <v>52</v>
      </c>
      <c r="C56" s="47"/>
      <c r="D56" s="47"/>
      <c r="E56" s="47"/>
      <c r="F56" s="47"/>
      <c r="G56" s="52"/>
      <c r="H56" s="45"/>
      <c r="I56" s="45"/>
      <c r="J56" s="45"/>
    </row>
    <row r="57" spans="1:10" ht="24.95" customHeight="1">
      <c r="A57" s="56" t="s">
        <v>74</v>
      </c>
      <c r="B57" s="35">
        <v>53</v>
      </c>
      <c r="C57" s="65">
        <f>C35/C46</f>
        <v>0.22572456347255002</v>
      </c>
      <c r="D57" s="65">
        <f>D35/D46</f>
        <v>0.26688087664266275</v>
      </c>
      <c r="E57" s="65">
        <f>E35/E46</f>
        <v>0.22087310238058389</v>
      </c>
      <c r="F57" s="36">
        <f>AVERAGE(C57:E57)</f>
        <v>0.23782618083193222</v>
      </c>
      <c r="G57" s="52"/>
      <c r="H57" s="45"/>
      <c r="I57" s="45"/>
      <c r="J57" s="45"/>
    </row>
    <row r="58" spans="1:10" ht="24.95" customHeight="1">
      <c r="A58" s="56" t="s">
        <v>75</v>
      </c>
      <c r="B58" s="35">
        <v>54</v>
      </c>
      <c r="C58" s="36">
        <f>C37/C52</f>
        <v>0.36141470907266554</v>
      </c>
      <c r="D58" s="36">
        <f>D37/D52</f>
        <v>0.3970291366900916</v>
      </c>
      <c r="E58" s="36">
        <f>E37/E52</f>
        <v>0.3388597498179633</v>
      </c>
      <c r="F58" s="36">
        <f>AVERAGE(C58:E58)</f>
        <v>0.36576786519357346</v>
      </c>
      <c r="G58" s="52"/>
      <c r="H58" s="45"/>
      <c r="I58" s="45"/>
      <c r="J58" s="45"/>
    </row>
    <row r="59" spans="1:10" ht="24.95" customHeight="1">
      <c r="A59" s="56" t="s">
        <v>76</v>
      </c>
      <c r="B59" s="35">
        <v>55</v>
      </c>
      <c r="C59" s="36">
        <f>C39/C53</f>
        <v>0.36141470907266549</v>
      </c>
      <c r="D59" s="36">
        <f>D39/D53</f>
        <v>0.3970291366900916</v>
      </c>
      <c r="E59" s="36">
        <f>E39/E53</f>
        <v>0.3388597498179633</v>
      </c>
      <c r="F59" s="36">
        <f>AVERAGE(C59:E59)</f>
        <v>0.36576786519357346</v>
      </c>
      <c r="G59" s="52"/>
      <c r="H59" s="45"/>
      <c r="I59" s="45"/>
      <c r="J59" s="45"/>
    </row>
    <row r="60" spans="1:10" ht="36" customHeight="1">
      <c r="A60" s="56" t="s">
        <v>77</v>
      </c>
      <c r="B60" s="35">
        <v>56</v>
      </c>
      <c r="C60" s="65">
        <f>C41/C54</f>
        <v>0.36141470907266549</v>
      </c>
      <c r="D60" s="65">
        <f>D41/D54</f>
        <v>0.3970291366900916</v>
      </c>
      <c r="E60" s="65">
        <f>E41/E54</f>
        <v>0.3388597498179633</v>
      </c>
      <c r="F60" s="36">
        <f>AVERAGE(C60:E60)</f>
        <v>0.36576786519357346</v>
      </c>
      <c r="G60" s="49" t="s">
        <v>78</v>
      </c>
      <c r="H60" s="45"/>
      <c r="I60" s="45"/>
      <c r="J60" s="45"/>
    </row>
    <row r="61" spans="1:10" ht="14.25">
      <c r="A61" s="93" t="s">
        <v>79</v>
      </c>
      <c r="B61" s="93"/>
      <c r="C61" s="93"/>
      <c r="D61" s="93"/>
      <c r="E61" s="93"/>
      <c r="F61" s="93"/>
      <c r="G61" s="93"/>
      <c r="H61" s="45"/>
      <c r="I61" s="45"/>
      <c r="J61" s="45"/>
    </row>
    <row r="63" spans="1:10">
      <c r="G63" s="38"/>
    </row>
    <row r="64" spans="1:10">
      <c r="G64" s="38"/>
    </row>
  </sheetData>
  <mergeCells count="8">
    <mergeCell ref="A1:G1"/>
    <mergeCell ref="A2:G2"/>
    <mergeCell ref="C3:F3"/>
    <mergeCell ref="A61:G61"/>
    <mergeCell ref="A3:A4"/>
    <mergeCell ref="B3:B4"/>
    <mergeCell ref="G3:G4"/>
    <mergeCell ref="G29:G30"/>
  </mergeCells>
  <phoneticPr fontId="19" type="noConversion"/>
  <printOptions horizontalCentered="1"/>
  <pageMargins left="0.31496062992125984" right="0.31496062992125984" top="0.59055118110236227" bottom="0.47244094488188981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4"/>
  <sheetViews>
    <sheetView workbookViewId="0">
      <selection activeCell="M11" sqref="M11"/>
    </sheetView>
  </sheetViews>
  <sheetFormatPr defaultColWidth="9" defaultRowHeight="13.5"/>
  <cols>
    <col min="1" max="1" width="4.5" customWidth="1"/>
    <col min="2" max="2" width="8.375" customWidth="1"/>
    <col min="3" max="3" width="24.625" customWidth="1"/>
    <col min="4" max="4" width="4.5" customWidth="1"/>
    <col min="6" max="6" width="10.125" customWidth="1"/>
    <col min="7" max="7" width="9.375" customWidth="1"/>
    <col min="8" max="8" width="12.375" customWidth="1"/>
    <col min="9" max="9" width="6" customWidth="1"/>
    <col min="13" max="13" width="29.875" customWidth="1"/>
    <col min="15" max="15" width="19.375" customWidth="1"/>
  </cols>
  <sheetData>
    <row r="1" spans="1:15" ht="28.5" customHeight="1">
      <c r="A1" s="99" t="s">
        <v>177</v>
      </c>
      <c r="B1" s="99"/>
      <c r="C1" s="99"/>
      <c r="D1" s="99"/>
      <c r="E1" s="99"/>
      <c r="F1" s="99"/>
      <c r="G1" s="99"/>
      <c r="H1" s="99"/>
      <c r="I1" s="99"/>
    </row>
    <row r="2" spans="1:15" ht="23.25" customHeight="1">
      <c r="A2" s="100" t="s">
        <v>179</v>
      </c>
      <c r="B2" s="100"/>
      <c r="C2" s="100"/>
      <c r="D2" s="100"/>
      <c r="E2" s="100"/>
      <c r="F2" s="100"/>
      <c r="G2" s="100"/>
      <c r="H2" s="100"/>
      <c r="I2" s="100"/>
      <c r="M2" s="89" t="s">
        <v>176</v>
      </c>
    </row>
    <row r="3" spans="1:15" ht="18.75" customHeight="1">
      <c r="A3" s="125" t="s">
        <v>80</v>
      </c>
      <c r="B3" s="126"/>
      <c r="C3" s="127"/>
      <c r="D3" s="121" t="s">
        <v>1</v>
      </c>
      <c r="E3" s="101" t="s">
        <v>81</v>
      </c>
      <c r="F3" s="102"/>
      <c r="G3" s="102"/>
      <c r="H3" s="103"/>
      <c r="I3" s="123" t="s">
        <v>82</v>
      </c>
    </row>
    <row r="4" spans="1:15" ht="19.5" customHeight="1">
      <c r="A4" s="128"/>
      <c r="B4" s="129"/>
      <c r="C4" s="130"/>
      <c r="D4" s="122"/>
      <c r="E4" s="15" t="s">
        <v>4</v>
      </c>
      <c r="F4" s="15" t="s">
        <v>5</v>
      </c>
      <c r="G4" s="15" t="s">
        <v>6</v>
      </c>
      <c r="H4" s="15" t="s">
        <v>83</v>
      </c>
      <c r="I4" s="124"/>
    </row>
    <row r="5" spans="1:15" ht="24.95" customHeight="1">
      <c r="A5" s="104" t="s">
        <v>84</v>
      </c>
      <c r="B5" s="104"/>
      <c r="C5" s="104"/>
      <c r="D5" s="16">
        <v>1</v>
      </c>
      <c r="E5" s="16"/>
      <c r="F5" s="16"/>
      <c r="G5" s="16"/>
      <c r="H5" s="16"/>
      <c r="I5" s="29"/>
    </row>
    <row r="6" spans="1:15" ht="24.95" customHeight="1">
      <c r="A6" s="17" t="s">
        <v>85</v>
      </c>
      <c r="B6" s="104" t="s">
        <v>86</v>
      </c>
      <c r="C6" s="104"/>
      <c r="D6" s="16">
        <v>2</v>
      </c>
      <c r="E6" s="18">
        <f>E7+E10+E11</f>
        <v>14697</v>
      </c>
      <c r="F6" s="18">
        <f>F7+F10+F11</f>
        <v>15481</v>
      </c>
      <c r="G6" s="18">
        <f>G7+G10+G11</f>
        <v>15658</v>
      </c>
      <c r="H6" s="18">
        <f>H7+H10+H11</f>
        <v>15278.666666666662</v>
      </c>
      <c r="I6" s="29"/>
    </row>
    <row r="7" spans="1:15" ht="24.95" customHeight="1">
      <c r="A7" s="19">
        <v>1</v>
      </c>
      <c r="B7" s="105" t="s">
        <v>87</v>
      </c>
      <c r="C7" s="105"/>
      <c r="D7" s="16">
        <v>3</v>
      </c>
      <c r="E7" s="18">
        <f>E8-E9</f>
        <v>13760</v>
      </c>
      <c r="F7" s="18">
        <f>F8-F9</f>
        <v>14013</v>
      </c>
      <c r="G7" s="18">
        <f>G8-G9</f>
        <v>14506</v>
      </c>
      <c r="H7" s="18">
        <f>H8-H9</f>
        <v>14092.999999999996</v>
      </c>
      <c r="I7" s="29"/>
    </row>
    <row r="8" spans="1:15" ht="22.5" customHeight="1">
      <c r="A8" s="16"/>
      <c r="B8" s="105" t="s">
        <v>88</v>
      </c>
      <c r="C8" s="105"/>
      <c r="D8" s="16">
        <v>4</v>
      </c>
      <c r="E8" s="18">
        <v>33214</v>
      </c>
      <c r="F8" s="21">
        <v>33715</v>
      </c>
      <c r="G8" s="18">
        <v>34461</v>
      </c>
      <c r="H8" s="18">
        <f t="shared" ref="H8:H13" si="0">(E8+F8+G8)/3</f>
        <v>33796.666666666664</v>
      </c>
      <c r="I8" s="29"/>
    </row>
    <row r="9" spans="1:15" ht="22.5" customHeight="1">
      <c r="A9" s="16"/>
      <c r="B9" s="106" t="s">
        <v>89</v>
      </c>
      <c r="C9" s="106"/>
      <c r="D9" s="16">
        <v>5</v>
      </c>
      <c r="E9" s="18">
        <v>19454</v>
      </c>
      <c r="F9" s="21">
        <v>19702</v>
      </c>
      <c r="G9" s="18">
        <v>19955</v>
      </c>
      <c r="H9" s="18">
        <f t="shared" si="0"/>
        <v>19703.666666666668</v>
      </c>
      <c r="I9" s="29"/>
      <c r="M9" s="30" t="s">
        <v>9</v>
      </c>
    </row>
    <row r="10" spans="1:15" ht="24" customHeight="1">
      <c r="A10" s="19">
        <v>2</v>
      </c>
      <c r="B10" s="105" t="s">
        <v>90</v>
      </c>
      <c r="C10" s="105"/>
      <c r="D10" s="16">
        <v>6</v>
      </c>
      <c r="E10" s="16">
        <v>937</v>
      </c>
      <c r="F10" s="21">
        <v>1432</v>
      </c>
      <c r="G10" s="16">
        <v>997</v>
      </c>
      <c r="H10" s="18">
        <f t="shared" si="0"/>
        <v>1122</v>
      </c>
      <c r="I10" s="29"/>
    </row>
    <row r="11" spans="1:15" ht="24.95" customHeight="1">
      <c r="A11" s="19">
        <v>3</v>
      </c>
      <c r="B11" s="105" t="s">
        <v>91</v>
      </c>
      <c r="C11" s="105"/>
      <c r="D11" s="16">
        <v>7</v>
      </c>
      <c r="E11" s="16"/>
      <c r="F11" s="6">
        <v>36</v>
      </c>
      <c r="G11" s="16">
        <v>155</v>
      </c>
      <c r="H11" s="18">
        <f t="shared" si="0"/>
        <v>63.666666666666664</v>
      </c>
      <c r="I11" s="29"/>
      <c r="M11" t="s">
        <v>9</v>
      </c>
      <c r="O11" s="31" t="s">
        <v>9</v>
      </c>
    </row>
    <row r="12" spans="1:15" ht="21" customHeight="1">
      <c r="A12" s="16" t="s">
        <v>92</v>
      </c>
      <c r="B12" s="107" t="s">
        <v>93</v>
      </c>
      <c r="C12" s="108"/>
      <c r="D12" s="16">
        <v>8</v>
      </c>
      <c r="E12" s="16">
        <v>709</v>
      </c>
      <c r="F12" s="18">
        <v>1187</v>
      </c>
      <c r="G12" s="16">
        <v>902</v>
      </c>
      <c r="H12" s="18">
        <f t="shared" si="0"/>
        <v>932.66666666666663</v>
      </c>
      <c r="I12" s="29"/>
    </row>
    <row r="13" spans="1:15" ht="24.95" customHeight="1">
      <c r="A13" s="16" t="s">
        <v>94</v>
      </c>
      <c r="B13" s="109" t="s">
        <v>95</v>
      </c>
      <c r="C13" s="109"/>
      <c r="D13" s="16">
        <v>9</v>
      </c>
      <c r="E13" s="18">
        <f>E6-E12</f>
        <v>13988</v>
      </c>
      <c r="F13" s="18">
        <f>F6-F12</f>
        <v>14294</v>
      </c>
      <c r="G13" s="18">
        <f>G6-G12</f>
        <v>14756</v>
      </c>
      <c r="H13" s="18">
        <f t="shared" si="0"/>
        <v>14346</v>
      </c>
      <c r="I13" s="29"/>
      <c r="O13" s="31" t="s">
        <v>9</v>
      </c>
    </row>
    <row r="14" spans="1:15" ht="24.95" customHeight="1">
      <c r="A14" s="17"/>
      <c r="B14" s="105" t="s">
        <v>96</v>
      </c>
      <c r="C14" s="105"/>
      <c r="D14" s="16">
        <v>10</v>
      </c>
      <c r="E14" s="16"/>
      <c r="F14" s="16"/>
      <c r="G14" s="16"/>
      <c r="H14" s="16"/>
      <c r="I14" s="29"/>
    </row>
    <row r="15" spans="1:15" ht="24.95" customHeight="1">
      <c r="A15" s="17"/>
      <c r="B15" s="105" t="s">
        <v>97</v>
      </c>
      <c r="C15" s="105"/>
      <c r="D15" s="16">
        <v>11</v>
      </c>
      <c r="E15" s="16"/>
      <c r="F15" s="16"/>
      <c r="G15" s="16"/>
      <c r="H15" s="16"/>
      <c r="I15" s="29"/>
    </row>
    <row r="16" spans="1:15" ht="24.95" customHeight="1">
      <c r="A16" s="17"/>
      <c r="B16" s="105" t="s">
        <v>98</v>
      </c>
      <c r="C16" s="105"/>
      <c r="D16" s="16">
        <v>12</v>
      </c>
      <c r="E16" s="16"/>
      <c r="F16" s="16"/>
      <c r="G16" s="16"/>
      <c r="H16" s="16"/>
      <c r="I16" s="29"/>
    </row>
    <row r="17" spans="1:11" ht="24.95" customHeight="1">
      <c r="A17" s="17"/>
      <c r="B17" s="105" t="s">
        <v>99</v>
      </c>
      <c r="C17" s="105"/>
      <c r="D17" s="16">
        <v>13</v>
      </c>
      <c r="E17" s="18" t="s">
        <v>9</v>
      </c>
      <c r="F17" s="18" t="s">
        <v>9</v>
      </c>
      <c r="G17" s="18" t="s">
        <v>9</v>
      </c>
      <c r="H17" s="18" t="s">
        <v>9</v>
      </c>
      <c r="I17" s="29"/>
    </row>
    <row r="18" spans="1:11" ht="24.95" customHeight="1">
      <c r="A18" s="109" t="s">
        <v>100</v>
      </c>
      <c r="B18" s="109"/>
      <c r="C18" s="109"/>
      <c r="D18" s="16">
        <v>14</v>
      </c>
      <c r="E18" s="16"/>
      <c r="F18" s="16"/>
      <c r="G18" s="16"/>
      <c r="H18" s="16"/>
      <c r="I18" s="29"/>
    </row>
    <row r="19" spans="1:11" ht="24.95" customHeight="1">
      <c r="A19" s="17" t="s">
        <v>85</v>
      </c>
      <c r="B19" s="110" t="s">
        <v>101</v>
      </c>
      <c r="C19" s="111"/>
      <c r="D19" s="16">
        <v>15</v>
      </c>
      <c r="E19" s="16"/>
      <c r="F19" s="16"/>
      <c r="G19" s="16"/>
      <c r="H19" s="16"/>
      <c r="I19" s="29"/>
    </row>
    <row r="20" spans="1:11" ht="24.95" customHeight="1">
      <c r="A20" s="16" t="s">
        <v>102</v>
      </c>
      <c r="B20" s="112" t="s">
        <v>103</v>
      </c>
      <c r="C20" s="112"/>
      <c r="D20" s="16">
        <v>16</v>
      </c>
      <c r="E20" s="16"/>
      <c r="F20" s="16"/>
      <c r="G20" s="16"/>
      <c r="H20" s="16"/>
      <c r="I20" s="29"/>
    </row>
    <row r="21" spans="1:11" ht="24.95" customHeight="1">
      <c r="A21" s="16" t="s">
        <v>104</v>
      </c>
      <c r="B21" s="105" t="s">
        <v>105</v>
      </c>
      <c r="C21" s="105"/>
      <c r="D21" s="16">
        <v>17</v>
      </c>
      <c r="E21" s="16"/>
      <c r="F21" s="16"/>
      <c r="G21" s="16"/>
      <c r="H21" s="16"/>
      <c r="I21" s="29"/>
    </row>
    <row r="22" spans="1:11" ht="24.95" customHeight="1">
      <c r="A22" s="17"/>
      <c r="B22" s="105" t="s">
        <v>106</v>
      </c>
      <c r="C22" s="105"/>
      <c r="D22" s="16">
        <v>18</v>
      </c>
      <c r="E22" s="16"/>
      <c r="F22" s="16"/>
      <c r="G22" s="16"/>
      <c r="H22" s="16"/>
      <c r="I22" s="29"/>
    </row>
    <row r="23" spans="1:11" ht="24.95" customHeight="1">
      <c r="A23" s="16" t="s">
        <v>92</v>
      </c>
      <c r="B23" s="113" t="s">
        <v>107</v>
      </c>
      <c r="C23" s="114"/>
      <c r="D23" s="16">
        <v>19</v>
      </c>
      <c r="E23" s="16">
        <v>1890.52</v>
      </c>
      <c r="F23" s="16">
        <v>2005.23</v>
      </c>
      <c r="G23" s="16">
        <v>1892.86</v>
      </c>
      <c r="H23" s="44">
        <f>AVERAGE(E23:G23)</f>
        <v>1929.5366666666666</v>
      </c>
      <c r="I23" s="29"/>
      <c r="K23" t="s">
        <v>9</v>
      </c>
    </row>
    <row r="24" spans="1:11" ht="24.95" customHeight="1">
      <c r="A24" s="19">
        <v>1</v>
      </c>
      <c r="B24" s="105" t="s">
        <v>108</v>
      </c>
      <c r="C24" s="105"/>
      <c r="D24" s="16">
        <v>20</v>
      </c>
      <c r="E24" s="22"/>
      <c r="F24" s="22"/>
      <c r="G24" s="22"/>
      <c r="H24" s="16" t="s">
        <v>109</v>
      </c>
      <c r="I24" s="29"/>
    </row>
    <row r="25" spans="1:11" ht="24.95" customHeight="1">
      <c r="A25" s="19">
        <v>2</v>
      </c>
      <c r="B25" s="105" t="s">
        <v>110</v>
      </c>
      <c r="C25" s="105"/>
      <c r="D25" s="16">
        <v>21</v>
      </c>
      <c r="E25" s="16"/>
      <c r="F25" s="16"/>
      <c r="G25" s="16"/>
      <c r="H25" s="16"/>
      <c r="I25" s="29"/>
    </row>
    <row r="26" spans="1:11" ht="24.95" customHeight="1">
      <c r="A26" s="19">
        <v>3</v>
      </c>
      <c r="B26" s="105" t="s">
        <v>111</v>
      </c>
      <c r="C26" s="105"/>
      <c r="D26" s="16">
        <v>22</v>
      </c>
      <c r="E26" s="16" t="s">
        <v>112</v>
      </c>
      <c r="F26" s="16" t="s">
        <v>112</v>
      </c>
      <c r="G26" s="16" t="s">
        <v>112</v>
      </c>
      <c r="H26" s="16" t="s">
        <v>113</v>
      </c>
      <c r="I26" s="29"/>
    </row>
    <row r="27" spans="1:11" ht="22.5" customHeight="1">
      <c r="A27" s="17" t="s">
        <v>114</v>
      </c>
      <c r="B27" s="105" t="s">
        <v>115</v>
      </c>
      <c r="C27" s="105"/>
      <c r="D27" s="16">
        <v>23</v>
      </c>
      <c r="E27" s="16"/>
      <c r="F27" s="16"/>
      <c r="G27" s="16"/>
      <c r="H27" s="16"/>
      <c r="I27" s="29"/>
    </row>
    <row r="28" spans="1:11" ht="24.95" customHeight="1">
      <c r="A28" s="113" t="s">
        <v>116</v>
      </c>
      <c r="B28" s="115"/>
      <c r="C28" s="114"/>
      <c r="D28" s="16">
        <v>24</v>
      </c>
      <c r="E28" s="16">
        <v>2124.0700000000002</v>
      </c>
      <c r="F28" s="41">
        <v>2337.5300000000002</v>
      </c>
      <c r="G28" s="16">
        <v>1962.81</v>
      </c>
      <c r="H28" s="42">
        <f>AVERAGE(E28:G28)</f>
        <v>2141.4699999999998</v>
      </c>
      <c r="I28" s="29"/>
    </row>
    <row r="29" spans="1:11" ht="24.95" customHeight="1">
      <c r="A29" s="116">
        <v>1</v>
      </c>
      <c r="B29" s="116"/>
      <c r="C29" s="20" t="s">
        <v>117</v>
      </c>
      <c r="D29" s="16">
        <v>25</v>
      </c>
      <c r="E29" s="16"/>
      <c r="F29" s="16"/>
      <c r="G29" s="16"/>
      <c r="H29" s="16"/>
      <c r="I29" s="29"/>
    </row>
    <row r="30" spans="1:11" ht="24.95" customHeight="1">
      <c r="A30" s="116">
        <v>2</v>
      </c>
      <c r="B30" s="116"/>
      <c r="C30" s="20" t="s">
        <v>118</v>
      </c>
      <c r="D30" s="16">
        <v>26</v>
      </c>
      <c r="E30" s="16"/>
      <c r="F30" s="16"/>
      <c r="G30" s="16"/>
      <c r="H30" s="16"/>
      <c r="I30" s="29"/>
    </row>
    <row r="31" spans="1:11" ht="24.95" customHeight="1">
      <c r="A31" s="107" t="s">
        <v>119</v>
      </c>
      <c r="B31" s="117"/>
      <c r="C31" s="108"/>
      <c r="D31" s="16">
        <v>27</v>
      </c>
      <c r="E31" s="16"/>
      <c r="F31" s="16"/>
      <c r="G31" s="16"/>
      <c r="H31" s="16"/>
      <c r="I31" s="29"/>
    </row>
    <row r="32" spans="1:11" ht="24.95" customHeight="1">
      <c r="A32" s="116" t="s">
        <v>85</v>
      </c>
      <c r="B32" s="118"/>
      <c r="C32" s="20" t="s">
        <v>120</v>
      </c>
      <c r="D32" s="16">
        <v>28</v>
      </c>
      <c r="E32" s="16">
        <v>9524</v>
      </c>
      <c r="F32" s="16">
        <v>9524</v>
      </c>
      <c r="G32" s="16">
        <v>9524</v>
      </c>
      <c r="H32" s="16">
        <v>9524</v>
      </c>
      <c r="I32" s="29"/>
    </row>
    <row r="33" spans="1:9" ht="24.95" customHeight="1">
      <c r="A33" s="116"/>
      <c r="B33" s="116"/>
      <c r="C33" s="20" t="s">
        <v>121</v>
      </c>
      <c r="D33" s="16">
        <v>29</v>
      </c>
      <c r="E33" s="16">
        <v>342</v>
      </c>
      <c r="F33" s="16">
        <v>342</v>
      </c>
      <c r="G33" s="16">
        <v>342</v>
      </c>
      <c r="H33" s="16">
        <v>342</v>
      </c>
      <c r="I33" s="29"/>
    </row>
    <row r="34" spans="1:9" ht="24.95" customHeight="1">
      <c r="A34" s="116"/>
      <c r="B34" s="116"/>
      <c r="C34" s="23" t="s">
        <v>122</v>
      </c>
      <c r="D34" s="16">
        <v>30</v>
      </c>
      <c r="E34" s="16">
        <v>7946</v>
      </c>
      <c r="F34" s="16">
        <v>7946</v>
      </c>
      <c r="G34" s="16">
        <v>7946</v>
      </c>
      <c r="H34" s="16">
        <v>7946</v>
      </c>
      <c r="I34" s="29"/>
    </row>
    <row r="35" spans="1:9" ht="24.95" customHeight="1">
      <c r="A35" s="116"/>
      <c r="B35" s="116"/>
      <c r="C35" s="23" t="s">
        <v>123</v>
      </c>
      <c r="D35" s="16">
        <v>31</v>
      </c>
      <c r="E35" s="16">
        <v>1289</v>
      </c>
      <c r="F35" s="16">
        <v>1289</v>
      </c>
      <c r="G35" s="16">
        <v>1289</v>
      </c>
      <c r="H35" s="16">
        <v>1289</v>
      </c>
      <c r="I35" s="29"/>
    </row>
    <row r="36" spans="1:9" ht="24.95" customHeight="1">
      <c r="A36" s="116"/>
      <c r="B36" s="116"/>
      <c r="C36" s="24" t="s">
        <v>124</v>
      </c>
      <c r="D36" s="16">
        <v>32</v>
      </c>
      <c r="E36" s="16">
        <v>1289</v>
      </c>
      <c r="F36" s="16">
        <v>1289</v>
      </c>
      <c r="G36" s="16">
        <v>1289</v>
      </c>
      <c r="H36" s="16">
        <v>1289</v>
      </c>
      <c r="I36" s="29"/>
    </row>
    <row r="37" spans="1:9" s="88" customFormat="1" ht="24.95" customHeight="1">
      <c r="A37" s="119" t="s">
        <v>92</v>
      </c>
      <c r="B37" s="120"/>
      <c r="C37" s="84" t="s">
        <v>125</v>
      </c>
      <c r="D37" s="85">
        <v>33</v>
      </c>
      <c r="E37" s="85">
        <v>9548.77</v>
      </c>
      <c r="F37" s="86">
        <v>9055.7000000000007</v>
      </c>
      <c r="G37" s="85">
        <v>9680.9599999999991</v>
      </c>
      <c r="H37" s="86">
        <f>AVERAGE(E37:G37)</f>
        <v>9428.4766666666674</v>
      </c>
      <c r="I37" s="87"/>
    </row>
    <row r="38" spans="1:9" ht="24.95" customHeight="1">
      <c r="A38" s="116"/>
      <c r="B38" s="116"/>
      <c r="C38" s="20" t="s">
        <v>126</v>
      </c>
      <c r="D38" s="16">
        <v>34</v>
      </c>
      <c r="E38" s="41">
        <v>33.299999999999997</v>
      </c>
      <c r="F38" s="41">
        <v>19.350000000000001</v>
      </c>
      <c r="G38" s="41">
        <v>13.86</v>
      </c>
      <c r="H38" s="41">
        <f>AVERAGE(E38:G38)</f>
        <v>22.169999999999998</v>
      </c>
      <c r="I38" s="29"/>
    </row>
    <row r="39" spans="1:9" ht="24.95" customHeight="1">
      <c r="A39" s="116"/>
      <c r="B39" s="116"/>
      <c r="C39" s="20" t="s">
        <v>127</v>
      </c>
      <c r="D39" s="16">
        <v>35</v>
      </c>
      <c r="E39" s="25">
        <v>7.9000000000000008E-3</v>
      </c>
      <c r="F39" s="25">
        <v>4.7000000000000002E-3</v>
      </c>
      <c r="G39" s="25">
        <v>3.2000000000000002E-3</v>
      </c>
      <c r="H39" s="25">
        <v>5.3E-3</v>
      </c>
      <c r="I39" s="29"/>
    </row>
    <row r="40" spans="1:9" ht="24.95" customHeight="1">
      <c r="A40" s="116"/>
      <c r="B40" s="116"/>
      <c r="C40" s="20" t="s">
        <v>128</v>
      </c>
      <c r="D40" s="16">
        <v>36</v>
      </c>
      <c r="E40" s="16">
        <v>520.32000000000005</v>
      </c>
      <c r="F40" s="16">
        <v>569.72</v>
      </c>
      <c r="G40" s="16">
        <v>633.75</v>
      </c>
      <c r="H40" s="42">
        <f>AVERAGE(E40:G40)</f>
        <v>574.59666666666669</v>
      </c>
      <c r="I40" s="29"/>
    </row>
    <row r="41" spans="1:9" ht="24.95" customHeight="1">
      <c r="A41" s="116"/>
      <c r="B41" s="116"/>
      <c r="C41" s="20" t="s">
        <v>129</v>
      </c>
      <c r="D41" s="16">
        <v>37</v>
      </c>
      <c r="E41" s="25">
        <v>0.124</v>
      </c>
      <c r="F41" s="25">
        <v>0.13750000000000001</v>
      </c>
      <c r="G41" s="25">
        <v>0.14549999999999999</v>
      </c>
      <c r="H41" s="25">
        <v>0.1356</v>
      </c>
      <c r="I41" s="29"/>
    </row>
    <row r="42" spans="1:9" ht="24.95" customHeight="1">
      <c r="A42" s="116"/>
      <c r="B42" s="116"/>
      <c r="C42" s="20" t="s">
        <v>130</v>
      </c>
      <c r="D42" s="16">
        <v>38</v>
      </c>
      <c r="E42" s="16">
        <v>5352.42</v>
      </c>
      <c r="F42" s="16">
        <v>4911.42</v>
      </c>
      <c r="G42" s="16">
        <v>5324.41</v>
      </c>
      <c r="H42" s="42">
        <f>AVERAGE(E42:G42)</f>
        <v>5196.083333333333</v>
      </c>
      <c r="I42" s="29"/>
    </row>
    <row r="43" spans="1:9" ht="24.95" customHeight="1">
      <c r="A43" s="116"/>
      <c r="B43" s="116"/>
      <c r="C43" s="20" t="s">
        <v>131</v>
      </c>
      <c r="D43" s="16">
        <v>39</v>
      </c>
      <c r="E43" s="25">
        <v>0.44340000000000002</v>
      </c>
      <c r="F43" s="25">
        <v>0.44340000000000002</v>
      </c>
      <c r="G43" s="25">
        <v>0.44340000000000002</v>
      </c>
      <c r="H43" s="25">
        <v>0.44340000000000002</v>
      </c>
      <c r="I43" s="29"/>
    </row>
    <row r="44" spans="1:9" ht="24.95" customHeight="1">
      <c r="A44" s="116"/>
      <c r="B44" s="116"/>
      <c r="C44" s="20" t="s">
        <v>132</v>
      </c>
      <c r="D44" s="16">
        <v>40</v>
      </c>
      <c r="E44" s="16">
        <v>3642.73</v>
      </c>
      <c r="F44" s="16">
        <v>3555.21</v>
      </c>
      <c r="G44" s="16">
        <v>3708.94</v>
      </c>
      <c r="H44" s="42">
        <f>AVERAGE(E44:G44)</f>
        <v>3635.626666666667</v>
      </c>
      <c r="I44" s="29"/>
    </row>
    <row r="45" spans="1:9" ht="24.95" customHeight="1">
      <c r="A45" s="116"/>
      <c r="B45" s="116"/>
      <c r="C45" s="20" t="s">
        <v>133</v>
      </c>
      <c r="D45" s="16">
        <v>41</v>
      </c>
      <c r="E45" s="25">
        <v>0.86809999999999998</v>
      </c>
      <c r="F45" s="25">
        <v>0.8579</v>
      </c>
      <c r="G45" s="25">
        <v>0.85129999999999995</v>
      </c>
      <c r="H45" s="25">
        <v>0.85909999999999997</v>
      </c>
      <c r="I45" s="29"/>
    </row>
    <row r="46" spans="1:9" ht="24.95" customHeight="1">
      <c r="A46" s="116" t="s">
        <v>94</v>
      </c>
      <c r="B46" s="118"/>
      <c r="C46" s="20" t="s">
        <v>134</v>
      </c>
      <c r="D46" s="16">
        <v>42</v>
      </c>
      <c r="E46" s="22"/>
      <c r="F46" s="22"/>
      <c r="G46" s="22"/>
      <c r="H46" s="22"/>
      <c r="I46" s="29"/>
    </row>
    <row r="47" spans="1:9" ht="24.95" customHeight="1">
      <c r="A47" s="116" t="s">
        <v>135</v>
      </c>
      <c r="B47" s="118"/>
      <c r="C47" s="20" t="s">
        <v>136</v>
      </c>
      <c r="D47" s="16">
        <v>43</v>
      </c>
      <c r="E47" s="22"/>
      <c r="F47" s="22"/>
      <c r="G47" s="22"/>
      <c r="H47" s="22"/>
      <c r="I47" s="29"/>
    </row>
    <row r="48" spans="1:9" ht="24.95" customHeight="1">
      <c r="A48" s="116" t="s">
        <v>137</v>
      </c>
      <c r="B48" s="118"/>
      <c r="C48" s="20" t="s">
        <v>138</v>
      </c>
      <c r="D48" s="16">
        <v>44</v>
      </c>
      <c r="E48" s="22"/>
      <c r="F48" s="22"/>
      <c r="G48" s="22"/>
      <c r="H48" s="22"/>
      <c r="I48" s="29"/>
    </row>
    <row r="49" spans="1:9" ht="24.95" customHeight="1">
      <c r="A49" s="116" t="s">
        <v>139</v>
      </c>
      <c r="B49" s="118"/>
      <c r="C49" s="26" t="s">
        <v>140</v>
      </c>
      <c r="D49" s="16">
        <v>45</v>
      </c>
      <c r="E49" s="22"/>
      <c r="F49" s="22"/>
      <c r="G49" s="22"/>
      <c r="H49" s="22"/>
      <c r="I49" s="29"/>
    </row>
    <row r="50" spans="1:9" ht="24.95" customHeight="1">
      <c r="A50" s="116" t="s">
        <v>141</v>
      </c>
      <c r="B50" s="118"/>
      <c r="C50" s="20" t="s">
        <v>142</v>
      </c>
      <c r="D50" s="16">
        <v>46</v>
      </c>
      <c r="E50" s="16">
        <v>127</v>
      </c>
      <c r="F50" s="16">
        <v>123</v>
      </c>
      <c r="G50" s="16">
        <v>117</v>
      </c>
      <c r="H50" s="16">
        <v>122</v>
      </c>
      <c r="I50" s="29"/>
    </row>
    <row r="51" spans="1:9" ht="24.95" customHeight="1">
      <c r="A51" s="116"/>
      <c r="B51" s="116"/>
      <c r="C51" s="20" t="s">
        <v>143</v>
      </c>
      <c r="D51" s="16">
        <v>47</v>
      </c>
      <c r="E51" s="27">
        <v>153</v>
      </c>
      <c r="F51" s="27">
        <v>153</v>
      </c>
      <c r="G51" s="27">
        <v>153</v>
      </c>
      <c r="H51" s="27">
        <v>153</v>
      </c>
      <c r="I51" s="29"/>
    </row>
    <row r="52" spans="1:9" ht="24.95" customHeight="1">
      <c r="A52" s="116"/>
      <c r="B52" s="116"/>
      <c r="C52" s="20" t="s">
        <v>144</v>
      </c>
      <c r="D52" s="16">
        <v>48</v>
      </c>
      <c r="E52" s="27">
        <v>127</v>
      </c>
      <c r="F52" s="27">
        <v>123</v>
      </c>
      <c r="G52" s="27">
        <v>117</v>
      </c>
      <c r="H52" s="27">
        <v>122</v>
      </c>
      <c r="I52" s="29"/>
    </row>
    <row r="53" spans="1:9" ht="24.95" customHeight="1">
      <c r="A53" s="116"/>
      <c r="B53" s="116"/>
      <c r="C53" s="20" t="s">
        <v>145</v>
      </c>
      <c r="D53" s="16">
        <v>49</v>
      </c>
      <c r="E53" s="27">
        <v>73</v>
      </c>
      <c r="F53" s="27">
        <v>77</v>
      </c>
      <c r="G53" s="27">
        <v>80</v>
      </c>
      <c r="H53" s="27">
        <v>77</v>
      </c>
      <c r="I53" s="29"/>
    </row>
    <row r="54" spans="1:9" ht="27.75" customHeight="1">
      <c r="A54" s="116" t="s">
        <v>146</v>
      </c>
      <c r="B54" s="118"/>
      <c r="C54" s="20" t="s">
        <v>147</v>
      </c>
      <c r="D54" s="16">
        <v>50</v>
      </c>
      <c r="E54" s="28"/>
      <c r="F54" s="28"/>
      <c r="G54" s="28"/>
      <c r="H54" s="16"/>
      <c r="I54" s="29"/>
    </row>
  </sheetData>
  <mergeCells count="56">
    <mergeCell ref="A52:B52"/>
    <mergeCell ref="A53:B53"/>
    <mergeCell ref="A54:B54"/>
    <mergeCell ref="D3:D4"/>
    <mergeCell ref="I3:I4"/>
    <mergeCell ref="A3:C4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B27:C27"/>
    <mergeCell ref="A28:C28"/>
    <mergeCell ref="A29:B29"/>
    <mergeCell ref="A30:B30"/>
    <mergeCell ref="A31:C31"/>
    <mergeCell ref="B22:C22"/>
    <mergeCell ref="B23:C23"/>
    <mergeCell ref="B24:C24"/>
    <mergeCell ref="B25:C25"/>
    <mergeCell ref="B26:C26"/>
    <mergeCell ref="B17:C17"/>
    <mergeCell ref="A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I1"/>
    <mergeCell ref="A2:I2"/>
    <mergeCell ref="E3:H3"/>
    <mergeCell ref="A5:C5"/>
    <mergeCell ref="B6:C6"/>
  </mergeCells>
  <phoneticPr fontId="19" type="noConversion"/>
  <printOptions horizontalCentered="1"/>
  <pageMargins left="0.70833333333333304" right="0.70833333333333304" top="0.74791666666666701" bottom="0.59027777777777801" header="0.31458333333333299" footer="0.31458333333333299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selection activeCell="S3" sqref="S3"/>
    </sheetView>
  </sheetViews>
  <sheetFormatPr defaultColWidth="10" defaultRowHeight="13.5"/>
  <cols>
    <col min="1" max="1" width="3" customWidth="1"/>
    <col min="2" max="2" width="12.25" customWidth="1"/>
    <col min="3" max="3" width="7.5" customWidth="1"/>
    <col min="4" max="4" width="7.125" customWidth="1"/>
    <col min="5" max="5" width="9.125" customWidth="1"/>
    <col min="6" max="6" width="9" customWidth="1"/>
    <col min="7" max="7" width="11.375" customWidth="1"/>
    <col min="8" max="8" width="5.375" customWidth="1"/>
    <col min="9" max="9" width="10.125" customWidth="1"/>
    <col min="10" max="10" width="10.875" customWidth="1"/>
    <col min="11" max="11" width="7.875" customWidth="1"/>
    <col min="12" max="12" width="4.375" customWidth="1"/>
    <col min="13" max="13" width="11.25" customWidth="1"/>
    <col min="14" max="14" width="9" customWidth="1"/>
    <col min="15" max="15" width="7.875" customWidth="1"/>
    <col min="16" max="16" width="9.125" customWidth="1"/>
    <col min="17" max="17" width="10.25" customWidth="1"/>
  </cols>
  <sheetData>
    <row r="1" spans="1:18" ht="42" customHeight="1">
      <c r="A1" s="131" t="s">
        <v>178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</row>
    <row r="2" spans="1:18" s="1" customFormat="1" ht="22.5" customHeight="1">
      <c r="A2" s="1" t="s">
        <v>174</v>
      </c>
      <c r="P2" s="132" t="s">
        <v>148</v>
      </c>
      <c r="Q2" s="132"/>
    </row>
    <row r="3" spans="1:18" ht="93.95" customHeight="1">
      <c r="A3" s="2" t="s">
        <v>149</v>
      </c>
      <c r="B3" s="3" t="s">
        <v>150</v>
      </c>
      <c r="C3" s="4" t="s">
        <v>151</v>
      </c>
      <c r="D3" s="4" t="s">
        <v>152</v>
      </c>
      <c r="E3" s="5" t="s">
        <v>153</v>
      </c>
      <c r="F3" s="4" t="s">
        <v>154</v>
      </c>
      <c r="G3" s="4" t="s">
        <v>155</v>
      </c>
      <c r="H3" s="4" t="s">
        <v>152</v>
      </c>
      <c r="I3" s="5" t="s">
        <v>156</v>
      </c>
      <c r="J3" s="4" t="s">
        <v>154</v>
      </c>
      <c r="K3" s="4" t="s">
        <v>157</v>
      </c>
      <c r="L3" s="4" t="s">
        <v>152</v>
      </c>
      <c r="M3" s="5" t="s">
        <v>158</v>
      </c>
      <c r="N3" s="4" t="s">
        <v>154</v>
      </c>
      <c r="O3" s="4" t="s">
        <v>159</v>
      </c>
      <c r="P3" s="5" t="s">
        <v>160</v>
      </c>
      <c r="Q3" s="4" t="s">
        <v>161</v>
      </c>
    </row>
    <row r="4" spans="1:18" ht="57" customHeight="1">
      <c r="A4" s="6">
        <v>1</v>
      </c>
      <c r="B4" s="7" t="s">
        <v>162</v>
      </c>
      <c r="C4" s="8">
        <v>37</v>
      </c>
      <c r="D4" s="9">
        <v>0.9</v>
      </c>
      <c r="E4" s="39">
        <f>ROUND(C4*D4,2)</f>
        <v>33.299999999999997</v>
      </c>
      <c r="F4" s="10">
        <v>7.9000000000000008E-3</v>
      </c>
      <c r="G4" s="8">
        <v>21.5</v>
      </c>
      <c r="H4" s="9">
        <v>0.9</v>
      </c>
      <c r="I4" s="12">
        <f>ROUND(G4*H4,2)</f>
        <v>19.350000000000001</v>
      </c>
      <c r="J4" s="10">
        <v>4.7000000000000002E-3</v>
      </c>
      <c r="K4" s="8">
        <v>15.4</v>
      </c>
      <c r="L4" s="9">
        <v>0.9</v>
      </c>
      <c r="M4" s="12">
        <f>K4*L4</f>
        <v>13.860000000000001</v>
      </c>
      <c r="N4" s="10">
        <v>3.2000000000000002E-3</v>
      </c>
      <c r="O4" s="11">
        <f>C4+G4+K4</f>
        <v>73.900000000000006</v>
      </c>
      <c r="P4" s="39">
        <f>(E4+I4+M4)/3</f>
        <v>22.17</v>
      </c>
      <c r="Q4" s="40">
        <v>5.3E-3</v>
      </c>
      <c r="R4" s="13"/>
    </row>
    <row r="5" spans="1:18" ht="55.5" customHeight="1">
      <c r="A5" s="6">
        <v>2</v>
      </c>
      <c r="B5" s="7" t="s">
        <v>163</v>
      </c>
      <c r="C5" s="6">
        <v>547.70000000000005</v>
      </c>
      <c r="D5" s="9">
        <v>0.95</v>
      </c>
      <c r="E5" s="39">
        <f>ROUND(C5*D5,2)</f>
        <v>520.32000000000005</v>
      </c>
      <c r="F5" s="10">
        <v>0.124</v>
      </c>
      <c r="G5" s="8">
        <v>599.71</v>
      </c>
      <c r="H5" s="9">
        <v>0.95</v>
      </c>
      <c r="I5" s="39">
        <f>ROUND(G5*H5,2)</f>
        <v>569.72</v>
      </c>
      <c r="J5" s="10">
        <v>0.13750000000000001</v>
      </c>
      <c r="K5" s="8">
        <v>667.1</v>
      </c>
      <c r="L5" s="9">
        <v>0.95</v>
      </c>
      <c r="M5" s="12">
        <f>ROUND(K5*L5,2)</f>
        <v>633.75</v>
      </c>
      <c r="N5" s="10">
        <v>0.14549999999999999</v>
      </c>
      <c r="O5" s="11">
        <f>C5+G5+K5</f>
        <v>1814.5100000000002</v>
      </c>
      <c r="P5" s="43">
        <f>(E5+I5+M5)/3</f>
        <v>574.59666666666669</v>
      </c>
      <c r="Q5" s="10">
        <v>0.1356</v>
      </c>
      <c r="R5" s="13"/>
    </row>
    <row r="6" spans="1:18" s="76" customFormat="1" ht="55.5" customHeight="1">
      <c r="A6" s="66">
        <v>3</v>
      </c>
      <c r="B6" s="67" t="s">
        <v>171</v>
      </c>
      <c r="C6" s="68">
        <v>6690.53</v>
      </c>
      <c r="D6" s="69">
        <v>0.8</v>
      </c>
      <c r="E6" s="70">
        <f>ROUND(C6*D6,2)</f>
        <v>5352.42</v>
      </c>
      <c r="F6" s="69">
        <v>0.44340000000000002</v>
      </c>
      <c r="G6" s="68">
        <v>6139.27</v>
      </c>
      <c r="H6" s="71">
        <v>0.8</v>
      </c>
      <c r="I6" s="72">
        <f>ROUND(G6*H6,2)</f>
        <v>4911.42</v>
      </c>
      <c r="J6" s="69">
        <v>0.44340000000000002</v>
      </c>
      <c r="K6" s="68">
        <v>6655.51</v>
      </c>
      <c r="L6" s="71">
        <v>0.8</v>
      </c>
      <c r="M6" s="72">
        <f>ROUND(K6*L6,2)</f>
        <v>5324.41</v>
      </c>
      <c r="N6" s="69">
        <v>0.44340000000000002</v>
      </c>
      <c r="O6" s="73">
        <f>C6+G6+K6</f>
        <v>19485.309999999998</v>
      </c>
      <c r="P6" s="74">
        <f>(E6+I6+M6)/3</f>
        <v>5196.083333333333</v>
      </c>
      <c r="Q6" s="69">
        <v>0.44340000000000002</v>
      </c>
      <c r="R6" s="75"/>
    </row>
    <row r="7" spans="1:18" ht="57" customHeight="1">
      <c r="A7" s="6">
        <v>4</v>
      </c>
      <c r="B7" s="7" t="s">
        <v>172</v>
      </c>
      <c r="C7" s="8">
        <v>6071.21</v>
      </c>
      <c r="D7" s="9">
        <v>0.6</v>
      </c>
      <c r="E7" s="39">
        <f>ROUND(C7*D7,2)</f>
        <v>3642.73</v>
      </c>
      <c r="F7" s="10">
        <v>0.86809999999999998</v>
      </c>
      <c r="G7" s="8">
        <v>5925.35</v>
      </c>
      <c r="H7" s="9">
        <v>0.6</v>
      </c>
      <c r="I7" s="12">
        <f>ROUND(G7*H7,2)</f>
        <v>3555.21</v>
      </c>
      <c r="J7" s="10">
        <v>0.8579</v>
      </c>
      <c r="K7" s="8">
        <v>6181.56</v>
      </c>
      <c r="L7" s="9">
        <v>0.6</v>
      </c>
      <c r="M7" s="12">
        <f>ROUND(K7*L7,2)</f>
        <v>3708.94</v>
      </c>
      <c r="N7" s="10">
        <v>0.85129999999999995</v>
      </c>
      <c r="O7" s="11">
        <f>E7+I7+M7</f>
        <v>10906.880000000001</v>
      </c>
      <c r="P7" s="43">
        <f>(E7+I7+M7)/3</f>
        <v>3635.626666666667</v>
      </c>
      <c r="Q7" s="10">
        <v>0.85909999999999997</v>
      </c>
      <c r="R7" s="14"/>
    </row>
    <row r="8" spans="1:18" ht="54" customHeight="1">
      <c r="A8" s="133" t="s">
        <v>173</v>
      </c>
      <c r="B8" s="134"/>
      <c r="C8" s="11">
        <f>C4+C5+C7</f>
        <v>6655.91</v>
      </c>
      <c r="D8" s="6"/>
      <c r="E8" s="43">
        <f>E4+E5+E7</f>
        <v>4196.3500000000004</v>
      </c>
      <c r="F8" s="6">
        <v>1</v>
      </c>
      <c r="G8" s="11">
        <f>G4+G5+G7</f>
        <v>6546.56</v>
      </c>
      <c r="H8" s="6"/>
      <c r="I8" s="43">
        <f>I4+I5+I7</f>
        <v>4144.28</v>
      </c>
      <c r="J8" s="6">
        <v>1</v>
      </c>
      <c r="K8" s="8">
        <f>K4+K5+K7</f>
        <v>6864.06</v>
      </c>
      <c r="L8" s="6"/>
      <c r="M8" s="12">
        <f>M4+M5+M7</f>
        <v>4356.55</v>
      </c>
      <c r="N8" s="6">
        <v>1</v>
      </c>
      <c r="O8" s="11">
        <f>O4+O5+O7</f>
        <v>12795.29</v>
      </c>
      <c r="P8" s="43">
        <f>P4+P5+P7</f>
        <v>4232.3933333333334</v>
      </c>
      <c r="Q8" s="10">
        <f>Q7+Q5+Q4</f>
        <v>0.99999999999999989</v>
      </c>
    </row>
    <row r="11" spans="1:18">
      <c r="C11" s="83" t="s">
        <v>170</v>
      </c>
    </row>
  </sheetData>
  <mergeCells count="3">
    <mergeCell ref="A1:Q1"/>
    <mergeCell ref="P2:Q2"/>
    <mergeCell ref="A8:B8"/>
  </mergeCells>
  <phoneticPr fontId="19" type="noConversion"/>
  <printOptions horizontalCentered="1"/>
  <pageMargins left="0" right="0" top="0.74803149606299202" bottom="0.59055118110236204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元江县水利灌区管理局县管水利工程供水成本费用申报表</vt:lpstr>
      <vt:lpstr>元江县县管水利工程供水基本情况申报表</vt:lpstr>
      <vt:lpstr>供水量统计表 </vt:lpstr>
      <vt:lpstr>'供水量统计表 '!Print_Area</vt:lpstr>
      <vt:lpstr>元江县水利灌区管理局县管水利工程供水成本费用申报表!Print_Area</vt:lpstr>
      <vt:lpstr>元江县水利灌区管理局县管水利工程供水成本费用申报表!Print_Titles</vt:lpstr>
      <vt:lpstr>元江县县管水利工程供水基本情况申报表!Print_Titles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MicroSoft</cp:lastModifiedBy>
  <cp:lastPrinted>2020-09-18T07:01:01Z</cp:lastPrinted>
  <dcterms:created xsi:type="dcterms:W3CDTF">2015-06-05T18:19:00Z</dcterms:created>
  <dcterms:modified xsi:type="dcterms:W3CDTF">2020-09-18T07:01:24Z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2052-11.8.6.8722</vt:lpwstr>
  </property>
</Properties>
</file>