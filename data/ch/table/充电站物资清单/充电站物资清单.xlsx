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上李朗4S店超充电站" sheetId="6" r:id="rId1"/>
    <sheet name="Sheet1" sheetId="7" r:id="rId2"/>
  </sheets>
  <calcPr calcId="144525"/>
</workbook>
</file>

<file path=xl/sharedStrings.xml><?xml version="1.0" encoding="utf-8"?>
<sst xmlns="http://schemas.openxmlformats.org/spreadsheetml/2006/main" count="175" uniqueCount="103">
  <si>
    <t>项目</t>
  </si>
  <si>
    <t>名 称</t>
  </si>
  <si>
    <t>单位</t>
  </si>
  <si>
    <t>上李朗4S店超充电站</t>
  </si>
  <si>
    <t>安装</t>
  </si>
  <si>
    <t>规 格（根据设计更改）</t>
  </si>
  <si>
    <t>数量</t>
  </si>
  <si>
    <t>单价</t>
  </si>
  <si>
    <t>总价</t>
  </si>
  <si>
    <t>高压部分</t>
  </si>
  <si>
    <t>高压电力电缆</t>
  </si>
  <si>
    <t>米</t>
  </si>
  <si>
    <t>ZR-YJV22-8.7/15kV-3x120</t>
  </si>
  <si>
    <t>含税</t>
  </si>
  <si>
    <t>电力电缆敷设及联接</t>
  </si>
  <si>
    <t>高压电缆终端头</t>
  </si>
  <si>
    <t>套</t>
  </si>
  <si>
    <t>绝缘靴</t>
  </si>
  <si>
    <t>双</t>
  </si>
  <si>
    <t>防电绝缘靴 20KV高压</t>
  </si>
  <si>
    <t>绝缘手套</t>
  </si>
  <si>
    <t>高压12KV带电作业用绝缘手套</t>
  </si>
  <si>
    <t>电力系统实验调试费(含设计)</t>
  </si>
  <si>
    <t>系统</t>
  </si>
  <si>
    <t>10kV以下变压器系统调试</t>
  </si>
  <si>
    <t>高压电缆保护管</t>
  </si>
  <si>
    <t>PE160</t>
  </si>
  <si>
    <t>挖土直埋电缆</t>
  </si>
  <si>
    <t>破除地面混凝土及清运、管道铺设等</t>
  </si>
  <si>
    <t>高压电缆井</t>
  </si>
  <si>
    <t>座</t>
  </si>
  <si>
    <t>（其他请在此行以上插入...）</t>
  </si>
  <si>
    <t>小计</t>
  </si>
  <si>
    <t>预制舱</t>
  </si>
  <si>
    <t>新建预制舱</t>
  </si>
  <si>
    <t>台</t>
  </si>
  <si>
    <t>1250kVA预制舱</t>
  </si>
  <si>
    <t>新建预制舱基础</t>
  </si>
  <si>
    <t>站内电缆</t>
  </si>
  <si>
    <t>低压电力电缆</t>
  </si>
  <si>
    <t>ZC-YJV22-3x300+2x150</t>
  </si>
  <si>
    <t>低压电力电缆敷设</t>
  </si>
  <si>
    <t>低压电缆终端头</t>
  </si>
  <si>
    <t>个</t>
  </si>
  <si>
    <t>1kV以下截面300mm2以下</t>
  </si>
  <si>
    <t>ZC-YJV22-1x120</t>
  </si>
  <si>
    <t>ZC-YJV22-1x70</t>
  </si>
  <si>
    <t>1kV以下截面150mm2以下</t>
  </si>
  <si>
    <t>通讯网线</t>
  </si>
  <si>
    <t>超六类屏蔽网线</t>
  </si>
  <si>
    <t>顶管工作坑</t>
  </si>
  <si>
    <t>顶管</t>
  </si>
  <si>
    <t>低压电缆井</t>
  </si>
  <si>
    <t>电缆保护管</t>
  </si>
  <si>
    <t>PVC50</t>
  </si>
  <si>
    <t>PVC25</t>
  </si>
  <si>
    <t>单相电缆</t>
  </si>
  <si>
    <t>VV-2*2.5</t>
  </si>
  <si>
    <t>停车位</t>
  </si>
  <si>
    <t>防撞柱</t>
  </si>
  <si>
    <t>根</t>
  </si>
  <si>
    <t>高度1.5米，DN150（壁厚4mm内满灌混凝土）钢管，封闭防护</t>
  </si>
  <si>
    <t>挡车限位器</t>
  </si>
  <si>
    <t>长度2.3米，DN100（壁厚6mm内满灌混凝土）钢管，封闭防护</t>
  </si>
  <si>
    <t>地锁带蓝牙功能</t>
  </si>
  <si>
    <t>车位画线</t>
  </si>
  <si>
    <t>热熔</t>
  </si>
  <si>
    <t>监控及消防</t>
  </si>
  <si>
    <t>网络硬盘录像机</t>
  </si>
  <si>
    <t>1. 录像设备 硬盘录像机 6路输入[6路硬盘监控主机模拟NVR网络 带1T硬盘]</t>
  </si>
  <si>
    <t>网络高清摄像机</t>
  </si>
  <si>
    <t>1. 400W像素高清监控摄像头监控设备，含安防箱</t>
  </si>
  <si>
    <t>交换机</t>
  </si>
  <si>
    <t>1. 工作组级交换机安装、调试[工作组级交换机] 24口千兆企业级以太网络交换机</t>
  </si>
  <si>
    <t>户外网络机柜</t>
  </si>
  <si>
    <t xml:space="preserve">电脑UPS交换机弱电监控机柜 </t>
  </si>
  <si>
    <t>防雨型灭火器箱</t>
  </si>
  <si>
    <t>组</t>
  </si>
  <si>
    <t>防雨型灭火器箱（内含手提式干粉灭火器2瓶）</t>
  </si>
  <si>
    <t>推车式干粉灭火器</t>
  </si>
  <si>
    <t>35kg推车式干粉灭火器</t>
  </si>
  <si>
    <t>监控杆</t>
  </si>
  <si>
    <t>4米高</t>
  </si>
  <si>
    <t>监控杆基础</t>
  </si>
  <si>
    <t>防雷接地</t>
  </si>
  <si>
    <t>接地极</t>
  </si>
  <si>
    <t>镀锌角钢50*5*2500</t>
  </si>
  <si>
    <t>接地母线</t>
  </si>
  <si>
    <t>镀锌扁钢 40×4</t>
  </si>
  <si>
    <t>镀锌圆钢 直径16mm</t>
  </si>
  <si>
    <t>箱变基础接地系统</t>
  </si>
  <si>
    <t>接地网制作安装</t>
  </si>
  <si>
    <t>充电桩基础</t>
  </si>
  <si>
    <t>工程含税总计</t>
  </si>
  <si>
    <t>工程不含税总计</t>
  </si>
  <si>
    <t>税金</t>
  </si>
  <si>
    <t>9%</t>
  </si>
  <si>
    <t>工程总计</t>
  </si>
  <si>
    <t>充电设备</t>
  </si>
  <si>
    <t>整流柜</t>
  </si>
  <si>
    <t>超充直流终端</t>
  </si>
  <si>
    <t>快充直流终端</t>
  </si>
  <si>
    <t>共计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</si>
</sst>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23" formatCode="\$#,##0_);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 "/>
  </numFmts>
  <fonts count="32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charset val="134"/>
    </font>
    <font>
      <sz val="9"/>
      <color rgb="FFFF0000"/>
      <name val="宋体"/>
      <charset val="134"/>
      <scheme val="minor"/>
    </font>
    <font>
      <sz val="9"/>
      <color rgb="FFFF0000"/>
      <name val="宋体"/>
      <charset val="134"/>
    </font>
    <font>
      <sz val="11"/>
      <name val="宋体"/>
      <charset val="134"/>
      <scheme val="minor"/>
    </font>
    <font>
      <i/>
      <sz val="7"/>
      <name val="宋体"/>
      <charset val="134"/>
      <scheme val="minor"/>
    </font>
    <font>
      <b/>
      <sz val="9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i/>
      <sz val="9"/>
      <name val="宋体"/>
      <charset val="134"/>
      <scheme val="minor"/>
    </font>
    <font>
      <b/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8" borderId="12" applyNumberFormat="0" applyAlignment="0" applyProtection="0">
      <alignment vertical="center"/>
    </xf>
    <xf numFmtId="0" fontId="22" fillId="8" borderId="11" applyNumberFormat="0" applyAlignment="0" applyProtection="0">
      <alignment vertical="center"/>
    </xf>
    <xf numFmtId="0" fontId="23" fillId="9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1" fillId="0" borderId="0"/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left" vertical="center"/>
    </xf>
    <xf numFmtId="176" fontId="1" fillId="0" borderId="0" xfId="0" applyNumberFormat="1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23" fontId="5" fillId="4" borderId="1" xfId="0" applyNumberFormat="1" applyFont="1" applyFill="1" applyBorder="1" applyAlignment="1" applyProtection="1">
      <alignment horizontal="center" vertical="center" wrapText="1"/>
    </xf>
    <xf numFmtId="177" fontId="5" fillId="4" borderId="1" xfId="0" applyNumberFormat="1" applyFont="1" applyFill="1" applyBorder="1" applyAlignment="1" applyProtection="1">
      <alignment horizontal="center" vertical="center" shrinkToFit="1"/>
    </xf>
    <xf numFmtId="176" fontId="5" fillId="4" borderId="1" xfId="0" applyNumberFormat="1" applyFont="1" applyFill="1" applyBorder="1" applyAlignment="1" applyProtection="1">
      <alignment horizontal="center" vertical="center" shrinkToFit="1"/>
    </xf>
    <xf numFmtId="176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4" fillId="4" borderId="1" xfId="0" applyNumberFormat="1" applyFont="1" applyFill="1" applyBorder="1" applyAlignment="1">
      <alignment horizontal="center" vertical="center"/>
    </xf>
    <xf numFmtId="0" fontId="6" fillId="0" borderId="0" xfId="0" applyFont="1" applyFill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23" fontId="5" fillId="2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 applyProtection="1">
      <alignment horizontal="center" vertical="center" shrinkToFit="1"/>
    </xf>
    <xf numFmtId="0" fontId="5" fillId="4" borderId="1" xfId="49" applyNumberFormat="1" applyFont="1" applyFill="1" applyBorder="1" applyAlignment="1" applyProtection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176" fontId="5" fillId="4" borderId="1" xfId="49" applyNumberFormat="1" applyFont="1" applyFill="1" applyBorder="1" applyAlignment="1" applyProtection="1">
      <alignment horizontal="center" vertical="center" shrinkToFit="1"/>
    </xf>
    <xf numFmtId="0" fontId="6" fillId="2" borderId="0" xfId="0" applyFont="1" applyFill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176" fontId="3" fillId="0" borderId="1" xfId="49" applyNumberFormat="1" applyFont="1" applyFill="1" applyBorder="1" applyAlignment="1" applyProtection="1">
      <alignment horizontal="center" vertical="center" shrinkToFit="1"/>
    </xf>
    <xf numFmtId="0" fontId="2" fillId="3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2" fontId="9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2" fontId="8" fillId="0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23" fontId="5" fillId="3" borderId="1" xfId="0" applyNumberFormat="1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 applyProtection="1">
      <alignment horizontal="center" vertical="center" shrinkToFit="1"/>
    </xf>
    <xf numFmtId="176" fontId="8" fillId="4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23" fontId="3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shrinkToFit="1"/>
    </xf>
    <xf numFmtId="176" fontId="3" fillId="0" borderId="1" xfId="0" applyNumberFormat="1" applyFont="1" applyFill="1" applyBorder="1" applyAlignment="1" applyProtection="1">
      <alignment horizontal="center" vertical="center" shrinkToFit="1"/>
    </xf>
    <xf numFmtId="23" fontId="3" fillId="0" borderId="1" xfId="0" applyNumberFormat="1" applyFont="1" applyFill="1" applyBorder="1" applyAlignment="1" applyProtection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49" fontId="2" fillId="0" borderId="1" xfId="3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49" fontId="2" fillId="3" borderId="1" xfId="3" applyNumberFormat="1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5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71"/>
  <sheetViews>
    <sheetView tabSelected="1" zoomScale="120" zoomScaleNormal="120" topLeftCell="A11" workbookViewId="0">
      <selection activeCell="I9" sqref="I9"/>
    </sheetView>
  </sheetViews>
  <sheetFormatPr defaultColWidth="8.88888888888889" defaultRowHeight="14.4"/>
  <cols>
    <col min="2" max="2" width="18.4444444444444" customWidth="1"/>
    <col min="4" max="4" width="33.6666666666667" customWidth="1"/>
    <col min="5" max="5" width="15.5555555555556" customWidth="1"/>
    <col min="6" max="6" width="20.6666666666667" customWidth="1"/>
    <col min="7" max="7" width="19" customWidth="1"/>
    <col min="9" max="9" width="12.8888888888889"/>
  </cols>
  <sheetData>
    <row r="1" spans="1:7">
      <c r="A1" s="2"/>
      <c r="B1" s="3"/>
      <c r="C1" s="2"/>
      <c r="D1" s="4"/>
      <c r="E1" s="5"/>
      <c r="F1" s="6"/>
      <c r="G1" s="7"/>
    </row>
    <row r="2" spans="1:9">
      <c r="A2" s="8" t="s">
        <v>0</v>
      </c>
      <c r="B2" s="8" t="s">
        <v>1</v>
      </c>
      <c r="C2" s="8" t="s">
        <v>2</v>
      </c>
      <c r="D2" s="9" t="s">
        <v>3</v>
      </c>
      <c r="E2" s="10"/>
      <c r="F2" s="11"/>
      <c r="G2" s="11"/>
      <c r="I2" t="s">
        <v>4</v>
      </c>
    </row>
    <row r="3" spans="1:7">
      <c r="A3" s="8"/>
      <c r="B3" s="8"/>
      <c r="C3" s="8"/>
      <c r="D3" s="12" t="s">
        <v>5</v>
      </c>
      <c r="E3" s="13" t="s">
        <v>6</v>
      </c>
      <c r="F3" s="14" t="s">
        <v>7</v>
      </c>
      <c r="G3" s="14" t="s">
        <v>8</v>
      </c>
    </row>
    <row r="4" spans="1:8">
      <c r="A4" s="15" t="s">
        <v>9</v>
      </c>
      <c r="B4" s="16" t="s">
        <v>10</v>
      </c>
      <c r="C4" s="16" t="s">
        <v>11</v>
      </c>
      <c r="D4" s="17" t="s">
        <v>12</v>
      </c>
      <c r="E4" s="18">
        <v>85</v>
      </c>
      <c r="F4" s="19">
        <v>400</v>
      </c>
      <c r="G4" s="20">
        <f t="shared" ref="G4:G9" si="0">E4*F4</f>
        <v>34000</v>
      </c>
      <c r="H4" t="s">
        <v>13</v>
      </c>
    </row>
    <row r="5" spans="1:8">
      <c r="A5" s="15"/>
      <c r="B5" s="21" t="s">
        <v>14</v>
      </c>
      <c r="C5" s="16" t="s">
        <v>11</v>
      </c>
      <c r="D5" s="17" t="s">
        <v>12</v>
      </c>
      <c r="E5" s="22">
        <f>E4</f>
        <v>85</v>
      </c>
      <c r="F5" s="20">
        <v>30</v>
      </c>
      <c r="G5" s="20">
        <f t="shared" si="0"/>
        <v>2550</v>
      </c>
      <c r="H5" s="23"/>
    </row>
    <row r="6" s="1" customFormat="1" spans="1:7">
      <c r="A6" s="24"/>
      <c r="B6" s="25" t="s">
        <v>15</v>
      </c>
      <c r="C6" s="26" t="s">
        <v>16</v>
      </c>
      <c r="D6" s="27" t="s">
        <v>12</v>
      </c>
      <c r="E6" s="28">
        <v>4</v>
      </c>
      <c r="F6" s="29">
        <v>3200</v>
      </c>
      <c r="G6" s="29">
        <f t="shared" si="0"/>
        <v>12800</v>
      </c>
    </row>
    <row r="7" spans="1:7">
      <c r="A7" s="15"/>
      <c r="B7" s="17" t="s">
        <v>17</v>
      </c>
      <c r="C7" s="17" t="s">
        <v>18</v>
      </c>
      <c r="D7" s="17" t="s">
        <v>19</v>
      </c>
      <c r="E7" s="30">
        <v>5</v>
      </c>
      <c r="F7" s="19">
        <v>100</v>
      </c>
      <c r="G7" s="20">
        <f t="shared" si="0"/>
        <v>500</v>
      </c>
    </row>
    <row r="8" spans="1:7">
      <c r="A8" s="15"/>
      <c r="B8" s="17" t="s">
        <v>20</v>
      </c>
      <c r="C8" s="17" t="s">
        <v>18</v>
      </c>
      <c r="D8" s="17" t="s">
        <v>21</v>
      </c>
      <c r="E8" s="30">
        <v>5</v>
      </c>
      <c r="F8" s="19">
        <v>110.96</v>
      </c>
      <c r="G8" s="20">
        <f t="shared" si="0"/>
        <v>554.8</v>
      </c>
    </row>
    <row r="9" ht="21.6" spans="1:7">
      <c r="A9" s="15"/>
      <c r="B9" s="21" t="s">
        <v>22</v>
      </c>
      <c r="C9" s="31" t="s">
        <v>23</v>
      </c>
      <c r="D9" s="31" t="s">
        <v>24</v>
      </c>
      <c r="E9" s="32">
        <v>1</v>
      </c>
      <c r="F9" s="20">
        <v>120000</v>
      </c>
      <c r="G9" s="20">
        <f t="shared" si="0"/>
        <v>120000</v>
      </c>
    </row>
    <row r="10" spans="1:7">
      <c r="A10" s="15"/>
      <c r="B10" s="21" t="s">
        <v>25</v>
      </c>
      <c r="C10" s="16" t="s">
        <v>11</v>
      </c>
      <c r="D10" s="21" t="s">
        <v>26</v>
      </c>
      <c r="E10" s="16">
        <f>75</f>
        <v>75</v>
      </c>
      <c r="F10" s="33">
        <v>140</v>
      </c>
      <c r="G10" s="33">
        <f t="shared" ref="G10:G12" si="1">F10*E10</f>
        <v>10500</v>
      </c>
    </row>
    <row r="11" spans="1:8">
      <c r="A11" s="15"/>
      <c r="B11" s="21" t="s">
        <v>27</v>
      </c>
      <c r="C11" s="16" t="s">
        <v>11</v>
      </c>
      <c r="D11" s="21" t="s">
        <v>28</v>
      </c>
      <c r="E11" s="21">
        <v>75</v>
      </c>
      <c r="F11" s="33">
        <v>300</v>
      </c>
      <c r="G11" s="33">
        <f t="shared" si="1"/>
        <v>22500</v>
      </c>
      <c r="H11" s="23"/>
    </row>
    <row r="12" spans="1:8">
      <c r="A12" s="15"/>
      <c r="B12" s="21" t="s">
        <v>29</v>
      </c>
      <c r="C12" s="16" t="s">
        <v>30</v>
      </c>
      <c r="D12" s="34"/>
      <c r="E12" s="32">
        <v>3</v>
      </c>
      <c r="F12" s="35">
        <v>5000</v>
      </c>
      <c r="G12" s="33">
        <f t="shared" si="1"/>
        <v>15000</v>
      </c>
      <c r="H12" s="36"/>
    </row>
    <row r="13" ht="18" spans="1:7">
      <c r="A13" s="15"/>
      <c r="B13" s="37" t="s">
        <v>31</v>
      </c>
      <c r="C13" s="8"/>
      <c r="D13" s="15"/>
      <c r="E13" s="13"/>
      <c r="F13" s="38"/>
      <c r="G13" s="14"/>
    </row>
    <row r="14" spans="1:7">
      <c r="A14" s="15"/>
      <c r="B14" s="39"/>
      <c r="C14" s="9"/>
      <c r="D14" s="39" t="s">
        <v>32</v>
      </c>
      <c r="E14" s="10"/>
      <c r="F14" s="11"/>
      <c r="G14" s="40">
        <f>SUM(G4:G13)</f>
        <v>218404.8</v>
      </c>
    </row>
    <row r="15" spans="1:8">
      <c r="A15" s="41" t="s">
        <v>33</v>
      </c>
      <c r="B15" s="42" t="s">
        <v>34</v>
      </c>
      <c r="C15" s="43" t="s">
        <v>35</v>
      </c>
      <c r="D15" s="42" t="s">
        <v>36</v>
      </c>
      <c r="E15" s="44">
        <v>1</v>
      </c>
      <c r="F15" s="45">
        <v>650000</v>
      </c>
      <c r="G15" s="45">
        <f t="shared" ref="G15:G17" si="2">E15*F15</f>
        <v>650000</v>
      </c>
      <c r="H15" t="s">
        <v>13</v>
      </c>
    </row>
    <row r="16" spans="1:8">
      <c r="A16" s="46"/>
      <c r="B16" s="42" t="s">
        <v>37</v>
      </c>
      <c r="C16" s="43" t="s">
        <v>30</v>
      </c>
      <c r="D16" s="42" t="s">
        <v>37</v>
      </c>
      <c r="E16" s="44">
        <v>1</v>
      </c>
      <c r="F16" s="45">
        <v>50000</v>
      </c>
      <c r="G16" s="45">
        <f t="shared" si="2"/>
        <v>50000</v>
      </c>
      <c r="H16" t="s">
        <v>13</v>
      </c>
    </row>
    <row r="17" spans="1:7">
      <c r="A17" s="46"/>
      <c r="B17" s="42"/>
      <c r="C17" s="43"/>
      <c r="D17" s="42"/>
      <c r="E17" s="44"/>
      <c r="F17" s="45"/>
      <c r="G17" s="45"/>
    </row>
    <row r="18" spans="1:7">
      <c r="A18" s="46"/>
      <c r="B18" s="15"/>
      <c r="C18" s="8"/>
      <c r="D18" s="15"/>
      <c r="E18" s="8"/>
      <c r="F18" s="47"/>
      <c r="G18" s="48"/>
    </row>
    <row r="19" ht="18" spans="1:7">
      <c r="A19" s="46"/>
      <c r="B19" s="37" t="s">
        <v>31</v>
      </c>
      <c r="C19" s="8"/>
      <c r="D19" s="15"/>
      <c r="E19" s="8"/>
      <c r="F19" s="48"/>
      <c r="G19" s="48"/>
    </row>
    <row r="20" spans="1:8">
      <c r="A20" s="49"/>
      <c r="B20" s="39"/>
      <c r="C20" s="9"/>
      <c r="D20" s="39" t="s">
        <v>32</v>
      </c>
      <c r="E20" s="9"/>
      <c r="F20" s="9"/>
      <c r="G20" s="50">
        <f>SUM(G15:G19)</f>
        <v>700000</v>
      </c>
      <c r="H20" t="s">
        <v>13</v>
      </c>
    </row>
    <row r="21" spans="1:8">
      <c r="A21" s="51" t="s">
        <v>38</v>
      </c>
      <c r="B21" s="52" t="s">
        <v>39</v>
      </c>
      <c r="C21" s="17" t="s">
        <v>11</v>
      </c>
      <c r="D21" s="17" t="s">
        <v>40</v>
      </c>
      <c r="E21" s="30">
        <v>436</v>
      </c>
      <c r="F21" s="19">
        <v>1266</v>
      </c>
      <c r="G21" s="20">
        <f>F21*E21</f>
        <v>551976</v>
      </c>
      <c r="H21" t="s">
        <v>13</v>
      </c>
    </row>
    <row r="22" spans="1:7">
      <c r="A22" s="53"/>
      <c r="B22" s="52" t="s">
        <v>41</v>
      </c>
      <c r="C22" s="17" t="s">
        <v>11</v>
      </c>
      <c r="D22" s="17" t="s">
        <v>40</v>
      </c>
      <c r="E22" s="30">
        <v>436</v>
      </c>
      <c r="F22" s="19">
        <v>32</v>
      </c>
      <c r="G22" s="20">
        <f>F22*E22</f>
        <v>13952</v>
      </c>
    </row>
    <row r="23" spans="1:7">
      <c r="A23" s="53"/>
      <c r="B23" s="21" t="s">
        <v>42</v>
      </c>
      <c r="C23" s="17" t="s">
        <v>43</v>
      </c>
      <c r="D23" s="21" t="s">
        <v>44</v>
      </c>
      <c r="E23" s="32">
        <v>8</v>
      </c>
      <c r="F23" s="33">
        <v>300</v>
      </c>
      <c r="G23" s="20">
        <f>E23*F23</f>
        <v>2400</v>
      </c>
    </row>
    <row r="24" spans="1:8">
      <c r="A24" s="53"/>
      <c r="B24" s="52" t="s">
        <v>39</v>
      </c>
      <c r="C24" s="17" t="s">
        <v>11</v>
      </c>
      <c r="D24" s="17" t="s">
        <v>45</v>
      </c>
      <c r="E24" s="30">
        <v>300</v>
      </c>
      <c r="F24" s="19">
        <v>300</v>
      </c>
      <c r="G24" s="20">
        <f>F24*E24</f>
        <v>90000</v>
      </c>
      <c r="H24" t="s">
        <v>13</v>
      </c>
    </row>
    <row r="25" spans="1:7">
      <c r="A25" s="53"/>
      <c r="B25" s="52" t="s">
        <v>41</v>
      </c>
      <c r="C25" s="17" t="s">
        <v>11</v>
      </c>
      <c r="D25" s="17" t="s">
        <v>45</v>
      </c>
      <c r="E25" s="30">
        <v>300</v>
      </c>
      <c r="F25" s="19">
        <v>28</v>
      </c>
      <c r="G25" s="20">
        <f>F25*E25</f>
        <v>8400</v>
      </c>
    </row>
    <row r="26" spans="1:7">
      <c r="A26" s="53"/>
      <c r="B26" s="21" t="s">
        <v>42</v>
      </c>
      <c r="C26" s="17" t="s">
        <v>43</v>
      </c>
      <c r="D26" s="21" t="s">
        <v>44</v>
      </c>
      <c r="E26" s="32">
        <v>15</v>
      </c>
      <c r="F26" s="33">
        <v>200</v>
      </c>
      <c r="G26" s="20">
        <f>E26*F26</f>
        <v>3000</v>
      </c>
    </row>
    <row r="27" spans="1:8">
      <c r="A27" s="53"/>
      <c r="B27" s="52" t="s">
        <v>39</v>
      </c>
      <c r="C27" s="17" t="s">
        <v>11</v>
      </c>
      <c r="D27" s="17" t="s">
        <v>46</v>
      </c>
      <c r="E27" s="30">
        <v>115</v>
      </c>
      <c r="F27" s="33">
        <v>76</v>
      </c>
      <c r="G27" s="20">
        <f>F27*E27</f>
        <v>8740</v>
      </c>
      <c r="H27" t="s">
        <v>13</v>
      </c>
    </row>
    <row r="28" spans="1:7">
      <c r="A28" s="53"/>
      <c r="B28" s="52" t="s">
        <v>41</v>
      </c>
      <c r="C28" s="17" t="s">
        <v>11</v>
      </c>
      <c r="D28" s="17" t="s">
        <v>46</v>
      </c>
      <c r="E28" s="30">
        <f>E27</f>
        <v>115</v>
      </c>
      <c r="F28" s="19">
        <v>25</v>
      </c>
      <c r="G28" s="20">
        <f>F28*E28</f>
        <v>2875</v>
      </c>
    </row>
    <row r="29" spans="1:7">
      <c r="A29" s="53"/>
      <c r="B29" s="21" t="s">
        <v>42</v>
      </c>
      <c r="C29" s="17" t="s">
        <v>43</v>
      </c>
      <c r="D29" s="21" t="s">
        <v>47</v>
      </c>
      <c r="E29" s="32">
        <v>22</v>
      </c>
      <c r="F29" s="19">
        <v>190</v>
      </c>
      <c r="G29" s="20">
        <f>E29*F29</f>
        <v>4180</v>
      </c>
    </row>
    <row r="30" spans="1:7">
      <c r="A30" s="53"/>
      <c r="B30" s="52" t="s">
        <v>48</v>
      </c>
      <c r="C30" s="17" t="s">
        <v>11</v>
      </c>
      <c r="D30" s="17" t="s">
        <v>49</v>
      </c>
      <c r="E30" s="30">
        <v>115</v>
      </c>
      <c r="F30" s="19">
        <v>5</v>
      </c>
      <c r="G30" s="20">
        <f>E30*F30</f>
        <v>575</v>
      </c>
    </row>
    <row r="31" spans="1:7">
      <c r="A31" s="53"/>
      <c r="B31" s="21" t="s">
        <v>50</v>
      </c>
      <c r="C31" s="43" t="s">
        <v>30</v>
      </c>
      <c r="D31" s="54"/>
      <c r="E31" s="30">
        <v>2</v>
      </c>
      <c r="F31" s="19">
        <v>2500</v>
      </c>
      <c r="G31" s="20">
        <f>E31*F31</f>
        <v>5000</v>
      </c>
    </row>
    <row r="32" spans="1:7">
      <c r="A32" s="53"/>
      <c r="B32" s="21" t="s">
        <v>51</v>
      </c>
      <c r="C32" s="17" t="s">
        <v>11</v>
      </c>
      <c r="D32" s="17" t="s">
        <v>26</v>
      </c>
      <c r="E32" s="19">
        <f>4*103</f>
        <v>412</v>
      </c>
      <c r="F32" s="19">
        <v>200</v>
      </c>
      <c r="G32" s="20">
        <f t="shared" ref="G32:G36" si="3">F32*E32</f>
        <v>82400</v>
      </c>
    </row>
    <row r="33" spans="1:7">
      <c r="A33" s="53"/>
      <c r="B33" s="21" t="s">
        <v>52</v>
      </c>
      <c r="C33" s="43" t="s">
        <v>30</v>
      </c>
      <c r="D33" s="54" t="s">
        <v>28</v>
      </c>
      <c r="E33" s="19">
        <v>2</v>
      </c>
      <c r="F33" s="19">
        <v>2500</v>
      </c>
      <c r="G33" s="20">
        <f t="shared" si="3"/>
        <v>5000</v>
      </c>
    </row>
    <row r="34" ht="13" customHeight="1" spans="1:7">
      <c r="A34" s="53"/>
      <c r="B34" s="21" t="s">
        <v>53</v>
      </c>
      <c r="C34" s="17" t="s">
        <v>11</v>
      </c>
      <c r="D34" s="17" t="s">
        <v>54</v>
      </c>
      <c r="E34" s="19">
        <v>35</v>
      </c>
      <c r="F34" s="19">
        <v>11</v>
      </c>
      <c r="G34" s="20">
        <f t="shared" si="3"/>
        <v>385</v>
      </c>
    </row>
    <row r="35" ht="13" customHeight="1" spans="1:7">
      <c r="A35" s="53"/>
      <c r="B35" s="21" t="s">
        <v>53</v>
      </c>
      <c r="C35" s="17" t="s">
        <v>11</v>
      </c>
      <c r="D35" s="17" t="s">
        <v>55</v>
      </c>
      <c r="E35" s="19">
        <v>115</v>
      </c>
      <c r="F35" s="19">
        <v>6</v>
      </c>
      <c r="G35" s="20">
        <f t="shared" si="3"/>
        <v>690</v>
      </c>
    </row>
    <row r="36" spans="1:7">
      <c r="A36" s="53"/>
      <c r="B36" s="21" t="s">
        <v>56</v>
      </c>
      <c r="C36" s="16" t="s">
        <v>11</v>
      </c>
      <c r="D36" s="17" t="s">
        <v>57</v>
      </c>
      <c r="E36" s="19">
        <f>E35*2</f>
        <v>230</v>
      </c>
      <c r="F36" s="19">
        <v>11.25</v>
      </c>
      <c r="G36" s="20">
        <f t="shared" si="3"/>
        <v>2587.5</v>
      </c>
    </row>
    <row r="37" spans="1:7">
      <c r="A37" s="55"/>
      <c r="B37" s="56"/>
      <c r="C37" s="57"/>
      <c r="D37" s="56" t="s">
        <v>32</v>
      </c>
      <c r="E37" s="58"/>
      <c r="F37" s="59"/>
      <c r="G37" s="60">
        <f>SUM(G21:G35)</f>
        <v>779573</v>
      </c>
    </row>
    <row r="38" ht="21.6" spans="1:7">
      <c r="A38" s="15" t="s">
        <v>58</v>
      </c>
      <c r="B38" s="17" t="s">
        <v>59</v>
      </c>
      <c r="C38" s="17" t="s">
        <v>60</v>
      </c>
      <c r="D38" s="17" t="s">
        <v>61</v>
      </c>
      <c r="E38" s="30">
        <v>16</v>
      </c>
      <c r="F38" s="19">
        <v>485.17</v>
      </c>
      <c r="G38" s="20">
        <f t="shared" ref="G38:G41" si="4">E38*F38</f>
        <v>7762.72</v>
      </c>
    </row>
    <row r="39" ht="21.6" spans="1:7">
      <c r="A39" s="15"/>
      <c r="B39" s="17" t="s">
        <v>62</v>
      </c>
      <c r="C39" s="17" t="s">
        <v>16</v>
      </c>
      <c r="D39" s="17" t="s">
        <v>63</v>
      </c>
      <c r="E39" s="30">
        <v>14</v>
      </c>
      <c r="F39" s="19">
        <v>981.11</v>
      </c>
      <c r="G39" s="20">
        <f t="shared" si="4"/>
        <v>13735.54</v>
      </c>
    </row>
    <row r="40" spans="1:7">
      <c r="A40" s="15"/>
      <c r="B40" s="17" t="s">
        <v>64</v>
      </c>
      <c r="C40" s="17" t="s">
        <v>16</v>
      </c>
      <c r="D40" s="21"/>
      <c r="E40" s="30">
        <v>14</v>
      </c>
      <c r="F40" s="19">
        <v>1000</v>
      </c>
      <c r="G40" s="20">
        <f t="shared" si="4"/>
        <v>14000</v>
      </c>
    </row>
    <row r="41" spans="1:7">
      <c r="A41" s="15"/>
      <c r="B41" s="17" t="s">
        <v>65</v>
      </c>
      <c r="C41" s="17" t="s">
        <v>43</v>
      </c>
      <c r="D41" s="21" t="s">
        <v>66</v>
      </c>
      <c r="E41" s="30">
        <v>14</v>
      </c>
      <c r="F41" s="19">
        <v>710.28</v>
      </c>
      <c r="G41" s="20">
        <f t="shared" si="4"/>
        <v>9943.92</v>
      </c>
    </row>
    <row r="42" ht="18" spans="1:7">
      <c r="A42" s="15"/>
      <c r="B42" s="37" t="s">
        <v>31</v>
      </c>
      <c r="C42" s="8"/>
      <c r="D42" s="61"/>
      <c r="E42" s="13"/>
      <c r="F42" s="14"/>
      <c r="G42" s="14"/>
    </row>
    <row r="43" spans="1:7">
      <c r="A43" s="15"/>
      <c r="B43" s="62"/>
      <c r="C43" s="9"/>
      <c r="D43" s="63" t="s">
        <v>32</v>
      </c>
      <c r="E43" s="10"/>
      <c r="F43" s="11"/>
      <c r="G43" s="40">
        <f>SUM(G38:G42)</f>
        <v>45442.18</v>
      </c>
    </row>
    <row r="44" ht="21.6" spans="1:7">
      <c r="A44" s="15" t="s">
        <v>67</v>
      </c>
      <c r="B44" s="64" t="s">
        <v>68</v>
      </c>
      <c r="C44" s="64" t="s">
        <v>35</v>
      </c>
      <c r="D44" s="64" t="s">
        <v>69</v>
      </c>
      <c r="E44" s="65">
        <v>1</v>
      </c>
      <c r="F44" s="66">
        <v>2828.43</v>
      </c>
      <c r="G44" s="14">
        <f>E44*F44</f>
        <v>2828.43</v>
      </c>
    </row>
    <row r="45" ht="21.6" spans="1:7">
      <c r="A45" s="15"/>
      <c r="B45" s="64" t="s">
        <v>70</v>
      </c>
      <c r="C45" s="64" t="s">
        <v>35</v>
      </c>
      <c r="D45" s="64" t="s">
        <v>71</v>
      </c>
      <c r="E45" s="65">
        <v>2</v>
      </c>
      <c r="F45" s="66">
        <v>1297.47</v>
      </c>
      <c r="G45" s="14">
        <f>E45*F45</f>
        <v>2594.94</v>
      </c>
    </row>
    <row r="46" ht="21.6" spans="1:7">
      <c r="A46" s="15"/>
      <c r="B46" s="64" t="s">
        <v>72</v>
      </c>
      <c r="C46" s="64" t="s">
        <v>16</v>
      </c>
      <c r="D46" s="64" t="s">
        <v>73</v>
      </c>
      <c r="E46" s="65">
        <v>1</v>
      </c>
      <c r="F46" s="66">
        <v>1848.36</v>
      </c>
      <c r="G46" s="14">
        <f>E46*F46</f>
        <v>1848.36</v>
      </c>
    </row>
    <row r="47" spans="1:7">
      <c r="A47" s="15"/>
      <c r="B47" s="64" t="s">
        <v>74</v>
      </c>
      <c r="C47" s="64" t="s">
        <v>43</v>
      </c>
      <c r="D47" s="64" t="s">
        <v>75</v>
      </c>
      <c r="E47" s="65">
        <v>1</v>
      </c>
      <c r="F47" s="66">
        <v>2982.36</v>
      </c>
      <c r="G47" s="14">
        <f>E47*F47</f>
        <v>2982.36</v>
      </c>
    </row>
    <row r="48" ht="21.6" spans="1:7">
      <c r="A48" s="15"/>
      <c r="B48" s="64" t="s">
        <v>76</v>
      </c>
      <c r="C48" s="64" t="s">
        <v>77</v>
      </c>
      <c r="D48" s="64" t="s">
        <v>78</v>
      </c>
      <c r="E48" s="65">
        <v>4</v>
      </c>
      <c r="F48" s="66">
        <v>287.5</v>
      </c>
      <c r="G48" s="14">
        <f>F48*E48</f>
        <v>1150</v>
      </c>
    </row>
    <row r="49" spans="1:7">
      <c r="A49" s="15"/>
      <c r="B49" s="64" t="s">
        <v>79</v>
      </c>
      <c r="C49" s="64" t="s">
        <v>43</v>
      </c>
      <c r="D49" s="64" t="s">
        <v>80</v>
      </c>
      <c r="E49" s="65">
        <v>1</v>
      </c>
      <c r="F49" s="66">
        <v>880</v>
      </c>
      <c r="G49" s="14">
        <f>F49*E49</f>
        <v>880</v>
      </c>
    </row>
    <row r="50" spans="1:7">
      <c r="A50" s="15"/>
      <c r="B50" s="64" t="s">
        <v>81</v>
      </c>
      <c r="C50" s="64" t="s">
        <v>60</v>
      </c>
      <c r="D50" s="64" t="s">
        <v>82</v>
      </c>
      <c r="E50" s="13">
        <v>1</v>
      </c>
      <c r="F50" s="66">
        <v>1986.1</v>
      </c>
      <c r="G50" s="14">
        <f>E50*F50</f>
        <v>1986.1</v>
      </c>
    </row>
    <row r="51" spans="1:7">
      <c r="A51" s="15"/>
      <c r="B51" s="64" t="s">
        <v>83</v>
      </c>
      <c r="C51" s="64" t="s">
        <v>43</v>
      </c>
      <c r="D51" s="67"/>
      <c r="E51" s="65">
        <f>E50</f>
        <v>1</v>
      </c>
      <c r="F51" s="66">
        <v>1647.2</v>
      </c>
      <c r="G51" s="14">
        <f>E51*F51</f>
        <v>1647.2</v>
      </c>
    </row>
    <row r="52" ht="18" spans="1:7">
      <c r="A52" s="15"/>
      <c r="B52" s="37" t="s">
        <v>31</v>
      </c>
      <c r="C52" s="64"/>
      <c r="D52" s="67"/>
      <c r="E52" s="65"/>
      <c r="F52" s="66"/>
      <c r="G52" s="14"/>
    </row>
    <row r="53" spans="1:7">
      <c r="A53" s="15"/>
      <c r="B53" s="39"/>
      <c r="C53" s="9"/>
      <c r="D53" s="39" t="s">
        <v>32</v>
      </c>
      <c r="E53" s="10"/>
      <c r="F53" s="11"/>
      <c r="G53" s="40">
        <f>SUM(G44:G52)</f>
        <v>15917.39</v>
      </c>
    </row>
    <row r="54" spans="1:7">
      <c r="A54" s="15" t="s">
        <v>84</v>
      </c>
      <c r="B54" s="15" t="s">
        <v>85</v>
      </c>
      <c r="C54" s="8" t="s">
        <v>60</v>
      </c>
      <c r="D54" s="68" t="s">
        <v>86</v>
      </c>
      <c r="E54" s="13">
        <v>35</v>
      </c>
      <c r="F54" s="14">
        <v>142</v>
      </c>
      <c r="G54" s="14">
        <f t="shared" ref="G54:G58" si="5">E54*F54</f>
        <v>4970</v>
      </c>
    </row>
    <row r="55" spans="1:7">
      <c r="A55" s="15"/>
      <c r="B55" s="12" t="s">
        <v>87</v>
      </c>
      <c r="C55" s="8" t="s">
        <v>11</v>
      </c>
      <c r="D55" s="69" t="s">
        <v>88</v>
      </c>
      <c r="E55" s="70">
        <v>50</v>
      </c>
      <c r="F55" s="14">
        <v>32</v>
      </c>
      <c r="G55" s="14">
        <f t="shared" si="5"/>
        <v>1600</v>
      </c>
    </row>
    <row r="56" spans="1:7">
      <c r="A56" s="15"/>
      <c r="B56" s="12" t="s">
        <v>87</v>
      </c>
      <c r="C56" s="8" t="s">
        <v>11</v>
      </c>
      <c r="D56" s="69" t="s">
        <v>89</v>
      </c>
      <c r="E56" s="70">
        <v>50</v>
      </c>
      <c r="F56" s="14">
        <v>28</v>
      </c>
      <c r="G56" s="14">
        <f t="shared" si="5"/>
        <v>1400</v>
      </c>
    </row>
    <row r="57" spans="1:7">
      <c r="A57" s="15"/>
      <c r="B57" s="12" t="s">
        <v>90</v>
      </c>
      <c r="C57" s="8" t="s">
        <v>16</v>
      </c>
      <c r="D57" s="69" t="s">
        <v>91</v>
      </c>
      <c r="E57" s="70">
        <v>1</v>
      </c>
      <c r="F57" s="14">
        <v>19000</v>
      </c>
      <c r="G57" s="14">
        <f t="shared" si="5"/>
        <v>19000</v>
      </c>
    </row>
    <row r="58" spans="1:7">
      <c r="A58" s="15"/>
      <c r="B58" s="64" t="s">
        <v>92</v>
      </c>
      <c r="C58" s="64" t="s">
        <v>43</v>
      </c>
      <c r="D58" s="61"/>
      <c r="E58" s="13">
        <v>7</v>
      </c>
      <c r="F58" s="14">
        <v>1000</v>
      </c>
      <c r="G58" s="14">
        <f t="shared" si="5"/>
        <v>7000</v>
      </c>
    </row>
    <row r="59" spans="1:7">
      <c r="A59" s="15"/>
      <c r="B59" s="71"/>
      <c r="C59" s="72"/>
      <c r="D59" s="73" t="s">
        <v>32</v>
      </c>
      <c r="E59" s="74"/>
      <c r="F59" s="75"/>
      <c r="G59" s="75">
        <f>SUM(G54:G58)</f>
        <v>33970</v>
      </c>
    </row>
    <row r="60" spans="1:7">
      <c r="A60" s="76" t="s">
        <v>93</v>
      </c>
      <c r="B60" s="77"/>
      <c r="C60" s="77"/>
      <c r="D60" s="77"/>
      <c r="E60" s="77"/>
      <c r="F60" s="78"/>
      <c r="G60" s="14">
        <f>G16+G15</f>
        <v>700000</v>
      </c>
    </row>
    <row r="61" spans="1:7">
      <c r="A61" s="76" t="s">
        <v>94</v>
      </c>
      <c r="B61" s="77"/>
      <c r="C61" s="77"/>
      <c r="D61" s="77"/>
      <c r="E61" s="77"/>
      <c r="F61" s="78"/>
      <c r="G61" s="14">
        <f>G59+G53+G43+G37+G14</f>
        <v>1093307.37</v>
      </c>
    </row>
    <row r="62" spans="1:7">
      <c r="A62" s="15" t="s">
        <v>95</v>
      </c>
      <c r="B62" s="15" t="s">
        <v>95</v>
      </c>
      <c r="C62" s="8"/>
      <c r="D62" s="79" t="s">
        <v>96</v>
      </c>
      <c r="E62" s="13"/>
      <c r="F62" s="14"/>
      <c r="G62" s="14">
        <f>G61*0.09</f>
        <v>98397.6633</v>
      </c>
    </row>
    <row r="63" spans="1:7">
      <c r="A63" s="76" t="s">
        <v>97</v>
      </c>
      <c r="B63" s="77"/>
      <c r="C63" s="77"/>
      <c r="D63" s="77"/>
      <c r="E63" s="77"/>
      <c r="F63" s="78"/>
      <c r="G63" s="75">
        <f>G62+G61+G60</f>
        <v>1891705.0333</v>
      </c>
    </row>
    <row r="64" spans="1:7">
      <c r="A64" s="41"/>
      <c r="B64" s="15"/>
      <c r="C64" s="8"/>
      <c r="D64" s="15"/>
      <c r="E64" s="13"/>
      <c r="F64" s="14"/>
      <c r="G64" s="14"/>
    </row>
    <row r="65" spans="1:7">
      <c r="A65" s="41"/>
      <c r="B65" s="15"/>
      <c r="C65" s="8"/>
      <c r="D65" s="15"/>
      <c r="E65" s="13"/>
      <c r="F65" s="14"/>
      <c r="G65" s="14"/>
    </row>
    <row r="66" spans="1:7">
      <c r="A66" s="41"/>
      <c r="B66" s="15"/>
      <c r="C66" s="8"/>
      <c r="D66" s="15"/>
      <c r="E66" s="13"/>
      <c r="F66" s="14"/>
      <c r="G66" s="14"/>
    </row>
    <row r="67" spans="1:7">
      <c r="A67" s="80" t="s">
        <v>98</v>
      </c>
      <c r="B67" s="15" t="s">
        <v>99</v>
      </c>
      <c r="C67" s="8" t="s">
        <v>35</v>
      </c>
      <c r="D67" s="81"/>
      <c r="E67" s="13">
        <v>1</v>
      </c>
      <c r="F67" s="14"/>
      <c r="G67" s="14"/>
    </row>
    <row r="68" spans="1:7">
      <c r="A68" s="82"/>
      <c r="B68" s="15" t="s">
        <v>100</v>
      </c>
      <c r="C68" s="8" t="s">
        <v>35</v>
      </c>
      <c r="D68" s="81"/>
      <c r="E68" s="13">
        <v>1</v>
      </c>
      <c r="F68" s="14"/>
      <c r="G68" s="14"/>
    </row>
    <row r="69" spans="1:7">
      <c r="A69" s="83"/>
      <c r="B69" s="15" t="s">
        <v>101</v>
      </c>
      <c r="C69" s="8" t="s">
        <v>35</v>
      </c>
      <c r="D69" s="81"/>
      <c r="E69" s="13">
        <v>5</v>
      </c>
      <c r="F69" s="14"/>
      <c r="G69" s="14"/>
    </row>
    <row r="70" spans="1:7">
      <c r="A70" s="9"/>
      <c r="B70" s="39" t="s">
        <v>102</v>
      </c>
      <c r="C70" s="9"/>
      <c r="D70" s="84" t="s">
        <v>32</v>
      </c>
      <c r="E70" s="10"/>
      <c r="F70" s="11"/>
      <c r="G70" s="40"/>
    </row>
    <row r="71" spans="1:7">
      <c r="A71" s="85" t="s">
        <v>97</v>
      </c>
      <c r="B71" s="86"/>
      <c r="C71" s="86"/>
      <c r="D71" s="86"/>
      <c r="E71" s="86"/>
      <c r="F71" s="87"/>
      <c r="G71" s="40"/>
    </row>
  </sheetData>
  <mergeCells count="15">
    <mergeCell ref="D2:G2"/>
    <mergeCell ref="A60:F60"/>
    <mergeCell ref="A61:F61"/>
    <mergeCell ref="A63:F63"/>
    <mergeCell ref="A71:F71"/>
    <mergeCell ref="A2:A3"/>
    <mergeCell ref="A4:A14"/>
    <mergeCell ref="A15:A20"/>
    <mergeCell ref="A21:A37"/>
    <mergeCell ref="A38:A43"/>
    <mergeCell ref="A44:A53"/>
    <mergeCell ref="A54:A59"/>
    <mergeCell ref="A67:A69"/>
    <mergeCell ref="B2:B3"/>
    <mergeCell ref="C2:C3"/>
  </mergeCells>
  <pageMargins left="0.75" right="0.75" top="1" bottom="1" header="0.5" footer="0.5"/>
  <headerFooter/>
  <ignoredErrors>
    <ignoredError sqref="G2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2:H8"/>
  <sheetViews>
    <sheetView workbookViewId="0">
      <selection activeCell="F8" sqref="F8"/>
    </sheetView>
  </sheetViews>
  <sheetFormatPr defaultColWidth="8.88888888888889" defaultRowHeight="14.4" outlineLevelRow="7" outlineLevelCol="7"/>
  <sheetData>
    <row r="2" spans="1:8">
      <c r="A2">
        <v>16</v>
      </c>
      <c r="B2">
        <v>6</v>
      </c>
      <c r="D2">
        <f t="shared" ref="D2:D7" si="0">B2+A2</f>
        <v>22</v>
      </c>
      <c r="F2">
        <f t="shared" ref="F2:F7" si="1">D2*1.1</f>
        <v>24.2</v>
      </c>
      <c r="H2">
        <f>F2*5</f>
        <v>121</v>
      </c>
    </row>
    <row r="3" spans="1:8">
      <c r="A3">
        <v>11</v>
      </c>
      <c r="B3">
        <v>6</v>
      </c>
      <c r="D3">
        <f t="shared" si="0"/>
        <v>17</v>
      </c>
      <c r="F3">
        <f t="shared" si="1"/>
        <v>18.7</v>
      </c>
      <c r="H3">
        <f t="shared" ref="H3:H7" si="2">F3*2</f>
        <v>37.4</v>
      </c>
    </row>
    <row r="4" spans="1:8">
      <c r="A4">
        <v>6</v>
      </c>
      <c r="B4">
        <v>6</v>
      </c>
      <c r="D4">
        <f t="shared" si="0"/>
        <v>12</v>
      </c>
      <c r="F4">
        <f t="shared" si="1"/>
        <v>13.2</v>
      </c>
      <c r="H4">
        <f t="shared" si="2"/>
        <v>26.4</v>
      </c>
    </row>
    <row r="5" spans="1:8">
      <c r="A5">
        <v>6</v>
      </c>
      <c r="B5">
        <v>6</v>
      </c>
      <c r="D5">
        <f t="shared" si="0"/>
        <v>12</v>
      </c>
      <c r="F5">
        <f t="shared" si="1"/>
        <v>13.2</v>
      </c>
      <c r="H5">
        <f t="shared" si="2"/>
        <v>26.4</v>
      </c>
    </row>
    <row r="6" spans="1:8">
      <c r="A6">
        <v>11</v>
      </c>
      <c r="B6">
        <v>6</v>
      </c>
      <c r="D6">
        <f t="shared" si="0"/>
        <v>17</v>
      </c>
      <c r="F6">
        <f t="shared" si="1"/>
        <v>18.7</v>
      </c>
      <c r="H6">
        <f t="shared" si="2"/>
        <v>37.4</v>
      </c>
    </row>
    <row r="7" spans="1:8">
      <c r="A7">
        <v>16</v>
      </c>
      <c r="B7">
        <v>6</v>
      </c>
      <c r="D7">
        <f t="shared" si="0"/>
        <v>22</v>
      </c>
      <c r="F7">
        <f t="shared" si="1"/>
        <v>24.2</v>
      </c>
      <c r="H7">
        <f t="shared" si="2"/>
        <v>48.4</v>
      </c>
    </row>
    <row r="8" spans="6:8">
      <c r="F8">
        <f>SUM(F2:F7)</f>
        <v>112.2</v>
      </c>
      <c r="H8">
        <f>SUM(H2:H7)</f>
        <v>297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上李朗4S店超充电站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2023-08-07T07:16:00Z</dcterms:created>
  <dcterms:modified xsi:type="dcterms:W3CDTF">2024-07-08T01:42:51Z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C85B82DF4653419CB9F2C9D2C5749EDC</vt:lpwstr>
  </property>
  <property fmtid="{D5CDD505-2E9C-101B-9397-08002B2CF9AE}" pid="3" name="KSOProductBuildVer">
    <vt:lpwstr>2052-12.8.2.15209</vt:lpwstr>
  </property>
  <property fmtid="{D5CDD505-2E9C-101B-9397-08002B2CF9AE}" pid="4" name="5B77E7CEEC58BC6AFAE8886BEB80DBEB">
    <vt:lpwstr>otCYQxs9Dbw2bUEn/Soxv9pYAoWsCRIsU8+gIbxzzmNcJN13+qHIPyWmbF9hFzPHyi2m8DLwi54E5OVVM5pJ0yGmgAiYTaR6oYUdYZxdjep6I9xviFUFZ9aTScfBW9OGJX/1UC70g6YyTHD8SR/Poet0HibI9pfDEINuBeIAR1e7cWlBnRiefsTUELnB1XJVFNaxXH8x7hvFRTfqszYzxxIHW6OVbIf8JNcFYnPZqziLejxBQzquoZRuvRyS8FzJU1EqaYeyvhZHxMCNWfHRPzBH67OXyj/9XfcEAcz148QRLoWIaNNvO0WtnHtMztQOnkFg0rYkLsckaCXaimDKMNawlhk2YaXy/EMq1DcVp+ccoP3y6qiWKlVLKsgsDEgLysIxgxNbhFv8evXdYX+HtL9FVQ12cwjm2XdpmCC+2i26QF15/VD3UCxyEDoGSbPyXGZhvUcgRDEX8M0BTV1OeV3A4ay3q+xodMmyRBhLVOjD8GqgxCpicrzNJe2UryTO4LyQYtIgkYkKADb0iGCxsyIu6hc8qexRCgfrHXpBJkCXrxAeOVvqKoXy+h27jza2pKGNvdLjh9GP7boK/6wpOv2mme0Ge9w7LdL1b/c2tuJeBqkLO08JThd2DSBN+Qkj</vt:lpwstr>
  </property>
</Properties>
</file>