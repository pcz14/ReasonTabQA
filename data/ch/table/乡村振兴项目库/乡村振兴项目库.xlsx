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8604"/>
  </bookViews>
  <sheets>
    <sheet name="Sheet1" sheetId="1" r:id="rId1"/>
  </sheets>
  <definedNames>
    <definedName name="_xlnm._FilterDatabase" localSheetId="0" hidden="1">Sheet1!$A$8:$AH$179</definedName>
    <definedName name="_?">#REF!</definedName>
    <definedName name="__?">#REF!</definedName>
    <definedName name="___?">#REF!</definedName>
    <definedName name="____?">#REF!</definedName>
    <definedName name="______?">#REF!</definedName>
    <definedName name="_xlnm.Print_Titles" localSheetId="0">Sheet1!$3:$8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<sst xmlns="http://schemas.openxmlformats.org/spreadsheetml/2006/main" count="1421" uniqueCount="563">
  <si>
    <t>附件2</t>
  </si>
  <si>
    <t>平川区2025年度巩固拓展脱贫攻坚成果和乡村振兴项目库</t>
  </si>
  <si>
    <t>序号</t>
  </si>
  <si>
    <t>项目名称</t>
  </si>
  <si>
    <t>建设性质（新建或续建）</t>
  </si>
  <si>
    <t>建设起止年限</t>
  </si>
  <si>
    <t>建设地点（以乡镇为单位细化到村）</t>
  </si>
  <si>
    <t>建设内容与规模</t>
  </si>
  <si>
    <t>投资估算（万元）</t>
  </si>
  <si>
    <t>筹资方式（资金来源）</t>
  </si>
  <si>
    <t>绩效目标</t>
  </si>
  <si>
    <t>项目
主管
单位</t>
  </si>
  <si>
    <t>项目
实施
单位</t>
  </si>
  <si>
    <t>入库
时间</t>
  </si>
  <si>
    <t>备注</t>
  </si>
  <si>
    <t>项目效益情况</t>
  </si>
  <si>
    <t>利益联结机制（联农带农机制）</t>
  </si>
  <si>
    <t>受益村数
（个）</t>
  </si>
  <si>
    <t>受益户数
（万户）</t>
  </si>
  <si>
    <t>受益人数
（万人）</t>
  </si>
  <si>
    <t>脱贫村</t>
  </si>
  <si>
    <t>其他村</t>
  </si>
  <si>
    <t>小计</t>
  </si>
  <si>
    <t>脱贫户（含监测对象）</t>
  </si>
  <si>
    <t>其他农户</t>
  </si>
  <si>
    <t>脱贫人口数（含监测对象）</t>
  </si>
  <si>
    <t>其他人口数</t>
  </si>
  <si>
    <t>合计</t>
  </si>
  <si>
    <t>一</t>
  </si>
  <si>
    <t>产业发展</t>
  </si>
  <si>
    <t>㈠</t>
  </si>
  <si>
    <t>生产类</t>
  </si>
  <si>
    <t>⑴</t>
  </si>
  <si>
    <t>种养植业</t>
  </si>
  <si>
    <t>平川区文冠果产业园育苗中心（三期）建设项目</t>
  </si>
  <si>
    <t>新建</t>
  </si>
  <si>
    <t>2025.3-2025.10</t>
  </si>
  <si>
    <t>牙沟
水村</t>
  </si>
  <si>
    <t>新建高标准智能温室大棚（3号4号）2栋，占地面积共9900平方米，每座大棚长96米，宽52米，高7.5米。衔接资金投资额占总投资的30%；衔接资金投入形成能够单独可靠计量的经营性固定资产，固定资产确权至农村集体经济组织，由农村集体经济组织与农业经营主体签订规范的租赁合同，明确资产租赁收益率。</t>
  </si>
  <si>
    <t>衔接
资金</t>
  </si>
  <si>
    <t>项目建成后，可扶持带动当地及周边群众发展文冠果种植，并吸纳农户务工就业，增加农户收入。</t>
  </si>
  <si>
    <t>通过本项目的实施，可间接带动群众参与劳动就业，增加务工收入。同时增加村集体经济收入。</t>
  </si>
  <si>
    <t>农业
农村局</t>
  </si>
  <si>
    <t>水泉镇</t>
  </si>
  <si>
    <t>巩固一批</t>
  </si>
  <si>
    <t>甘肃省文冠果种业良种示范基地建设项目</t>
  </si>
  <si>
    <t>牙沟水村</t>
  </si>
  <si>
    <t>建设智能温室良种采穗圃 1座1万平方米智能温室，配套增温系统、降温系统、节水灌溉等设备设施；建设优良品种扩繁基地145亩，配套节水灌溉系统；配套植保机、太阳能杀虫灯、运输车等农业机械。 项目建设投资 4455.50 万元，其中：申请财政衔接推进乡村振兴补助资金 1200 万元，占总投资的 26.93%，自筹资金 3255.50 万元，占总投资的 73.07%；衔接资金投入形成能够单独可靠计量的经营性固定资产，固定资产确权至农村集体经济组织，由农村集体经济组织与农业经营主体签订规范的租赁合同，明确资产租赁收益率。</t>
  </si>
  <si>
    <t>通过产业扶持，增加农户收入，户均年收入3000至5000元</t>
  </si>
  <si>
    <t>种植补贴项目</t>
  </si>
  <si>
    <t>7个
乡镇</t>
  </si>
  <si>
    <t>1.脱贫户（监测户）养殖补助。脱贫户（监测户）饲养的6月龄以上母牛、母驴每头奖补500元；饲养的6月龄以上母羊每只奖补100元；从取得省级或市级种畜禽生产经营许可证的种羊场引进6月龄以上的母羊或奶山羊每只奖补500元，每户最多奖补60只。脱贫户（监测户）从取得省级或市级种畜禽生产经营许可证的种牛场或种驴场引进10月龄以上的母牛或母驴，每头肉牛或黑毛驴补助3000元，每户最多奖补10头；从取得省级或市级种畜禽生产经营许可证的种羊场引进6月龄以上的母羊或奶山羊进行补助，每只补助500元，每户最多补助60只。
 2.一般农户养殖补助。一般农户从取得省级或市级种畜禽生产经营许可证的种牛场或种驴场引进10月龄以上的母牛或母驴，每头肉牛或黑毛驴补助3000元，每户最多奖补10头；从取得省级或市级种畜禽生产经营许可证的种羊场引进6月龄以上的母羊或奶山羊进行补助，每只补助500元，每户最多补助60只。
 3.奶牛养殖补助标准。优先脱贫户、监测户的情况下，对全区奶牛存栏100头以下的养殖户饲养的母奶牛每头奖补1000元。
    以上补助政策每户当年累计补助资金不超过3万元。</t>
  </si>
  <si>
    <t>持续扩大菊芋、特色蔬菜种植面积，实行订单收购，持续增加农户收入。</t>
  </si>
  <si>
    <t>产业股</t>
  </si>
  <si>
    <t>大豆玉米带状复合种植补贴</t>
  </si>
  <si>
    <t>2024.3-2024.10</t>
  </si>
  <si>
    <t>共和镇
宝积镇
王家山镇
水泉镇</t>
  </si>
  <si>
    <t>在水肥条件好的地块种植大豆玉米套种1万亩，其中：共和镇种植2000亩；宝积镇种植4000亩；王家山镇种植2000亩；水泉镇种植2000亩，每亩补贴8斤籽种。</t>
  </si>
  <si>
    <t>继续推进大豆-玉米带状复合种植模式，为后期大面积推广提供技术支撑；带动农户及经营主体30个，亩均增收1000元，共增收1000万元。</t>
  </si>
  <si>
    <t>种植
业股</t>
  </si>
  <si>
    <t>良种良法示范推广项目</t>
  </si>
  <si>
    <t>1.选择优良品种（苹果、蔬菜、小麦、玉米、大豆、谷子、藜麦、胡麻等）建设品种扩繁、标准化生产等12个示范推广基地。2.开展品种新材料新技术引进，病虫害绿色防控等试验示范40项。3.结合特色产业良种繁育，和省市农科院所、种子公司开展建设小麦、荞麦、谷子、藜麦、胡麻、马铃薯、大豆、蔬菜、林果等品种繁育基地，建立特色产业联合体。</t>
  </si>
  <si>
    <t>建设基地及试验示范面积2.8万余亩，带动技术推广面积3.5万余亩。通过标准化种植示范、绿色统防统治等措施，增加经济效益1000余万元，同时减少农药化肥投入量5%。</t>
  </si>
  <si>
    <t>农技
中心</t>
  </si>
  <si>
    <t>共和镇老庄村反季节蔬菜种植项目</t>
  </si>
  <si>
    <t>老庄村</t>
  </si>
  <si>
    <t>维修庙河塑料大棚32座，种植蔬菜。</t>
  </si>
  <si>
    <t>大棚由老庄村股份经济合作社经营，计划种植辣椒、西红柿等蔬菜发展村集体经济，改善村级条件，助力乡村振兴。</t>
  </si>
  <si>
    <t>发改局</t>
  </si>
  <si>
    <t>共和镇</t>
  </si>
  <si>
    <t>提升一批</t>
  </si>
  <si>
    <t>养殖补助项目</t>
  </si>
  <si>
    <t>7个乡镇61
个村</t>
  </si>
  <si>
    <t>1.脱贫户（监测户）养殖补贴标准。对全区脱贫户（监测户）饲养的6月龄以上母牛（包括牦牛）、母驴给予一次性补贴，每头补贴500元；对全区脱贫户（监测户）饲养的6月龄以上母羊给予一次性补贴，每只补助100元。脱贫户（监测户）从取得省级或市级种畜禽生产经营许可证的种牛场或种驴场引进10月龄以上的母牛（包括牦牛）或母驴，每头肉牛或黑毛驴补贴3000元，每户最多补贴10头，每头牦牛补贴1000元，每户最多补贴30头；从取得省级或市级种畜禽生产经营许可证的种羊场引进6月龄以上的母羊或奶山羊进行补贴，每只补贴500元，每户最多补贴60只。
2.一般农户养殖补贴标准。一般农户从取得省级或市级种畜禽生产经营许可证的种牛场或种驴场引进10月龄以上的母牛（包括牦牛）或母驴，每头肉牛或黑毛驴补贴3000元，每户最多补贴10头，每头牦牛补贴1000元，每户最多补贴30头；从取得省级或市级种畜禽生产经营许可证的种羊场引进6月龄以上的母羊或奶山羊进行补贴，每只补贴500元，每户最多补贴60只。
3.奶牛养殖补贴标准。对全区奶牛存栏100头以下的养殖户饲养的泌乳奶牛给予一次性补贴，每头补贴1000元。
脱贫户（监测户）饲养母畜及农户奶牛养殖补贴每户当年累计补贴资金不超过1万元。以上3项补贴政策每户当年累计补贴资金不超过3万元。本年度实施庭院经济补贴项目的农户不得重复实施养殖补贴项目。。</t>
  </si>
  <si>
    <t>牛羊产业规模不畜牧产业规模不断扩大，发展活力持续增强，农户特别是脱贫人口和监测对象参与牛羊黑毛驴等畜牧生产经营，内生动力进一步激发，自我发展能力不断增强，农户通过养殖业获得的收入持续增加。</t>
  </si>
  <si>
    <t>畜牧
中心</t>
  </si>
  <si>
    <t>农业经营主体联农带农奖补</t>
  </si>
  <si>
    <t>2025.1-2025.12</t>
  </si>
  <si>
    <t>通过订单生产、托养托管、技术服务等方式带动50户以上农户深度参与生产经营，且吸纳本地农村劳动力务工就业10名以上的（其中脱贫户和监测对象要占务工总人数的40%）予以奖补：每吸纳1名农村劳动力务工就业累计达到3个月以上，且按时足额支付劳动报酬的，给予农业经营主体不高于3000元的一次性奖补，累计最高奖补额度不得超过50万元，奖补资金要继续用于农业生产发展。</t>
  </si>
  <si>
    <t>持续扩大农业生产发展，持续增加农户收入。</t>
  </si>
  <si>
    <t>农产品品牌培育项目</t>
  </si>
  <si>
    <t>2024.1-2025.12</t>
  </si>
  <si>
    <t>对年度内新认证的绿色食品“甘味”品牌目录的企业每个补助2万元。对申报并成功入选其他官方平台农产品品牌的企业或个体每个补贴2万元。</t>
  </si>
  <si>
    <t>提高企业认证三品一标产品的积极性，提高品牌知名度，提升产品价值。</t>
  </si>
  <si>
    <t>质监站</t>
  </si>
  <si>
    <t>农产品品牌宣传推广项目</t>
  </si>
  <si>
    <t>1.组织全区农业生产企业或个体参积极加全国绿色食品博览会、农产品交易展销会、兰洽会、甘味品牌产品发布会等展会，对参会企业给与食宿和交通费用补贴，并设置积极参与奖、最受欢迎农产品奖和最畅销产品奖，对获奖企业或个人分别奖励1万元。2.举办全区农民丰收节、全区特色农产品专场宣传推广等大型展会，开展农产品进商超、住宅小区、车站等宣传推广活动，并通过国家主流媒体或印发宣传册推广宣传“平川味道”和“富硒产品”等农产品商标品牌。3.支持和鼓励农业企业主体、合作社、乡村能人参加产品研发、包装设计等各类技能比赛，并对获奖单位或个人进行奖励，单个奖项资金不超过2万元。</t>
  </si>
  <si>
    <t>提高“平川味道”“富硒产品”商标品牌知名度和美誉度，促进产品销售，解决产品卖难问题。</t>
  </si>
  <si>
    <t>农产品产（电商）销对接项目</t>
  </si>
  <si>
    <t>区内、区外</t>
  </si>
  <si>
    <t>1.整合全区优质农产品，打造“平川味道”“甘味”农产品网络销售平台（小程序或APP开发），形成从农资配套到生产收购到销售配送的闭合链条，实现线上和线下同步销售，在实体展厅搭建、运营团队建设、设备配套等方面给予补贴。2.对区内具有带货能力的电商企业给予物流快递费用补助。3.对直播带货达人（带货交易额达到100万元以上）给予与奖励。4.对选用当地黑驴肉、山羊肉或特色原材料作为食材新开设平川黑驴肉、平川山羊肉等特色餐饮的门店，每个给予2万元补助。</t>
  </si>
  <si>
    <t>促进全区农产品销售，解决销售难或滞销问题。</t>
  </si>
  <si>
    <t>平川区粮油单产提升丰产方创建项目</t>
  </si>
  <si>
    <t>2025.2-2025.12</t>
  </si>
  <si>
    <t>1.创建粮油单产提升丰产方实施面积2万亩，每亩补贴100元.2.选择优良品种（小麦、玉米、大豆、马铃薯、小杂粮为重点）在全区每个行政村至少建立百亩以上集成“五良”（良种、良田、良法、良机、良制）配套的粮油丰产方1处，形成村有示范方，乡镇有示范片，由点到面，串点成片，整区域推动，力争丰产方粮油作物单产增幅。3.加强规模化种植经营主体培育，突出区域优势，优化作物布局，科学搭配品种，集成技术应用，落实绿色防控，明确重点作物的技术路径，努力提升主要粮油作物单产水平。</t>
  </si>
  <si>
    <t>扶持15个脱贫村126户498人，其他村46个531户2194人开展标准化示范种植，带动40个村集体经济和合作社，带动连篇农户13000余户。</t>
  </si>
  <si>
    <t>⑵</t>
  </si>
  <si>
    <t>庭院经济</t>
  </si>
  <si>
    <t>庭院经济补贴</t>
  </si>
  <si>
    <t>根据省乡村振兴局、省农业农村厅《关于鼓励引导脱贫地区高质量发展庭院经济的实施意见》要求，扶持以脱贫户、监测户为重点，发展庭院特色种植、特色养殖、特色手工、特色休闲旅游和生产生活服务，对食用菌、苹果、葡萄、大枣、桃、文冠果、林木花卉、园艺盆栽等特色作物；养殖鸡、鸭、鸽、兔、蜜蜂、黑毛驴、育肥猪、肉羊、肉牛等家禽（畜）；农产品（面粉、食用油等）、食品（馒头、面条、糕点、凉粉、面皮、豆腐、粉条、醋等）加工制作；发展特色民宿、家庭旅馆、休闲农庄、农家乐、小型采摘园等和开办小超市（小卖部）、小餐饮（小吃）、小菜店（摊）、理发店、修理店等生活性服务业进行奖补，达到奖补标准并验收合格后给予补贴。</t>
  </si>
  <si>
    <t>脱贫人口和监测对象参与发展庭院经济，内生动力进一步激发，自我发展能力不断增强，通过庭院经济获得的收入持续增加。</t>
  </si>
  <si>
    <t>⑶</t>
  </si>
  <si>
    <t>加工业</t>
  </si>
  <si>
    <t>农产品产地加工类项目</t>
  </si>
  <si>
    <t xml:space="preserve">
水泉镇</t>
  </si>
  <si>
    <t>依托农产品产地冷藏保鲜设施，安装清选分级、分割包装机械两套，完成农产品初加工，提高老产品冷藏保鲜设施综合利用率，推动构建农业全产业链，提升农产品附加值。依托农业经营主体建设运营的项目，衔接资金投资额占总投资的30%；衔接资金投入形成能够单独可靠计量的经营性固定资产，固定资产确权至农村集体经济组织，由农村集体经济组织与农业经营主体签订规范的租赁合同，明确资产租赁收益率。</t>
  </si>
  <si>
    <t>完成农产品初加工，提高老产品冷藏保鲜设施综合利用率，推动构建农业全产业链，提升农产品附加值。</t>
  </si>
  <si>
    <t>复兴乡农产品加工建设项目</t>
  </si>
  <si>
    <t xml:space="preserve">新建 </t>
  </si>
  <si>
    <t>复兴乡</t>
  </si>
  <si>
    <t>在复兴小区南面新建农产品加工车间一座，用于存放、加工金银花、文冠果、西葫芦等特色产业，厂房为彩钢结构，占地面积为300平方米，并配备中型烘干机两台。资产归村集体所有，村上通过收取承包费用增加村集体收益。（村集体收益分配比例不低于5%）。</t>
  </si>
  <si>
    <t>稳步推进农业种植结构转变，夯实示范引领特色产业发展，带动群众扩大种植规模，延长产业链。</t>
  </si>
  <si>
    <t>项目实施后，可吸纳当地群众和安置区群众务工岗位20余个，预计人均增收1500元。</t>
  </si>
  <si>
    <t>种田乡北庄村小杂粮加工基地建设项目</t>
  </si>
  <si>
    <t>北庄村</t>
  </si>
  <si>
    <t>建成面粉加工车间1个，杂粮挂面车间1个，油料加工车间1个。衔接资金投资额占总投资的30%；衔接资金投入形成能够单独可靠计量的经营性固定资产，固定资产确权至农村集体经济组织，由农村集体经济组织与农业经营主体签订规范的租赁合同，明确资产租赁收益率。
。</t>
  </si>
  <si>
    <t>解决种田乡小杂粮深加工难题。</t>
  </si>
  <si>
    <t>项目实施后，可解决群众小杂粮收购问题，同时吸纳当地群众务工18余个，预计人均收入2000元。</t>
  </si>
  <si>
    <t>种田乡</t>
  </si>
  <si>
    <t>村集体经济发项目</t>
  </si>
  <si>
    <t>宝积镇小川村烘干车间建
设项目</t>
  </si>
  <si>
    <t>小川村</t>
  </si>
  <si>
    <t>场地硬化1500㎡，新建储粮仓库1处，配套烘干塔等设施。资产归村集体所有，村上通过收取承包费用增加村集体收益。（村集体收益分配比例不低于5%）。</t>
  </si>
  <si>
    <r>
      <rPr>
        <sz val="12"/>
        <color theme="1"/>
        <rFont val="黑体"/>
        <charset val="134"/>
      </rPr>
      <t>解决周边</t>
    </r>
    <r>
      <rPr>
        <sz val="10"/>
        <color theme="1"/>
        <rFont val="Times New Roman"/>
        <charset val="134"/>
      </rPr>
      <t>12000</t>
    </r>
    <r>
      <rPr>
        <sz val="10"/>
        <color theme="1"/>
        <rFont val="宋体"/>
        <charset val="134"/>
      </rPr>
      <t>亩农作物储存问题。</t>
    </r>
  </si>
  <si>
    <t>宝积镇</t>
  </si>
  <si>
    <t>水泉镇粮食烘干存储基础设施建设项目</t>
  </si>
  <si>
    <t>建设占地133200平方米的玉米烘干场地，安装160吨/日(30个水以下)混流烘干塔1座、200吨/日(30个水以下)混流烘干塔1座、配套换热式热风炉2台、120吨地中衡1个、清选机1台、脱粒机3台、装载机2台、15米输送机5台及电力设施，建设300吨的粮囤6个。</t>
  </si>
  <si>
    <t>带动农户劳动力、增加村集体经济收入</t>
  </si>
  <si>
    <t>种田乡五星村肉牛繁殖养殖基地建设项目</t>
  </si>
  <si>
    <t>五星村</t>
  </si>
  <si>
    <t>新建养殖基地6000平方米，饲料加工车间1间，草料库1间，圈舍15座，存栏300头。资产归村集体所有，村上通过收取承包费用增加村集体收益。（村集体收益分配比例不低于5%）。</t>
  </si>
  <si>
    <t>该项目建成后、提升牲畜养殖能力、美化村容村貌、增加村民收入</t>
  </si>
  <si>
    <t>村集体经济发展项目</t>
  </si>
  <si>
    <t>小水村
牙沟水村
水泉村
井尔川村</t>
  </si>
  <si>
    <t>在共和镇小水村、水泉镇牙沟水村、水泉镇水泉村、王家山镇井尔川4个村发展文冠果产业，每个村种植文冠果200亩以上。资产归村集体所有，村上通过收取承包费用增加村集体收益。（村集体收益分配比例不低于5%）。</t>
  </si>
  <si>
    <t>扶持带动当地经济发展，改善群众生产生活条件。</t>
  </si>
  <si>
    <t>项目实施后，可增加农户及村集体经济收入。</t>
  </si>
  <si>
    <t>相关乡镇</t>
  </si>
  <si>
    <t>㈡</t>
  </si>
  <si>
    <t>配套基础
设施</t>
  </si>
  <si>
    <t>小型农田水利设施</t>
  </si>
  <si>
    <t>水泉镇砂流水村高效节水灌溉项目供水管线建设工程</t>
  </si>
  <si>
    <t>续建</t>
  </si>
  <si>
    <t>砂流
水村</t>
  </si>
  <si>
    <t>埋设螺旋焊管DN250引水管线5901米、PE250引水管线300米，配套镇支墩42座、检查井4座、排水井3座，排气井3座；新建取水前池1座，提水泵房1座。</t>
  </si>
  <si>
    <t>补充水源工程，确保已经高标准农田能够顺利通水，发挥效益。</t>
  </si>
  <si>
    <t>水泉镇砂流水村高效节水灌溉项目蓄水池建设工程</t>
  </si>
  <si>
    <t>新建3万立方米蓄水池1座，泵房1座，埋设PE200供水管道1195.95米，配套镇支墩8座、检查井2座、排水井1座。</t>
  </si>
  <si>
    <t>水泉镇旱平川村玉米种植高效节水灌溉
项目</t>
  </si>
  <si>
    <t>旱平川村</t>
  </si>
  <si>
    <t>建设蓄水池10000m³,铺设PE管材DN160（1.0Mpa）共计5200m，PE90（0.25Mpa）共计4000m；闸阀井2座，检查井13座，排水井10座，设备房1座，首部系统1套。</t>
  </si>
  <si>
    <t>减少水资源浪费，增加群众产业收入</t>
  </si>
  <si>
    <t>水泉镇砂流水村渠道衬砌
项目</t>
  </si>
  <si>
    <t>砂流水村</t>
  </si>
  <si>
    <t>衬砌U50渠道1180米，分水闸68个。</t>
  </si>
  <si>
    <t>解决灌溉面积500亩。</t>
  </si>
  <si>
    <t>水泉镇丰源村玉米种植高效节水灌溉项目</t>
  </si>
  <si>
    <t>丰源村</t>
  </si>
  <si>
    <t>建设蓄水池5000m³,铺设PE管材DN160（1.0Mpa）共计3200m，PE软管φ90（0.25Mpa）共计2500m；闸阀井2座，检查井6座，排水井8座，设备房1座，首部系统1套。</t>
  </si>
  <si>
    <t>水泉镇牙沟水村高效节水灌溉项目</t>
  </si>
  <si>
    <t>平整土地600亩，蓄水池5000立方米，铺设管网5.7公里</t>
  </si>
  <si>
    <t>水泉镇牙沟水村玉米种植灌溉管道建设
项目</t>
  </si>
  <si>
    <t>铺设100级Ф315PE管1881m，100级Ф200PE管420m，检查井2座。</t>
  </si>
  <si>
    <t>解决灌溉面积200亩。</t>
  </si>
  <si>
    <t>水泉镇枣园村玉米产业渠道衬砌项目</t>
  </si>
  <si>
    <t>枣园村</t>
  </si>
  <si>
    <t>衬砌u50渠道6km,闸板480个，涵管40米。</t>
  </si>
  <si>
    <t>水泉镇大黄湾村玉米制种产业渠道衬砌
项目</t>
  </si>
  <si>
    <t>大黄
湾村</t>
  </si>
  <si>
    <t>衬砌u50渠道6km,闸板400个。</t>
  </si>
  <si>
    <t>水泉镇小黄湾村玉米产业渠道衬砌项目</t>
  </si>
  <si>
    <t>小黄
湾村</t>
  </si>
  <si>
    <t>衬砌u50渠道5km,闸板400个，涵管40米。</t>
  </si>
  <si>
    <t>水泉镇牙沟水村玉米种植灌溉渠道改造
项目</t>
  </si>
  <si>
    <t>新建PE300引水管道480m，新建渠道衬砌（U50）2291m，单向节制地口闸74座，双向节制地口闸72座，涵管4座，出水口防冲池1座，穿墙顶管8m，闸阀井1座。</t>
  </si>
  <si>
    <t>解决灌溉渠道状况，保障灌溉</t>
  </si>
  <si>
    <t>水泉镇陡城村玉米产业渠道衬砌项目</t>
  </si>
  <si>
    <t>陡城村</t>
  </si>
  <si>
    <t>水泉镇水泉村玉米产业渠道衬砌项目</t>
  </si>
  <si>
    <t>水泉村</t>
  </si>
  <si>
    <t>水泉镇杨岭村玉米产业渠道衬砌项目</t>
  </si>
  <si>
    <t>杨岭村</t>
  </si>
  <si>
    <t>一、二社衬砌u50渠道4km,闸板230个，涵管32米。</t>
  </si>
  <si>
    <t>宝积镇石沟滩节水灌溉蓄水池项目</t>
  </si>
  <si>
    <t>尖山村</t>
  </si>
  <si>
    <t>新建4万方调蓄水池1座，配套管道等设施。</t>
  </si>
  <si>
    <t>解决石沟滩5000亩土地灌溉问题</t>
  </si>
  <si>
    <t>水务局</t>
  </si>
  <si>
    <t>宝积镇窎沟村节水灌溉蓄水池项目</t>
  </si>
  <si>
    <t>窎沟村</t>
  </si>
  <si>
    <t>PE160管线1000米，新建1万方蓄水池1座。</t>
  </si>
  <si>
    <t>解决全村500亩发展村集体经济收入种植.</t>
  </si>
  <si>
    <t>宝积镇大湾村土地平整及基础设施建设
项目</t>
  </si>
  <si>
    <t>大湾村</t>
  </si>
  <si>
    <t>平整土地250亩，新建灌溉管道5km，采用DN125PE管道铺设，检查井3座、泄水井3座。</t>
  </si>
  <si>
    <t>改善有效灌溉面积400亩。</t>
  </si>
  <si>
    <t>宝积镇窎沟村小麦玉米产业渠道衬砌项目</t>
  </si>
  <si>
    <t>衬砌50U型槽渠道5公里</t>
  </si>
  <si>
    <t>解决三社480亩土地灌溉问题。</t>
  </si>
  <si>
    <t>宝积镇魏家地村小麦玉米灌溉管道更新
项目</t>
  </si>
  <si>
    <t>魏家
地村</t>
  </si>
  <si>
    <t>铺设100级Ф160PE管3544m。</t>
  </si>
  <si>
    <t>改善玉米小麦灌溉面积800亩。</t>
  </si>
  <si>
    <t>宝积镇墩墩滩村小麦玉米产业渠道衬砌
项目</t>
  </si>
  <si>
    <t>墩墩
滩村</t>
  </si>
  <si>
    <t>衬砌U型渠4.5公里。</t>
  </si>
  <si>
    <t>改善灌溉面积1000亩。</t>
  </si>
  <si>
    <t>宝积镇小麦玉米产业机井维修项目</t>
  </si>
  <si>
    <t>更新</t>
  </si>
  <si>
    <t>冯园村</t>
  </si>
  <si>
    <t>维修机井7眼，其中：冯园村1号机井，更换电机水泵1套、电缆线450米、扬水管150米，2号机井更换电机水泵1套；贺家川村新三号井，更换水泵1套；贺家川村旧三号井，更换水泵1套，5寸扬水管300米；墩墩滩村5号井，更换电机水泵一套，2号井扬水管200米；窎沟村人饮机井维修水泵电机1套，下七分机井更换电机水泵一套，扬水管200米。</t>
  </si>
  <si>
    <t>改善灌溉面积2600亩。</t>
  </si>
  <si>
    <t>宝积镇周家地村渠道衬砌及管道铺设项目</t>
  </si>
  <si>
    <t>周家
地村</t>
  </si>
  <si>
    <t>衬砌50U型槽渠道1.5公里，单向分水口61个，双向分水口4个；铺设PE200管道50米，新建挡水墙900立方米。</t>
  </si>
  <si>
    <t>改善玉米小麦灌溉面积200亩。</t>
  </si>
  <si>
    <t>共和镇西合村高效节水灌溉蓄水池建设项目</t>
  </si>
  <si>
    <t>西合村</t>
  </si>
  <si>
    <r>
      <rPr>
        <sz val="12"/>
        <color theme="1"/>
        <rFont val="黑体"/>
        <charset val="134"/>
      </rPr>
      <t>新建5万m</t>
    </r>
    <r>
      <rPr>
        <sz val="12"/>
        <color theme="1"/>
        <rFont val="宋体"/>
        <charset val="134"/>
      </rPr>
      <t>³</t>
    </r>
    <r>
      <rPr>
        <sz val="12"/>
        <color theme="1"/>
        <rFont val="黑体"/>
        <charset val="134"/>
      </rPr>
      <t>蓄水池1座。</t>
    </r>
  </si>
  <si>
    <t>减少水资源浪费，增加群众产业收入。</t>
  </si>
  <si>
    <t>共和镇西合村高效节水灌溉引水管道建设项目</t>
  </si>
  <si>
    <t>配套100级PEφ400/0.8MPa管道2756m，配套100级PEφ355/0.8MPa管道7563m，配套100级PEφ200/0.8MPa管道681m，检查井9座，排气井6座。720</t>
  </si>
  <si>
    <t>共和镇兄弟水村高效节水灌溉引水管道建设项目</t>
  </si>
  <si>
    <t>兄弟村</t>
  </si>
  <si>
    <t>铺设输水管道3.3公里，PEφ200，检查进3个</t>
  </si>
  <si>
    <t>改善产业种植灌溉面积1500亩。</t>
  </si>
  <si>
    <t>共和镇毛河洛村机井维修
项目</t>
  </si>
  <si>
    <t>毛河
洛村</t>
  </si>
  <si>
    <t>机井配套设备125水泵、63千瓦机井电子4套，125扬水管180m。</t>
  </si>
  <si>
    <t>可以提升机井的工作效能，保障农作物的及时灌溉，预防因旱灾造成的减产。提高农户收入。</t>
  </si>
  <si>
    <t>平川区和镇高效节水灌溉改造提升项目</t>
  </si>
  <si>
    <t>毛卜拉村</t>
  </si>
  <si>
    <t>平整土地3182亩，土壤改良9504亩，铺设田间管网15.82公里，建田间道路17.43公里。</t>
  </si>
  <si>
    <t>解决本村4500亩耕地灌溉问题，发展特色产业，增加收入。</t>
  </si>
  <si>
    <t>共和镇毛卜拉村旱地西瓜种植产业蓄水池</t>
  </si>
  <si>
    <t>毛卜
拉村</t>
  </si>
  <si>
    <r>
      <rPr>
        <sz val="11"/>
        <rFont val="黑体"/>
        <charset val="134"/>
      </rPr>
      <t>新建1500m</t>
    </r>
    <r>
      <rPr>
        <sz val="11"/>
        <rFont val="宋体"/>
        <charset val="134"/>
      </rPr>
      <t>³</t>
    </r>
    <r>
      <rPr>
        <sz val="11"/>
        <rFont val="黑体"/>
        <charset val="134"/>
      </rPr>
      <t>蓄水池一座，铺设100级Ф110PE管590m。</t>
    </r>
  </si>
  <si>
    <t>解决1500余亩旱地西瓜种植用水，提高农户收入。</t>
  </si>
  <si>
    <t>共和镇小水村特色种植高效节水蓄水池建设项目</t>
  </si>
  <si>
    <t>小水村</t>
  </si>
  <si>
    <r>
      <rPr>
        <sz val="11"/>
        <color theme="1"/>
        <rFont val="黑体"/>
        <charset val="134"/>
      </rPr>
      <t>新建1座8300m</t>
    </r>
    <r>
      <rPr>
        <sz val="11"/>
        <color theme="1"/>
        <rFont val="宋体"/>
        <charset val="134"/>
      </rPr>
      <t>³</t>
    </r>
    <r>
      <rPr>
        <sz val="11"/>
        <color theme="1"/>
        <rFont val="黑体"/>
        <charset val="134"/>
      </rPr>
      <t>蓄水池，配套1.0MPaФ160PE100级管道1803米，泵房1座、机电设备。</t>
    </r>
  </si>
  <si>
    <t>改善产业种植灌溉面积1200亩。</t>
  </si>
  <si>
    <t>共和镇小水村渠道衬砌项目</t>
  </si>
  <si>
    <t>小水村渠道衬砌3公里，采用U50渠道.</t>
  </si>
  <si>
    <t>改善农田灌溉条件，增加有效灌溉面积2000亩，发展农业产业，以产业振兴促进乡村全面振兴。</t>
  </si>
  <si>
    <t>共和镇中和村高效节水灌溉项目</t>
  </si>
  <si>
    <t>中和村</t>
  </si>
  <si>
    <t>建设高标准3000亩，配套高效节水灌溉设施1套</t>
  </si>
  <si>
    <t>有效地解决1200亩农田农业灌溉用水，为农户增加收入。</t>
  </si>
  <si>
    <t>复兴乡汉口村农田灌溉节水工程项目</t>
  </si>
  <si>
    <t>汉口村新建100级PE管Φ90，1.0MPa主管道4500米，100级PE管Φ75，1.0MPa 管道3650米，100级PE管中63，1.6MPa(竖管)管道 420米，闸阀井4座，排水井4座，15平方米管理房1座及附属工程。</t>
  </si>
  <si>
    <t>项目建设完成后，土地资源、水利资源得到了合理的利用，也解决了1600亩土地灌溉困难问题。</t>
  </si>
  <si>
    <t>复兴乡农田灌溉节水工程
项目</t>
  </si>
  <si>
    <t>汉口村</t>
  </si>
  <si>
    <t>在复兴乡汉口村新建5000方蓄水池2座，配套水肥一体化管道。</t>
  </si>
  <si>
    <t>解决3000亩农田灌溉用水困难，节约用水成本，增加当地群众收入。</t>
  </si>
  <si>
    <t>种田乡五星村高位水池建设项目</t>
  </si>
  <si>
    <t>在五星村新建4万立方米高位水池1座</t>
  </si>
  <si>
    <t>提升水资源利用、保障土地有效灌溉、提高农作物产量、增加村民收入。</t>
  </si>
  <si>
    <t>黄峤镇焦口村玉米小麦产业灌溉蓄水池建设项目</t>
  </si>
  <si>
    <t>焦口村</t>
  </si>
  <si>
    <r>
      <rPr>
        <sz val="11"/>
        <color theme="1"/>
        <rFont val="黑体"/>
        <charset val="134"/>
      </rPr>
      <t>新建1500m</t>
    </r>
    <r>
      <rPr>
        <sz val="11"/>
        <color theme="1"/>
        <rFont val="宋体"/>
        <charset val="134"/>
      </rPr>
      <t>³</t>
    </r>
    <r>
      <rPr>
        <sz val="11"/>
        <color theme="1"/>
        <rFont val="黑体"/>
        <charset val="134"/>
      </rPr>
      <t>蓄水池一座。</t>
    </r>
  </si>
  <si>
    <t>解决闫高崖社、八台社村民的650亩土地土地灌溉问题带动，增加群众种植收入。</t>
  </si>
  <si>
    <t>黄峤镇</t>
  </si>
  <si>
    <t>黄峤镇双铺村种植产业机井灌溉管道更换项目</t>
  </si>
  <si>
    <t>双铺村</t>
  </si>
  <si>
    <t>铺设100级PE管816m。</t>
  </si>
  <si>
    <t>解决双铺村全村543户2165人的农田灌溉，增加农民收入，确保粮食生产。</t>
  </si>
  <si>
    <t>黄峤镇峤山村玉米小麦种植产业供水管道铺设项目</t>
  </si>
  <si>
    <t>集体</t>
  </si>
  <si>
    <t>峤山村</t>
  </si>
  <si>
    <t>购置75千瓦抽水泵1台，维修上川社原有200立方蓄水池，同时铺设PVC管道125mm820米、90mm795米、75mm1863米、50mm2494米、滴灌软管32mm5000米以及检查总井、分井等配套设施。</t>
  </si>
  <si>
    <t>大幅改善农作物种植条件，带动村民增产增收。</t>
  </si>
  <si>
    <t>黄峤镇玉湾村产业种植管道更新项目</t>
  </si>
  <si>
    <t>玉湾村</t>
  </si>
  <si>
    <t>铺设100级Ф160PE管4058m。</t>
  </si>
  <si>
    <t>黄峤镇玉湾村高效节水灌溉引水管道建设项目</t>
  </si>
  <si>
    <t>铺设100级Ф200PE管1090m，首部系统1套，输电线路200m。</t>
  </si>
  <si>
    <t>改善产业种植灌溉面积1000亩。</t>
  </si>
  <si>
    <t>黄峤镇马饮水村高效节水灌溉引水管道建设项目</t>
  </si>
  <si>
    <t>马饮水村</t>
  </si>
  <si>
    <t>铺设输水管道980米，PEφ200，检查进3个</t>
  </si>
  <si>
    <t>王家山镇井尔川村循环农业滴灌项目</t>
  </si>
  <si>
    <t>井尔
川村</t>
  </si>
  <si>
    <t>新庄沟520亩水地滴灌项目。新建110CM4公里、修建40个检查井。1万方水池配套设施。</t>
  </si>
  <si>
    <t>有效整治部分撂荒土地、节省水资源、提高农作物产量、增加村民收入。</t>
  </si>
  <si>
    <t>王家
山镇</t>
  </si>
  <si>
    <t>王家山镇于大川村循环农业滴灌项目</t>
  </si>
  <si>
    <t>于大
川村</t>
  </si>
  <si>
    <t>新建5000方蓄水池一座，铺设110管道4公里、检查井40个。</t>
  </si>
  <si>
    <t>改善产业种植灌溉面积500   亩。</t>
  </si>
  <si>
    <t>王家山镇于大川村养殖小区提升改造项目</t>
  </si>
  <si>
    <t>拆除重建草料库8间、单体圈8间、大圈7间，新建排水管300米，修整塌陷水泥场地200平方米。</t>
  </si>
  <si>
    <t>消除安全隐患</t>
  </si>
  <si>
    <t>王家山镇万庙村渠道衬砌
项目</t>
  </si>
  <si>
    <t>万庙村</t>
  </si>
  <si>
    <t>1.50U型槽4700米：常大川社2000米、武拐社500米、张大坝东、西社2200米；
2.直径400mm螺纹管300米：吊掌子社300米。</t>
  </si>
  <si>
    <t>解决灌溉难的问题</t>
  </si>
  <si>
    <t>王家山镇大营水村石碑子社循环农业田间配套管网项目</t>
  </si>
  <si>
    <t>大营
水村</t>
  </si>
  <si>
    <t>铺设管道8.5km（Φ200的引水管3.5km，Φ90的引水管5km），修建检查井7个，铁闸阀5个及其他管件等。</t>
  </si>
  <si>
    <t>王家山镇大营水村特色中药材种植基础设施配套项目</t>
  </si>
  <si>
    <t>铺设热熔PE160管道889km，加压泵一个。</t>
  </si>
  <si>
    <t>共和镇毛河洛玉米种植产业高效节水蓄水池建设项目</t>
  </si>
  <si>
    <t>建设5000m³蓄水池1座，配套高效节水灌溉系统一套</t>
  </si>
  <si>
    <t>旱坪川电灌工程泵站维修养护项目</t>
  </si>
  <si>
    <r>
      <rPr>
        <sz val="12"/>
        <color theme="1"/>
        <rFont val="黑体"/>
        <charset val="134"/>
      </rPr>
      <t>2025</t>
    </r>
    <r>
      <rPr>
        <sz val="12"/>
        <color theme="1"/>
        <rFont val="宋体"/>
        <charset val="134"/>
        <scheme val="minor"/>
      </rPr>
      <t>年-2025年</t>
    </r>
  </si>
  <si>
    <t>水泉镇陡城村、杨岭村、旱平川村、贾庄村、双岔村</t>
  </si>
  <si>
    <r>
      <rPr>
        <sz val="12"/>
        <color theme="1"/>
        <rFont val="黑体"/>
        <charset val="134"/>
      </rPr>
      <t>9</t>
    </r>
    <r>
      <rPr>
        <sz val="12"/>
        <color theme="1"/>
        <rFont val="黑体"/>
        <charset val="134"/>
      </rPr>
      <t>座泵站37套水泵机组和机电设备进行维修养护。</t>
    </r>
  </si>
  <si>
    <t>可统筹改善灌区5.23万亩农田灌溉用水需求，缩短灌溉轮次，缓解灌区用水供需矛盾。能够有效巩固水泉镇8个村脱贫户315户1145人农业增产增收撑。</t>
  </si>
  <si>
    <t>电灌局</t>
  </si>
  <si>
    <t>2024.10</t>
  </si>
  <si>
    <t>产业路</t>
  </si>
  <si>
    <t>水泉镇杨岭村玉米产业道路硬化项目</t>
  </si>
  <si>
    <t>硬化宽3.5米，厚18厘米产业道路2209米。</t>
  </si>
  <si>
    <t>改善群众出行和农副产品运输难问题。</t>
  </si>
  <si>
    <t>交通局</t>
  </si>
  <si>
    <t>水泉镇枣园村玉米产业道路硬化项目</t>
  </si>
  <si>
    <t>硬化道路2km，宽度3.5m，厚度18cm。</t>
  </si>
  <si>
    <t>水泉镇双岔村玉米种植产业道路硬化项目</t>
  </si>
  <si>
    <t>双岔村</t>
  </si>
  <si>
    <t>硬化宽3.5米，厚18厘米产业道路1224米，硬化宽3米，厚18厘米产业道路529米。</t>
  </si>
  <si>
    <t>水泉镇双岔村枣树台玉米种植产业道路硬化项目</t>
  </si>
  <si>
    <t>硬化宽4.5米，厚18厘米产业道路598米。</t>
  </si>
  <si>
    <t>水泉镇陡城村蔬菜产业道路硬化项目</t>
  </si>
  <si>
    <t>硬化宽3米，厚18厘米产业道路800米。</t>
  </si>
  <si>
    <t>宝积镇墩墩滩村小麦、玉米产业路硬化
项目</t>
  </si>
  <si>
    <t>墩墩滩村</t>
  </si>
  <si>
    <t>硬化宽3.5米，厚18厘米产业道路766米。</t>
  </si>
  <si>
    <t>宝积镇小川村小麦、玉米产业路硬化项目</t>
  </si>
  <si>
    <t>硬化宽3.5米，厚18厘米产业道路1650米。</t>
  </si>
  <si>
    <t>黄峤镇双铺村养殖区产业道路硬化项目</t>
  </si>
  <si>
    <t>在双铺村路家大地路口（G341路边）至后坡屲新建产业道路2公里，路面宽3.5米，厚度为0.18米，左右路肩各0.25米为夯土垫方。</t>
  </si>
  <si>
    <t>㈢</t>
  </si>
  <si>
    <t>金融保险
配套</t>
  </si>
  <si>
    <t>小额贷款贴息资金</t>
  </si>
  <si>
    <t>各乡镇</t>
  </si>
  <si>
    <t>脱贫小额贷款贴息资金。</t>
  </si>
  <si>
    <t>依托贷款发展生产，减轻低收入人口贷款负担。年贴息率按当年国家基准利率给予贴息。</t>
  </si>
  <si>
    <t>二</t>
  </si>
  <si>
    <t>就业帮扶</t>
  </si>
  <si>
    <t>乡村公益性
岗位</t>
  </si>
  <si>
    <r>
      <rPr>
        <sz val="12"/>
        <color theme="1"/>
        <rFont val="黑体"/>
        <charset val="134"/>
      </rPr>
      <t>乡村公益性岗位合计</t>
    </r>
    <r>
      <rPr>
        <sz val="12"/>
        <color theme="1"/>
        <rFont val="黑体"/>
        <charset val="134"/>
      </rPr>
      <t>250</t>
    </r>
    <r>
      <rPr>
        <sz val="12"/>
        <color theme="1"/>
        <rFont val="黑体"/>
        <charset val="134"/>
      </rPr>
      <t>人，每人每年发放6000元（按月发放），共需资金150万元（包含省级资金46.2万元）</t>
    </r>
  </si>
  <si>
    <r>
      <rPr>
        <sz val="12"/>
        <color theme="1"/>
        <rFont val="黑体"/>
        <charset val="134"/>
      </rPr>
      <t>解决</t>
    </r>
    <r>
      <rPr>
        <sz val="12"/>
        <color theme="1"/>
        <rFont val="黑体"/>
        <charset val="134"/>
      </rPr>
      <t>250</t>
    </r>
    <r>
      <rPr>
        <sz val="12"/>
        <color theme="1"/>
        <rFont val="黑体"/>
        <charset val="134"/>
      </rPr>
      <t>名脱贫人口（含检测对象）就地就业</t>
    </r>
  </si>
  <si>
    <t>人社局</t>
  </si>
  <si>
    <t>(爱心助残员）公益性岗位</t>
  </si>
  <si>
    <t>(爱心助残员）公益性岗位合计61人，每人每月500元。</t>
  </si>
  <si>
    <t>解决残疾人员就业，提供生活保障。</t>
  </si>
  <si>
    <t>残联</t>
  </si>
  <si>
    <t>就业帮扶车间（工厂）</t>
  </si>
  <si>
    <t>10家
车间</t>
  </si>
  <si>
    <t>务工满6个月，0.3万元/人标准发放，吸纳就业补贴预计奖补70人。</t>
  </si>
  <si>
    <t>解决就业补贴困难问题</t>
  </si>
  <si>
    <t>务工交通补贴</t>
  </si>
  <si>
    <t>按照省外务工600元，省内300元标准，“定额预付”补贴人数不少于1167人。</t>
  </si>
  <si>
    <t>“雨露计划”职业教育</t>
  </si>
  <si>
    <t>2025.3-2025.12</t>
  </si>
  <si>
    <t>2025年“雨露计划”职业教育补助1070人，其中2025年春季1070人，160.5万元；2025年秋季1070人，160.5万元。（每人每年分两次补助，总计3000元）。</t>
  </si>
  <si>
    <t>通过实施雨露计划，确保巩固脱贫攻坚成果。</t>
  </si>
  <si>
    <t>三</t>
  </si>
  <si>
    <t>乡村建设
行动</t>
  </si>
  <si>
    <t>农村公共基础设施建设</t>
  </si>
  <si>
    <t>道路建设</t>
  </si>
  <si>
    <t>水泉镇贾庄村道路硬化项目</t>
  </si>
  <si>
    <t>贾庄村</t>
  </si>
  <si>
    <t>硬化道路3km，宽度3.5m，厚度18cm。</t>
  </si>
  <si>
    <t>水泉镇水泉村道路硬化项目</t>
  </si>
  <si>
    <t>硬化宽3米，厚18厘米1193米。</t>
  </si>
  <si>
    <t>水泉镇大黄湾村道路硬化
项目</t>
  </si>
  <si>
    <t>水泉镇枣园乡村道路硬化
项目</t>
  </si>
  <si>
    <t>硬化宽3米，厚18厘米2450米。</t>
  </si>
  <si>
    <t>宝积镇冯园村道路硬化项目</t>
  </si>
  <si>
    <t>硬化宽3米，厚18厘米2913米。</t>
  </si>
  <si>
    <t>改善群众出行难问题。</t>
  </si>
  <si>
    <t>宝积镇尖山村村内道路硬化项目</t>
  </si>
  <si>
    <t>硬化村内巷道3公里，宽3米。</t>
  </si>
  <si>
    <t>宝积镇墩墩滩村村内道路硬化项目</t>
  </si>
  <si>
    <t>硬化宽4米道路2公里</t>
  </si>
  <si>
    <t>改善群众出行难问题</t>
  </si>
  <si>
    <t>宝积镇魏家地村道路硬化
项目</t>
  </si>
  <si>
    <t xml:space="preserve"> 硬化长1.5公里，宽5米的道路。</t>
  </si>
  <si>
    <t>宝积镇贺家川村道路硬化建设项目</t>
  </si>
  <si>
    <t>贺家
川村</t>
  </si>
  <si>
    <t>硬化宽3米，18厘米厚道路2公里。</t>
  </si>
  <si>
    <t>共和镇毛卜拉村乡村振兴入户道路硬化
项目</t>
  </si>
  <si>
    <t>硬化入户路3公里，设计路基宽度为2.5米，厚度15cm水泥混凝土面层</t>
  </si>
  <si>
    <t>共和镇红沟村入户道路硬化项目</t>
  </si>
  <si>
    <t>红沟村</t>
  </si>
  <si>
    <t>硬化入户路3公里，设计路基宽度为2.5米，厚度15cm水泥混凝土面层。</t>
  </si>
  <si>
    <t>共和镇中和村道路硬化项目</t>
  </si>
  <si>
    <t>硬化道路2公里，宽3米，面层为15cm厚水泥混凝土。</t>
  </si>
  <si>
    <t>共和镇兄弟村入户道路硬化项目</t>
  </si>
  <si>
    <t>硬化宽3米，厚18厘米599米。</t>
  </si>
  <si>
    <t>种田乡小川村村社道路硬化项目</t>
  </si>
  <si>
    <t>硬化宽3米，长4000米村社道路。</t>
  </si>
  <si>
    <t>黄峤镇牛拜村道路硬化项目</t>
  </si>
  <si>
    <t>牛拜村</t>
  </si>
  <si>
    <t>硬化宽3米，厚18厘米道路1345米。</t>
  </si>
  <si>
    <t>黄峤镇焦口村道路硬化项目</t>
  </si>
  <si>
    <t>共硬化道路1.85公里。硬化宽3.5米，厚度18厘米。
1.旧庄沟社硬化道路1.0千米（郭世发家到老坟湾700米；王志军家到李芬家门口300米；
2.在闫高崖社硬化道路0.85千米（闫高崖庙到刘生仁家门口200米；杨敏家门前到魏其强家门前200米；刘生智家门口到赵金顺家门口200米；魏刚家门口到刘生荣家门口100米；高升家门口到杨学武家门口100米；焦维国家门口到焦得亮50米）</t>
  </si>
  <si>
    <t>王家山镇井尔川村到户路硬化项目</t>
  </si>
  <si>
    <t>贺崖湾社到户路3KM(席应孝-刘康花-白伟-白达-硬化路1000M；窦家门白安-白森-窦世顺-窦世忠1400M；于建平-于建刚-黄克富-黄克海600M)</t>
  </si>
  <si>
    <t>王家山镇万庙村道路硬化
项目</t>
  </si>
  <si>
    <t>硬化宽3.5米，厚18厘米道路1874米。</t>
  </si>
  <si>
    <t>安全饮水保障巩固提升</t>
  </si>
  <si>
    <t>平川区水泉镇生产生活水利设备更新项目</t>
  </si>
  <si>
    <t>野麻村
牙沟
水村</t>
  </si>
  <si>
    <t>野麻村：更换野麻社和白杨林社离心泵2台(IS150-125-250-18.5KW-4P)、空心楼社离心泵1台(IS200-220-250-30KW-4P)及配套设施，6寸钢管扬水管60米，6寸橡皮软管48米，16平方防水电缆530米，50平方地埋线350米，维修野麻社灌溉提灌泵台一座;更换野麻社人饮井深井泵1台(扬程100米，电机7.5KW）
牙沟水村：更新牙沟水村三级泵站SW250-M4-220KW-4P电机一台，220/250KW变频柜一台，150平方米电缆40米。</t>
  </si>
  <si>
    <t>保障农田灌溉及安全饮水。</t>
  </si>
  <si>
    <t>宝积镇小川村小麦玉米产业道路硬化工程</t>
  </si>
  <si>
    <t>硬化4米宽产业路1.2公里</t>
  </si>
  <si>
    <t>宝积镇魏家地村安全饮水巩固提升项目</t>
  </si>
  <si>
    <t>魏家地村</t>
  </si>
  <si>
    <t>铺设100级Ф90PE管2492米。</t>
  </si>
  <si>
    <t>解决群众饮水问题。</t>
  </si>
  <si>
    <t>宝积镇广沿沟村自来水管网提升改造项目</t>
  </si>
  <si>
    <t xml:space="preserve"> 更新</t>
  </si>
  <si>
    <t>广沿
沟村</t>
  </si>
  <si>
    <t>需要更新2.1公里供水管道，检查井20个，水表90个。</t>
  </si>
  <si>
    <t>宝积镇墩墩滩村自来水管网改造项目</t>
  </si>
  <si>
    <t>更换自来水管网6公里</t>
  </si>
  <si>
    <t>共和镇红沟村自来水管网升级改造项目</t>
  </si>
  <si>
    <t>感应电线906m，高位水池安全夯填。</t>
  </si>
  <si>
    <t>共和镇常崖村安全饮水巩固提升项目</t>
  </si>
  <si>
    <t>常崖村</t>
  </si>
  <si>
    <t>新建护坡358m，人饮机井水泵设施改造1套。</t>
  </si>
  <si>
    <t>复兴乡山李村安全饮水管道巩固提升项目</t>
  </si>
  <si>
    <t>山李村</t>
  </si>
  <si>
    <t>计划更新山李村下川口社至下庄社人饮主管道3公里，支管道7公里。</t>
  </si>
  <si>
    <t>种田乡北庄村人饮管道改造项目</t>
  </si>
  <si>
    <t>改造黑水社人饮管道1500米</t>
  </si>
  <si>
    <t>黄峤镇双铺村四社人畜饮水管道更新项目</t>
  </si>
  <si>
    <t>因双铺村四社管道破裂，导致四社人畜饮水局面紧张，需更新四社管道，需1000米φ110PE热熔管，2000米φ90PE热熔管,100米φ50PE热熔管，φ90三通20个，φ110变φ90大变小3个，φ90变φ50三通20个，减压阀1个，共需12万元。</t>
  </si>
  <si>
    <t>可解决四社320余户人畜饮水问题，改善群众生产生活条件。</t>
  </si>
  <si>
    <t>黄峤镇马饮水易地搬迁点人饮工程维修
项目</t>
  </si>
  <si>
    <t>马饮
水村</t>
  </si>
  <si>
    <t>铺设100级PE管447米，检查井6座。</t>
  </si>
  <si>
    <t>解决易地搬迁安置点群众的人畜饮水问题。</t>
  </si>
  <si>
    <t>黄峤镇马饮水村一二社人畜饮水龙窝维修改造工程</t>
  </si>
  <si>
    <t>维修</t>
  </si>
  <si>
    <t>维修龙窝截水墙及集水井2座，100级Ф90PE管100米，出水井2座。</t>
  </si>
  <si>
    <t>解决该社群众的人畜饮水问题，改善群众生产生活条件，促进村级产业的发展。</t>
  </si>
  <si>
    <t>黄峤镇神木头村易地扶贫搬迁安置点人饮管道提升改造项目</t>
  </si>
  <si>
    <t>神木
头村</t>
  </si>
  <si>
    <t>移民新村B区人饮管道提升改造7公里（主管Ф90高密度聚乙烯PE管，压力等级1.6MPa支管道100级Ф32高密度聚乙烯PE管，压力等级1.6MPa），涉及检查井30座。</t>
  </si>
  <si>
    <t>保障移民新村113户住户生活用水。</t>
  </si>
  <si>
    <t>黄峤镇神木头村人饮蓄水池建设项目</t>
  </si>
  <si>
    <t>在神木头易地扶贫搬迁新区（神木头小学）新建500立方米蓄水池一座，配套110#管道100米，闸阀2个，检查井2个。</t>
  </si>
  <si>
    <t>可解决该社群众的人畜饮水问题，改善群众生产生活条件，促进村级产业的发展。</t>
  </si>
  <si>
    <t>黄峤镇马饮水村易地搬迁人饮泉水截引
工程</t>
  </si>
  <si>
    <r>
      <rPr>
        <sz val="12"/>
        <color theme="1"/>
        <rFont val="黑体"/>
        <charset val="134"/>
      </rPr>
      <t>新建</t>
    </r>
    <r>
      <rPr>
        <sz val="12"/>
        <color theme="1"/>
        <rFont val="黑体"/>
        <charset val="134"/>
      </rPr>
      <t>100</t>
    </r>
    <r>
      <rPr>
        <sz val="12"/>
        <color theme="1"/>
        <rFont val="黑体"/>
        <charset val="134"/>
      </rPr>
      <t>级</t>
    </r>
    <r>
      <rPr>
        <sz val="12"/>
        <color theme="1"/>
        <rFont val="黑体"/>
        <charset val="134"/>
      </rPr>
      <t>Ф63PE</t>
    </r>
    <r>
      <rPr>
        <sz val="12"/>
        <color theme="1"/>
        <rFont val="黑体"/>
        <charset val="134"/>
      </rPr>
      <t>管</t>
    </r>
    <r>
      <rPr>
        <sz val="12"/>
        <color theme="1"/>
        <rFont val="黑体"/>
        <charset val="134"/>
      </rPr>
      <t>2000</t>
    </r>
    <r>
      <rPr>
        <sz val="12"/>
        <color theme="1"/>
        <rFont val="黑体"/>
        <charset val="134"/>
      </rPr>
      <t>米饮水管道，及配套设施设备，新建检查井</t>
    </r>
    <r>
      <rPr>
        <sz val="12"/>
        <color theme="1"/>
        <rFont val="黑体"/>
        <charset val="134"/>
      </rPr>
      <t>6</t>
    </r>
    <r>
      <rPr>
        <sz val="12"/>
        <color theme="1"/>
        <rFont val="黑体"/>
        <charset val="134"/>
      </rPr>
      <t>个。</t>
    </r>
  </si>
  <si>
    <t>王家山镇于大川村修建自来水高位水池
项目</t>
  </si>
  <si>
    <t>在于窑社修建5千方的高位自来水池</t>
  </si>
  <si>
    <t>补齐自来水短缺状态，保持农民用水正常</t>
  </si>
  <si>
    <t>道路亮化</t>
  </si>
  <si>
    <t>宝积镇冯园村村内亮化工程</t>
  </si>
  <si>
    <t>采购并安装路灯280盏</t>
  </si>
  <si>
    <t>解决群众夜间出行安全问题。</t>
  </si>
  <si>
    <t>住建局</t>
  </si>
  <si>
    <t>宝积镇黑水村村内道路亮化项目</t>
  </si>
  <si>
    <t>黑水村</t>
  </si>
  <si>
    <t>更换维修路灯90盏，新增路灯75个。</t>
  </si>
  <si>
    <t>宝积镇窎沟村道路亮化项目</t>
  </si>
  <si>
    <t>采购安装8米高太阳能路灯100盏</t>
  </si>
  <si>
    <t>宝积镇墩墩滩村村内亮化
项目</t>
  </si>
  <si>
    <t>采购并安装8米高路灯100盏</t>
  </si>
  <si>
    <t>宝积镇小川村村内亮化工程</t>
  </si>
  <si>
    <t>维修太阳能路灯60盏，采购并安装6米高路灯30盏。</t>
  </si>
  <si>
    <t>硬化村民门前、巷口的最后一米。合计5250平方米，面层为15公分厚水泥混凝土</t>
  </si>
  <si>
    <t>种田乡北庄村道路亮化项目</t>
  </si>
  <si>
    <t>安装6米高太阳能路灯120个</t>
  </si>
  <si>
    <t>解决群众夜间出行问题</t>
  </si>
  <si>
    <t>王家山镇大营水村亮化工程</t>
  </si>
  <si>
    <t>安装6米高路灯60盏，其中东西社30盏，黄毛沟20盏，石碑子10盏</t>
  </si>
  <si>
    <t>解决群众出行</t>
  </si>
  <si>
    <t>水泉镇杨岭村亮化工程</t>
  </si>
  <si>
    <t>安装6m高太阳能路灯110盏</t>
  </si>
  <si>
    <t>⑷</t>
  </si>
  <si>
    <t>以工代赈</t>
  </si>
  <si>
    <t>白银市平川区黄峤镇易地扶贫搬迁安置点后续产业发展农田水利基础设施建设项目</t>
  </si>
  <si>
    <t>新建3万立方米蓄水池1座，铺设田间管网DN300PE管1.93公里，DN90PE管0.8公里，铺设田间砂化道路5公里。</t>
  </si>
  <si>
    <t>项目建成后，将有效提高群众农作物种植的积极性，大大提高了群众的满意度。</t>
  </si>
  <si>
    <t>⑸</t>
  </si>
  <si>
    <t>其它</t>
  </si>
  <si>
    <t>复兴乡甘涝村排洪渠建设
项目</t>
  </si>
  <si>
    <t>甘涝村</t>
  </si>
  <si>
    <t>衬砌渠道全长1公里，上宽5米，下宽3米，高度1.2米。</t>
  </si>
  <si>
    <t>保障群众粮食生产安全，防止因山洪造成临渠2000亩耕地受损受灾。</t>
  </si>
  <si>
    <t>水泉镇旱平川村农贸市场建设项目</t>
  </si>
  <si>
    <t>旱平
川村</t>
  </si>
  <si>
    <r>
      <rPr>
        <sz val="12"/>
        <color theme="1"/>
        <rFont val="黑体"/>
        <charset val="134"/>
      </rPr>
      <t>硬化场地4000m</t>
    </r>
    <r>
      <rPr>
        <sz val="12"/>
        <color theme="1"/>
        <rFont val="宋体"/>
        <charset val="134"/>
      </rPr>
      <t>²</t>
    </r>
    <r>
      <rPr>
        <sz val="12"/>
        <color theme="1"/>
        <rFont val="黑体"/>
        <charset val="134"/>
      </rPr>
      <t>，钢结构彩钢棚</t>
    </r>
  </si>
  <si>
    <t>增加村集体经济收入</t>
  </si>
  <si>
    <t>宝积镇黑水村金家窑小流域治理项目</t>
  </si>
  <si>
    <t>建设护坡上宽1米，下宽2米，高度2米，长0.2公里。</t>
  </si>
  <si>
    <t>保护群众生命财产安全。</t>
  </si>
  <si>
    <t>宝积镇魏家地村护坡建设
项目</t>
  </si>
  <si>
    <t>砌筑石墙护坡长150米,高1.5米，宽2米。</t>
  </si>
  <si>
    <t>市级和美乡村奖补项目</t>
  </si>
  <si>
    <t>宝积镇大湾村和美乡村奖补项目。</t>
  </si>
  <si>
    <t>建设和美乡村，改善群众生产生活条件。</t>
  </si>
  <si>
    <t>共和镇常崖村河道护坡治
理工程</t>
  </si>
  <si>
    <t>建设护坡1.0公里，高2.5米，下底1.0米，上底0.40米。</t>
  </si>
  <si>
    <t>项目实施有利于保护基本农田近600亩，涉及全村灌溉用地。保障农户农业收益稳定。</t>
  </si>
  <si>
    <t>共和镇毛卜拉村乡村振兴晾晒场建设项目</t>
  </si>
  <si>
    <t>毛卜拉</t>
  </si>
  <si>
    <t>建设晾晒场5个，每个2000平米，场地硬化，厚度15cm水泥混凝土面层。</t>
  </si>
  <si>
    <t>解决村民粮食晾晒问题，避免不受潮，减少损失。</t>
  </si>
  <si>
    <t>共和镇小水村农贸市场建设项目</t>
  </si>
  <si>
    <r>
      <rPr>
        <sz val="11"/>
        <rFont val="黑体"/>
        <charset val="134"/>
      </rPr>
      <t>场地硬化1863m</t>
    </r>
    <r>
      <rPr>
        <sz val="11"/>
        <rFont val="宋体"/>
        <charset val="134"/>
      </rPr>
      <t>²</t>
    </r>
    <r>
      <rPr>
        <sz val="11"/>
        <rFont val="黑体"/>
        <charset val="134"/>
      </rPr>
      <t>，管理房60m</t>
    </r>
    <r>
      <rPr>
        <sz val="11"/>
        <rFont val="宋体"/>
        <charset val="134"/>
      </rPr>
      <t>²</t>
    </r>
    <r>
      <rPr>
        <sz val="11"/>
        <rFont val="黑体"/>
        <charset val="134"/>
      </rPr>
      <t>，彩钢大棚630m</t>
    </r>
    <r>
      <rPr>
        <sz val="11"/>
        <rFont val="宋体"/>
        <charset val="134"/>
      </rPr>
      <t>²。</t>
    </r>
  </si>
  <si>
    <t>建设农贸市场使得农产品能够快捷地从生产者流向消费者，减少中间环节，降低流通成本，增加农户收入。</t>
  </si>
  <si>
    <t>种田乡种田村排洪渠硬化
项目</t>
  </si>
  <si>
    <t>种田村</t>
  </si>
  <si>
    <t>排水渠73.6m，拦沙坎15m，护坡修复15.6m，拦水坝及跌水修复2座，过水路面284m，新建护坡358m</t>
  </si>
  <si>
    <t>确保群众生命财产安全问题。</t>
  </si>
  <si>
    <t>种田乡小川村排洪渠治理
项目</t>
  </si>
  <si>
    <t xml:space="preserve">清淤治理小川村排洪渠3300米
</t>
  </si>
  <si>
    <t>种田乡拉排村芦子水沟安全防护网维修改造项目</t>
  </si>
  <si>
    <t>拉排村</t>
  </si>
  <si>
    <t>维修安装芦子水沟水坝防护网1000米</t>
  </si>
  <si>
    <t>加强水沟水坝安全防护措施，确保群众财产生命安全。</t>
  </si>
  <si>
    <t>人居环境整治</t>
  </si>
  <si>
    <t>垃圾收转运费用及保洁员
工资</t>
  </si>
  <si>
    <t>1.水泉镇160.56：其中租用收集车辆费86.4万元、保洁员工资74.16万元；2.复兴乡43.02万元：其中租用收集车辆费10.8万元、装卸费1.8万元、转运费4.5万元、保洁员工资25.92万元；3.种田乡40.86万元;其中租用收集车辆费10.8万元、装卸费1.8万元、转运费4.5万元、保洁员工资23.76万元；4.黄峤镇66.72万元：其中租用收集车辆费21.6万元、装卸费7.2万元、转运费12万元、保洁员工资25.92万元；5.共和镇84.72万元：其中租用收集车辆费32.4万元、装卸费7.2万元、垃圾转运费12万元、保洁员工资33.12万元；6.王家山镇60.24万元：其中租用收集车辆费21.6万元、装卸费7.2万元、转运费12万元、保洁员工资19.44万元；7.宝积镇79.2万元：其中租用收集车辆费54万元、保洁员工资25.2万元。
2.对全区61个村、35家农药经营户回收的农药包装废弃物运输费用进行补贴。</t>
  </si>
  <si>
    <t>解决垃圾运输问题，使村庄人居环境美丽整洁。</t>
  </si>
  <si>
    <t>水泉镇后挂桶自装卸式垃圾车购置项目</t>
  </si>
  <si>
    <t>14方后挂桶自装卸式垃圾车4辆</t>
  </si>
  <si>
    <t>改善人居环境</t>
  </si>
  <si>
    <t>种田乡垃圾储备中转项目</t>
  </si>
  <si>
    <r>
      <rPr>
        <sz val="11"/>
        <color theme="1"/>
        <rFont val="黑体"/>
        <charset val="134"/>
      </rPr>
      <t>垃圾处理场硬化800m</t>
    </r>
    <r>
      <rPr>
        <sz val="11"/>
        <color theme="1"/>
        <rFont val="宋体"/>
        <charset val="134"/>
      </rPr>
      <t>²</t>
    </r>
    <r>
      <rPr>
        <sz val="11"/>
        <color theme="1"/>
        <rFont val="黑体"/>
        <charset val="134"/>
      </rPr>
      <t>，中转站240m</t>
    </r>
    <r>
      <rPr>
        <sz val="11"/>
        <color theme="1"/>
        <rFont val="宋体"/>
        <charset val="134"/>
      </rPr>
      <t>²</t>
    </r>
    <r>
      <rPr>
        <sz val="11"/>
        <color theme="1"/>
        <rFont val="黑体"/>
        <charset val="134"/>
      </rPr>
      <t>，压缩车一台</t>
    </r>
  </si>
  <si>
    <t>提高全乡垃圾处理能力，改善群众生活条件。</t>
  </si>
  <si>
    <t>四</t>
  </si>
  <si>
    <t>易地搬迁后
续扶持</t>
  </si>
  <si>
    <t>易地扶贫搬迁贷款贴息</t>
  </si>
  <si>
    <t>易地扶贫搬迁贷款贴息。</t>
  </si>
  <si>
    <t>改善贫困群众居住条件，提高生活质量。</t>
  </si>
  <si>
    <t>复兴乡汉口村标准化肉羊养殖场建设项目</t>
  </si>
  <si>
    <t>新建集中养殖小区一个，占地30亩，计划建设圈舍8座，每座长60米，宽20米，划分为120个80平圈舍。配套建设草料棚、蓄水池等设施，项目建成后，分配给搬迁小区农户发展养殖，满足群众养殖需求，增加搬迁后收入。</t>
  </si>
  <si>
    <t>项目建设完成后完善了搬迁点后续产业发展，引导群众通过养殖增加收入.</t>
  </si>
  <si>
    <t>预计将解决10余人的就业岗位，提高群众月收入1500元以上。同时通过场地租赁，增加村集体收入。</t>
  </si>
  <si>
    <t>复兴乡地灾搬迁安置点人居环境整治车辆采购项目</t>
  </si>
  <si>
    <t>复兴小区内配置铲车1辆、三轮车1辆、垃圾收运车1辆。</t>
  </si>
  <si>
    <t>完善搬迁点环境卫生整治配套设施，提升群众生活水平。</t>
  </si>
  <si>
    <t>发改局环保局</t>
  </si>
  <si>
    <t>复兴小区排洪渠建设项目</t>
  </si>
  <si>
    <t>衬砌渠道704米。</t>
  </si>
  <si>
    <t>有效解决因降雨造成小区南侧路面及碱河沟坡体被冲毁的风险，增强搬迁小区安全感。</t>
  </si>
  <si>
    <t>五</t>
  </si>
  <si>
    <t>其他</t>
  </si>
  <si>
    <t>项目管理费</t>
  </si>
  <si>
    <t>主要用于项目的调研、论证、评审、监理、验收、成果宣传、资料印刷、档案整理等与项目管理相关的支出。</t>
  </si>
  <si>
    <t>提高项目管理水平。</t>
  </si>
  <si>
    <t>驻村工作队补贴及保险</t>
  </si>
  <si>
    <t>15个脱贫村、1个易地搬迁安置点派驻驻村帮扶工作队队员补贴及区直单位派驻的43名驻村工作队员购买意外伤害险。</t>
  </si>
  <si>
    <t>解决驻村队员补贴难问题。</t>
  </si>
  <si>
    <t>全区乡村振兴干部能力提升培训</t>
  </si>
  <si>
    <t>对乡镇分管领导、业务人员、61个村党组织书记、23个驻村工作队进行培训。</t>
  </si>
  <si>
    <t>通过培训，提升培训人员乡村振兴能力，巩固脱贫攻坚成果。</t>
  </si>
  <si>
    <t>“防返保”保险</t>
  </si>
  <si>
    <t>为三类监测户购买“防返保”保险费。</t>
  </si>
  <si>
    <t>防止返贫，巩固脱贫攻坚成果。</t>
  </si>
  <si>
    <t>驻村帮扶工作队经费</t>
  </si>
  <si>
    <t>15个脱贫村驻村工作队及1个移民安置点经费补助资金各2000元。</t>
  </si>
  <si>
    <t>解决驻村工作队工作经费不足的问题。</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</si>
</sst>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Red]\(0\)"/>
    <numFmt numFmtId="177" formatCode="0.00_ "/>
    <numFmt numFmtId="178" formatCode="0.00_);[Red]\(0.00\)"/>
    <numFmt numFmtId="179" formatCode="0.0000_ "/>
  </numFmts>
  <fonts count="44">
    <font>
      <sz val="12"/>
      <name val="宋体"/>
      <charset val="134"/>
    </font>
    <font>
      <b/>
      <sz val="12"/>
      <color theme="1"/>
      <name val="黑体"/>
      <charset val="134"/>
    </font>
    <font>
      <sz val="12"/>
      <color theme="1"/>
      <name val="黑体"/>
      <charset val="134"/>
    </font>
    <font>
      <sz val="11"/>
      <color theme="1"/>
      <name val="宋体"/>
      <charset val="134"/>
    </font>
    <font>
      <sz val="16"/>
      <color theme="1"/>
      <name val="黑体"/>
      <charset val="134"/>
    </font>
    <font>
      <sz val="10"/>
      <color theme="1"/>
      <name val="黑体"/>
      <charset val="134"/>
    </font>
    <font>
      <sz val="36"/>
      <color theme="1"/>
      <name val="黑体"/>
      <charset val="134"/>
    </font>
    <font>
      <b/>
      <sz val="12"/>
      <color theme="1"/>
      <name val="黑体"/>
      <charset val="134"/>
    </font>
    <font>
      <sz val="12"/>
      <color theme="1"/>
      <name val="黑体"/>
      <charset val="134"/>
    </font>
    <font>
      <sz val="11"/>
      <color theme="1"/>
      <name val="黑体"/>
      <charset val="134"/>
    </font>
    <font>
      <sz val="11"/>
      <name val="黑体"/>
      <charset val="134"/>
    </font>
    <font>
      <b/>
      <sz val="12"/>
      <color theme="1"/>
      <name val="Microsoft YaHei"/>
      <charset val="134"/>
    </font>
    <font>
      <sz val="12"/>
      <color theme="1"/>
      <name val="仿宋_GB2312"/>
      <charset val="134"/>
    </font>
    <font>
      <b/>
      <sz val="10"/>
      <color theme="1"/>
      <name val="Times New Roman"/>
      <charset val="134"/>
    </font>
    <font>
      <sz val="11"/>
      <color indexed="8"/>
      <name val="黑体"/>
      <charset val="134"/>
    </font>
    <font>
      <b/>
      <sz val="11"/>
      <color theme="1"/>
      <name val="黑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sz val="12"/>
      <name val="宋体"/>
      <charset val="134"/>
    </font>
    <font>
      <sz val="11"/>
      <name val="宋体"/>
      <charset val="134"/>
    </font>
    <font>
      <sz val="11"/>
      <color theme="1"/>
      <name val="宋体"/>
      <charset val="134"/>
    </font>
    <font>
      <sz val="12"/>
      <color theme="1"/>
      <name val="宋体"/>
      <charset val="134"/>
    </font>
    <font>
      <sz val="10"/>
      <color theme="1"/>
      <name val="Times New Roman"/>
      <charset val="134"/>
    </font>
    <font>
      <sz val="10"/>
      <color theme="1"/>
      <name val="宋体"/>
      <charset val="134"/>
    </font>
    <font>
      <sz val="12"/>
      <color theme="1"/>
      <name val="宋体"/>
      <charset val="134"/>
      <scheme val="minor"/>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7">
    <xf numFmtId="0" fontId="0" fillId="0" borderId="0">
      <alignment vertical="center"/>
    </xf>
    <xf numFmtId="43" fontId="16" fillId="0" borderId="0" applyFont="0" applyFill="0" applyBorder="0" applyAlignment="0" applyProtection="0">
      <alignment vertical="center"/>
    </xf>
    <xf numFmtId="44" fontId="16" fillId="0" borderId="0" applyFont="0" applyFill="0" applyBorder="0" applyAlignment="0" applyProtection="0">
      <alignment vertical="center"/>
    </xf>
    <xf numFmtId="9" fontId="16" fillId="0" borderId="0" applyFont="0" applyFill="0" applyBorder="0" applyAlignment="0" applyProtection="0">
      <alignment vertical="center"/>
    </xf>
    <xf numFmtId="41" fontId="16" fillId="0" borderId="0" applyFont="0" applyFill="0" applyBorder="0" applyAlignment="0" applyProtection="0">
      <alignment vertical="center"/>
    </xf>
    <xf numFmtId="42" fontId="16"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6" fillId="3" borderId="4"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5" applyNumberFormat="0" applyFill="0" applyAlignment="0" applyProtection="0">
      <alignment vertical="center"/>
    </xf>
    <xf numFmtId="0" fontId="23" fillId="0" borderId="5" applyNumberFormat="0" applyFill="0" applyAlignment="0" applyProtection="0">
      <alignment vertical="center"/>
    </xf>
    <xf numFmtId="0" fontId="24" fillId="0" borderId="6" applyNumberFormat="0" applyFill="0" applyAlignment="0" applyProtection="0">
      <alignment vertical="center"/>
    </xf>
    <xf numFmtId="0" fontId="24" fillId="0" borderId="0" applyNumberFormat="0" applyFill="0" applyBorder="0" applyAlignment="0" applyProtection="0">
      <alignment vertical="center"/>
    </xf>
    <xf numFmtId="0" fontId="25" fillId="4" borderId="7" applyNumberFormat="0" applyAlignment="0" applyProtection="0">
      <alignment vertical="center"/>
    </xf>
    <xf numFmtId="0" fontId="26" fillId="5" borderId="8" applyNumberFormat="0" applyAlignment="0" applyProtection="0">
      <alignment vertical="center"/>
    </xf>
    <xf numFmtId="0" fontId="27" fillId="5" borderId="7" applyNumberFormat="0" applyAlignment="0" applyProtection="0">
      <alignment vertical="center"/>
    </xf>
    <xf numFmtId="0" fontId="28" fillId="6" borderId="9" applyNumberFormat="0" applyAlignment="0" applyProtection="0">
      <alignment vertical="center"/>
    </xf>
    <xf numFmtId="0" fontId="29" fillId="0" borderId="10" applyNumberFormat="0" applyFill="0" applyAlignment="0" applyProtection="0">
      <alignment vertical="center"/>
    </xf>
    <xf numFmtId="0" fontId="30" fillId="0" borderId="11" applyNumberFormat="0" applyFill="0" applyAlignment="0" applyProtection="0">
      <alignment vertical="center"/>
    </xf>
    <xf numFmtId="0" fontId="31" fillId="7" borderId="0" applyNumberFormat="0" applyBorder="0" applyAlignment="0" applyProtection="0">
      <alignment vertical="center"/>
    </xf>
    <xf numFmtId="0" fontId="32" fillId="8" borderId="0" applyNumberFormat="0" applyBorder="0" applyAlignment="0" applyProtection="0">
      <alignment vertical="center"/>
    </xf>
    <xf numFmtId="0" fontId="33" fillId="9" borderId="0" applyNumberFormat="0" applyBorder="0" applyAlignment="0" applyProtection="0">
      <alignment vertical="center"/>
    </xf>
    <xf numFmtId="0" fontId="34" fillId="10" borderId="0" applyNumberFormat="0" applyBorder="0" applyAlignment="0" applyProtection="0">
      <alignment vertical="center"/>
    </xf>
    <xf numFmtId="0" fontId="35" fillId="11" borderId="0" applyNumberFormat="0" applyBorder="0" applyAlignment="0" applyProtection="0">
      <alignment vertical="center"/>
    </xf>
    <xf numFmtId="0" fontId="35" fillId="12" borderId="0" applyNumberFormat="0" applyBorder="0" applyAlignment="0" applyProtection="0">
      <alignment vertical="center"/>
    </xf>
    <xf numFmtId="0" fontId="34" fillId="13" borderId="0" applyNumberFormat="0" applyBorder="0" applyAlignment="0" applyProtection="0">
      <alignment vertical="center"/>
    </xf>
    <xf numFmtId="0" fontId="34" fillId="14" borderId="0" applyNumberFormat="0" applyBorder="0" applyAlignment="0" applyProtection="0">
      <alignment vertical="center"/>
    </xf>
    <xf numFmtId="0" fontId="35" fillId="15" borderId="0" applyNumberFormat="0" applyBorder="0" applyAlignment="0" applyProtection="0">
      <alignment vertical="center"/>
    </xf>
    <xf numFmtId="0" fontId="35" fillId="16" borderId="0" applyNumberFormat="0" applyBorder="0" applyAlignment="0" applyProtection="0">
      <alignment vertical="center"/>
    </xf>
    <xf numFmtId="0" fontId="34" fillId="17" borderId="0" applyNumberFormat="0" applyBorder="0" applyAlignment="0" applyProtection="0">
      <alignment vertical="center"/>
    </xf>
    <xf numFmtId="0" fontId="34" fillId="18" borderId="0" applyNumberFormat="0" applyBorder="0" applyAlignment="0" applyProtection="0">
      <alignment vertical="center"/>
    </xf>
    <xf numFmtId="0" fontId="35" fillId="19" borderId="0" applyNumberFormat="0" applyBorder="0" applyAlignment="0" applyProtection="0">
      <alignment vertical="center"/>
    </xf>
    <xf numFmtId="0" fontId="35" fillId="20" borderId="0" applyNumberFormat="0" applyBorder="0" applyAlignment="0" applyProtection="0">
      <alignment vertical="center"/>
    </xf>
    <xf numFmtId="0" fontId="34" fillId="21" borderId="0" applyNumberFormat="0" applyBorder="0" applyAlignment="0" applyProtection="0">
      <alignment vertical="center"/>
    </xf>
    <xf numFmtId="0" fontId="34" fillId="22" borderId="0" applyNumberFormat="0" applyBorder="0" applyAlignment="0" applyProtection="0">
      <alignment vertical="center"/>
    </xf>
    <xf numFmtId="0" fontId="35" fillId="23" borderId="0" applyNumberFormat="0" applyBorder="0" applyAlignment="0" applyProtection="0">
      <alignment vertical="center"/>
    </xf>
    <xf numFmtId="0" fontId="35" fillId="24" borderId="0" applyNumberFormat="0" applyBorder="0" applyAlignment="0" applyProtection="0">
      <alignment vertical="center"/>
    </xf>
    <xf numFmtId="0" fontId="34" fillId="25" borderId="0" applyNumberFormat="0" applyBorder="0" applyAlignment="0" applyProtection="0">
      <alignment vertical="center"/>
    </xf>
    <xf numFmtId="0" fontId="34" fillId="26" borderId="0" applyNumberFormat="0" applyBorder="0" applyAlignment="0" applyProtection="0">
      <alignment vertical="center"/>
    </xf>
    <xf numFmtId="0" fontId="35" fillId="27" borderId="0" applyNumberFormat="0" applyBorder="0" applyAlignment="0" applyProtection="0">
      <alignment vertical="center"/>
    </xf>
    <xf numFmtId="0" fontId="35" fillId="28" borderId="0" applyNumberFormat="0" applyBorder="0" applyAlignment="0" applyProtection="0">
      <alignment vertical="center"/>
    </xf>
    <xf numFmtId="0" fontId="34" fillId="29" borderId="0" applyNumberFormat="0" applyBorder="0" applyAlignment="0" applyProtection="0">
      <alignment vertical="center"/>
    </xf>
    <xf numFmtId="0" fontId="34" fillId="30" borderId="0" applyNumberFormat="0" applyBorder="0" applyAlignment="0" applyProtection="0">
      <alignment vertical="center"/>
    </xf>
    <xf numFmtId="0" fontId="35" fillId="31" borderId="0" applyNumberFormat="0" applyBorder="0" applyAlignment="0" applyProtection="0">
      <alignment vertical="center"/>
    </xf>
    <xf numFmtId="0" fontId="35" fillId="32" borderId="0" applyNumberFormat="0" applyBorder="0" applyAlignment="0" applyProtection="0">
      <alignment vertical="center"/>
    </xf>
    <xf numFmtId="0" fontId="34" fillId="33" borderId="0" applyNumberFormat="0" applyBorder="0" applyAlignment="0" applyProtection="0">
      <alignment vertical="center"/>
    </xf>
    <xf numFmtId="0" fontId="36" fillId="0" borderId="0">
      <alignment vertical="center"/>
    </xf>
    <xf numFmtId="0" fontId="37" fillId="0" borderId="0">
      <alignment vertical="center"/>
    </xf>
    <xf numFmtId="0" fontId="37" fillId="0" borderId="0">
      <alignment vertical="center"/>
    </xf>
    <xf numFmtId="0" fontId="36" fillId="0" borderId="0"/>
    <xf numFmtId="0" fontId="37" fillId="0" borderId="0"/>
    <xf numFmtId="0" fontId="37" fillId="0" borderId="0"/>
    <xf numFmtId="0" fontId="37" fillId="0" borderId="0">
      <alignment vertical="center"/>
    </xf>
    <xf numFmtId="0" fontId="37" fillId="0" borderId="0"/>
  </cellStyleXfs>
  <cellXfs count="94">
    <xf numFmtId="0" fontId="0" fillId="0" borderId="0" xfId="0">
      <alignment vertical="center"/>
    </xf>
    <xf numFmtId="0" fontId="1" fillId="2" borderId="0" xfId="0" applyFont="1" applyFill="1" applyAlignment="1">
      <alignment horizontal="center" vertical="center"/>
    </xf>
    <xf numFmtId="0" fontId="2" fillId="2" borderId="0" xfId="0" applyFont="1" applyFill="1" applyAlignment="1">
      <alignment horizontal="center" vertical="center" wrapText="1"/>
    </xf>
    <xf numFmtId="0" fontId="2" fillId="2" borderId="0" xfId="0" applyFont="1" applyFill="1" applyBorder="1" applyAlignment="1">
      <alignment horizontal="center" vertical="center"/>
    </xf>
    <xf numFmtId="0" fontId="2" fillId="2" borderId="0" xfId="0" applyFont="1" applyFill="1" applyBorder="1" applyAlignment="1">
      <alignment horizontal="center" vertical="center" wrapText="1"/>
    </xf>
    <xf numFmtId="0" fontId="3" fillId="2" borderId="0" xfId="0" applyFont="1" applyFill="1" applyBorder="1" applyAlignment="1"/>
    <xf numFmtId="0" fontId="2" fillId="2" borderId="0" xfId="0" applyFont="1" applyFill="1" applyAlignment="1">
      <alignment horizontal="center" vertical="center"/>
    </xf>
    <xf numFmtId="0" fontId="2" fillId="2" borderId="0" xfId="0" applyFont="1" applyFill="1" applyAlignment="1">
      <alignment horizontal="left" vertical="center"/>
    </xf>
    <xf numFmtId="0" fontId="4" fillId="2" borderId="0" xfId="0" applyFont="1" applyFill="1" applyAlignment="1">
      <alignment horizontal="center" vertical="center"/>
    </xf>
    <xf numFmtId="0" fontId="4" fillId="2" borderId="0" xfId="0" applyFont="1" applyFill="1" applyAlignment="1">
      <alignment horizontal="left" vertical="center"/>
    </xf>
    <xf numFmtId="0" fontId="5" fillId="2" borderId="0" xfId="0" applyFont="1" applyFill="1" applyBorder="1" applyAlignment="1">
      <alignment horizontal="center" vertical="center"/>
    </xf>
    <xf numFmtId="0" fontId="5" fillId="2" borderId="0" xfId="0" applyFont="1" applyFill="1" applyBorder="1" applyAlignment="1">
      <alignment horizontal="left" vertical="center"/>
    </xf>
    <xf numFmtId="0" fontId="6" fillId="2" borderId="0" xfId="0" applyFont="1" applyFill="1" applyBorder="1" applyAlignment="1">
      <alignment horizontal="center" vertical="center"/>
    </xf>
    <xf numFmtId="0" fontId="6" fillId="2" borderId="0" xfId="0" applyFont="1" applyFill="1" applyBorder="1" applyAlignment="1">
      <alignment horizontal="left"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 xfId="0" applyFont="1" applyFill="1" applyBorder="1" applyAlignment="1">
      <alignment horizontal="left" vertical="center" wrapText="1"/>
    </xf>
    <xf numFmtId="0" fontId="1" fillId="2" borderId="1" xfId="0" applyNumberFormat="1" applyFont="1" applyFill="1" applyBorder="1" applyAlignment="1" applyProtection="1">
      <alignment horizontal="center" vertical="center"/>
    </xf>
    <xf numFmtId="0" fontId="1" fillId="2" borderId="1" xfId="0" applyNumberFormat="1" applyFont="1" applyFill="1" applyBorder="1" applyAlignment="1" applyProtection="1">
      <alignment horizontal="center" vertical="center" wrapText="1"/>
    </xf>
    <xf numFmtId="0" fontId="7" fillId="2" borderId="1" xfId="0" applyFont="1" applyFill="1" applyBorder="1" applyAlignment="1">
      <alignment horizontal="center" vertical="center"/>
    </xf>
    <xf numFmtId="0" fontId="7" fillId="2" borderId="1" xfId="0" applyFont="1" applyFill="1" applyBorder="1" applyAlignment="1">
      <alignment horizontal="left" vertical="center"/>
    </xf>
    <xf numFmtId="0" fontId="8" fillId="2" borderId="1" xfId="0" applyFont="1" applyFill="1" applyBorder="1" applyAlignment="1">
      <alignment horizontal="center" vertical="center"/>
    </xf>
    <xf numFmtId="0" fontId="8" fillId="2" borderId="1" xfId="0" applyFont="1" applyFill="1" applyBorder="1" applyAlignment="1">
      <alignment horizontal="left" vertical="center"/>
    </xf>
    <xf numFmtId="0" fontId="8"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9" fillId="2" borderId="1" xfId="0" applyFont="1" applyFill="1" applyBorder="1" applyAlignment="1">
      <alignment horizontal="center" vertical="center" wrapText="1"/>
    </xf>
    <xf numFmtId="0" fontId="9" fillId="2" borderId="1" xfId="0" applyFont="1" applyFill="1" applyBorder="1" applyAlignment="1">
      <alignment horizontal="left" vertical="center" wrapText="1"/>
    </xf>
    <xf numFmtId="0" fontId="10" fillId="0" borderId="1" xfId="0" applyFont="1" applyFill="1" applyBorder="1" applyAlignment="1">
      <alignment horizontal="left" vertical="center" wrapText="1"/>
    </xf>
    <xf numFmtId="0" fontId="2" fillId="2" borderId="1" xfId="0" applyNumberFormat="1" applyFont="1" applyFill="1" applyBorder="1" applyAlignment="1" applyProtection="1">
      <alignment horizontal="center" vertical="center" wrapText="1"/>
    </xf>
    <xf numFmtId="0" fontId="10" fillId="0" borderId="1" xfId="55" applyFont="1" applyFill="1" applyBorder="1" applyAlignment="1">
      <alignment horizontal="left" vertical="center" wrapText="1"/>
    </xf>
    <xf numFmtId="0" fontId="10" fillId="2" borderId="1" xfId="50" applyFont="1" applyFill="1" applyBorder="1" applyAlignment="1">
      <alignment horizontal="center" vertical="center" wrapText="1"/>
    </xf>
    <xf numFmtId="0" fontId="10" fillId="2" borderId="1" xfId="50" applyFont="1" applyFill="1" applyBorder="1" applyAlignment="1">
      <alignment horizontal="left" vertical="center" wrapText="1"/>
    </xf>
    <xf numFmtId="0" fontId="2" fillId="2" borderId="1" xfId="0" applyNumberFormat="1" applyFont="1" applyFill="1" applyBorder="1" applyAlignment="1">
      <alignment horizontal="center" vertical="center" wrapText="1"/>
    </xf>
    <xf numFmtId="0" fontId="2" fillId="2" borderId="1" xfId="0" applyNumberFormat="1" applyFont="1" applyFill="1" applyBorder="1" applyAlignment="1" applyProtection="1">
      <alignment horizontal="left" vertical="center" wrapText="1"/>
    </xf>
    <xf numFmtId="0" fontId="2" fillId="2" borderId="1" xfId="0" applyNumberFormat="1" applyFont="1" applyFill="1" applyBorder="1" applyAlignment="1">
      <alignment horizontal="left" vertical="center" wrapText="1"/>
    </xf>
    <xf numFmtId="0" fontId="9" fillId="2" borderId="1" xfId="0" applyNumberFormat="1" applyFont="1" applyFill="1" applyBorder="1" applyAlignment="1" applyProtection="1">
      <alignment horizontal="center" vertical="center" wrapText="1"/>
    </xf>
    <xf numFmtId="0" fontId="11" fillId="2" borderId="1" xfId="0" applyNumberFormat="1" applyFont="1" applyFill="1" applyBorder="1" applyAlignment="1" applyProtection="1">
      <alignment horizontal="center" vertical="center"/>
    </xf>
    <xf numFmtId="0" fontId="2" fillId="2" borderId="1" xfId="0" applyNumberFormat="1" applyFont="1" applyFill="1" applyBorder="1" applyAlignment="1" applyProtection="1">
      <alignment horizontal="center" vertical="center"/>
    </xf>
    <xf numFmtId="0" fontId="8" fillId="2" borderId="1" xfId="0" applyFont="1" applyFill="1" applyBorder="1" applyAlignment="1">
      <alignment horizontal="left" vertical="center" wrapText="1"/>
    </xf>
    <xf numFmtId="0" fontId="1" fillId="2" borderId="1" xfId="0" applyFont="1" applyFill="1" applyBorder="1" applyAlignment="1">
      <alignment horizontal="center" vertical="center"/>
    </xf>
    <xf numFmtId="0" fontId="1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2" fillId="2" borderId="1" xfId="0" applyFont="1" applyFill="1" applyBorder="1" applyAlignment="1">
      <alignment horizontal="left" vertical="center"/>
    </xf>
    <xf numFmtId="0" fontId="10" fillId="2" borderId="1" xfId="0" applyFont="1" applyFill="1" applyBorder="1" applyAlignment="1">
      <alignment horizontal="left" vertical="center" wrapText="1"/>
    </xf>
    <xf numFmtId="0" fontId="10" fillId="2" borderId="1" xfId="0" applyFont="1" applyFill="1" applyBorder="1" applyAlignment="1">
      <alignment horizontal="center" vertical="center" wrapText="1"/>
    </xf>
    <xf numFmtId="0" fontId="9" fillId="2" borderId="1" xfId="0" applyNumberFormat="1" applyFont="1" applyFill="1" applyBorder="1" applyAlignment="1">
      <alignment horizontal="center" vertical="center" wrapText="1"/>
    </xf>
    <xf numFmtId="176" fontId="10" fillId="2" borderId="1" xfId="0" applyNumberFormat="1" applyFont="1" applyFill="1" applyBorder="1" applyAlignment="1">
      <alignment horizontal="center" vertical="center" wrapText="1"/>
    </xf>
    <xf numFmtId="177" fontId="9" fillId="2" borderId="1" xfId="0" applyNumberFormat="1" applyFont="1" applyFill="1" applyBorder="1" applyAlignment="1">
      <alignment horizontal="left" vertical="center" wrapText="1"/>
    </xf>
    <xf numFmtId="177" fontId="9" fillId="0" borderId="1" xfId="0" applyNumberFormat="1" applyFont="1" applyFill="1" applyBorder="1" applyAlignment="1">
      <alignment horizontal="left" vertical="center" wrapText="1"/>
    </xf>
    <xf numFmtId="0" fontId="8" fillId="2" borderId="2" xfId="0" applyFont="1" applyFill="1" applyBorder="1" applyAlignment="1">
      <alignment horizontal="center" vertical="center" wrapText="1"/>
    </xf>
    <xf numFmtId="178" fontId="2" fillId="2" borderId="1" xfId="0" applyNumberFormat="1" applyFont="1" applyFill="1" applyBorder="1" applyAlignment="1">
      <alignment horizontal="center" vertical="center"/>
    </xf>
    <xf numFmtId="0" fontId="13" fillId="2" borderId="1" xfId="0" applyFont="1" applyFill="1" applyBorder="1" applyAlignment="1">
      <alignment horizontal="center" vertical="center" wrapText="1"/>
    </xf>
    <xf numFmtId="176" fontId="2" fillId="2" borderId="1" xfId="0" applyNumberFormat="1" applyFont="1" applyFill="1" applyBorder="1" applyAlignment="1">
      <alignment horizontal="center" vertical="center" wrapText="1"/>
    </xf>
    <xf numFmtId="177" fontId="8" fillId="2" borderId="1" xfId="0" applyNumberFormat="1" applyFont="1" applyFill="1" applyBorder="1" applyAlignment="1">
      <alignment horizontal="center" vertical="center"/>
    </xf>
    <xf numFmtId="0" fontId="8" fillId="2" borderId="1" xfId="0" applyFont="1" applyFill="1" applyBorder="1" applyAlignment="1">
      <alignment horizontal="justify" vertical="center" wrapText="1"/>
    </xf>
    <xf numFmtId="179" fontId="8" fillId="2" borderId="2" xfId="0" applyNumberFormat="1" applyFont="1" applyFill="1" applyBorder="1" applyAlignment="1">
      <alignment horizontal="center" vertical="center" wrapText="1"/>
    </xf>
    <xf numFmtId="0" fontId="2" fillId="2" borderId="2" xfId="0" applyNumberFormat="1" applyFont="1" applyFill="1" applyBorder="1" applyAlignment="1">
      <alignment horizontal="center" vertical="center" wrapText="1"/>
    </xf>
    <xf numFmtId="0" fontId="14" fillId="2" borderId="1" xfId="0" applyFont="1" applyFill="1" applyBorder="1" applyAlignment="1">
      <alignment horizontal="center" vertical="center" wrapText="1"/>
    </xf>
    <xf numFmtId="177" fontId="10" fillId="2" borderId="1" xfId="0" applyNumberFormat="1" applyFont="1" applyFill="1" applyBorder="1" applyAlignment="1">
      <alignment horizontal="left" vertical="center" wrapText="1"/>
    </xf>
    <xf numFmtId="176" fontId="2" fillId="2" borderId="1" xfId="0" applyNumberFormat="1" applyFont="1" applyFill="1" applyBorder="1" applyAlignment="1">
      <alignment horizontal="left" vertical="center" wrapText="1"/>
    </xf>
    <xf numFmtId="176" fontId="9" fillId="2" borderId="1" xfId="0" applyNumberFormat="1" applyFont="1" applyFill="1" applyBorder="1" applyAlignment="1">
      <alignment horizontal="center" vertical="center" wrapText="1"/>
    </xf>
    <xf numFmtId="0" fontId="9" fillId="2" borderId="1" xfId="0" applyFont="1" applyFill="1" applyBorder="1" applyAlignment="1">
      <alignment horizontal="center" vertical="center"/>
    </xf>
    <xf numFmtId="0" fontId="10" fillId="2" borderId="1" xfId="0" applyFont="1" applyFill="1" applyBorder="1" applyAlignment="1">
      <alignment horizontal="center" vertical="center"/>
    </xf>
    <xf numFmtId="0" fontId="14" fillId="2" borderId="1" xfId="0" applyFont="1" applyFill="1" applyBorder="1" applyAlignment="1" applyProtection="1">
      <alignment horizontal="center" vertical="center" wrapText="1"/>
    </xf>
    <xf numFmtId="0" fontId="10" fillId="2" borderId="1" xfId="0" applyFont="1" applyFill="1" applyBorder="1" applyAlignment="1">
      <alignment horizontal="left" vertical="center"/>
    </xf>
    <xf numFmtId="0" fontId="1" fillId="2" borderId="1" xfId="0" applyFont="1" applyFill="1" applyBorder="1" applyAlignment="1" applyProtection="1">
      <alignment horizontal="center" vertical="center" wrapText="1"/>
    </xf>
    <xf numFmtId="0" fontId="2" fillId="2" borderId="1" xfId="56" applyFont="1" applyFill="1" applyBorder="1" applyAlignment="1">
      <alignment horizontal="center" vertical="center" wrapText="1"/>
    </xf>
    <xf numFmtId="0" fontId="2" fillId="2" borderId="1" xfId="56" applyFont="1" applyFill="1" applyBorder="1" applyAlignment="1">
      <alignment horizontal="left" vertical="center" wrapText="1"/>
    </xf>
    <xf numFmtId="0" fontId="1" fillId="2" borderId="1" xfId="56" applyFont="1" applyFill="1" applyBorder="1" applyAlignment="1">
      <alignment horizontal="center" vertical="center" wrapText="1"/>
    </xf>
    <xf numFmtId="0" fontId="8" fillId="2" borderId="1" xfId="0" applyNumberFormat="1" applyFont="1" applyFill="1" applyBorder="1" applyAlignment="1">
      <alignment horizontal="center" vertical="center" wrapText="1"/>
    </xf>
    <xf numFmtId="0" fontId="9" fillId="2" borderId="1" xfId="56" applyFont="1" applyFill="1" applyBorder="1" applyAlignment="1">
      <alignment horizontal="left" vertical="center" wrapText="1"/>
    </xf>
    <xf numFmtId="0" fontId="15" fillId="2" borderId="1" xfId="0" applyFont="1" applyFill="1" applyBorder="1" applyAlignment="1">
      <alignment horizontal="center" vertical="center" wrapText="1"/>
    </xf>
    <xf numFmtId="0" fontId="9" fillId="2" borderId="2" xfId="0" applyFont="1" applyFill="1" applyBorder="1" applyAlignment="1">
      <alignment horizontal="center" vertical="center" wrapText="1"/>
    </xf>
    <xf numFmtId="49" fontId="2" fillId="2" borderId="1" xfId="0" applyNumberFormat="1" applyFont="1" applyFill="1" applyBorder="1" applyAlignment="1">
      <alignment horizontal="left" vertical="center" wrapText="1"/>
    </xf>
    <xf numFmtId="0" fontId="2" fillId="2" borderId="2" xfId="0" applyNumberFormat="1" applyFont="1" applyFill="1" applyBorder="1" applyAlignment="1">
      <alignment horizontal="left" vertical="center" wrapText="1"/>
    </xf>
    <xf numFmtId="0" fontId="2" fillId="2" borderId="2" xfId="0" applyFont="1" applyFill="1" applyBorder="1" applyAlignment="1">
      <alignment horizontal="center" vertical="center" wrapText="1"/>
    </xf>
    <xf numFmtId="179" fontId="2" fillId="2" borderId="1" xfId="0" applyNumberFormat="1" applyFont="1" applyFill="1" applyBorder="1" applyAlignment="1">
      <alignment horizontal="center" vertical="center" wrapText="1"/>
    </xf>
    <xf numFmtId="0" fontId="10" fillId="2" borderId="1" xfId="0" applyNumberFormat="1" applyFont="1" applyFill="1" applyBorder="1" applyAlignment="1" applyProtection="1">
      <alignment horizontal="center" vertical="center" wrapText="1"/>
    </xf>
    <xf numFmtId="0" fontId="2" fillId="2" borderId="3" xfId="0" applyFont="1" applyFill="1" applyBorder="1" applyAlignment="1">
      <alignment horizontal="center" vertical="center"/>
    </xf>
    <xf numFmtId="0" fontId="2" fillId="2" borderId="2" xfId="0" applyFont="1" applyFill="1" applyBorder="1" applyAlignment="1">
      <alignment horizontal="center" vertical="center"/>
    </xf>
    <xf numFmtId="0" fontId="8" fillId="2" borderId="2" xfId="0" applyFont="1" applyFill="1" applyBorder="1" applyAlignment="1">
      <alignment horizontal="left" vertical="center" wrapText="1"/>
    </xf>
    <xf numFmtId="0" fontId="2" fillId="2" borderId="2" xfId="0" applyNumberFormat="1" applyFont="1" applyFill="1" applyBorder="1" applyAlignment="1" applyProtection="1">
      <alignment horizontal="center" vertical="center" wrapText="1"/>
    </xf>
    <xf numFmtId="177" fontId="10" fillId="0" borderId="1" xfId="0" applyNumberFormat="1" applyFont="1" applyFill="1" applyBorder="1" applyAlignment="1">
      <alignment horizontal="left" vertical="center" wrapText="1"/>
    </xf>
    <xf numFmtId="176" fontId="2" fillId="2" borderId="1" xfId="0" applyNumberFormat="1" applyFont="1" applyFill="1" applyBorder="1" applyAlignment="1">
      <alignment horizontal="center" vertical="center"/>
    </xf>
    <xf numFmtId="0" fontId="8" fillId="2" borderId="2" xfId="0" applyFont="1" applyFill="1" applyBorder="1" applyAlignment="1">
      <alignment horizontal="center" vertical="center"/>
    </xf>
    <xf numFmtId="0" fontId="8" fillId="2" borderId="2" xfId="0" applyFont="1" applyFill="1" applyBorder="1" applyAlignment="1">
      <alignment horizontal="left" vertical="center"/>
    </xf>
    <xf numFmtId="0" fontId="1" fillId="2" borderId="1" xfId="0" applyFont="1" applyFill="1" applyBorder="1" applyAlignment="1">
      <alignment horizontal="left" vertical="center"/>
    </xf>
    <xf numFmtId="178" fontId="2" fillId="2" borderId="1" xfId="0" applyNumberFormat="1" applyFont="1" applyFill="1" applyBorder="1" applyAlignment="1">
      <alignment horizontal="center" vertical="center" wrapText="1"/>
    </xf>
    <xf numFmtId="0" fontId="9" fillId="2" borderId="1" xfId="0" applyNumberFormat="1" applyFont="1" applyFill="1" applyBorder="1" applyAlignment="1">
      <alignment vertical="center" wrapText="1"/>
    </xf>
    <xf numFmtId="0" fontId="5" fillId="2" borderId="1" xfId="0" applyNumberFormat="1" applyFont="1" applyFill="1" applyBorder="1" applyAlignment="1" applyProtection="1">
      <alignment horizontal="center" vertical="center"/>
    </xf>
    <xf numFmtId="177" fontId="8" fillId="2" borderId="2" xfId="0" applyNumberFormat="1" applyFont="1" applyFill="1" applyBorder="1" applyAlignment="1">
      <alignment horizontal="center" vertical="center"/>
    </xf>
    <xf numFmtId="179" fontId="8" fillId="2" borderId="1" xfId="0" applyNumberFormat="1" applyFont="1" applyFill="1" applyBorder="1" applyAlignment="1">
      <alignment horizontal="center" vertical="center" wrapText="1"/>
    </xf>
  </cellXfs>
  <cellStyles count="57">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00" xfId="49"/>
    <cellStyle name="常规 14" xfId="50"/>
    <cellStyle name="常规 15" xfId="51"/>
    <cellStyle name="常规 2" xfId="52"/>
    <cellStyle name="常规 2 2" xfId="53"/>
    <cellStyle name="常规 3" xfId="54"/>
    <cellStyle name="常规 4" xfId="55"/>
    <cellStyle name="常规_景泰县2015年财政资金项目计划" xfId="56"/>
  </cellStyles>
  <tableStyles count="0" defaultTableStyle="TableStyleMedium2" defaultPivotStyle="PivotStyleLight16"/>
  <colors>
    <mruColors>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16</xdr:col>
      <xdr:colOff>468630</xdr:colOff>
      <xdr:row>15</xdr:row>
      <xdr:rowOff>0</xdr:rowOff>
    </xdr:from>
    <xdr:to>
      <xdr:col>17</xdr:col>
      <xdr:colOff>91</xdr:colOff>
      <xdr:row>15</xdr:row>
      <xdr:rowOff>842010</xdr:rowOff>
    </xdr:to>
    <xdr:pic>
      <xdr:nvPicPr>
        <xdr:cNvPr id="2" name="Picture 140" descr="3142418731510196992515"/>
        <xdr:cNvPicPr/>
      </xdr:nvPicPr>
      <xdr:blipFill>
        <a:blip r:embed="rId1" cstate="print"/>
        <a:stretch>
          <a:fillRect/>
        </a:stretch>
      </xdr:blipFill>
      <xdr:spPr>
        <a:xfrm>
          <a:off x="15099030" y="17099280"/>
          <a:ext cx="209550" cy="842010"/>
        </a:xfrm>
        <a:prstGeom prst="rect">
          <a:avLst/>
        </a:prstGeom>
        <a:noFill/>
        <a:ln w="9525">
          <a:noFill/>
        </a:ln>
      </xdr:spPr>
    </xdr:pic>
    <xdr:clientData/>
  </xdr:twoCellAnchor>
  <xdr:twoCellAnchor editAs="oneCell">
    <xdr:from>
      <xdr:col>16</xdr:col>
      <xdr:colOff>468630</xdr:colOff>
      <xdr:row>15</xdr:row>
      <xdr:rowOff>0</xdr:rowOff>
    </xdr:from>
    <xdr:to>
      <xdr:col>17</xdr:col>
      <xdr:colOff>91</xdr:colOff>
      <xdr:row>15</xdr:row>
      <xdr:rowOff>842010</xdr:rowOff>
    </xdr:to>
    <xdr:pic>
      <xdr:nvPicPr>
        <xdr:cNvPr id="3" name="Picture 140" descr="3142418731510196992515"/>
        <xdr:cNvPicPr/>
      </xdr:nvPicPr>
      <xdr:blipFill>
        <a:blip r:embed="rId1" cstate="print"/>
        <a:stretch>
          <a:fillRect/>
        </a:stretch>
      </xdr:blipFill>
      <xdr:spPr>
        <a:xfrm>
          <a:off x="15099030" y="17099280"/>
          <a:ext cx="209550" cy="842010"/>
        </a:xfrm>
        <a:prstGeom prst="rect">
          <a:avLst/>
        </a:prstGeom>
        <a:noFill/>
        <a:ln w="9525">
          <a:noFill/>
        </a:ln>
      </xdr:spPr>
    </xdr:pic>
    <xdr:clientData/>
  </xdr:twoCellAnchor>
  <xdr:twoCellAnchor editAs="oneCell">
    <xdr:from>
      <xdr:col>16</xdr:col>
      <xdr:colOff>468630</xdr:colOff>
      <xdr:row>15</xdr:row>
      <xdr:rowOff>0</xdr:rowOff>
    </xdr:from>
    <xdr:to>
      <xdr:col>16</xdr:col>
      <xdr:colOff>483870</xdr:colOff>
      <xdr:row>15</xdr:row>
      <xdr:rowOff>842010</xdr:rowOff>
    </xdr:to>
    <xdr:pic>
      <xdr:nvPicPr>
        <xdr:cNvPr id="4" name="Picture 140" descr="3142418731510196992515"/>
        <xdr:cNvPicPr/>
      </xdr:nvPicPr>
      <xdr:blipFill>
        <a:blip r:embed="rId1" cstate="print"/>
        <a:stretch>
          <a:fillRect/>
        </a:stretch>
      </xdr:blipFill>
      <xdr:spPr>
        <a:xfrm>
          <a:off x="15099030" y="17099280"/>
          <a:ext cx="15240" cy="842010"/>
        </a:xfrm>
        <a:prstGeom prst="rect">
          <a:avLst/>
        </a:prstGeom>
        <a:noFill/>
        <a:ln w="9525">
          <a:noFill/>
        </a:ln>
      </xdr:spPr>
    </xdr:pic>
    <xdr:clientData/>
  </xdr:twoCellAnchor>
  <xdr:twoCellAnchor editAs="oneCell">
    <xdr:from>
      <xdr:col>16</xdr:col>
      <xdr:colOff>468630</xdr:colOff>
      <xdr:row>15</xdr:row>
      <xdr:rowOff>0</xdr:rowOff>
    </xdr:from>
    <xdr:to>
      <xdr:col>16</xdr:col>
      <xdr:colOff>483870</xdr:colOff>
      <xdr:row>15</xdr:row>
      <xdr:rowOff>842010</xdr:rowOff>
    </xdr:to>
    <xdr:pic>
      <xdr:nvPicPr>
        <xdr:cNvPr id="5" name="Picture 140" descr="3142418731510196992515"/>
        <xdr:cNvPicPr/>
      </xdr:nvPicPr>
      <xdr:blipFill>
        <a:blip r:embed="rId1" cstate="print"/>
        <a:stretch>
          <a:fillRect/>
        </a:stretch>
      </xdr:blipFill>
      <xdr:spPr>
        <a:xfrm>
          <a:off x="15099030" y="17099280"/>
          <a:ext cx="15240" cy="842010"/>
        </a:xfrm>
        <a:prstGeom prst="rect">
          <a:avLst/>
        </a:prstGeom>
        <a:noFill/>
        <a:ln w="9525">
          <a:noFill/>
        </a:ln>
      </xdr:spPr>
    </xdr:pic>
    <xdr:clientData/>
  </xdr:twoCellAnchor>
  <xdr:twoCellAnchor editAs="oneCell">
    <xdr:from>
      <xdr:col>16</xdr:col>
      <xdr:colOff>468630</xdr:colOff>
      <xdr:row>15</xdr:row>
      <xdr:rowOff>0</xdr:rowOff>
    </xdr:from>
    <xdr:to>
      <xdr:col>16</xdr:col>
      <xdr:colOff>483870</xdr:colOff>
      <xdr:row>15</xdr:row>
      <xdr:rowOff>842010</xdr:rowOff>
    </xdr:to>
    <xdr:pic>
      <xdr:nvPicPr>
        <xdr:cNvPr id="6" name="Picture 140" descr="3142418731510196992515"/>
        <xdr:cNvPicPr/>
      </xdr:nvPicPr>
      <xdr:blipFill>
        <a:blip r:embed="rId1" cstate="print"/>
        <a:stretch>
          <a:fillRect/>
        </a:stretch>
      </xdr:blipFill>
      <xdr:spPr>
        <a:xfrm>
          <a:off x="15099030" y="17099280"/>
          <a:ext cx="15240" cy="842010"/>
        </a:xfrm>
        <a:prstGeom prst="rect">
          <a:avLst/>
        </a:prstGeom>
        <a:noFill/>
        <a:ln w="9525">
          <a:noFill/>
        </a:ln>
      </xdr:spPr>
    </xdr:pic>
    <xdr:clientData/>
  </xdr:twoCellAnchor>
  <xdr:twoCellAnchor editAs="oneCell">
    <xdr:from>
      <xdr:col>16</xdr:col>
      <xdr:colOff>468630</xdr:colOff>
      <xdr:row>15</xdr:row>
      <xdr:rowOff>0</xdr:rowOff>
    </xdr:from>
    <xdr:to>
      <xdr:col>16</xdr:col>
      <xdr:colOff>483870</xdr:colOff>
      <xdr:row>15</xdr:row>
      <xdr:rowOff>842010</xdr:rowOff>
    </xdr:to>
    <xdr:pic>
      <xdr:nvPicPr>
        <xdr:cNvPr id="7" name="Picture 140" descr="3142418731510196992515"/>
        <xdr:cNvPicPr/>
      </xdr:nvPicPr>
      <xdr:blipFill>
        <a:blip r:embed="rId1" cstate="print"/>
        <a:stretch>
          <a:fillRect/>
        </a:stretch>
      </xdr:blipFill>
      <xdr:spPr>
        <a:xfrm>
          <a:off x="15099030" y="17099280"/>
          <a:ext cx="15240" cy="842010"/>
        </a:xfrm>
        <a:prstGeom prst="rect">
          <a:avLst/>
        </a:prstGeom>
        <a:noFill/>
        <a:ln w="9525">
          <a:noFill/>
        </a:ln>
      </xdr:spPr>
    </xdr:pic>
    <xdr:clientData/>
  </xdr:twoCellAnchor>
  <xdr:twoCellAnchor editAs="oneCell">
    <xdr:from>
      <xdr:col>16</xdr:col>
      <xdr:colOff>468630</xdr:colOff>
      <xdr:row>15</xdr:row>
      <xdr:rowOff>0</xdr:rowOff>
    </xdr:from>
    <xdr:to>
      <xdr:col>17</xdr:col>
      <xdr:colOff>91</xdr:colOff>
      <xdr:row>15</xdr:row>
      <xdr:rowOff>842010</xdr:rowOff>
    </xdr:to>
    <xdr:pic>
      <xdr:nvPicPr>
        <xdr:cNvPr id="8" name="Picture 140" descr="3142418731510196992515"/>
        <xdr:cNvPicPr/>
      </xdr:nvPicPr>
      <xdr:blipFill>
        <a:blip r:embed="rId1" cstate="print"/>
        <a:stretch>
          <a:fillRect/>
        </a:stretch>
      </xdr:blipFill>
      <xdr:spPr>
        <a:xfrm>
          <a:off x="15099030" y="17099280"/>
          <a:ext cx="209550" cy="842010"/>
        </a:xfrm>
        <a:prstGeom prst="rect">
          <a:avLst/>
        </a:prstGeom>
        <a:noFill/>
        <a:ln w="9525">
          <a:noFill/>
        </a:ln>
      </xdr:spPr>
    </xdr:pic>
    <xdr:clientData/>
  </xdr:twoCellAnchor>
  <xdr:twoCellAnchor editAs="oneCell">
    <xdr:from>
      <xdr:col>16</xdr:col>
      <xdr:colOff>468630</xdr:colOff>
      <xdr:row>15</xdr:row>
      <xdr:rowOff>0</xdr:rowOff>
    </xdr:from>
    <xdr:to>
      <xdr:col>17</xdr:col>
      <xdr:colOff>91</xdr:colOff>
      <xdr:row>15</xdr:row>
      <xdr:rowOff>842010</xdr:rowOff>
    </xdr:to>
    <xdr:pic>
      <xdr:nvPicPr>
        <xdr:cNvPr id="9" name="Picture 140" descr="3142418731510196992515"/>
        <xdr:cNvPicPr/>
      </xdr:nvPicPr>
      <xdr:blipFill>
        <a:blip r:embed="rId1" cstate="print"/>
        <a:stretch>
          <a:fillRect/>
        </a:stretch>
      </xdr:blipFill>
      <xdr:spPr>
        <a:xfrm>
          <a:off x="15099030" y="17099280"/>
          <a:ext cx="209550" cy="842010"/>
        </a:xfrm>
        <a:prstGeom prst="rect">
          <a:avLst/>
        </a:prstGeom>
        <a:noFill/>
        <a:ln w="9525">
          <a:noFill/>
        </a:ln>
      </xdr:spPr>
    </xdr:pic>
    <xdr:clientData/>
  </xdr:twoCellAnchor>
  <xdr:twoCellAnchor editAs="oneCell">
    <xdr:from>
      <xdr:col>16</xdr:col>
      <xdr:colOff>468630</xdr:colOff>
      <xdr:row>15</xdr:row>
      <xdr:rowOff>0</xdr:rowOff>
    </xdr:from>
    <xdr:to>
      <xdr:col>16</xdr:col>
      <xdr:colOff>483870</xdr:colOff>
      <xdr:row>15</xdr:row>
      <xdr:rowOff>842010</xdr:rowOff>
    </xdr:to>
    <xdr:pic>
      <xdr:nvPicPr>
        <xdr:cNvPr id="10" name="Picture 140" descr="3142418731510196992515"/>
        <xdr:cNvPicPr/>
      </xdr:nvPicPr>
      <xdr:blipFill>
        <a:blip r:embed="rId1" cstate="print"/>
        <a:stretch>
          <a:fillRect/>
        </a:stretch>
      </xdr:blipFill>
      <xdr:spPr>
        <a:xfrm>
          <a:off x="15099030" y="17099280"/>
          <a:ext cx="15240" cy="842010"/>
        </a:xfrm>
        <a:prstGeom prst="rect">
          <a:avLst/>
        </a:prstGeom>
        <a:noFill/>
        <a:ln w="9525">
          <a:noFill/>
        </a:ln>
      </xdr:spPr>
    </xdr:pic>
    <xdr:clientData/>
  </xdr:twoCellAnchor>
  <xdr:twoCellAnchor editAs="oneCell">
    <xdr:from>
      <xdr:col>16</xdr:col>
      <xdr:colOff>468630</xdr:colOff>
      <xdr:row>15</xdr:row>
      <xdr:rowOff>0</xdr:rowOff>
    </xdr:from>
    <xdr:to>
      <xdr:col>16</xdr:col>
      <xdr:colOff>483870</xdr:colOff>
      <xdr:row>15</xdr:row>
      <xdr:rowOff>842010</xdr:rowOff>
    </xdr:to>
    <xdr:pic>
      <xdr:nvPicPr>
        <xdr:cNvPr id="11" name="Picture 140" descr="3142418731510196992515"/>
        <xdr:cNvPicPr/>
      </xdr:nvPicPr>
      <xdr:blipFill>
        <a:blip r:embed="rId1" cstate="print"/>
        <a:stretch>
          <a:fillRect/>
        </a:stretch>
      </xdr:blipFill>
      <xdr:spPr>
        <a:xfrm>
          <a:off x="15099030" y="17099280"/>
          <a:ext cx="15240" cy="842010"/>
        </a:xfrm>
        <a:prstGeom prst="rect">
          <a:avLst/>
        </a:prstGeom>
        <a:noFill/>
        <a:ln w="9525">
          <a:noFill/>
        </a:ln>
      </xdr:spPr>
    </xdr:pic>
    <xdr:clientData/>
  </xdr:twoCellAnchor>
  <xdr:twoCellAnchor editAs="oneCell">
    <xdr:from>
      <xdr:col>16</xdr:col>
      <xdr:colOff>468630</xdr:colOff>
      <xdr:row>15</xdr:row>
      <xdr:rowOff>0</xdr:rowOff>
    </xdr:from>
    <xdr:to>
      <xdr:col>17</xdr:col>
      <xdr:colOff>91</xdr:colOff>
      <xdr:row>15</xdr:row>
      <xdr:rowOff>847090</xdr:rowOff>
    </xdr:to>
    <xdr:pic>
      <xdr:nvPicPr>
        <xdr:cNvPr id="12" name="Picture 140" descr="3142418731510196992515"/>
        <xdr:cNvPicPr/>
      </xdr:nvPicPr>
      <xdr:blipFill>
        <a:blip r:embed="rId1" cstate="print"/>
        <a:stretch>
          <a:fillRect/>
        </a:stretch>
      </xdr:blipFill>
      <xdr:spPr>
        <a:xfrm>
          <a:off x="15099030" y="17099280"/>
          <a:ext cx="209550" cy="847090"/>
        </a:xfrm>
        <a:prstGeom prst="rect">
          <a:avLst/>
        </a:prstGeom>
        <a:noFill/>
        <a:ln w="9525">
          <a:noFill/>
        </a:ln>
      </xdr:spPr>
    </xdr:pic>
    <xdr:clientData/>
  </xdr:twoCellAnchor>
  <xdr:twoCellAnchor editAs="oneCell">
    <xdr:from>
      <xdr:col>16</xdr:col>
      <xdr:colOff>468630</xdr:colOff>
      <xdr:row>15</xdr:row>
      <xdr:rowOff>0</xdr:rowOff>
    </xdr:from>
    <xdr:to>
      <xdr:col>17</xdr:col>
      <xdr:colOff>91</xdr:colOff>
      <xdr:row>15</xdr:row>
      <xdr:rowOff>847090</xdr:rowOff>
    </xdr:to>
    <xdr:pic>
      <xdr:nvPicPr>
        <xdr:cNvPr id="13" name="Picture 140" descr="3142418731510196992515"/>
        <xdr:cNvPicPr/>
      </xdr:nvPicPr>
      <xdr:blipFill>
        <a:blip r:embed="rId1" cstate="print"/>
        <a:stretch>
          <a:fillRect/>
        </a:stretch>
      </xdr:blipFill>
      <xdr:spPr>
        <a:xfrm>
          <a:off x="15099030" y="17099280"/>
          <a:ext cx="209550" cy="847090"/>
        </a:xfrm>
        <a:prstGeom prst="rect">
          <a:avLst/>
        </a:prstGeom>
        <a:noFill/>
        <a:ln w="9525">
          <a:noFill/>
        </a:ln>
      </xdr:spPr>
    </xdr:pic>
    <xdr:clientData/>
  </xdr:twoCellAnchor>
  <xdr:twoCellAnchor editAs="oneCell">
    <xdr:from>
      <xdr:col>16</xdr:col>
      <xdr:colOff>468630</xdr:colOff>
      <xdr:row>15</xdr:row>
      <xdr:rowOff>0</xdr:rowOff>
    </xdr:from>
    <xdr:to>
      <xdr:col>16</xdr:col>
      <xdr:colOff>483870</xdr:colOff>
      <xdr:row>15</xdr:row>
      <xdr:rowOff>847090</xdr:rowOff>
    </xdr:to>
    <xdr:pic>
      <xdr:nvPicPr>
        <xdr:cNvPr id="14" name="Picture 140" descr="3142418731510196992515"/>
        <xdr:cNvPicPr/>
      </xdr:nvPicPr>
      <xdr:blipFill>
        <a:blip r:embed="rId1" cstate="print"/>
        <a:stretch>
          <a:fillRect/>
        </a:stretch>
      </xdr:blipFill>
      <xdr:spPr>
        <a:xfrm>
          <a:off x="15099030" y="17099280"/>
          <a:ext cx="15240" cy="847090"/>
        </a:xfrm>
        <a:prstGeom prst="rect">
          <a:avLst/>
        </a:prstGeom>
        <a:noFill/>
        <a:ln w="9525">
          <a:noFill/>
        </a:ln>
      </xdr:spPr>
    </xdr:pic>
    <xdr:clientData/>
  </xdr:twoCellAnchor>
  <xdr:twoCellAnchor editAs="oneCell">
    <xdr:from>
      <xdr:col>16</xdr:col>
      <xdr:colOff>468630</xdr:colOff>
      <xdr:row>15</xdr:row>
      <xdr:rowOff>0</xdr:rowOff>
    </xdr:from>
    <xdr:to>
      <xdr:col>16</xdr:col>
      <xdr:colOff>483870</xdr:colOff>
      <xdr:row>15</xdr:row>
      <xdr:rowOff>847090</xdr:rowOff>
    </xdr:to>
    <xdr:pic>
      <xdr:nvPicPr>
        <xdr:cNvPr id="15" name="Picture 140" descr="3142418731510196992515"/>
        <xdr:cNvPicPr/>
      </xdr:nvPicPr>
      <xdr:blipFill>
        <a:blip r:embed="rId1" cstate="print"/>
        <a:stretch>
          <a:fillRect/>
        </a:stretch>
      </xdr:blipFill>
      <xdr:spPr>
        <a:xfrm>
          <a:off x="15099030" y="17099280"/>
          <a:ext cx="15240" cy="847090"/>
        </a:xfrm>
        <a:prstGeom prst="rect">
          <a:avLst/>
        </a:prstGeom>
        <a:noFill/>
        <a:ln w="9525">
          <a:noFill/>
        </a:ln>
      </xdr:spPr>
    </xdr:pic>
    <xdr:clientData/>
  </xdr:twoCellAnchor>
  <xdr:twoCellAnchor editAs="oneCell">
    <xdr:from>
      <xdr:col>16</xdr:col>
      <xdr:colOff>468630</xdr:colOff>
      <xdr:row>15</xdr:row>
      <xdr:rowOff>0</xdr:rowOff>
    </xdr:from>
    <xdr:to>
      <xdr:col>16</xdr:col>
      <xdr:colOff>483870</xdr:colOff>
      <xdr:row>15</xdr:row>
      <xdr:rowOff>847090</xdr:rowOff>
    </xdr:to>
    <xdr:pic>
      <xdr:nvPicPr>
        <xdr:cNvPr id="16" name="Picture 140" descr="3142418731510196992515"/>
        <xdr:cNvPicPr/>
      </xdr:nvPicPr>
      <xdr:blipFill>
        <a:blip r:embed="rId1" cstate="print"/>
        <a:stretch>
          <a:fillRect/>
        </a:stretch>
      </xdr:blipFill>
      <xdr:spPr>
        <a:xfrm>
          <a:off x="15099030" y="17099280"/>
          <a:ext cx="15240" cy="847090"/>
        </a:xfrm>
        <a:prstGeom prst="rect">
          <a:avLst/>
        </a:prstGeom>
        <a:noFill/>
        <a:ln w="9525">
          <a:noFill/>
        </a:ln>
      </xdr:spPr>
    </xdr:pic>
    <xdr:clientData/>
  </xdr:twoCellAnchor>
  <xdr:twoCellAnchor editAs="oneCell">
    <xdr:from>
      <xdr:col>16</xdr:col>
      <xdr:colOff>468630</xdr:colOff>
      <xdr:row>15</xdr:row>
      <xdr:rowOff>0</xdr:rowOff>
    </xdr:from>
    <xdr:to>
      <xdr:col>16</xdr:col>
      <xdr:colOff>483870</xdr:colOff>
      <xdr:row>15</xdr:row>
      <xdr:rowOff>847090</xdr:rowOff>
    </xdr:to>
    <xdr:pic>
      <xdr:nvPicPr>
        <xdr:cNvPr id="17" name="Picture 140" descr="3142418731510196992515"/>
        <xdr:cNvPicPr/>
      </xdr:nvPicPr>
      <xdr:blipFill>
        <a:blip r:embed="rId1" cstate="print"/>
        <a:stretch>
          <a:fillRect/>
        </a:stretch>
      </xdr:blipFill>
      <xdr:spPr>
        <a:xfrm>
          <a:off x="15099030" y="17099280"/>
          <a:ext cx="15240" cy="847090"/>
        </a:xfrm>
        <a:prstGeom prst="rect">
          <a:avLst/>
        </a:prstGeom>
        <a:noFill/>
        <a:ln w="9525">
          <a:noFill/>
        </a:ln>
      </xdr:spPr>
    </xdr:pic>
    <xdr:clientData/>
  </xdr:twoCellAnchor>
  <xdr:twoCellAnchor editAs="oneCell">
    <xdr:from>
      <xdr:col>16</xdr:col>
      <xdr:colOff>468630</xdr:colOff>
      <xdr:row>15</xdr:row>
      <xdr:rowOff>0</xdr:rowOff>
    </xdr:from>
    <xdr:to>
      <xdr:col>17</xdr:col>
      <xdr:colOff>91</xdr:colOff>
      <xdr:row>15</xdr:row>
      <xdr:rowOff>847090</xdr:rowOff>
    </xdr:to>
    <xdr:pic>
      <xdr:nvPicPr>
        <xdr:cNvPr id="18" name="Picture 140" descr="3142418731510196992515"/>
        <xdr:cNvPicPr/>
      </xdr:nvPicPr>
      <xdr:blipFill>
        <a:blip r:embed="rId1" cstate="print"/>
        <a:stretch>
          <a:fillRect/>
        </a:stretch>
      </xdr:blipFill>
      <xdr:spPr>
        <a:xfrm>
          <a:off x="15099030" y="17099280"/>
          <a:ext cx="209550" cy="847090"/>
        </a:xfrm>
        <a:prstGeom prst="rect">
          <a:avLst/>
        </a:prstGeom>
        <a:noFill/>
        <a:ln w="9525">
          <a:noFill/>
        </a:ln>
      </xdr:spPr>
    </xdr:pic>
    <xdr:clientData/>
  </xdr:twoCellAnchor>
  <xdr:twoCellAnchor editAs="oneCell">
    <xdr:from>
      <xdr:col>16</xdr:col>
      <xdr:colOff>468630</xdr:colOff>
      <xdr:row>15</xdr:row>
      <xdr:rowOff>0</xdr:rowOff>
    </xdr:from>
    <xdr:to>
      <xdr:col>17</xdr:col>
      <xdr:colOff>91</xdr:colOff>
      <xdr:row>15</xdr:row>
      <xdr:rowOff>847090</xdr:rowOff>
    </xdr:to>
    <xdr:pic>
      <xdr:nvPicPr>
        <xdr:cNvPr id="19" name="Picture 140" descr="3142418731510196992515"/>
        <xdr:cNvPicPr/>
      </xdr:nvPicPr>
      <xdr:blipFill>
        <a:blip r:embed="rId1" cstate="print"/>
        <a:stretch>
          <a:fillRect/>
        </a:stretch>
      </xdr:blipFill>
      <xdr:spPr>
        <a:xfrm>
          <a:off x="15099030" y="17099280"/>
          <a:ext cx="209550" cy="847090"/>
        </a:xfrm>
        <a:prstGeom prst="rect">
          <a:avLst/>
        </a:prstGeom>
        <a:noFill/>
        <a:ln w="9525">
          <a:noFill/>
        </a:ln>
      </xdr:spPr>
    </xdr:pic>
    <xdr:clientData/>
  </xdr:twoCellAnchor>
  <xdr:twoCellAnchor editAs="oneCell">
    <xdr:from>
      <xdr:col>16</xdr:col>
      <xdr:colOff>468630</xdr:colOff>
      <xdr:row>15</xdr:row>
      <xdr:rowOff>0</xdr:rowOff>
    </xdr:from>
    <xdr:to>
      <xdr:col>16</xdr:col>
      <xdr:colOff>483870</xdr:colOff>
      <xdr:row>15</xdr:row>
      <xdr:rowOff>847090</xdr:rowOff>
    </xdr:to>
    <xdr:pic>
      <xdr:nvPicPr>
        <xdr:cNvPr id="20" name="Picture 140" descr="3142418731510196992515"/>
        <xdr:cNvPicPr/>
      </xdr:nvPicPr>
      <xdr:blipFill>
        <a:blip r:embed="rId1" cstate="print"/>
        <a:stretch>
          <a:fillRect/>
        </a:stretch>
      </xdr:blipFill>
      <xdr:spPr>
        <a:xfrm>
          <a:off x="15099030" y="17099280"/>
          <a:ext cx="15240" cy="847090"/>
        </a:xfrm>
        <a:prstGeom prst="rect">
          <a:avLst/>
        </a:prstGeom>
        <a:noFill/>
        <a:ln w="9525">
          <a:noFill/>
        </a:ln>
      </xdr:spPr>
    </xdr:pic>
    <xdr:clientData/>
  </xdr:twoCellAnchor>
  <xdr:twoCellAnchor editAs="oneCell">
    <xdr:from>
      <xdr:col>16</xdr:col>
      <xdr:colOff>468630</xdr:colOff>
      <xdr:row>15</xdr:row>
      <xdr:rowOff>0</xdr:rowOff>
    </xdr:from>
    <xdr:to>
      <xdr:col>16</xdr:col>
      <xdr:colOff>483870</xdr:colOff>
      <xdr:row>15</xdr:row>
      <xdr:rowOff>847090</xdr:rowOff>
    </xdr:to>
    <xdr:pic>
      <xdr:nvPicPr>
        <xdr:cNvPr id="21" name="Picture 140" descr="3142418731510196992515"/>
        <xdr:cNvPicPr/>
      </xdr:nvPicPr>
      <xdr:blipFill>
        <a:blip r:embed="rId1" cstate="print"/>
        <a:stretch>
          <a:fillRect/>
        </a:stretch>
      </xdr:blipFill>
      <xdr:spPr>
        <a:xfrm>
          <a:off x="15099030" y="17099280"/>
          <a:ext cx="15240" cy="847090"/>
        </a:xfrm>
        <a:prstGeom prst="rect">
          <a:avLst/>
        </a:prstGeom>
        <a:noFill/>
        <a:ln w="9525">
          <a:noFill/>
        </a:ln>
      </xdr:spPr>
    </xdr:pic>
    <xdr:clientData/>
  </xdr:twoCellAnchor>
  <xdr:twoCellAnchor editAs="oneCell">
    <xdr:from>
      <xdr:col>16</xdr:col>
      <xdr:colOff>468630</xdr:colOff>
      <xdr:row>109</xdr:row>
      <xdr:rowOff>0</xdr:rowOff>
    </xdr:from>
    <xdr:to>
      <xdr:col>17</xdr:col>
      <xdr:colOff>91</xdr:colOff>
      <xdr:row>110</xdr:row>
      <xdr:rowOff>245110</xdr:rowOff>
    </xdr:to>
    <xdr:pic>
      <xdr:nvPicPr>
        <xdr:cNvPr id="22" name="Picture 140" descr="3142418731510196992515"/>
        <xdr:cNvPicPr/>
      </xdr:nvPicPr>
      <xdr:blipFill>
        <a:blip r:embed="rId1" cstate="print"/>
        <a:stretch>
          <a:fillRect/>
        </a:stretch>
      </xdr:blipFill>
      <xdr:spPr>
        <a:xfrm>
          <a:off x="15099030" y="121845705"/>
          <a:ext cx="209550" cy="841375"/>
        </a:xfrm>
        <a:prstGeom prst="rect">
          <a:avLst/>
        </a:prstGeom>
        <a:noFill/>
        <a:ln w="9525">
          <a:noFill/>
        </a:ln>
      </xdr:spPr>
    </xdr:pic>
    <xdr:clientData/>
  </xdr:twoCellAnchor>
  <xdr:twoCellAnchor editAs="oneCell">
    <xdr:from>
      <xdr:col>16</xdr:col>
      <xdr:colOff>468630</xdr:colOff>
      <xdr:row>109</xdr:row>
      <xdr:rowOff>0</xdr:rowOff>
    </xdr:from>
    <xdr:to>
      <xdr:col>17</xdr:col>
      <xdr:colOff>91</xdr:colOff>
      <xdr:row>110</xdr:row>
      <xdr:rowOff>245110</xdr:rowOff>
    </xdr:to>
    <xdr:pic>
      <xdr:nvPicPr>
        <xdr:cNvPr id="23" name="Picture 140" descr="3142418731510196992515"/>
        <xdr:cNvPicPr/>
      </xdr:nvPicPr>
      <xdr:blipFill>
        <a:blip r:embed="rId1" cstate="print"/>
        <a:stretch>
          <a:fillRect/>
        </a:stretch>
      </xdr:blipFill>
      <xdr:spPr>
        <a:xfrm>
          <a:off x="15099030" y="121845705"/>
          <a:ext cx="209550" cy="841375"/>
        </a:xfrm>
        <a:prstGeom prst="rect">
          <a:avLst/>
        </a:prstGeom>
        <a:noFill/>
        <a:ln w="9525">
          <a:noFill/>
        </a:ln>
      </xdr:spPr>
    </xdr:pic>
    <xdr:clientData/>
  </xdr:twoCellAnchor>
  <xdr:twoCellAnchor editAs="oneCell">
    <xdr:from>
      <xdr:col>16</xdr:col>
      <xdr:colOff>468630</xdr:colOff>
      <xdr:row>109</xdr:row>
      <xdr:rowOff>0</xdr:rowOff>
    </xdr:from>
    <xdr:to>
      <xdr:col>16</xdr:col>
      <xdr:colOff>483870</xdr:colOff>
      <xdr:row>110</xdr:row>
      <xdr:rowOff>245110</xdr:rowOff>
    </xdr:to>
    <xdr:pic>
      <xdr:nvPicPr>
        <xdr:cNvPr id="24" name="Picture 140" descr="3142418731510196992515"/>
        <xdr:cNvPicPr/>
      </xdr:nvPicPr>
      <xdr:blipFill>
        <a:blip r:embed="rId1" cstate="print"/>
        <a:stretch>
          <a:fillRect/>
        </a:stretch>
      </xdr:blipFill>
      <xdr:spPr>
        <a:xfrm>
          <a:off x="15099030" y="121845705"/>
          <a:ext cx="15240" cy="841375"/>
        </a:xfrm>
        <a:prstGeom prst="rect">
          <a:avLst/>
        </a:prstGeom>
        <a:noFill/>
        <a:ln w="9525">
          <a:noFill/>
        </a:ln>
      </xdr:spPr>
    </xdr:pic>
    <xdr:clientData/>
  </xdr:twoCellAnchor>
  <xdr:twoCellAnchor editAs="oneCell">
    <xdr:from>
      <xdr:col>16</xdr:col>
      <xdr:colOff>468630</xdr:colOff>
      <xdr:row>109</xdr:row>
      <xdr:rowOff>0</xdr:rowOff>
    </xdr:from>
    <xdr:to>
      <xdr:col>16</xdr:col>
      <xdr:colOff>483870</xdr:colOff>
      <xdr:row>110</xdr:row>
      <xdr:rowOff>245110</xdr:rowOff>
    </xdr:to>
    <xdr:pic>
      <xdr:nvPicPr>
        <xdr:cNvPr id="25" name="Picture 140" descr="3142418731510196992515"/>
        <xdr:cNvPicPr/>
      </xdr:nvPicPr>
      <xdr:blipFill>
        <a:blip r:embed="rId1" cstate="print"/>
        <a:stretch>
          <a:fillRect/>
        </a:stretch>
      </xdr:blipFill>
      <xdr:spPr>
        <a:xfrm>
          <a:off x="15099030" y="121845705"/>
          <a:ext cx="15240" cy="841375"/>
        </a:xfrm>
        <a:prstGeom prst="rect">
          <a:avLst/>
        </a:prstGeom>
        <a:noFill/>
        <a:ln w="9525">
          <a:noFill/>
        </a:ln>
      </xdr:spPr>
    </xdr:pic>
    <xdr:clientData/>
  </xdr:twoCellAnchor>
  <xdr:twoCellAnchor editAs="oneCell">
    <xdr:from>
      <xdr:col>16</xdr:col>
      <xdr:colOff>468630</xdr:colOff>
      <xdr:row>109</xdr:row>
      <xdr:rowOff>0</xdr:rowOff>
    </xdr:from>
    <xdr:to>
      <xdr:col>16</xdr:col>
      <xdr:colOff>483870</xdr:colOff>
      <xdr:row>110</xdr:row>
      <xdr:rowOff>245110</xdr:rowOff>
    </xdr:to>
    <xdr:pic>
      <xdr:nvPicPr>
        <xdr:cNvPr id="26" name="Picture 140" descr="3142418731510196992515"/>
        <xdr:cNvPicPr/>
      </xdr:nvPicPr>
      <xdr:blipFill>
        <a:blip r:embed="rId1" cstate="print"/>
        <a:stretch>
          <a:fillRect/>
        </a:stretch>
      </xdr:blipFill>
      <xdr:spPr>
        <a:xfrm>
          <a:off x="15099030" y="121845705"/>
          <a:ext cx="15240" cy="841375"/>
        </a:xfrm>
        <a:prstGeom prst="rect">
          <a:avLst/>
        </a:prstGeom>
        <a:noFill/>
        <a:ln w="9525">
          <a:noFill/>
        </a:ln>
      </xdr:spPr>
    </xdr:pic>
    <xdr:clientData/>
  </xdr:twoCellAnchor>
  <xdr:twoCellAnchor editAs="oneCell">
    <xdr:from>
      <xdr:col>16</xdr:col>
      <xdr:colOff>468630</xdr:colOff>
      <xdr:row>109</xdr:row>
      <xdr:rowOff>0</xdr:rowOff>
    </xdr:from>
    <xdr:to>
      <xdr:col>16</xdr:col>
      <xdr:colOff>483870</xdr:colOff>
      <xdr:row>110</xdr:row>
      <xdr:rowOff>245110</xdr:rowOff>
    </xdr:to>
    <xdr:pic>
      <xdr:nvPicPr>
        <xdr:cNvPr id="27" name="Picture 140" descr="3142418731510196992515"/>
        <xdr:cNvPicPr/>
      </xdr:nvPicPr>
      <xdr:blipFill>
        <a:blip r:embed="rId1" cstate="print"/>
        <a:stretch>
          <a:fillRect/>
        </a:stretch>
      </xdr:blipFill>
      <xdr:spPr>
        <a:xfrm>
          <a:off x="15099030" y="121845705"/>
          <a:ext cx="15240" cy="841375"/>
        </a:xfrm>
        <a:prstGeom prst="rect">
          <a:avLst/>
        </a:prstGeom>
        <a:noFill/>
        <a:ln w="9525">
          <a:noFill/>
        </a:ln>
      </xdr:spPr>
    </xdr:pic>
    <xdr:clientData/>
  </xdr:twoCellAnchor>
  <xdr:twoCellAnchor editAs="oneCell">
    <xdr:from>
      <xdr:col>16</xdr:col>
      <xdr:colOff>468630</xdr:colOff>
      <xdr:row>109</xdr:row>
      <xdr:rowOff>0</xdr:rowOff>
    </xdr:from>
    <xdr:to>
      <xdr:col>17</xdr:col>
      <xdr:colOff>91</xdr:colOff>
      <xdr:row>110</xdr:row>
      <xdr:rowOff>245110</xdr:rowOff>
    </xdr:to>
    <xdr:pic>
      <xdr:nvPicPr>
        <xdr:cNvPr id="28" name="Picture 140" descr="3142418731510196992515"/>
        <xdr:cNvPicPr/>
      </xdr:nvPicPr>
      <xdr:blipFill>
        <a:blip r:embed="rId1" cstate="print"/>
        <a:stretch>
          <a:fillRect/>
        </a:stretch>
      </xdr:blipFill>
      <xdr:spPr>
        <a:xfrm>
          <a:off x="15099030" y="121845705"/>
          <a:ext cx="209550" cy="841375"/>
        </a:xfrm>
        <a:prstGeom prst="rect">
          <a:avLst/>
        </a:prstGeom>
        <a:noFill/>
        <a:ln w="9525">
          <a:noFill/>
        </a:ln>
      </xdr:spPr>
    </xdr:pic>
    <xdr:clientData/>
  </xdr:twoCellAnchor>
  <xdr:twoCellAnchor editAs="oneCell">
    <xdr:from>
      <xdr:col>16</xdr:col>
      <xdr:colOff>468630</xdr:colOff>
      <xdr:row>109</xdr:row>
      <xdr:rowOff>0</xdr:rowOff>
    </xdr:from>
    <xdr:to>
      <xdr:col>17</xdr:col>
      <xdr:colOff>91</xdr:colOff>
      <xdr:row>110</xdr:row>
      <xdr:rowOff>245110</xdr:rowOff>
    </xdr:to>
    <xdr:pic>
      <xdr:nvPicPr>
        <xdr:cNvPr id="29" name="Picture 140" descr="3142418731510196992515"/>
        <xdr:cNvPicPr/>
      </xdr:nvPicPr>
      <xdr:blipFill>
        <a:blip r:embed="rId1" cstate="print"/>
        <a:stretch>
          <a:fillRect/>
        </a:stretch>
      </xdr:blipFill>
      <xdr:spPr>
        <a:xfrm>
          <a:off x="15099030" y="121845705"/>
          <a:ext cx="209550" cy="841375"/>
        </a:xfrm>
        <a:prstGeom prst="rect">
          <a:avLst/>
        </a:prstGeom>
        <a:noFill/>
        <a:ln w="9525">
          <a:noFill/>
        </a:ln>
      </xdr:spPr>
    </xdr:pic>
    <xdr:clientData/>
  </xdr:twoCellAnchor>
  <xdr:twoCellAnchor editAs="oneCell">
    <xdr:from>
      <xdr:col>16</xdr:col>
      <xdr:colOff>468630</xdr:colOff>
      <xdr:row>109</xdr:row>
      <xdr:rowOff>0</xdr:rowOff>
    </xdr:from>
    <xdr:to>
      <xdr:col>16</xdr:col>
      <xdr:colOff>483870</xdr:colOff>
      <xdr:row>110</xdr:row>
      <xdr:rowOff>245110</xdr:rowOff>
    </xdr:to>
    <xdr:pic>
      <xdr:nvPicPr>
        <xdr:cNvPr id="30" name="Picture 140" descr="3142418731510196992515"/>
        <xdr:cNvPicPr/>
      </xdr:nvPicPr>
      <xdr:blipFill>
        <a:blip r:embed="rId1" cstate="print"/>
        <a:stretch>
          <a:fillRect/>
        </a:stretch>
      </xdr:blipFill>
      <xdr:spPr>
        <a:xfrm>
          <a:off x="15099030" y="121845705"/>
          <a:ext cx="15240" cy="841375"/>
        </a:xfrm>
        <a:prstGeom prst="rect">
          <a:avLst/>
        </a:prstGeom>
        <a:noFill/>
        <a:ln w="9525">
          <a:noFill/>
        </a:ln>
      </xdr:spPr>
    </xdr:pic>
    <xdr:clientData/>
  </xdr:twoCellAnchor>
  <xdr:twoCellAnchor editAs="oneCell">
    <xdr:from>
      <xdr:col>16</xdr:col>
      <xdr:colOff>468630</xdr:colOff>
      <xdr:row>109</xdr:row>
      <xdr:rowOff>0</xdr:rowOff>
    </xdr:from>
    <xdr:to>
      <xdr:col>16</xdr:col>
      <xdr:colOff>483870</xdr:colOff>
      <xdr:row>110</xdr:row>
      <xdr:rowOff>245110</xdr:rowOff>
    </xdr:to>
    <xdr:pic>
      <xdr:nvPicPr>
        <xdr:cNvPr id="31" name="Picture 140" descr="3142418731510196992515"/>
        <xdr:cNvPicPr/>
      </xdr:nvPicPr>
      <xdr:blipFill>
        <a:blip r:embed="rId1" cstate="print"/>
        <a:stretch>
          <a:fillRect/>
        </a:stretch>
      </xdr:blipFill>
      <xdr:spPr>
        <a:xfrm>
          <a:off x="15099030" y="121845705"/>
          <a:ext cx="15240" cy="841375"/>
        </a:xfrm>
        <a:prstGeom prst="rect">
          <a:avLst/>
        </a:prstGeom>
        <a:noFill/>
        <a:ln w="9525">
          <a:noFill/>
        </a:ln>
      </xdr:spPr>
    </xdr:pic>
    <xdr:clientData/>
  </xdr:twoCellAnchor>
  <xdr:twoCellAnchor editAs="oneCell">
    <xdr:from>
      <xdr:col>16</xdr:col>
      <xdr:colOff>468630</xdr:colOff>
      <xdr:row>109</xdr:row>
      <xdr:rowOff>0</xdr:rowOff>
    </xdr:from>
    <xdr:to>
      <xdr:col>17</xdr:col>
      <xdr:colOff>91</xdr:colOff>
      <xdr:row>110</xdr:row>
      <xdr:rowOff>250190</xdr:rowOff>
    </xdr:to>
    <xdr:pic>
      <xdr:nvPicPr>
        <xdr:cNvPr id="32" name="Picture 140" descr="3142418731510196992515"/>
        <xdr:cNvPicPr/>
      </xdr:nvPicPr>
      <xdr:blipFill>
        <a:blip r:embed="rId1" cstate="print"/>
        <a:stretch>
          <a:fillRect/>
        </a:stretch>
      </xdr:blipFill>
      <xdr:spPr>
        <a:xfrm>
          <a:off x="15099030" y="121845705"/>
          <a:ext cx="209550" cy="846455"/>
        </a:xfrm>
        <a:prstGeom prst="rect">
          <a:avLst/>
        </a:prstGeom>
        <a:noFill/>
        <a:ln w="9525">
          <a:noFill/>
        </a:ln>
      </xdr:spPr>
    </xdr:pic>
    <xdr:clientData/>
  </xdr:twoCellAnchor>
  <xdr:twoCellAnchor editAs="oneCell">
    <xdr:from>
      <xdr:col>16</xdr:col>
      <xdr:colOff>468630</xdr:colOff>
      <xdr:row>109</xdr:row>
      <xdr:rowOff>0</xdr:rowOff>
    </xdr:from>
    <xdr:to>
      <xdr:col>17</xdr:col>
      <xdr:colOff>91</xdr:colOff>
      <xdr:row>110</xdr:row>
      <xdr:rowOff>250190</xdr:rowOff>
    </xdr:to>
    <xdr:pic>
      <xdr:nvPicPr>
        <xdr:cNvPr id="33" name="Picture 140" descr="3142418731510196992515"/>
        <xdr:cNvPicPr/>
      </xdr:nvPicPr>
      <xdr:blipFill>
        <a:blip r:embed="rId1" cstate="print"/>
        <a:stretch>
          <a:fillRect/>
        </a:stretch>
      </xdr:blipFill>
      <xdr:spPr>
        <a:xfrm>
          <a:off x="15099030" y="121845705"/>
          <a:ext cx="209550" cy="846455"/>
        </a:xfrm>
        <a:prstGeom prst="rect">
          <a:avLst/>
        </a:prstGeom>
        <a:noFill/>
        <a:ln w="9525">
          <a:noFill/>
        </a:ln>
      </xdr:spPr>
    </xdr:pic>
    <xdr:clientData/>
  </xdr:twoCellAnchor>
  <xdr:twoCellAnchor editAs="oneCell">
    <xdr:from>
      <xdr:col>16</xdr:col>
      <xdr:colOff>468630</xdr:colOff>
      <xdr:row>109</xdr:row>
      <xdr:rowOff>0</xdr:rowOff>
    </xdr:from>
    <xdr:to>
      <xdr:col>16</xdr:col>
      <xdr:colOff>483870</xdr:colOff>
      <xdr:row>110</xdr:row>
      <xdr:rowOff>250190</xdr:rowOff>
    </xdr:to>
    <xdr:pic>
      <xdr:nvPicPr>
        <xdr:cNvPr id="34" name="Picture 140" descr="3142418731510196992515"/>
        <xdr:cNvPicPr/>
      </xdr:nvPicPr>
      <xdr:blipFill>
        <a:blip r:embed="rId1" cstate="print"/>
        <a:stretch>
          <a:fillRect/>
        </a:stretch>
      </xdr:blipFill>
      <xdr:spPr>
        <a:xfrm>
          <a:off x="15099030" y="121845705"/>
          <a:ext cx="15240" cy="846455"/>
        </a:xfrm>
        <a:prstGeom prst="rect">
          <a:avLst/>
        </a:prstGeom>
        <a:noFill/>
        <a:ln w="9525">
          <a:noFill/>
        </a:ln>
      </xdr:spPr>
    </xdr:pic>
    <xdr:clientData/>
  </xdr:twoCellAnchor>
  <xdr:twoCellAnchor editAs="oneCell">
    <xdr:from>
      <xdr:col>16</xdr:col>
      <xdr:colOff>468630</xdr:colOff>
      <xdr:row>109</xdr:row>
      <xdr:rowOff>0</xdr:rowOff>
    </xdr:from>
    <xdr:to>
      <xdr:col>16</xdr:col>
      <xdr:colOff>483870</xdr:colOff>
      <xdr:row>110</xdr:row>
      <xdr:rowOff>250190</xdr:rowOff>
    </xdr:to>
    <xdr:pic>
      <xdr:nvPicPr>
        <xdr:cNvPr id="35" name="Picture 140" descr="3142418731510196992515"/>
        <xdr:cNvPicPr/>
      </xdr:nvPicPr>
      <xdr:blipFill>
        <a:blip r:embed="rId1" cstate="print"/>
        <a:stretch>
          <a:fillRect/>
        </a:stretch>
      </xdr:blipFill>
      <xdr:spPr>
        <a:xfrm>
          <a:off x="15099030" y="121845705"/>
          <a:ext cx="15240" cy="846455"/>
        </a:xfrm>
        <a:prstGeom prst="rect">
          <a:avLst/>
        </a:prstGeom>
        <a:noFill/>
        <a:ln w="9525">
          <a:noFill/>
        </a:ln>
      </xdr:spPr>
    </xdr:pic>
    <xdr:clientData/>
  </xdr:twoCellAnchor>
  <xdr:twoCellAnchor editAs="oneCell">
    <xdr:from>
      <xdr:col>16</xdr:col>
      <xdr:colOff>468630</xdr:colOff>
      <xdr:row>109</xdr:row>
      <xdr:rowOff>0</xdr:rowOff>
    </xdr:from>
    <xdr:to>
      <xdr:col>16</xdr:col>
      <xdr:colOff>483870</xdr:colOff>
      <xdr:row>110</xdr:row>
      <xdr:rowOff>250190</xdr:rowOff>
    </xdr:to>
    <xdr:pic>
      <xdr:nvPicPr>
        <xdr:cNvPr id="36" name="Picture 140" descr="3142418731510196992515"/>
        <xdr:cNvPicPr/>
      </xdr:nvPicPr>
      <xdr:blipFill>
        <a:blip r:embed="rId1" cstate="print"/>
        <a:stretch>
          <a:fillRect/>
        </a:stretch>
      </xdr:blipFill>
      <xdr:spPr>
        <a:xfrm>
          <a:off x="15099030" y="121845705"/>
          <a:ext cx="15240" cy="846455"/>
        </a:xfrm>
        <a:prstGeom prst="rect">
          <a:avLst/>
        </a:prstGeom>
        <a:noFill/>
        <a:ln w="9525">
          <a:noFill/>
        </a:ln>
      </xdr:spPr>
    </xdr:pic>
    <xdr:clientData/>
  </xdr:twoCellAnchor>
  <xdr:twoCellAnchor editAs="oneCell">
    <xdr:from>
      <xdr:col>16</xdr:col>
      <xdr:colOff>468630</xdr:colOff>
      <xdr:row>109</xdr:row>
      <xdr:rowOff>0</xdr:rowOff>
    </xdr:from>
    <xdr:to>
      <xdr:col>16</xdr:col>
      <xdr:colOff>483870</xdr:colOff>
      <xdr:row>110</xdr:row>
      <xdr:rowOff>250190</xdr:rowOff>
    </xdr:to>
    <xdr:pic>
      <xdr:nvPicPr>
        <xdr:cNvPr id="37" name="Picture 140" descr="3142418731510196992515"/>
        <xdr:cNvPicPr/>
      </xdr:nvPicPr>
      <xdr:blipFill>
        <a:blip r:embed="rId1" cstate="print"/>
        <a:stretch>
          <a:fillRect/>
        </a:stretch>
      </xdr:blipFill>
      <xdr:spPr>
        <a:xfrm>
          <a:off x="15099030" y="121845705"/>
          <a:ext cx="15240" cy="846455"/>
        </a:xfrm>
        <a:prstGeom prst="rect">
          <a:avLst/>
        </a:prstGeom>
        <a:noFill/>
        <a:ln w="9525">
          <a:noFill/>
        </a:ln>
      </xdr:spPr>
    </xdr:pic>
    <xdr:clientData/>
  </xdr:twoCellAnchor>
  <xdr:twoCellAnchor editAs="oneCell">
    <xdr:from>
      <xdr:col>16</xdr:col>
      <xdr:colOff>468630</xdr:colOff>
      <xdr:row>109</xdr:row>
      <xdr:rowOff>0</xdr:rowOff>
    </xdr:from>
    <xdr:to>
      <xdr:col>17</xdr:col>
      <xdr:colOff>91</xdr:colOff>
      <xdr:row>110</xdr:row>
      <xdr:rowOff>250190</xdr:rowOff>
    </xdr:to>
    <xdr:pic>
      <xdr:nvPicPr>
        <xdr:cNvPr id="38" name="Picture 140" descr="3142418731510196992515"/>
        <xdr:cNvPicPr/>
      </xdr:nvPicPr>
      <xdr:blipFill>
        <a:blip r:embed="rId1" cstate="print"/>
        <a:stretch>
          <a:fillRect/>
        </a:stretch>
      </xdr:blipFill>
      <xdr:spPr>
        <a:xfrm>
          <a:off x="15099030" y="121845705"/>
          <a:ext cx="209550" cy="846455"/>
        </a:xfrm>
        <a:prstGeom prst="rect">
          <a:avLst/>
        </a:prstGeom>
        <a:noFill/>
        <a:ln w="9525">
          <a:noFill/>
        </a:ln>
      </xdr:spPr>
    </xdr:pic>
    <xdr:clientData/>
  </xdr:twoCellAnchor>
  <xdr:twoCellAnchor editAs="oneCell">
    <xdr:from>
      <xdr:col>16</xdr:col>
      <xdr:colOff>468630</xdr:colOff>
      <xdr:row>109</xdr:row>
      <xdr:rowOff>0</xdr:rowOff>
    </xdr:from>
    <xdr:to>
      <xdr:col>17</xdr:col>
      <xdr:colOff>91</xdr:colOff>
      <xdr:row>110</xdr:row>
      <xdr:rowOff>250190</xdr:rowOff>
    </xdr:to>
    <xdr:pic>
      <xdr:nvPicPr>
        <xdr:cNvPr id="39" name="Picture 140" descr="3142418731510196992515"/>
        <xdr:cNvPicPr/>
      </xdr:nvPicPr>
      <xdr:blipFill>
        <a:blip r:embed="rId1" cstate="print"/>
        <a:stretch>
          <a:fillRect/>
        </a:stretch>
      </xdr:blipFill>
      <xdr:spPr>
        <a:xfrm>
          <a:off x="15099030" y="121845705"/>
          <a:ext cx="209550" cy="846455"/>
        </a:xfrm>
        <a:prstGeom prst="rect">
          <a:avLst/>
        </a:prstGeom>
        <a:noFill/>
        <a:ln w="9525">
          <a:noFill/>
        </a:ln>
      </xdr:spPr>
    </xdr:pic>
    <xdr:clientData/>
  </xdr:twoCellAnchor>
  <xdr:twoCellAnchor editAs="oneCell">
    <xdr:from>
      <xdr:col>16</xdr:col>
      <xdr:colOff>468630</xdr:colOff>
      <xdr:row>109</xdr:row>
      <xdr:rowOff>0</xdr:rowOff>
    </xdr:from>
    <xdr:to>
      <xdr:col>16</xdr:col>
      <xdr:colOff>483870</xdr:colOff>
      <xdr:row>110</xdr:row>
      <xdr:rowOff>250190</xdr:rowOff>
    </xdr:to>
    <xdr:pic>
      <xdr:nvPicPr>
        <xdr:cNvPr id="40" name="Picture 140" descr="3142418731510196992515"/>
        <xdr:cNvPicPr/>
      </xdr:nvPicPr>
      <xdr:blipFill>
        <a:blip r:embed="rId1" cstate="print"/>
        <a:stretch>
          <a:fillRect/>
        </a:stretch>
      </xdr:blipFill>
      <xdr:spPr>
        <a:xfrm>
          <a:off x="15099030" y="121845705"/>
          <a:ext cx="15240" cy="846455"/>
        </a:xfrm>
        <a:prstGeom prst="rect">
          <a:avLst/>
        </a:prstGeom>
        <a:noFill/>
        <a:ln w="9525">
          <a:noFill/>
        </a:ln>
      </xdr:spPr>
    </xdr:pic>
    <xdr:clientData/>
  </xdr:twoCellAnchor>
  <xdr:twoCellAnchor editAs="oneCell">
    <xdr:from>
      <xdr:col>16</xdr:col>
      <xdr:colOff>468630</xdr:colOff>
      <xdr:row>109</xdr:row>
      <xdr:rowOff>0</xdr:rowOff>
    </xdr:from>
    <xdr:to>
      <xdr:col>16</xdr:col>
      <xdr:colOff>483870</xdr:colOff>
      <xdr:row>110</xdr:row>
      <xdr:rowOff>250190</xdr:rowOff>
    </xdr:to>
    <xdr:pic>
      <xdr:nvPicPr>
        <xdr:cNvPr id="41" name="Picture 140" descr="3142418731510196992515"/>
        <xdr:cNvPicPr/>
      </xdr:nvPicPr>
      <xdr:blipFill>
        <a:blip r:embed="rId1" cstate="print"/>
        <a:stretch>
          <a:fillRect/>
        </a:stretch>
      </xdr:blipFill>
      <xdr:spPr>
        <a:xfrm>
          <a:off x="15099030" y="121845705"/>
          <a:ext cx="15240" cy="846455"/>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79"/>
  <sheetViews>
    <sheetView tabSelected="1" view="pageBreakPreview" zoomScale="70" zoomScaleNormal="70" topLeftCell="A13" workbookViewId="0">
      <selection activeCell="F14" sqref="F14"/>
    </sheetView>
  </sheetViews>
  <sheetFormatPr defaultColWidth="9" defaultRowHeight="15.6"/>
  <cols>
    <col min="1" max="1" width="5.7" style="6" customWidth="1"/>
    <col min="2" max="2" width="13.6" style="7" customWidth="1"/>
    <col min="3" max="3" width="6.4" style="6" customWidth="1"/>
    <col min="4" max="4" width="8.2" style="6" customWidth="1"/>
    <col min="5" max="5" width="7" style="6" customWidth="1"/>
    <col min="6" max="6" width="51.2" style="7" customWidth="1"/>
    <col min="7" max="7" width="12" style="6" customWidth="1"/>
    <col min="8" max="8" width="6.1" style="6" customWidth="1"/>
    <col min="9" max="9" width="15.1" style="7" customWidth="1"/>
    <col min="10" max="10" width="21.6" style="6" customWidth="1"/>
    <col min="11" max="11" width="6.8" style="6" customWidth="1"/>
    <col min="12" max="12" width="7" style="6" customWidth="1"/>
    <col min="13" max="13" width="7.8" style="6" customWidth="1"/>
    <col min="14" max="14" width="8" style="6" customWidth="1"/>
    <col min="15" max="15" width="7.5" style="6" customWidth="1"/>
    <col min="16" max="16" width="8" style="6" customWidth="1"/>
    <col min="17" max="17" width="8.9" style="6" customWidth="1"/>
    <col min="18" max="18" width="8.3" style="6" customWidth="1"/>
    <col min="19" max="19" width="7.3" style="6" customWidth="1"/>
    <col min="20" max="20" width="6.8" style="6" customWidth="1"/>
    <col min="21" max="21" width="10.7" style="6" customWidth="1"/>
    <col min="22" max="22" width="8.7" style="6" customWidth="1"/>
    <col min="23" max="16384" width="9" style="6"/>
  </cols>
  <sheetData>
    <row r="1" ht="40.05" customHeight="1" spans="1:2">
      <c r="A1" s="8" t="s">
        <v>0</v>
      </c>
      <c r="B1" s="9"/>
    </row>
    <row r="2" ht="14.25" customHeight="1" spans="1:21">
      <c r="A2" s="10"/>
      <c r="B2" s="11"/>
      <c r="C2" s="10"/>
      <c r="D2" s="10"/>
      <c r="E2" s="10"/>
      <c r="F2" s="11"/>
      <c r="G2" s="10"/>
      <c r="H2" s="10"/>
      <c r="I2" s="11"/>
      <c r="J2" s="10"/>
      <c r="K2" s="10"/>
      <c r="L2" s="10"/>
      <c r="M2" s="10"/>
      <c r="N2" s="10"/>
      <c r="O2" s="10"/>
      <c r="P2" s="10"/>
      <c r="Q2" s="10"/>
      <c r="R2" s="10"/>
      <c r="S2" s="10"/>
      <c r="T2" s="10"/>
      <c r="U2" s="10"/>
    </row>
    <row r="3" ht="60" customHeight="1" spans="1:21">
      <c r="A3" s="12" t="s">
        <v>1</v>
      </c>
      <c r="B3" s="13"/>
      <c r="C3" s="12"/>
      <c r="D3" s="12"/>
      <c r="E3" s="12"/>
      <c r="F3" s="13"/>
      <c r="G3" s="12"/>
      <c r="H3" s="12"/>
      <c r="I3" s="13"/>
      <c r="J3" s="12"/>
      <c r="K3" s="12"/>
      <c r="L3" s="12"/>
      <c r="M3" s="12"/>
      <c r="N3" s="12"/>
      <c r="O3" s="12"/>
      <c r="P3" s="12"/>
      <c r="Q3" s="12"/>
      <c r="R3" s="12"/>
      <c r="S3" s="12"/>
      <c r="T3" s="12"/>
      <c r="U3" s="12"/>
    </row>
    <row r="4" s="1" customFormat="1" ht="33" customHeight="1" spans="1:22">
      <c r="A4" s="14" t="s">
        <v>2</v>
      </c>
      <c r="B4" s="15" t="s">
        <v>3</v>
      </c>
      <c r="C4" s="15" t="s">
        <v>4</v>
      </c>
      <c r="D4" s="15" t="s">
        <v>5</v>
      </c>
      <c r="E4" s="15" t="s">
        <v>6</v>
      </c>
      <c r="F4" s="15" t="s">
        <v>7</v>
      </c>
      <c r="G4" s="15" t="s">
        <v>8</v>
      </c>
      <c r="H4" s="15" t="s">
        <v>9</v>
      </c>
      <c r="I4" s="15" t="s">
        <v>10</v>
      </c>
      <c r="J4" s="15"/>
      <c r="K4" s="15"/>
      <c r="L4" s="15"/>
      <c r="M4" s="15"/>
      <c r="N4" s="15"/>
      <c r="O4" s="15"/>
      <c r="P4" s="15"/>
      <c r="Q4" s="15"/>
      <c r="R4" s="15"/>
      <c r="S4" s="15" t="s">
        <v>11</v>
      </c>
      <c r="T4" s="15" t="s">
        <v>12</v>
      </c>
      <c r="U4" s="15" t="s">
        <v>13</v>
      </c>
      <c r="V4" s="41" t="s">
        <v>14</v>
      </c>
    </row>
    <row r="5" s="1" customFormat="1" ht="33" customHeight="1" spans="1:22">
      <c r="A5" s="14"/>
      <c r="B5" s="15"/>
      <c r="C5" s="15"/>
      <c r="D5" s="15"/>
      <c r="E5" s="15"/>
      <c r="F5" s="15"/>
      <c r="G5" s="15"/>
      <c r="H5" s="15"/>
      <c r="I5" s="15" t="s">
        <v>15</v>
      </c>
      <c r="J5" s="15" t="s">
        <v>16</v>
      </c>
      <c r="K5" s="15" t="s">
        <v>17</v>
      </c>
      <c r="L5" s="15"/>
      <c r="M5" s="15" t="s">
        <v>18</v>
      </c>
      <c r="N5" s="15"/>
      <c r="O5" s="15"/>
      <c r="P5" s="15" t="s">
        <v>19</v>
      </c>
      <c r="Q5" s="15"/>
      <c r="R5" s="15"/>
      <c r="S5" s="15"/>
      <c r="T5" s="15"/>
      <c r="U5" s="15"/>
      <c r="V5" s="41"/>
    </row>
    <row r="6" s="1" customFormat="1" ht="12" customHeight="1" spans="1:22">
      <c r="A6" s="14"/>
      <c r="B6" s="15"/>
      <c r="C6" s="15"/>
      <c r="D6" s="15"/>
      <c r="E6" s="15"/>
      <c r="F6" s="15"/>
      <c r="G6" s="15"/>
      <c r="H6" s="15"/>
      <c r="I6" s="15"/>
      <c r="J6" s="15"/>
      <c r="K6" s="15"/>
      <c r="L6" s="15"/>
      <c r="M6" s="15"/>
      <c r="N6" s="15"/>
      <c r="O6" s="15"/>
      <c r="P6" s="15"/>
      <c r="Q6" s="15"/>
      <c r="R6" s="15"/>
      <c r="S6" s="15"/>
      <c r="T6" s="15"/>
      <c r="U6" s="15"/>
      <c r="V6" s="41"/>
    </row>
    <row r="7" s="1" customFormat="1" ht="33" customHeight="1" spans="1:22">
      <c r="A7" s="14"/>
      <c r="B7" s="15"/>
      <c r="C7" s="15"/>
      <c r="D7" s="15"/>
      <c r="E7" s="15"/>
      <c r="F7" s="15"/>
      <c r="G7" s="15"/>
      <c r="H7" s="15"/>
      <c r="I7" s="15"/>
      <c r="J7" s="15"/>
      <c r="K7" s="15" t="s">
        <v>20</v>
      </c>
      <c r="L7" s="15" t="s">
        <v>21</v>
      </c>
      <c r="M7" s="15" t="s">
        <v>22</v>
      </c>
      <c r="N7" s="15" t="s">
        <v>23</v>
      </c>
      <c r="O7" s="15" t="s">
        <v>24</v>
      </c>
      <c r="P7" s="15" t="s">
        <v>22</v>
      </c>
      <c r="Q7" s="15" t="s">
        <v>25</v>
      </c>
      <c r="R7" s="15" t="s">
        <v>26</v>
      </c>
      <c r="S7" s="15"/>
      <c r="T7" s="15"/>
      <c r="U7" s="15"/>
      <c r="V7" s="41"/>
    </row>
    <row r="8" s="1" customFormat="1" ht="52.95" customHeight="1" spans="1:22">
      <c r="A8" s="14"/>
      <c r="B8" s="15"/>
      <c r="C8" s="15"/>
      <c r="D8" s="15"/>
      <c r="E8" s="15"/>
      <c r="F8" s="15"/>
      <c r="G8" s="15"/>
      <c r="H8" s="15"/>
      <c r="I8" s="15"/>
      <c r="J8" s="15"/>
      <c r="K8" s="15"/>
      <c r="L8" s="15"/>
      <c r="M8" s="15"/>
      <c r="N8" s="15"/>
      <c r="O8" s="15"/>
      <c r="P8" s="15"/>
      <c r="Q8" s="15"/>
      <c r="R8" s="15"/>
      <c r="S8" s="15"/>
      <c r="T8" s="15"/>
      <c r="U8" s="15"/>
      <c r="V8" s="41"/>
    </row>
    <row r="9" s="1" customFormat="1" ht="52.95" customHeight="1" spans="1:22">
      <c r="A9" s="14"/>
      <c r="B9" s="16" t="s">
        <v>27</v>
      </c>
      <c r="C9" s="15"/>
      <c r="D9" s="15"/>
      <c r="E9" s="15"/>
      <c r="F9" s="15"/>
      <c r="G9" s="16">
        <f>G10+G97+G103+G169+G174</f>
        <v>18305.51</v>
      </c>
      <c r="H9" s="15"/>
      <c r="I9" s="15"/>
      <c r="J9" s="15"/>
      <c r="K9" s="15"/>
      <c r="L9" s="15"/>
      <c r="M9" s="15"/>
      <c r="N9" s="15"/>
      <c r="O9" s="15"/>
      <c r="P9" s="15"/>
      <c r="Q9" s="15"/>
      <c r="R9" s="15"/>
      <c r="S9" s="15"/>
      <c r="T9" s="15"/>
      <c r="U9" s="15"/>
      <c r="V9" s="41"/>
    </row>
    <row r="10" ht="40.05" customHeight="1" spans="1:22">
      <c r="A10" s="14" t="s">
        <v>28</v>
      </c>
      <c r="B10" s="16" t="s">
        <v>29</v>
      </c>
      <c r="C10" s="14"/>
      <c r="D10" s="17"/>
      <c r="E10" s="17"/>
      <c r="F10" s="18"/>
      <c r="G10" s="17">
        <f>G11+G36+G95</f>
        <v>12517.15</v>
      </c>
      <c r="H10" s="17"/>
      <c r="I10" s="18"/>
      <c r="J10" s="17"/>
      <c r="K10" s="17"/>
      <c r="L10" s="17"/>
      <c r="M10" s="17"/>
      <c r="N10" s="17"/>
      <c r="O10" s="17"/>
      <c r="P10" s="17"/>
      <c r="Q10" s="17"/>
      <c r="R10" s="17"/>
      <c r="S10" s="21"/>
      <c r="T10" s="21"/>
      <c r="U10" s="21"/>
      <c r="V10" s="14"/>
    </row>
    <row r="11" ht="40.05" customHeight="1" spans="1:22">
      <c r="A11" s="19" t="s">
        <v>30</v>
      </c>
      <c r="B11" s="20" t="s">
        <v>31</v>
      </c>
      <c r="C11" s="14"/>
      <c r="D11" s="21"/>
      <c r="E11" s="21"/>
      <c r="F11" s="22"/>
      <c r="G11" s="21">
        <f>G12+G25+G27+G31</f>
        <v>4999</v>
      </c>
      <c r="H11" s="21"/>
      <c r="I11" s="22"/>
      <c r="J11" s="21"/>
      <c r="K11" s="21"/>
      <c r="L11" s="21"/>
      <c r="M11" s="21"/>
      <c r="N11" s="21"/>
      <c r="O11" s="21"/>
      <c r="P11" s="21"/>
      <c r="Q11" s="21"/>
      <c r="R11" s="21"/>
      <c r="S11" s="21"/>
      <c r="T11" s="21"/>
      <c r="U11" s="21"/>
      <c r="V11" s="14"/>
    </row>
    <row r="12" ht="40.05" customHeight="1" spans="1:22">
      <c r="A12" s="19" t="s">
        <v>32</v>
      </c>
      <c r="B12" s="20" t="s">
        <v>33</v>
      </c>
      <c r="C12" s="14"/>
      <c r="D12" s="23"/>
      <c r="E12" s="23"/>
      <c r="F12" s="24"/>
      <c r="G12" s="21">
        <v>3109</v>
      </c>
      <c r="H12" s="23"/>
      <c r="I12" s="24"/>
      <c r="J12" s="23"/>
      <c r="K12" s="23"/>
      <c r="L12" s="23"/>
      <c r="M12" s="23"/>
      <c r="N12" s="23"/>
      <c r="O12" s="23"/>
      <c r="P12" s="23"/>
      <c r="Q12" s="23"/>
      <c r="R12" s="23"/>
      <c r="S12" s="23"/>
      <c r="T12" s="23"/>
      <c r="U12" s="23"/>
      <c r="V12" s="14"/>
    </row>
    <row r="13" ht="253.05" customHeight="1" spans="1:22">
      <c r="A13" s="14">
        <v>1</v>
      </c>
      <c r="B13" s="25" t="s">
        <v>34</v>
      </c>
      <c r="C13" s="25" t="s">
        <v>35</v>
      </c>
      <c r="D13" s="15" t="s">
        <v>36</v>
      </c>
      <c r="E13" s="15" t="s">
        <v>37</v>
      </c>
      <c r="F13" s="26" t="s">
        <v>38</v>
      </c>
      <c r="G13" s="25">
        <v>360</v>
      </c>
      <c r="H13" s="25" t="s">
        <v>39</v>
      </c>
      <c r="I13" s="35" t="s">
        <v>40</v>
      </c>
      <c r="J13" s="26" t="s">
        <v>41</v>
      </c>
      <c r="K13" s="25"/>
      <c r="L13" s="25">
        <v>16</v>
      </c>
      <c r="M13" s="25">
        <v>1.1341</v>
      </c>
      <c r="N13" s="25">
        <v>0.1141</v>
      </c>
      <c r="O13" s="25">
        <v>1.02</v>
      </c>
      <c r="P13" s="25">
        <v>3.8292</v>
      </c>
      <c r="Q13" s="25">
        <v>0.4792</v>
      </c>
      <c r="R13" s="25">
        <v>3.35</v>
      </c>
      <c r="S13" s="15" t="s">
        <v>42</v>
      </c>
      <c r="T13" s="30" t="s">
        <v>43</v>
      </c>
      <c r="U13" s="55">
        <v>2024.1</v>
      </c>
      <c r="V13" s="14" t="s">
        <v>44</v>
      </c>
    </row>
    <row r="14" ht="253.05" customHeight="1" spans="1:22">
      <c r="A14" s="14">
        <v>2</v>
      </c>
      <c r="B14" s="27" t="s">
        <v>45</v>
      </c>
      <c r="C14" s="25" t="s">
        <v>35</v>
      </c>
      <c r="D14" s="15" t="s">
        <v>36</v>
      </c>
      <c r="E14" s="15" t="s">
        <v>46</v>
      </c>
      <c r="F14" s="28" t="s">
        <v>47</v>
      </c>
      <c r="G14" s="25">
        <v>1200</v>
      </c>
      <c r="H14" s="25" t="s">
        <v>39</v>
      </c>
      <c r="I14" s="35" t="s">
        <v>48</v>
      </c>
      <c r="J14" s="26" t="s">
        <v>41</v>
      </c>
      <c r="K14" s="25"/>
      <c r="L14" s="25">
        <v>16</v>
      </c>
      <c r="M14" s="25">
        <v>1.1341</v>
      </c>
      <c r="N14" s="25">
        <v>0.1141</v>
      </c>
      <c r="O14" s="25">
        <v>1.02</v>
      </c>
      <c r="P14" s="25">
        <v>3.8292</v>
      </c>
      <c r="Q14" s="25">
        <v>0.4792</v>
      </c>
      <c r="R14" s="25">
        <v>3.35</v>
      </c>
      <c r="S14" s="15" t="s">
        <v>42</v>
      </c>
      <c r="T14" s="30" t="s">
        <v>43</v>
      </c>
      <c r="U14" s="55">
        <v>2024.1</v>
      </c>
      <c r="V14" s="14" t="s">
        <v>44</v>
      </c>
    </row>
    <row r="15" ht="388.95" customHeight="1" spans="1:22">
      <c r="A15" s="14">
        <v>3</v>
      </c>
      <c r="B15" s="25" t="s">
        <v>49</v>
      </c>
      <c r="C15" s="25" t="s">
        <v>35</v>
      </c>
      <c r="D15" s="15" t="s">
        <v>36</v>
      </c>
      <c r="E15" s="15" t="s">
        <v>50</v>
      </c>
      <c r="F15" s="29" t="s">
        <v>51</v>
      </c>
      <c r="G15" s="25">
        <v>350</v>
      </c>
      <c r="H15" s="25" t="s">
        <v>39</v>
      </c>
      <c r="I15" s="40" t="s">
        <v>52</v>
      </c>
      <c r="J15" s="40"/>
      <c r="K15" s="25">
        <v>15</v>
      </c>
      <c r="L15" s="25">
        <v>46</v>
      </c>
      <c r="M15" s="25">
        <v>0.6</v>
      </c>
      <c r="N15" s="25">
        <v>0.12</v>
      </c>
      <c r="O15" s="25">
        <v>0.48</v>
      </c>
      <c r="P15" s="25">
        <v>2.3</v>
      </c>
      <c r="Q15" s="25">
        <v>0.5</v>
      </c>
      <c r="R15" s="25">
        <v>1.8</v>
      </c>
      <c r="S15" s="15" t="s">
        <v>42</v>
      </c>
      <c r="T15" s="25" t="s">
        <v>53</v>
      </c>
      <c r="U15" s="55">
        <v>2024.1</v>
      </c>
      <c r="V15" s="14"/>
    </row>
    <row r="16" ht="160.05" customHeight="1" spans="1:22">
      <c r="A16" s="14">
        <v>4</v>
      </c>
      <c r="B16" s="15" t="s">
        <v>54</v>
      </c>
      <c r="C16" s="15" t="s">
        <v>35</v>
      </c>
      <c r="D16" s="15" t="s">
        <v>55</v>
      </c>
      <c r="E16" s="15" t="s">
        <v>56</v>
      </c>
      <c r="F16" s="26" t="s">
        <v>57</v>
      </c>
      <c r="G16" s="15">
        <v>64</v>
      </c>
      <c r="H16" s="25" t="s">
        <v>39</v>
      </c>
      <c r="I16" s="26" t="s">
        <v>58</v>
      </c>
      <c r="J16" s="15"/>
      <c r="K16" s="34">
        <v>6</v>
      </c>
      <c r="L16" s="34">
        <v>38</v>
      </c>
      <c r="M16" s="34">
        <v>0.2127</v>
      </c>
      <c r="N16" s="34">
        <v>0.1335</v>
      </c>
      <c r="O16" s="34">
        <v>0.0793</v>
      </c>
      <c r="P16" s="52">
        <v>1.4238</v>
      </c>
      <c r="Q16" s="34">
        <v>0.6643</v>
      </c>
      <c r="R16" s="36">
        <v>0.7595</v>
      </c>
      <c r="S16" s="15" t="s">
        <v>42</v>
      </c>
      <c r="T16" s="25" t="s">
        <v>59</v>
      </c>
      <c r="U16" s="55">
        <v>2024.1</v>
      </c>
      <c r="V16" s="14"/>
    </row>
    <row r="17" ht="184.95" customHeight="1" spans="1:22">
      <c r="A17" s="14">
        <v>5</v>
      </c>
      <c r="B17" s="30" t="s">
        <v>60</v>
      </c>
      <c r="C17" s="30" t="s">
        <v>35</v>
      </c>
      <c r="D17" s="15" t="s">
        <v>36</v>
      </c>
      <c r="E17" s="15" t="s">
        <v>50</v>
      </c>
      <c r="F17" s="26" t="s">
        <v>61</v>
      </c>
      <c r="G17" s="30">
        <v>30</v>
      </c>
      <c r="H17" s="25" t="s">
        <v>39</v>
      </c>
      <c r="I17" s="26" t="s">
        <v>62</v>
      </c>
      <c r="J17" s="26"/>
      <c r="K17" s="30">
        <v>15</v>
      </c>
      <c r="L17" s="30">
        <v>46</v>
      </c>
      <c r="M17" s="30">
        <v>0.825</v>
      </c>
      <c r="N17" s="30">
        <v>0.257</v>
      </c>
      <c r="O17" s="30">
        <v>0.568</v>
      </c>
      <c r="P17" s="30">
        <v>2.887</v>
      </c>
      <c r="Q17" s="30">
        <v>0.8992</v>
      </c>
      <c r="R17" s="30">
        <v>1.9873</v>
      </c>
      <c r="S17" s="15" t="s">
        <v>42</v>
      </c>
      <c r="T17" s="30" t="s">
        <v>63</v>
      </c>
      <c r="U17" s="55">
        <v>2024.1</v>
      </c>
      <c r="V17" s="14"/>
    </row>
    <row r="18" ht="136.05" customHeight="1" spans="1:22">
      <c r="A18" s="14">
        <v>6</v>
      </c>
      <c r="B18" s="25" t="s">
        <v>64</v>
      </c>
      <c r="C18" s="25" t="s">
        <v>35</v>
      </c>
      <c r="D18" s="15" t="s">
        <v>36</v>
      </c>
      <c r="E18" s="15" t="s">
        <v>65</v>
      </c>
      <c r="F18" s="26" t="s">
        <v>66</v>
      </c>
      <c r="G18" s="25">
        <v>80</v>
      </c>
      <c r="H18" s="25" t="s">
        <v>39</v>
      </c>
      <c r="I18" s="35" t="s">
        <v>67</v>
      </c>
      <c r="J18" s="40"/>
      <c r="K18" s="25"/>
      <c r="L18" s="25">
        <v>1</v>
      </c>
      <c r="M18" s="25">
        <v>0.0456</v>
      </c>
      <c r="N18" s="25">
        <v>0.0052</v>
      </c>
      <c r="O18" s="25">
        <v>0.0404</v>
      </c>
      <c r="P18" s="25">
        <v>0.1978</v>
      </c>
      <c r="Q18" s="25">
        <v>0.0221</v>
      </c>
      <c r="R18" s="25">
        <v>0.1757</v>
      </c>
      <c r="S18" s="15" t="s">
        <v>68</v>
      </c>
      <c r="T18" s="30" t="s">
        <v>69</v>
      </c>
      <c r="U18" s="55">
        <v>2024.1</v>
      </c>
      <c r="V18" s="14" t="s">
        <v>70</v>
      </c>
    </row>
    <row r="19" ht="361.95" customHeight="1" spans="1:22">
      <c r="A19" s="14">
        <v>7</v>
      </c>
      <c r="B19" s="25" t="s">
        <v>71</v>
      </c>
      <c r="C19" s="25" t="s">
        <v>35</v>
      </c>
      <c r="D19" s="15" t="s">
        <v>36</v>
      </c>
      <c r="E19" s="25" t="s">
        <v>72</v>
      </c>
      <c r="F19" s="31" t="s">
        <v>73</v>
      </c>
      <c r="G19" s="25">
        <v>650</v>
      </c>
      <c r="H19" s="25" t="s">
        <v>39</v>
      </c>
      <c r="I19" s="40" t="s">
        <v>74</v>
      </c>
      <c r="J19" s="25"/>
      <c r="K19" s="25">
        <v>15</v>
      </c>
      <c r="L19" s="25">
        <v>46</v>
      </c>
      <c r="M19" s="25">
        <v>0.2024</v>
      </c>
      <c r="N19" s="25">
        <v>0.1824</v>
      </c>
      <c r="O19" s="25">
        <v>0.02</v>
      </c>
      <c r="P19" s="25">
        <v>0.6</v>
      </c>
      <c r="Q19" s="25">
        <v>0.54</v>
      </c>
      <c r="R19" s="25">
        <v>0.06</v>
      </c>
      <c r="S19" s="15" t="s">
        <v>42</v>
      </c>
      <c r="T19" s="25" t="s">
        <v>75</v>
      </c>
      <c r="U19" s="55">
        <v>2024.1</v>
      </c>
      <c r="V19" s="14"/>
    </row>
    <row r="20" ht="142.05" customHeight="1" spans="1:22">
      <c r="A20" s="14">
        <v>8</v>
      </c>
      <c r="B20" s="32" t="s">
        <v>76</v>
      </c>
      <c r="C20" s="25" t="s">
        <v>35</v>
      </c>
      <c r="D20" s="15" t="s">
        <v>77</v>
      </c>
      <c r="E20" s="15" t="s">
        <v>50</v>
      </c>
      <c r="F20" s="33" t="s">
        <v>78</v>
      </c>
      <c r="G20" s="23">
        <v>75</v>
      </c>
      <c r="H20" s="25" t="s">
        <v>39</v>
      </c>
      <c r="I20" s="25" t="s">
        <v>79</v>
      </c>
      <c r="J20" s="40"/>
      <c r="K20" s="23">
        <v>2</v>
      </c>
      <c r="L20" s="23">
        <v>6</v>
      </c>
      <c r="M20" s="23">
        <v>0.05</v>
      </c>
      <c r="N20" s="23">
        <v>0.02</v>
      </c>
      <c r="O20" s="23">
        <v>0.03</v>
      </c>
      <c r="P20" s="23">
        <v>0.2</v>
      </c>
      <c r="Q20" s="23">
        <v>0.08</v>
      </c>
      <c r="R20" s="23">
        <v>0.12</v>
      </c>
      <c r="S20" s="25" t="s">
        <v>42</v>
      </c>
      <c r="T20" s="56" t="s">
        <v>53</v>
      </c>
      <c r="U20" s="55">
        <v>2024.1</v>
      </c>
      <c r="V20" s="14"/>
    </row>
    <row r="21" ht="102" customHeight="1" spans="1:22">
      <c r="A21" s="14">
        <v>9</v>
      </c>
      <c r="B21" s="30" t="s">
        <v>80</v>
      </c>
      <c r="C21" s="30"/>
      <c r="D21" s="30" t="s">
        <v>81</v>
      </c>
      <c r="E21" s="34" t="s">
        <v>50</v>
      </c>
      <c r="F21" s="35" t="s">
        <v>82</v>
      </c>
      <c r="G21" s="30">
        <v>20</v>
      </c>
      <c r="H21" s="25" t="s">
        <v>39</v>
      </c>
      <c r="I21" s="35" t="s">
        <v>83</v>
      </c>
      <c r="J21" s="35"/>
      <c r="K21" s="30">
        <v>15</v>
      </c>
      <c r="L21" s="30">
        <v>46</v>
      </c>
      <c r="M21" s="30">
        <v>1.1742</v>
      </c>
      <c r="N21" s="30">
        <v>0.0342</v>
      </c>
      <c r="O21" s="30">
        <v>1.14</v>
      </c>
      <c r="P21" s="30">
        <v>4.12</v>
      </c>
      <c r="Q21" s="30">
        <v>0.12</v>
      </c>
      <c r="R21" s="30">
        <v>4</v>
      </c>
      <c r="S21" s="30" t="s">
        <v>42</v>
      </c>
      <c r="T21" s="30" t="s">
        <v>84</v>
      </c>
      <c r="U21" s="55">
        <v>2024.1</v>
      </c>
      <c r="V21" s="14"/>
    </row>
    <row r="22" ht="235.95" customHeight="1" spans="1:22">
      <c r="A22" s="14">
        <v>10</v>
      </c>
      <c r="B22" s="30" t="s">
        <v>85</v>
      </c>
      <c r="C22" s="30"/>
      <c r="D22" s="30" t="s">
        <v>81</v>
      </c>
      <c r="E22" s="34" t="s">
        <v>50</v>
      </c>
      <c r="F22" s="35" t="s">
        <v>86</v>
      </c>
      <c r="G22" s="30">
        <v>30</v>
      </c>
      <c r="H22" s="25" t="s">
        <v>39</v>
      </c>
      <c r="I22" s="35" t="s">
        <v>87</v>
      </c>
      <c r="J22" s="35"/>
      <c r="K22" s="30">
        <v>15</v>
      </c>
      <c r="L22" s="30">
        <v>46</v>
      </c>
      <c r="M22" s="30">
        <v>1.1742</v>
      </c>
      <c r="N22" s="30">
        <v>0.0342</v>
      </c>
      <c r="O22" s="30">
        <v>1.14</v>
      </c>
      <c r="P22" s="30">
        <v>4.12</v>
      </c>
      <c r="Q22" s="30">
        <v>0.12</v>
      </c>
      <c r="R22" s="30">
        <v>4</v>
      </c>
      <c r="S22" s="30" t="s">
        <v>42</v>
      </c>
      <c r="T22" s="30" t="s">
        <v>84</v>
      </c>
      <c r="U22" s="55">
        <v>2024.1</v>
      </c>
      <c r="V22" s="14"/>
    </row>
    <row r="23" ht="235.95" customHeight="1" spans="1:22">
      <c r="A23" s="14">
        <v>11</v>
      </c>
      <c r="B23" s="30" t="s">
        <v>88</v>
      </c>
      <c r="C23" s="34"/>
      <c r="D23" s="30" t="s">
        <v>81</v>
      </c>
      <c r="E23" s="34" t="s">
        <v>89</v>
      </c>
      <c r="F23" s="36" t="s">
        <v>90</v>
      </c>
      <c r="G23" s="30">
        <v>50</v>
      </c>
      <c r="H23" s="25" t="s">
        <v>39</v>
      </c>
      <c r="I23" s="35" t="s">
        <v>91</v>
      </c>
      <c r="J23" s="36"/>
      <c r="K23" s="30">
        <v>15</v>
      </c>
      <c r="L23" s="30">
        <v>46</v>
      </c>
      <c r="M23" s="30">
        <v>1.1742</v>
      </c>
      <c r="N23" s="30">
        <v>0.0342</v>
      </c>
      <c r="O23" s="30">
        <v>1.14</v>
      </c>
      <c r="P23" s="30">
        <v>4.12</v>
      </c>
      <c r="Q23" s="30">
        <v>0.12</v>
      </c>
      <c r="R23" s="30">
        <v>4</v>
      </c>
      <c r="S23" s="30" t="s">
        <v>42</v>
      </c>
      <c r="T23" s="30" t="s">
        <v>84</v>
      </c>
      <c r="U23" s="55">
        <v>2024.1</v>
      </c>
      <c r="V23" s="14"/>
    </row>
    <row r="24" ht="247.95" customHeight="1" spans="1:22">
      <c r="A24" s="14">
        <v>12</v>
      </c>
      <c r="B24" s="35" t="s">
        <v>92</v>
      </c>
      <c r="C24" s="30" t="s">
        <v>35</v>
      </c>
      <c r="D24" s="15" t="s">
        <v>93</v>
      </c>
      <c r="E24" s="34" t="s">
        <v>50</v>
      </c>
      <c r="F24" s="28" t="s">
        <v>94</v>
      </c>
      <c r="G24" s="37">
        <v>200</v>
      </c>
      <c r="H24" s="25" t="s">
        <v>39</v>
      </c>
      <c r="I24" s="26" t="s">
        <v>95</v>
      </c>
      <c r="J24" s="30"/>
      <c r="K24" s="30">
        <v>15</v>
      </c>
      <c r="L24" s="30">
        <v>46</v>
      </c>
      <c r="M24" s="30">
        <v>1.509</v>
      </c>
      <c r="N24" s="30">
        <v>0.4462</v>
      </c>
      <c r="O24" s="30">
        <v>1.0628</v>
      </c>
      <c r="P24" s="30">
        <v>5.2963</v>
      </c>
      <c r="Q24" s="30">
        <v>1.8197</v>
      </c>
      <c r="R24" s="30">
        <v>3.4766</v>
      </c>
      <c r="S24" s="30" t="s">
        <v>42</v>
      </c>
      <c r="T24" s="30" t="s">
        <v>63</v>
      </c>
      <c r="U24" s="55">
        <v>2024.1</v>
      </c>
      <c r="V24" s="14"/>
    </row>
    <row r="25" ht="34.05" customHeight="1" spans="1:22">
      <c r="A25" s="38" t="s">
        <v>96</v>
      </c>
      <c r="B25" s="16" t="s">
        <v>97</v>
      </c>
      <c r="C25" s="34"/>
      <c r="D25" s="30"/>
      <c r="E25" s="34"/>
      <c r="F25" s="36"/>
      <c r="G25" s="20">
        <v>50</v>
      </c>
      <c r="H25" s="25"/>
      <c r="I25" s="35"/>
      <c r="J25" s="36"/>
      <c r="K25" s="30"/>
      <c r="L25" s="30"/>
      <c r="M25" s="30"/>
      <c r="N25" s="30"/>
      <c r="O25" s="30"/>
      <c r="P25" s="30"/>
      <c r="Q25" s="30"/>
      <c r="R25" s="30"/>
      <c r="S25" s="30"/>
      <c r="T25" s="30"/>
      <c r="U25" s="55"/>
      <c r="V25" s="14"/>
    </row>
    <row r="26" ht="226.95" customHeight="1" spans="1:22">
      <c r="A26" s="39">
        <v>1</v>
      </c>
      <c r="B26" s="25" t="s">
        <v>98</v>
      </c>
      <c r="C26" s="25" t="s">
        <v>35</v>
      </c>
      <c r="D26" s="15" t="s">
        <v>36</v>
      </c>
      <c r="E26" s="34" t="s">
        <v>50</v>
      </c>
      <c r="F26" s="40" t="s">
        <v>99</v>
      </c>
      <c r="G26" s="25">
        <v>50</v>
      </c>
      <c r="H26" s="25" t="s">
        <v>39</v>
      </c>
      <c r="I26" s="40" t="s">
        <v>100</v>
      </c>
      <c r="J26" s="40"/>
      <c r="K26" s="25">
        <v>15</v>
      </c>
      <c r="L26" s="25">
        <v>46</v>
      </c>
      <c r="M26" s="25">
        <v>0.8</v>
      </c>
      <c r="N26" s="25">
        <v>0.12</v>
      </c>
      <c r="O26" s="25">
        <v>0.68</v>
      </c>
      <c r="P26" s="25">
        <v>3.2</v>
      </c>
      <c r="Q26" s="25">
        <v>0.5</v>
      </c>
      <c r="R26" s="25">
        <v>2.7</v>
      </c>
      <c r="S26" s="25" t="s">
        <v>42</v>
      </c>
      <c r="T26" s="56" t="s">
        <v>53</v>
      </c>
      <c r="U26" s="55">
        <v>2024.1</v>
      </c>
      <c r="V26" s="14"/>
    </row>
    <row r="27" ht="40.05" customHeight="1" spans="1:22">
      <c r="A27" s="19" t="s">
        <v>101</v>
      </c>
      <c r="B27" s="16" t="s">
        <v>102</v>
      </c>
      <c r="C27" s="25"/>
      <c r="D27" s="25"/>
      <c r="E27" s="25"/>
      <c r="F27" s="40"/>
      <c r="G27" s="17">
        <v>280</v>
      </c>
      <c r="H27" s="25"/>
      <c r="I27" s="40"/>
      <c r="J27" s="25"/>
      <c r="K27" s="25"/>
      <c r="L27" s="25"/>
      <c r="M27" s="25"/>
      <c r="N27" s="25"/>
      <c r="O27" s="25"/>
      <c r="P27" s="25"/>
      <c r="Q27" s="25"/>
      <c r="R27" s="25"/>
      <c r="S27" s="25"/>
      <c r="T27" s="23"/>
      <c r="U27" s="23"/>
      <c r="V27" s="14"/>
    </row>
    <row r="28" ht="153" customHeight="1" spans="1:22">
      <c r="A28" s="14">
        <v>1</v>
      </c>
      <c r="B28" s="25" t="s">
        <v>103</v>
      </c>
      <c r="C28" s="25" t="s">
        <v>35</v>
      </c>
      <c r="D28" s="15" t="s">
        <v>36</v>
      </c>
      <c r="E28" s="15" t="s">
        <v>104</v>
      </c>
      <c r="F28" s="26" t="s">
        <v>105</v>
      </c>
      <c r="G28" s="25">
        <v>80</v>
      </c>
      <c r="H28" s="25" t="s">
        <v>39</v>
      </c>
      <c r="I28" s="35" t="s">
        <v>106</v>
      </c>
      <c r="J28" s="26" t="s">
        <v>41</v>
      </c>
      <c r="K28" s="25">
        <v>5</v>
      </c>
      <c r="L28" s="25">
        <v>14</v>
      </c>
      <c r="M28" s="25">
        <v>0.4</v>
      </c>
      <c r="N28" s="25">
        <v>0.1</v>
      </c>
      <c r="O28" s="25">
        <v>0.3</v>
      </c>
      <c r="P28" s="25">
        <v>1.1</v>
      </c>
      <c r="Q28" s="25">
        <v>0.15</v>
      </c>
      <c r="R28" s="25">
        <v>0.95</v>
      </c>
      <c r="S28" s="15" t="s">
        <v>42</v>
      </c>
      <c r="T28" s="30" t="s">
        <v>53</v>
      </c>
      <c r="U28" s="55">
        <v>2024.1</v>
      </c>
      <c r="V28" s="14" t="s">
        <v>70</v>
      </c>
    </row>
    <row r="29" ht="121.05" customHeight="1" spans="1:22">
      <c r="A29" s="14">
        <v>2</v>
      </c>
      <c r="B29" s="25" t="s">
        <v>107</v>
      </c>
      <c r="C29" s="25" t="s">
        <v>108</v>
      </c>
      <c r="D29" s="15" t="s">
        <v>36</v>
      </c>
      <c r="E29" s="15" t="s">
        <v>109</v>
      </c>
      <c r="F29" s="26" t="s">
        <v>110</v>
      </c>
      <c r="G29" s="25">
        <v>50</v>
      </c>
      <c r="H29" s="25" t="s">
        <v>39</v>
      </c>
      <c r="I29" s="35" t="s">
        <v>111</v>
      </c>
      <c r="J29" s="40" t="s">
        <v>112</v>
      </c>
      <c r="K29" s="25">
        <v>5</v>
      </c>
      <c r="L29" s="25">
        <v>2</v>
      </c>
      <c r="M29" s="25">
        <f>N29+O29</f>
        <v>0.0021</v>
      </c>
      <c r="N29" s="25">
        <v>0.00114</v>
      </c>
      <c r="O29" s="25">
        <v>0.00096</v>
      </c>
      <c r="P29" s="25">
        <f>Q29+R29</f>
        <v>0.00399</v>
      </c>
      <c r="Q29" s="25">
        <v>0.00357</v>
      </c>
      <c r="R29" s="25">
        <v>0.00042</v>
      </c>
      <c r="S29" s="15" t="s">
        <v>68</v>
      </c>
      <c r="T29" s="30" t="s">
        <v>109</v>
      </c>
      <c r="U29" s="55">
        <v>2024.1</v>
      </c>
      <c r="V29" s="14" t="s">
        <v>70</v>
      </c>
    </row>
    <row r="30" ht="111" customHeight="1" spans="1:22">
      <c r="A30" s="14">
        <v>3</v>
      </c>
      <c r="B30" s="25" t="s">
        <v>113</v>
      </c>
      <c r="C30" s="25" t="s">
        <v>35</v>
      </c>
      <c r="D30" s="15" t="s">
        <v>36</v>
      </c>
      <c r="E30" s="15" t="s">
        <v>114</v>
      </c>
      <c r="F30" s="26" t="s">
        <v>115</v>
      </c>
      <c r="G30" s="25">
        <v>150</v>
      </c>
      <c r="H30" s="25" t="s">
        <v>39</v>
      </c>
      <c r="I30" s="35" t="s">
        <v>116</v>
      </c>
      <c r="J30" s="40" t="s">
        <v>117</v>
      </c>
      <c r="K30" s="25">
        <v>1</v>
      </c>
      <c r="L30" s="25">
        <v>5</v>
      </c>
      <c r="M30" s="25">
        <v>0.05</v>
      </c>
      <c r="N30" s="25">
        <v>0.012</v>
      </c>
      <c r="O30" s="25">
        <v>0.038</v>
      </c>
      <c r="P30" s="25">
        <v>0.2432</v>
      </c>
      <c r="Q30" s="25">
        <v>0.0906</v>
      </c>
      <c r="R30" s="25">
        <v>0.1526</v>
      </c>
      <c r="S30" s="15" t="s">
        <v>42</v>
      </c>
      <c r="T30" s="30" t="s">
        <v>118</v>
      </c>
      <c r="U30" s="55">
        <v>2024.1</v>
      </c>
      <c r="V30" s="14" t="s">
        <v>70</v>
      </c>
    </row>
    <row r="31" ht="33" customHeight="1" spans="1:22">
      <c r="A31" s="41" t="s">
        <v>101</v>
      </c>
      <c r="B31" s="17" t="s">
        <v>119</v>
      </c>
      <c r="C31" s="25"/>
      <c r="D31" s="15"/>
      <c r="E31" s="15"/>
      <c r="F31" s="26"/>
      <c r="G31" s="17">
        <v>1560</v>
      </c>
      <c r="H31" s="25"/>
      <c r="I31" s="35"/>
      <c r="J31" s="40"/>
      <c r="K31" s="25"/>
      <c r="L31" s="25"/>
      <c r="M31" s="25"/>
      <c r="N31" s="25"/>
      <c r="O31" s="25"/>
      <c r="P31" s="25"/>
      <c r="Q31" s="25"/>
      <c r="R31" s="25"/>
      <c r="S31" s="15"/>
      <c r="T31" s="30"/>
      <c r="U31" s="55"/>
      <c r="V31" s="14"/>
    </row>
    <row r="32" ht="76.05" customHeight="1" spans="1:22">
      <c r="A32" s="14">
        <v>1</v>
      </c>
      <c r="B32" s="25" t="s">
        <v>120</v>
      </c>
      <c r="C32" s="42" t="s">
        <v>35</v>
      </c>
      <c r="D32" s="42">
        <v>2025</v>
      </c>
      <c r="E32" s="42" t="s">
        <v>121</v>
      </c>
      <c r="F32" s="26" t="s">
        <v>122</v>
      </c>
      <c r="G32" s="25">
        <v>260</v>
      </c>
      <c r="H32" s="25" t="s">
        <v>39</v>
      </c>
      <c r="I32" s="35" t="s">
        <v>123</v>
      </c>
      <c r="J32" s="53"/>
      <c r="K32" s="42">
        <v>1</v>
      </c>
      <c r="L32" s="42"/>
      <c r="M32" s="25">
        <v>0.0241</v>
      </c>
      <c r="N32" s="25">
        <v>0.006</v>
      </c>
      <c r="O32" s="25">
        <v>0.0191</v>
      </c>
      <c r="P32" s="25">
        <v>0.0876</v>
      </c>
      <c r="Q32" s="25">
        <v>0.0241</v>
      </c>
      <c r="R32" s="25">
        <v>0.0618</v>
      </c>
      <c r="S32" s="15" t="s">
        <v>42</v>
      </c>
      <c r="T32" s="15" t="s">
        <v>124</v>
      </c>
      <c r="U32" s="55">
        <v>2024.1</v>
      </c>
      <c r="V32" s="14" t="s">
        <v>70</v>
      </c>
    </row>
    <row r="33" ht="97.95" customHeight="1" spans="1:22">
      <c r="A33" s="14">
        <v>2</v>
      </c>
      <c r="B33" s="25" t="s">
        <v>125</v>
      </c>
      <c r="C33" s="25" t="s">
        <v>35</v>
      </c>
      <c r="D33" s="15" t="s">
        <v>36</v>
      </c>
      <c r="E33" s="15" t="s">
        <v>46</v>
      </c>
      <c r="F33" s="26" t="s">
        <v>126</v>
      </c>
      <c r="G33" s="43">
        <v>700</v>
      </c>
      <c r="H33" s="25" t="s">
        <v>39</v>
      </c>
      <c r="I33" s="40" t="s">
        <v>127</v>
      </c>
      <c r="J33" s="40"/>
      <c r="L33" s="15">
        <v>1</v>
      </c>
      <c r="M33" s="15">
        <v>0.0075</v>
      </c>
      <c r="N33" s="15">
        <v>0.0003</v>
      </c>
      <c r="O33" s="15">
        <v>0.0072</v>
      </c>
      <c r="P33" s="15">
        <v>0.0302</v>
      </c>
      <c r="Q33" s="15">
        <v>0.0014</v>
      </c>
      <c r="R33" s="15">
        <v>0.0288</v>
      </c>
      <c r="S33" s="15" t="s">
        <v>42</v>
      </c>
      <c r="T33" s="25" t="s">
        <v>43</v>
      </c>
      <c r="U33" s="55">
        <v>2024.1</v>
      </c>
      <c r="V33" s="14" t="s">
        <v>70</v>
      </c>
    </row>
    <row r="34" ht="91.95" customHeight="1" spans="1:22">
      <c r="A34" s="39">
        <v>3</v>
      </c>
      <c r="B34" s="25" t="s">
        <v>128</v>
      </c>
      <c r="C34" s="25" t="s">
        <v>35</v>
      </c>
      <c r="D34" s="15" t="s">
        <v>36</v>
      </c>
      <c r="E34" s="15" t="s">
        <v>129</v>
      </c>
      <c r="F34" s="26" t="s">
        <v>130</v>
      </c>
      <c r="G34" s="25">
        <v>200</v>
      </c>
      <c r="H34" s="25" t="s">
        <v>39</v>
      </c>
      <c r="I34" s="35" t="s">
        <v>131</v>
      </c>
      <c r="J34" s="40"/>
      <c r="K34" s="25"/>
      <c r="L34" s="25">
        <v>1</v>
      </c>
      <c r="M34" s="25">
        <v>0.0077</v>
      </c>
      <c r="N34" s="25">
        <v>0.0032</v>
      </c>
      <c r="O34" s="25">
        <v>0.0045</v>
      </c>
      <c r="P34" s="25">
        <v>0.0352</v>
      </c>
      <c r="Q34" s="25">
        <v>0.0152</v>
      </c>
      <c r="R34" s="25">
        <v>0.02</v>
      </c>
      <c r="S34" s="15" t="s">
        <v>42</v>
      </c>
      <c r="T34" s="30" t="s">
        <v>118</v>
      </c>
      <c r="U34" s="55">
        <v>2024.1</v>
      </c>
      <c r="V34" s="14" t="s">
        <v>44</v>
      </c>
    </row>
    <row r="35" ht="91.95" customHeight="1" spans="1:22">
      <c r="A35" s="39">
        <v>4</v>
      </c>
      <c r="B35" s="25" t="s">
        <v>132</v>
      </c>
      <c r="C35" s="25" t="s">
        <v>35</v>
      </c>
      <c r="D35" s="15" t="s">
        <v>77</v>
      </c>
      <c r="E35" s="15" t="s">
        <v>133</v>
      </c>
      <c r="F35" s="26" t="s">
        <v>134</v>
      </c>
      <c r="G35" s="25">
        <v>400</v>
      </c>
      <c r="H35" s="25" t="s">
        <v>39</v>
      </c>
      <c r="I35" s="35" t="s">
        <v>135</v>
      </c>
      <c r="J35" s="40" t="s">
        <v>136</v>
      </c>
      <c r="K35" s="25"/>
      <c r="L35" s="25">
        <v>4</v>
      </c>
      <c r="M35" s="25">
        <f>N35+O35</f>
        <v>0.0251</v>
      </c>
      <c r="N35" s="25">
        <v>0.006</v>
      </c>
      <c r="O35" s="25">
        <v>0.0191</v>
      </c>
      <c r="P35" s="25">
        <f>Q35+R35</f>
        <v>0.0859</v>
      </c>
      <c r="Q35" s="25">
        <v>0.0241</v>
      </c>
      <c r="R35" s="25">
        <v>0.0618</v>
      </c>
      <c r="S35" s="15" t="s">
        <v>42</v>
      </c>
      <c r="T35" s="30" t="s">
        <v>137</v>
      </c>
      <c r="U35" s="55">
        <v>2024.1</v>
      </c>
      <c r="V35" s="14"/>
    </row>
    <row r="36" ht="40.05" customHeight="1" spans="1:22">
      <c r="A36" s="19" t="s">
        <v>138</v>
      </c>
      <c r="B36" s="16" t="s">
        <v>139</v>
      </c>
      <c r="C36" s="14"/>
      <c r="D36" s="14"/>
      <c r="E36" s="14"/>
      <c r="F36" s="44"/>
      <c r="G36" s="41">
        <f>G37+G86</f>
        <v>7348.15</v>
      </c>
      <c r="H36" s="25"/>
      <c r="I36" s="44"/>
      <c r="J36" s="14"/>
      <c r="K36" s="14"/>
      <c r="L36" s="14"/>
      <c r="M36" s="14"/>
      <c r="N36" s="14"/>
      <c r="O36" s="14"/>
      <c r="P36" s="14"/>
      <c r="Q36" s="14"/>
      <c r="R36" s="14"/>
      <c r="S36" s="14"/>
      <c r="T36" s="14"/>
      <c r="U36" s="14"/>
      <c r="V36" s="14"/>
    </row>
    <row r="37" ht="43.05" customHeight="1" spans="1:22">
      <c r="A37" s="19" t="s">
        <v>32</v>
      </c>
      <c r="B37" s="16" t="s">
        <v>140</v>
      </c>
      <c r="C37" s="14"/>
      <c r="D37" s="14"/>
      <c r="E37" s="14"/>
      <c r="F37" s="44"/>
      <c r="G37" s="41">
        <v>6920.65</v>
      </c>
      <c r="H37" s="25"/>
      <c r="I37" s="44"/>
      <c r="J37" s="14"/>
      <c r="K37" s="14"/>
      <c r="L37" s="14"/>
      <c r="M37" s="14"/>
      <c r="N37" s="14"/>
      <c r="O37" s="14"/>
      <c r="P37" s="14"/>
      <c r="Q37" s="14"/>
      <c r="R37" s="14"/>
      <c r="S37" s="14"/>
      <c r="T37" s="14"/>
      <c r="U37" s="14"/>
      <c r="V37" s="14"/>
    </row>
    <row r="38" s="2" customFormat="1" ht="70.95" customHeight="1" spans="1:22">
      <c r="A38" s="25">
        <v>1</v>
      </c>
      <c r="B38" s="15" t="s">
        <v>141</v>
      </c>
      <c r="C38" s="25" t="s">
        <v>142</v>
      </c>
      <c r="D38" s="15" t="s">
        <v>36</v>
      </c>
      <c r="E38" s="15" t="s">
        <v>143</v>
      </c>
      <c r="F38" s="26" t="s">
        <v>144</v>
      </c>
      <c r="G38" s="15">
        <v>278.4</v>
      </c>
      <c r="H38" s="25" t="s">
        <v>39</v>
      </c>
      <c r="I38" s="26" t="s">
        <v>145</v>
      </c>
      <c r="J38" s="15"/>
      <c r="K38" s="15"/>
      <c r="L38" s="15">
        <v>1</v>
      </c>
      <c r="M38" s="15">
        <v>0.0615</v>
      </c>
      <c r="N38" s="15">
        <v>0.0123</v>
      </c>
      <c r="O38" s="15">
        <v>0.0492</v>
      </c>
      <c r="P38" s="15">
        <v>0.1558</v>
      </c>
      <c r="Q38" s="15">
        <v>0.0332</v>
      </c>
      <c r="R38" s="15">
        <v>0.1226</v>
      </c>
      <c r="S38" s="15" t="s">
        <v>42</v>
      </c>
      <c r="T38" s="25" t="s">
        <v>43</v>
      </c>
      <c r="U38" s="55">
        <v>2024.1</v>
      </c>
      <c r="V38" s="15"/>
    </row>
    <row r="39" s="2" customFormat="1" ht="70.95" customHeight="1" spans="1:22">
      <c r="A39" s="25">
        <v>2</v>
      </c>
      <c r="B39" s="15" t="s">
        <v>146</v>
      </c>
      <c r="C39" s="25" t="s">
        <v>142</v>
      </c>
      <c r="D39" s="15" t="s">
        <v>36</v>
      </c>
      <c r="E39" s="15" t="s">
        <v>143</v>
      </c>
      <c r="F39" s="26" t="s">
        <v>147</v>
      </c>
      <c r="G39" s="15">
        <v>327</v>
      </c>
      <c r="H39" s="25" t="s">
        <v>39</v>
      </c>
      <c r="I39" s="26" t="s">
        <v>145</v>
      </c>
      <c r="J39" s="15"/>
      <c r="K39" s="15"/>
      <c r="L39" s="15">
        <v>1</v>
      </c>
      <c r="M39" s="15">
        <f t="shared" ref="M39:M41" si="0">N39+O39</f>
        <v>0.0615</v>
      </c>
      <c r="N39" s="15">
        <v>0.0123</v>
      </c>
      <c r="O39" s="15">
        <v>0.0492</v>
      </c>
      <c r="P39" s="15">
        <f t="shared" ref="P39:P41" si="1">Q39+R39</f>
        <v>0.1558</v>
      </c>
      <c r="Q39" s="15">
        <v>0.0332</v>
      </c>
      <c r="R39" s="15">
        <v>0.1226</v>
      </c>
      <c r="S39" s="15" t="s">
        <v>42</v>
      </c>
      <c r="T39" s="25" t="s">
        <v>43</v>
      </c>
      <c r="U39" s="55">
        <v>2024.1</v>
      </c>
      <c r="V39" s="15"/>
    </row>
    <row r="40" s="2" customFormat="1" ht="64.95" customHeight="1" spans="1:22">
      <c r="A40" s="25">
        <v>3</v>
      </c>
      <c r="B40" s="15" t="s">
        <v>148</v>
      </c>
      <c r="C40" s="25" t="s">
        <v>35</v>
      </c>
      <c r="D40" s="15" t="s">
        <v>36</v>
      </c>
      <c r="E40" s="15" t="s">
        <v>149</v>
      </c>
      <c r="F40" s="26" t="s">
        <v>150</v>
      </c>
      <c r="G40" s="15">
        <v>300</v>
      </c>
      <c r="H40" s="25" t="s">
        <v>39</v>
      </c>
      <c r="I40" s="26" t="s">
        <v>151</v>
      </c>
      <c r="J40" s="15"/>
      <c r="K40" s="15"/>
      <c r="L40" s="15">
        <v>1</v>
      </c>
      <c r="M40" s="15">
        <f t="shared" si="0"/>
        <v>0.0526</v>
      </c>
      <c r="N40" s="15">
        <v>0.0013</v>
      </c>
      <c r="O40" s="15">
        <v>0.0513</v>
      </c>
      <c r="P40" s="15">
        <f t="shared" si="1"/>
        <v>0.1785</v>
      </c>
      <c r="Q40" s="15">
        <v>0.0062</v>
      </c>
      <c r="R40" s="15">
        <v>0.1723</v>
      </c>
      <c r="S40" s="15" t="s">
        <v>42</v>
      </c>
      <c r="T40" s="25" t="s">
        <v>43</v>
      </c>
      <c r="U40" s="55">
        <v>2024.1</v>
      </c>
      <c r="V40" s="15"/>
    </row>
    <row r="41" s="2" customFormat="1" ht="64.95" customHeight="1" spans="1:22">
      <c r="A41" s="25">
        <v>4</v>
      </c>
      <c r="B41" s="27" t="s">
        <v>152</v>
      </c>
      <c r="C41" s="27" t="s">
        <v>35</v>
      </c>
      <c r="D41" s="27" t="s">
        <v>36</v>
      </c>
      <c r="E41" s="27" t="s">
        <v>153</v>
      </c>
      <c r="F41" s="45" t="s">
        <v>154</v>
      </c>
      <c r="G41" s="15">
        <v>19</v>
      </c>
      <c r="H41" s="25"/>
      <c r="I41" s="28" t="s">
        <v>155</v>
      </c>
      <c r="J41" s="15"/>
      <c r="K41" s="15"/>
      <c r="L41" s="15">
        <v>1</v>
      </c>
      <c r="M41" s="15">
        <f t="shared" si="0"/>
        <v>0.0615</v>
      </c>
      <c r="N41" s="15">
        <v>0.0123</v>
      </c>
      <c r="O41" s="15">
        <v>0.0492</v>
      </c>
      <c r="P41" s="15">
        <f t="shared" si="1"/>
        <v>0.1558</v>
      </c>
      <c r="Q41" s="15">
        <v>0.0332</v>
      </c>
      <c r="R41" s="15">
        <v>0.1226</v>
      </c>
      <c r="S41" s="15" t="s">
        <v>42</v>
      </c>
      <c r="T41" s="25" t="s">
        <v>43</v>
      </c>
      <c r="U41" s="55">
        <v>2024.1</v>
      </c>
      <c r="V41" s="15"/>
    </row>
    <row r="42" s="2" customFormat="1" ht="67.05" customHeight="1" spans="1:22">
      <c r="A42" s="25">
        <v>5</v>
      </c>
      <c r="B42" s="46" t="s">
        <v>156</v>
      </c>
      <c r="C42" s="25" t="s">
        <v>35</v>
      </c>
      <c r="D42" s="15" t="s">
        <v>36</v>
      </c>
      <c r="E42" s="25" t="s">
        <v>157</v>
      </c>
      <c r="F42" s="45" t="s">
        <v>158</v>
      </c>
      <c r="G42" s="25">
        <v>210</v>
      </c>
      <c r="H42" s="25" t="s">
        <v>39</v>
      </c>
      <c r="I42" s="40" t="s">
        <v>151</v>
      </c>
      <c r="J42" s="25"/>
      <c r="K42" s="25"/>
      <c r="L42" s="25">
        <v>1</v>
      </c>
      <c r="M42" s="25">
        <v>0.017</v>
      </c>
      <c r="N42" s="25">
        <v>0.0042</v>
      </c>
      <c r="O42" s="25">
        <v>0.0128</v>
      </c>
      <c r="P42" s="25">
        <v>0.0939</v>
      </c>
      <c r="Q42" s="25">
        <v>0.0223</v>
      </c>
      <c r="R42" s="25">
        <v>0.0716</v>
      </c>
      <c r="S42" s="15" t="s">
        <v>42</v>
      </c>
      <c r="T42" s="25" t="s">
        <v>43</v>
      </c>
      <c r="U42" s="55">
        <v>2024.1</v>
      </c>
      <c r="V42" s="15"/>
    </row>
    <row r="43" s="2" customFormat="1" ht="57" customHeight="1" spans="1:22">
      <c r="A43" s="25">
        <v>6</v>
      </c>
      <c r="B43" s="46" t="s">
        <v>159</v>
      </c>
      <c r="C43" s="25" t="s">
        <v>35</v>
      </c>
      <c r="D43" s="15" t="s">
        <v>36</v>
      </c>
      <c r="E43" s="15" t="s">
        <v>37</v>
      </c>
      <c r="F43" s="45" t="s">
        <v>160</v>
      </c>
      <c r="G43" s="25">
        <v>180</v>
      </c>
      <c r="H43" s="25"/>
      <c r="I43" s="40" t="s">
        <v>151</v>
      </c>
      <c r="J43" s="25"/>
      <c r="K43" s="25"/>
      <c r="L43" s="25">
        <v>1</v>
      </c>
      <c r="M43" s="25">
        <v>0.0075</v>
      </c>
      <c r="N43" s="25">
        <v>0.0003</v>
      </c>
      <c r="O43" s="25">
        <v>0.0072</v>
      </c>
      <c r="P43" s="25">
        <v>0.0302</v>
      </c>
      <c r="Q43" s="25">
        <v>0.0014</v>
      </c>
      <c r="R43" s="25">
        <v>0.0288</v>
      </c>
      <c r="S43" s="15" t="s">
        <v>42</v>
      </c>
      <c r="T43" s="25" t="s">
        <v>43</v>
      </c>
      <c r="U43" s="55">
        <v>2024.1</v>
      </c>
      <c r="V43" s="15"/>
    </row>
    <row r="44" ht="69" customHeight="1" spans="1:22">
      <c r="A44" s="25">
        <v>7</v>
      </c>
      <c r="B44" s="47" t="s">
        <v>161</v>
      </c>
      <c r="C44" s="48" t="s">
        <v>35</v>
      </c>
      <c r="D44" s="46" t="s">
        <v>36</v>
      </c>
      <c r="E44" s="48" t="s">
        <v>46</v>
      </c>
      <c r="F44" s="49" t="s">
        <v>162</v>
      </c>
      <c r="G44" s="48">
        <v>105</v>
      </c>
      <c r="H44" s="25" t="s">
        <v>39</v>
      </c>
      <c r="I44" s="26" t="s">
        <v>163</v>
      </c>
      <c r="J44" s="15"/>
      <c r="K44" s="15"/>
      <c r="L44" s="15">
        <v>1</v>
      </c>
      <c r="M44" s="15">
        <v>0.0075</v>
      </c>
      <c r="N44" s="15">
        <v>0.0003</v>
      </c>
      <c r="O44" s="15">
        <v>0.0072</v>
      </c>
      <c r="P44" s="15">
        <v>0.0302</v>
      </c>
      <c r="Q44" s="15">
        <v>0.0014</v>
      </c>
      <c r="R44" s="15">
        <v>0.0288</v>
      </c>
      <c r="S44" s="15" t="s">
        <v>42</v>
      </c>
      <c r="T44" s="25" t="s">
        <v>43</v>
      </c>
      <c r="U44" s="55">
        <v>2024.1</v>
      </c>
      <c r="V44" s="14"/>
    </row>
    <row r="45" s="2" customFormat="1" ht="61.95" customHeight="1" spans="1:22">
      <c r="A45" s="25">
        <v>8</v>
      </c>
      <c r="B45" s="25" t="s">
        <v>164</v>
      </c>
      <c r="C45" s="25" t="s">
        <v>35</v>
      </c>
      <c r="D45" s="15" t="s">
        <v>36</v>
      </c>
      <c r="E45" s="25" t="s">
        <v>165</v>
      </c>
      <c r="F45" s="40" t="s">
        <v>166</v>
      </c>
      <c r="G45" s="25">
        <v>90</v>
      </c>
      <c r="H45" s="25" t="s">
        <v>39</v>
      </c>
      <c r="I45" s="40" t="s">
        <v>151</v>
      </c>
      <c r="J45" s="25"/>
      <c r="K45" s="25"/>
      <c r="L45" s="25">
        <v>1</v>
      </c>
      <c r="M45" s="25">
        <v>0.0373</v>
      </c>
      <c r="N45" s="25">
        <v>0.0013</v>
      </c>
      <c r="O45" s="25">
        <v>0.036</v>
      </c>
      <c r="P45" s="25">
        <v>0.148</v>
      </c>
      <c r="Q45" s="25">
        <v>0.028</v>
      </c>
      <c r="R45" s="25">
        <v>0.12</v>
      </c>
      <c r="S45" s="15" t="s">
        <v>42</v>
      </c>
      <c r="T45" s="25" t="s">
        <v>43</v>
      </c>
      <c r="U45" s="55">
        <v>2024.1</v>
      </c>
      <c r="V45" s="15"/>
    </row>
    <row r="46" ht="66" customHeight="1" spans="1:22">
      <c r="A46" s="25">
        <v>9</v>
      </c>
      <c r="B46" s="25" t="s">
        <v>167</v>
      </c>
      <c r="C46" s="25" t="s">
        <v>35</v>
      </c>
      <c r="D46" s="15" t="s">
        <v>36</v>
      </c>
      <c r="E46" s="15" t="s">
        <v>168</v>
      </c>
      <c r="F46" s="40" t="s">
        <v>169</v>
      </c>
      <c r="G46" s="14">
        <v>90</v>
      </c>
      <c r="H46" s="25" t="s">
        <v>39</v>
      </c>
      <c r="I46" s="26" t="s">
        <v>151</v>
      </c>
      <c r="J46" s="14"/>
      <c r="K46" s="14"/>
      <c r="L46" s="6">
        <v>1</v>
      </c>
      <c r="M46" s="14">
        <v>0.0434</v>
      </c>
      <c r="N46" s="14">
        <v>0.0012</v>
      </c>
      <c r="O46" s="14">
        <v>0.0422</v>
      </c>
      <c r="P46" s="14">
        <v>0.1746</v>
      </c>
      <c r="Q46" s="14">
        <v>0.0042</v>
      </c>
      <c r="R46" s="14">
        <v>0.165</v>
      </c>
      <c r="S46" s="15" t="s">
        <v>42</v>
      </c>
      <c r="T46" s="25" t="s">
        <v>43</v>
      </c>
      <c r="U46" s="55">
        <v>2024.1</v>
      </c>
      <c r="V46" s="14"/>
    </row>
    <row r="47" s="2" customFormat="1" ht="57" customHeight="1" spans="1:22">
      <c r="A47" s="25">
        <v>10</v>
      </c>
      <c r="B47" s="25" t="s">
        <v>170</v>
      </c>
      <c r="C47" s="25" t="s">
        <v>35</v>
      </c>
      <c r="D47" s="15" t="s">
        <v>36</v>
      </c>
      <c r="E47" s="15" t="s">
        <v>171</v>
      </c>
      <c r="F47" s="40" t="s">
        <v>172</v>
      </c>
      <c r="G47" s="15">
        <v>75</v>
      </c>
      <c r="H47" s="25" t="s">
        <v>39</v>
      </c>
      <c r="I47" s="40" t="s">
        <v>151</v>
      </c>
      <c r="J47" s="15"/>
      <c r="K47" s="15"/>
      <c r="L47" s="15">
        <v>1</v>
      </c>
      <c r="M47" s="15">
        <v>0.0275</v>
      </c>
      <c r="N47" s="15">
        <v>0.0063</v>
      </c>
      <c r="O47" s="15">
        <v>0.0213</v>
      </c>
      <c r="P47" s="15">
        <v>0.0964</v>
      </c>
      <c r="Q47" s="15">
        <v>0.0276</v>
      </c>
      <c r="R47" s="15">
        <v>0.0688</v>
      </c>
      <c r="S47" s="15" t="s">
        <v>42</v>
      </c>
      <c r="T47" s="25" t="s">
        <v>43</v>
      </c>
      <c r="U47" s="55">
        <v>2024.1</v>
      </c>
      <c r="V47" s="15"/>
    </row>
    <row r="48" ht="78" customHeight="1" spans="1:22">
      <c r="A48" s="25">
        <v>11</v>
      </c>
      <c r="B48" s="15" t="s">
        <v>173</v>
      </c>
      <c r="C48" s="25" t="s">
        <v>35</v>
      </c>
      <c r="D48" s="15" t="s">
        <v>36</v>
      </c>
      <c r="E48" s="15" t="s">
        <v>37</v>
      </c>
      <c r="F48" s="26" t="s">
        <v>174</v>
      </c>
      <c r="G48" s="15">
        <v>65.25</v>
      </c>
      <c r="H48" s="25" t="s">
        <v>39</v>
      </c>
      <c r="I48" s="26" t="s">
        <v>175</v>
      </c>
      <c r="J48" s="14"/>
      <c r="K48" s="14"/>
      <c r="L48" s="14">
        <v>1</v>
      </c>
      <c r="M48" s="14">
        <v>0.0149</v>
      </c>
      <c r="N48" s="14">
        <v>0.0006</v>
      </c>
      <c r="O48" s="14">
        <v>0.0143</v>
      </c>
      <c r="P48" s="14">
        <v>0.063</v>
      </c>
      <c r="Q48" s="14">
        <v>0.0029</v>
      </c>
      <c r="R48" s="14">
        <v>0.0601</v>
      </c>
      <c r="S48" s="15" t="s">
        <v>42</v>
      </c>
      <c r="T48" s="25" t="s">
        <v>43</v>
      </c>
      <c r="U48" s="55">
        <v>2024.1</v>
      </c>
      <c r="V48" s="14"/>
    </row>
    <row r="49" s="2" customFormat="1" ht="57" customHeight="1" spans="1:22">
      <c r="A49" s="25">
        <v>12</v>
      </c>
      <c r="B49" s="25" t="s">
        <v>176</v>
      </c>
      <c r="C49" s="25" t="s">
        <v>35</v>
      </c>
      <c r="D49" s="15" t="s">
        <v>36</v>
      </c>
      <c r="E49" s="15" t="s">
        <v>177</v>
      </c>
      <c r="F49" s="40" t="s">
        <v>172</v>
      </c>
      <c r="G49" s="15">
        <v>90</v>
      </c>
      <c r="H49" s="25" t="s">
        <v>39</v>
      </c>
      <c r="I49" s="26" t="s">
        <v>151</v>
      </c>
      <c r="J49" s="15"/>
      <c r="K49" s="15"/>
      <c r="L49" s="15">
        <v>1</v>
      </c>
      <c r="M49" s="15">
        <v>0.028</v>
      </c>
      <c r="N49" s="15">
        <v>0.0021</v>
      </c>
      <c r="O49" s="15">
        <v>0.0259</v>
      </c>
      <c r="P49" s="15">
        <v>0.098</v>
      </c>
      <c r="Q49" s="15">
        <v>0.0074</v>
      </c>
      <c r="R49" s="15">
        <v>0.0906</v>
      </c>
      <c r="S49" s="15" t="s">
        <v>42</v>
      </c>
      <c r="T49" s="25" t="s">
        <v>43</v>
      </c>
      <c r="U49" s="55">
        <v>2024.1</v>
      </c>
      <c r="V49" s="15"/>
    </row>
    <row r="50" s="2" customFormat="1" ht="57" customHeight="1" spans="1:22">
      <c r="A50" s="25">
        <v>13</v>
      </c>
      <c r="B50" s="25" t="s">
        <v>178</v>
      </c>
      <c r="C50" s="25" t="s">
        <v>35</v>
      </c>
      <c r="D50" s="15" t="s">
        <v>36</v>
      </c>
      <c r="E50" s="15" t="s">
        <v>179</v>
      </c>
      <c r="F50" s="40" t="s">
        <v>172</v>
      </c>
      <c r="G50" s="15">
        <v>90</v>
      </c>
      <c r="H50" s="25" t="s">
        <v>39</v>
      </c>
      <c r="I50" s="26" t="s">
        <v>151</v>
      </c>
      <c r="J50" s="15"/>
      <c r="K50" s="15"/>
      <c r="L50" s="15">
        <v>1</v>
      </c>
      <c r="M50" s="15">
        <v>0.028</v>
      </c>
      <c r="N50" s="15">
        <v>0.0025</v>
      </c>
      <c r="O50" s="15">
        <v>0.0663</v>
      </c>
      <c r="P50" s="15">
        <v>0.098</v>
      </c>
      <c r="Q50" s="15">
        <v>0.0099</v>
      </c>
      <c r="R50" s="15">
        <v>0.2024</v>
      </c>
      <c r="S50" s="15" t="s">
        <v>42</v>
      </c>
      <c r="T50" s="25" t="s">
        <v>43</v>
      </c>
      <c r="U50" s="55">
        <v>2024.1</v>
      </c>
      <c r="V50" s="15"/>
    </row>
    <row r="51" s="2" customFormat="1" ht="58.05" customHeight="1" spans="1:22">
      <c r="A51" s="25">
        <v>14</v>
      </c>
      <c r="B51" s="25" t="s">
        <v>180</v>
      </c>
      <c r="C51" s="25" t="s">
        <v>35</v>
      </c>
      <c r="D51" s="15" t="s">
        <v>36</v>
      </c>
      <c r="E51" s="15" t="s">
        <v>181</v>
      </c>
      <c r="F51" s="40" t="s">
        <v>182</v>
      </c>
      <c r="G51" s="15">
        <v>52</v>
      </c>
      <c r="H51" s="25" t="s">
        <v>39</v>
      </c>
      <c r="I51" s="26" t="s">
        <v>151</v>
      </c>
      <c r="J51" s="15"/>
      <c r="K51" s="15"/>
      <c r="L51" s="15">
        <v>1</v>
      </c>
      <c r="M51" s="15">
        <v>0.03</v>
      </c>
      <c r="N51" s="15">
        <v>0.002</v>
      </c>
      <c r="O51" s="15">
        <v>0.028</v>
      </c>
      <c r="P51" s="15">
        <v>0.09</v>
      </c>
      <c r="Q51" s="15">
        <v>0.006</v>
      </c>
      <c r="R51" s="15">
        <v>0.084</v>
      </c>
      <c r="S51" s="15" t="s">
        <v>42</v>
      </c>
      <c r="T51" s="25" t="s">
        <v>43</v>
      </c>
      <c r="U51" s="55">
        <v>2024.1</v>
      </c>
      <c r="V51" s="15"/>
    </row>
    <row r="52" ht="55.05" customHeight="1" spans="1:22">
      <c r="A52" s="25">
        <v>15</v>
      </c>
      <c r="B52" s="15" t="s">
        <v>183</v>
      </c>
      <c r="C52" s="15" t="s">
        <v>35</v>
      </c>
      <c r="D52" s="15" t="s">
        <v>36</v>
      </c>
      <c r="E52" s="15" t="s">
        <v>184</v>
      </c>
      <c r="F52" s="26" t="s">
        <v>185</v>
      </c>
      <c r="G52" s="15">
        <v>275</v>
      </c>
      <c r="H52" s="25" t="s">
        <v>39</v>
      </c>
      <c r="I52" s="26" t="s">
        <v>186</v>
      </c>
      <c r="J52" s="15"/>
      <c r="K52" s="15"/>
      <c r="L52" s="15">
        <v>1</v>
      </c>
      <c r="M52" s="15">
        <v>0.0195</v>
      </c>
      <c r="N52" s="15">
        <v>0.0032</v>
      </c>
      <c r="O52" s="15">
        <v>0.0163</v>
      </c>
      <c r="P52" s="15">
        <v>0.0678</v>
      </c>
      <c r="Q52" s="15">
        <v>0.0137</v>
      </c>
      <c r="R52" s="15">
        <v>0.0541</v>
      </c>
      <c r="S52" s="15" t="s">
        <v>187</v>
      </c>
      <c r="T52" s="15" t="s">
        <v>124</v>
      </c>
      <c r="U52" s="55">
        <v>2024.1</v>
      </c>
      <c r="V52" s="14"/>
    </row>
    <row r="53" ht="61.95" customHeight="1" spans="1:22">
      <c r="A53" s="25">
        <v>16</v>
      </c>
      <c r="B53" s="15" t="s">
        <v>188</v>
      </c>
      <c r="C53" s="15" t="s">
        <v>35</v>
      </c>
      <c r="D53" s="15" t="s">
        <v>36</v>
      </c>
      <c r="E53" s="15" t="s">
        <v>189</v>
      </c>
      <c r="F53" s="26" t="s">
        <v>190</v>
      </c>
      <c r="G53" s="15">
        <v>85</v>
      </c>
      <c r="H53" s="25" t="s">
        <v>39</v>
      </c>
      <c r="I53" s="26" t="s">
        <v>191</v>
      </c>
      <c r="J53" s="15"/>
      <c r="K53" s="15"/>
      <c r="L53" s="15">
        <v>1</v>
      </c>
      <c r="M53" s="15">
        <v>0.0355</v>
      </c>
      <c r="N53" s="15">
        <v>0.001</v>
      </c>
      <c r="O53" s="15">
        <v>0.0345</v>
      </c>
      <c r="P53" s="15">
        <v>0.1347</v>
      </c>
      <c r="Q53" s="15">
        <v>0.0037</v>
      </c>
      <c r="R53" s="15">
        <v>0.131</v>
      </c>
      <c r="S53" s="15" t="s">
        <v>187</v>
      </c>
      <c r="T53" s="15" t="s">
        <v>124</v>
      </c>
      <c r="U53" s="55">
        <v>2024.1</v>
      </c>
      <c r="V53" s="14"/>
    </row>
    <row r="54" ht="61.95" customHeight="1" spans="1:22">
      <c r="A54" s="25">
        <v>17</v>
      </c>
      <c r="B54" s="15" t="s">
        <v>192</v>
      </c>
      <c r="C54" s="15" t="s">
        <v>35</v>
      </c>
      <c r="D54" s="15" t="s">
        <v>36</v>
      </c>
      <c r="E54" s="15" t="s">
        <v>193</v>
      </c>
      <c r="F54" s="26" t="s">
        <v>194</v>
      </c>
      <c r="G54" s="15">
        <v>75</v>
      </c>
      <c r="H54" s="25" t="s">
        <v>39</v>
      </c>
      <c r="I54" s="26" t="s">
        <v>195</v>
      </c>
      <c r="J54" s="15"/>
      <c r="K54" s="15"/>
      <c r="L54" s="15">
        <v>1</v>
      </c>
      <c r="M54" s="15">
        <v>0.0162</v>
      </c>
      <c r="N54" s="15">
        <v>0.016</v>
      </c>
      <c r="O54" s="15">
        <v>0.0002</v>
      </c>
      <c r="P54" s="15">
        <v>0.0543</v>
      </c>
      <c r="Q54" s="15">
        <v>0.0533</v>
      </c>
      <c r="R54" s="15">
        <v>0.001</v>
      </c>
      <c r="S54" s="15" t="s">
        <v>42</v>
      </c>
      <c r="T54" s="15" t="s">
        <v>124</v>
      </c>
      <c r="U54" s="55">
        <v>2024.1</v>
      </c>
      <c r="V54" s="14"/>
    </row>
    <row r="55" ht="54" customHeight="1" spans="1:22">
      <c r="A55" s="25">
        <v>18</v>
      </c>
      <c r="B55" s="15" t="s">
        <v>196</v>
      </c>
      <c r="C55" s="15" t="s">
        <v>35</v>
      </c>
      <c r="D55" s="15" t="s">
        <v>36</v>
      </c>
      <c r="E55" s="15" t="s">
        <v>189</v>
      </c>
      <c r="F55" s="26" t="s">
        <v>197</v>
      </c>
      <c r="G55" s="15">
        <v>60</v>
      </c>
      <c r="H55" s="25" t="s">
        <v>39</v>
      </c>
      <c r="I55" s="26" t="s">
        <v>198</v>
      </c>
      <c r="J55" s="15"/>
      <c r="K55" s="15"/>
      <c r="L55" s="15">
        <v>1</v>
      </c>
      <c r="M55" s="15">
        <v>0.0098</v>
      </c>
      <c r="N55" s="15">
        <v>0.0004</v>
      </c>
      <c r="O55" s="15">
        <v>0.0094</v>
      </c>
      <c r="P55" s="15">
        <v>0.0488</v>
      </c>
      <c r="Q55" s="15">
        <v>0.0014</v>
      </c>
      <c r="R55" s="15">
        <v>0.0474</v>
      </c>
      <c r="S55" s="15" t="s">
        <v>42</v>
      </c>
      <c r="T55" s="15" t="s">
        <v>124</v>
      </c>
      <c r="U55" s="55">
        <v>2024.1</v>
      </c>
      <c r="V55" s="14"/>
    </row>
    <row r="56" ht="61.05" customHeight="1" spans="1:22">
      <c r="A56" s="25">
        <v>19</v>
      </c>
      <c r="B56" s="15" t="s">
        <v>199</v>
      </c>
      <c r="C56" s="15" t="s">
        <v>35</v>
      </c>
      <c r="D56" s="15" t="s">
        <v>36</v>
      </c>
      <c r="E56" s="15" t="s">
        <v>200</v>
      </c>
      <c r="F56" s="50" t="s">
        <v>201</v>
      </c>
      <c r="G56" s="46">
        <v>49</v>
      </c>
      <c r="H56" s="25" t="s">
        <v>39</v>
      </c>
      <c r="I56" s="26" t="s">
        <v>202</v>
      </c>
      <c r="J56" s="15"/>
      <c r="K56" s="15"/>
      <c r="L56" s="15">
        <v>1</v>
      </c>
      <c r="M56" s="15">
        <v>0.009</v>
      </c>
      <c r="N56" s="15">
        <v>0.001</v>
      </c>
      <c r="O56" s="15">
        <v>0.008</v>
      </c>
      <c r="P56" s="15">
        <v>0.036</v>
      </c>
      <c r="Q56" s="15">
        <v>0.044</v>
      </c>
      <c r="R56" s="15">
        <v>0.0316</v>
      </c>
      <c r="S56" s="15" t="s">
        <v>42</v>
      </c>
      <c r="T56" s="15" t="s">
        <v>124</v>
      </c>
      <c r="U56" s="55">
        <v>2024.1</v>
      </c>
      <c r="V56" s="14"/>
    </row>
    <row r="57" ht="66" customHeight="1" spans="1:22">
      <c r="A57" s="25">
        <v>20</v>
      </c>
      <c r="B57" s="15" t="s">
        <v>203</v>
      </c>
      <c r="C57" s="14" t="s">
        <v>142</v>
      </c>
      <c r="D57" s="15" t="s">
        <v>36</v>
      </c>
      <c r="E57" s="15" t="s">
        <v>204</v>
      </c>
      <c r="F57" s="44" t="s">
        <v>205</v>
      </c>
      <c r="G57" s="14">
        <v>50</v>
      </c>
      <c r="H57" s="25" t="s">
        <v>39</v>
      </c>
      <c r="I57" s="26" t="s">
        <v>206</v>
      </c>
      <c r="J57" s="15"/>
      <c r="K57" s="15"/>
      <c r="L57" s="15">
        <v>1</v>
      </c>
      <c r="M57" s="15">
        <v>0.0201</v>
      </c>
      <c r="N57" s="15">
        <v>0.0015</v>
      </c>
      <c r="O57" s="15">
        <v>0.0186</v>
      </c>
      <c r="P57" s="15">
        <v>0.0801</v>
      </c>
      <c r="Q57" s="15">
        <v>0.0066</v>
      </c>
      <c r="R57" s="15">
        <v>0.0735</v>
      </c>
      <c r="S57" s="15" t="s">
        <v>42</v>
      </c>
      <c r="T57" s="15" t="s">
        <v>124</v>
      </c>
      <c r="U57" s="55">
        <v>2024.1</v>
      </c>
      <c r="V57" s="14"/>
    </row>
    <row r="58" ht="151.05" customHeight="1" spans="1:22">
      <c r="A58" s="25">
        <v>21</v>
      </c>
      <c r="B58" s="25" t="s">
        <v>207</v>
      </c>
      <c r="C58" s="25" t="s">
        <v>208</v>
      </c>
      <c r="D58" s="15" t="s">
        <v>36</v>
      </c>
      <c r="E58" s="51" t="s">
        <v>209</v>
      </c>
      <c r="F58" s="40" t="s">
        <v>210</v>
      </c>
      <c r="G58" s="25">
        <v>42</v>
      </c>
      <c r="H58" s="25" t="s">
        <v>39</v>
      </c>
      <c r="I58" s="40" t="s">
        <v>211</v>
      </c>
      <c r="J58" s="25"/>
      <c r="K58" s="25"/>
      <c r="L58" s="51">
        <v>4</v>
      </c>
      <c r="M58" s="51">
        <v>0.0874</v>
      </c>
      <c r="N58" s="51">
        <v>0.0055</v>
      </c>
      <c r="O58" s="51">
        <v>0.0819</v>
      </c>
      <c r="P58" s="51">
        <v>0.3366</v>
      </c>
      <c r="Q58" s="51">
        <v>0.0201</v>
      </c>
      <c r="R58" s="57">
        <v>0.3165</v>
      </c>
      <c r="S58" s="14" t="s">
        <v>187</v>
      </c>
      <c r="T58" s="15" t="s">
        <v>124</v>
      </c>
      <c r="U58" s="55">
        <v>2024.1</v>
      </c>
      <c r="V58" s="14"/>
    </row>
    <row r="59" ht="78" customHeight="1" spans="1:22">
      <c r="A59" s="25">
        <v>22</v>
      </c>
      <c r="B59" s="15" t="s">
        <v>212</v>
      </c>
      <c r="C59" s="15" t="s">
        <v>35</v>
      </c>
      <c r="D59" s="15" t="s">
        <v>36</v>
      </c>
      <c r="E59" s="15" t="s">
        <v>213</v>
      </c>
      <c r="F59" s="26" t="s">
        <v>214</v>
      </c>
      <c r="G59" s="15">
        <v>33</v>
      </c>
      <c r="H59" s="25" t="s">
        <v>39</v>
      </c>
      <c r="I59" s="26" t="s">
        <v>215</v>
      </c>
      <c r="J59" s="54"/>
      <c r="K59" s="34"/>
      <c r="L59" s="15">
        <v>1</v>
      </c>
      <c r="M59" s="15">
        <v>0.0232</v>
      </c>
      <c r="N59" s="15">
        <v>0.0001</v>
      </c>
      <c r="O59" s="15">
        <v>0.0231</v>
      </c>
      <c r="P59" s="15">
        <v>0.00856</v>
      </c>
      <c r="Q59" s="15">
        <v>0.0005</v>
      </c>
      <c r="R59" s="15">
        <v>0.00851</v>
      </c>
      <c r="S59" s="15" t="s">
        <v>42</v>
      </c>
      <c r="T59" s="15" t="s">
        <v>124</v>
      </c>
      <c r="U59" s="55">
        <v>2024.1</v>
      </c>
      <c r="V59" s="14"/>
    </row>
    <row r="60" ht="78" customHeight="1" spans="1:22">
      <c r="A60" s="25">
        <v>23</v>
      </c>
      <c r="B60" s="15" t="s">
        <v>216</v>
      </c>
      <c r="C60" s="15" t="s">
        <v>35</v>
      </c>
      <c r="D60" s="15" t="s">
        <v>36</v>
      </c>
      <c r="E60" s="15" t="s">
        <v>217</v>
      </c>
      <c r="F60" s="26" t="s">
        <v>218</v>
      </c>
      <c r="G60" s="15">
        <v>400</v>
      </c>
      <c r="H60" s="25"/>
      <c r="I60" s="26" t="s">
        <v>219</v>
      </c>
      <c r="J60" s="54"/>
      <c r="K60" s="34"/>
      <c r="L60" s="15">
        <v>1</v>
      </c>
      <c r="M60" s="15">
        <f>N60+O60</f>
        <v>0.0559</v>
      </c>
      <c r="N60" s="15">
        <v>0.015</v>
      </c>
      <c r="O60" s="15">
        <v>0.0409</v>
      </c>
      <c r="P60" s="15">
        <f>Q60+R60</f>
        <v>0.2342</v>
      </c>
      <c r="Q60" s="15">
        <v>0.063</v>
      </c>
      <c r="R60" s="15">
        <v>0.1712</v>
      </c>
      <c r="S60" s="15" t="s">
        <v>42</v>
      </c>
      <c r="T60" s="15" t="s">
        <v>69</v>
      </c>
      <c r="U60" s="55">
        <v>2024.1</v>
      </c>
      <c r="V60" s="14"/>
    </row>
    <row r="61" ht="78" customHeight="1" spans="1:22">
      <c r="A61" s="25">
        <v>24</v>
      </c>
      <c r="B61" s="15" t="s">
        <v>220</v>
      </c>
      <c r="C61" s="15" t="s">
        <v>35</v>
      </c>
      <c r="D61" s="15" t="s">
        <v>36</v>
      </c>
      <c r="E61" s="15" t="s">
        <v>217</v>
      </c>
      <c r="F61" s="26" t="s">
        <v>221</v>
      </c>
      <c r="G61" s="15">
        <v>720</v>
      </c>
      <c r="H61" s="25"/>
      <c r="I61" s="26" t="s">
        <v>219</v>
      </c>
      <c r="J61" s="54"/>
      <c r="K61" s="34"/>
      <c r="L61" s="15">
        <v>1</v>
      </c>
      <c r="M61" s="15">
        <f>N61+O61</f>
        <v>0.0559</v>
      </c>
      <c r="N61" s="15">
        <v>0.015</v>
      </c>
      <c r="O61" s="15">
        <v>0.0409</v>
      </c>
      <c r="P61" s="15">
        <f>Q61+R61</f>
        <v>0.2342</v>
      </c>
      <c r="Q61" s="15">
        <v>0.063</v>
      </c>
      <c r="R61" s="15">
        <v>0.1712</v>
      </c>
      <c r="S61" s="15" t="s">
        <v>42</v>
      </c>
      <c r="T61" s="15" t="s">
        <v>69</v>
      </c>
      <c r="U61" s="55">
        <v>2024.1</v>
      </c>
      <c r="V61" s="14"/>
    </row>
    <row r="62" ht="78" customHeight="1" spans="1:22">
      <c r="A62" s="25">
        <v>25</v>
      </c>
      <c r="B62" s="15" t="s">
        <v>222</v>
      </c>
      <c r="C62" s="15" t="s">
        <v>35</v>
      </c>
      <c r="D62" s="15" t="s">
        <v>36</v>
      </c>
      <c r="E62" s="15" t="s">
        <v>223</v>
      </c>
      <c r="F62" s="26" t="s">
        <v>224</v>
      </c>
      <c r="G62" s="15">
        <v>60</v>
      </c>
      <c r="H62" s="25"/>
      <c r="I62" s="26" t="s">
        <v>225</v>
      </c>
      <c r="J62" s="54"/>
      <c r="K62" s="34"/>
      <c r="L62" s="15">
        <v>1</v>
      </c>
      <c r="M62" s="15">
        <f>N62+O62</f>
        <v>0.046</v>
      </c>
      <c r="N62" s="15">
        <v>0.003</v>
      </c>
      <c r="O62" s="15">
        <v>0.043</v>
      </c>
      <c r="P62" s="15">
        <f>Q62+R62</f>
        <v>0.1936</v>
      </c>
      <c r="Q62" s="15">
        <v>0.0126</v>
      </c>
      <c r="R62" s="15">
        <v>0.181</v>
      </c>
      <c r="S62" s="15" t="s">
        <v>42</v>
      </c>
      <c r="T62" s="15" t="s">
        <v>69</v>
      </c>
      <c r="U62" s="55">
        <v>2024.1</v>
      </c>
      <c r="V62" s="14"/>
    </row>
    <row r="63" ht="112.95" customHeight="1" spans="1:22">
      <c r="A63" s="25">
        <v>26</v>
      </c>
      <c r="B63" s="25" t="s">
        <v>226</v>
      </c>
      <c r="C63" s="25" t="s">
        <v>35</v>
      </c>
      <c r="D63" s="15" t="s">
        <v>36</v>
      </c>
      <c r="E63" s="25" t="s">
        <v>227</v>
      </c>
      <c r="F63" s="40" t="s">
        <v>228</v>
      </c>
      <c r="G63" s="25">
        <v>18</v>
      </c>
      <c r="H63" s="25" t="s">
        <v>39</v>
      </c>
      <c r="I63" s="40" t="s">
        <v>229</v>
      </c>
      <c r="J63" s="25"/>
      <c r="K63" s="25">
        <v>1</v>
      </c>
      <c r="L63" s="25"/>
      <c r="M63" s="25">
        <v>0.0163</v>
      </c>
      <c r="N63" s="25">
        <v>0.0042</v>
      </c>
      <c r="O63" s="25">
        <v>0.0121</v>
      </c>
      <c r="P63" s="25">
        <v>0.0654</v>
      </c>
      <c r="Q63" s="25">
        <v>0.0196</v>
      </c>
      <c r="R63" s="25">
        <v>0.0458</v>
      </c>
      <c r="S63" s="23" t="s">
        <v>187</v>
      </c>
      <c r="T63" s="23" t="s">
        <v>69</v>
      </c>
      <c r="U63" s="55">
        <v>2024.1</v>
      </c>
      <c r="V63" s="14"/>
    </row>
    <row r="64" ht="112.95" customHeight="1" spans="1:22">
      <c r="A64" s="25">
        <v>27</v>
      </c>
      <c r="B64" s="25" t="s">
        <v>230</v>
      </c>
      <c r="C64" s="25" t="s">
        <v>142</v>
      </c>
      <c r="D64" s="15" t="s">
        <v>36</v>
      </c>
      <c r="E64" s="25" t="s">
        <v>231</v>
      </c>
      <c r="F64" s="40" t="s">
        <v>232</v>
      </c>
      <c r="G64" s="25">
        <v>302</v>
      </c>
      <c r="H64" s="25" t="s">
        <v>39</v>
      </c>
      <c r="I64" s="40" t="s">
        <v>233</v>
      </c>
      <c r="J64" s="25"/>
      <c r="K64" s="25"/>
      <c r="L64" s="25">
        <v>1</v>
      </c>
      <c r="M64" s="25">
        <v>0.0802</v>
      </c>
      <c r="N64" s="25">
        <v>0.0077</v>
      </c>
      <c r="O64" s="25">
        <v>0.0725</v>
      </c>
      <c r="P64" s="25">
        <v>0.3209</v>
      </c>
      <c r="Q64" s="25">
        <v>0.0346</v>
      </c>
      <c r="R64" s="25">
        <v>0.2863</v>
      </c>
      <c r="S64" s="23" t="s">
        <v>42</v>
      </c>
      <c r="T64" s="23" t="s">
        <v>69</v>
      </c>
      <c r="U64" s="55">
        <v>2024.1</v>
      </c>
      <c r="V64" s="14"/>
    </row>
    <row r="65" ht="81" customHeight="1" spans="1:22">
      <c r="A65" s="25">
        <v>28</v>
      </c>
      <c r="B65" s="25" t="s">
        <v>234</v>
      </c>
      <c r="C65" s="25" t="s">
        <v>35</v>
      </c>
      <c r="D65" s="15" t="s">
        <v>36</v>
      </c>
      <c r="E65" s="25" t="s">
        <v>235</v>
      </c>
      <c r="F65" s="45" t="s">
        <v>236</v>
      </c>
      <c r="G65" s="46">
        <v>34</v>
      </c>
      <c r="H65" s="25" t="s">
        <v>39</v>
      </c>
      <c r="I65" s="40" t="s">
        <v>237</v>
      </c>
      <c r="J65" s="25"/>
      <c r="K65" s="25"/>
      <c r="L65" s="25">
        <v>1</v>
      </c>
      <c r="M65" s="25">
        <v>0.005</v>
      </c>
      <c r="N65" s="25">
        <v>0.0007</v>
      </c>
      <c r="O65" s="25">
        <v>0.0043</v>
      </c>
      <c r="P65" s="25">
        <v>0.023</v>
      </c>
      <c r="Q65" s="25">
        <v>0.003</v>
      </c>
      <c r="R65" s="25">
        <v>0.02</v>
      </c>
      <c r="S65" s="23" t="s">
        <v>187</v>
      </c>
      <c r="T65" s="23" t="s">
        <v>69</v>
      </c>
      <c r="U65" s="55">
        <v>2024.1</v>
      </c>
      <c r="V65" s="14"/>
    </row>
    <row r="66" ht="111" customHeight="1" spans="1:22">
      <c r="A66" s="25">
        <v>29</v>
      </c>
      <c r="B66" s="46" t="s">
        <v>238</v>
      </c>
      <c r="C66" s="48" t="s">
        <v>35</v>
      </c>
      <c r="D66" s="46" t="s">
        <v>36</v>
      </c>
      <c r="E66" s="48" t="s">
        <v>239</v>
      </c>
      <c r="F66" s="49" t="s">
        <v>240</v>
      </c>
      <c r="G66" s="48">
        <v>136</v>
      </c>
      <c r="H66" s="25" t="s">
        <v>39</v>
      </c>
      <c r="I66" s="45" t="s">
        <v>241</v>
      </c>
      <c r="J66" s="25"/>
      <c r="K66" s="25"/>
      <c r="L66" s="25">
        <v>1</v>
      </c>
      <c r="M66" s="25">
        <v>0.0557</v>
      </c>
      <c r="N66" s="25">
        <v>0.006</v>
      </c>
      <c r="O66" s="25">
        <v>0.0497</v>
      </c>
      <c r="P66" s="25">
        <v>0.1561</v>
      </c>
      <c r="Q66" s="25">
        <v>0.032</v>
      </c>
      <c r="R66" s="25">
        <v>0.1241</v>
      </c>
      <c r="S66" s="23" t="s">
        <v>187</v>
      </c>
      <c r="T66" s="23" t="s">
        <v>69</v>
      </c>
      <c r="U66" s="55">
        <v>2024.1</v>
      </c>
      <c r="V66" s="14"/>
    </row>
    <row r="67" ht="121.95" customHeight="1" spans="1:22">
      <c r="A67" s="25">
        <v>30</v>
      </c>
      <c r="B67" s="25" t="s">
        <v>242</v>
      </c>
      <c r="C67" s="25" t="s">
        <v>35</v>
      </c>
      <c r="D67" s="15" t="s">
        <v>36</v>
      </c>
      <c r="E67" s="25" t="s">
        <v>239</v>
      </c>
      <c r="F67" s="40" t="s">
        <v>243</v>
      </c>
      <c r="G67" s="25">
        <v>38</v>
      </c>
      <c r="H67" s="25" t="s">
        <v>39</v>
      </c>
      <c r="I67" s="40" t="s">
        <v>244</v>
      </c>
      <c r="J67" s="25"/>
      <c r="K67" s="25"/>
      <c r="L67" s="25">
        <v>1</v>
      </c>
      <c r="M67" s="25">
        <v>0.0557</v>
      </c>
      <c r="N67" s="25">
        <v>0.006</v>
      </c>
      <c r="O67" s="25">
        <v>0.0497</v>
      </c>
      <c r="P67" s="25">
        <v>0.1561</v>
      </c>
      <c r="Q67" s="25">
        <v>0.032</v>
      </c>
      <c r="R67" s="25">
        <v>0.1241</v>
      </c>
      <c r="S67" s="25" t="s">
        <v>42</v>
      </c>
      <c r="T67" s="23" t="s">
        <v>69</v>
      </c>
      <c r="U67" s="55">
        <v>2024.1</v>
      </c>
      <c r="V67" s="14"/>
    </row>
    <row r="68" ht="94.95" customHeight="1" spans="1:22">
      <c r="A68" s="25">
        <v>31</v>
      </c>
      <c r="B68" s="25" t="s">
        <v>245</v>
      </c>
      <c r="C68" s="25" t="s">
        <v>35</v>
      </c>
      <c r="D68" s="15" t="s">
        <v>36</v>
      </c>
      <c r="E68" s="25" t="s">
        <v>246</v>
      </c>
      <c r="F68" s="40" t="s">
        <v>247</v>
      </c>
      <c r="G68" s="25">
        <v>1020</v>
      </c>
      <c r="H68" s="25" t="s">
        <v>39</v>
      </c>
      <c r="I68" s="40" t="s">
        <v>248</v>
      </c>
      <c r="J68" s="25"/>
      <c r="K68" s="25"/>
      <c r="L68" s="25">
        <v>1</v>
      </c>
      <c r="M68" s="25">
        <v>0.0735</v>
      </c>
      <c r="N68" s="25">
        <v>0.007</v>
      </c>
      <c r="O68" s="25">
        <v>0.0665</v>
      </c>
      <c r="P68" s="25">
        <v>0.2844</v>
      </c>
      <c r="Q68" s="25">
        <v>0.0293</v>
      </c>
      <c r="R68" s="25">
        <v>0.2551</v>
      </c>
      <c r="S68" s="23" t="s">
        <v>187</v>
      </c>
      <c r="T68" s="23" t="s">
        <v>69</v>
      </c>
      <c r="U68" s="55">
        <v>2024.1</v>
      </c>
      <c r="V68" s="14"/>
    </row>
    <row r="69" ht="115.05" customHeight="1" spans="1:22">
      <c r="A69" s="25">
        <v>32</v>
      </c>
      <c r="B69" s="25" t="s">
        <v>249</v>
      </c>
      <c r="C69" s="25" t="s">
        <v>35</v>
      </c>
      <c r="D69" s="15">
        <v>2025</v>
      </c>
      <c r="E69" s="25" t="s">
        <v>109</v>
      </c>
      <c r="F69" s="40" t="s">
        <v>250</v>
      </c>
      <c r="G69" s="25">
        <v>102</v>
      </c>
      <c r="H69" s="25" t="s">
        <v>39</v>
      </c>
      <c r="I69" s="25" t="s">
        <v>251</v>
      </c>
      <c r="J69" s="14"/>
      <c r="K69" s="14">
        <v>1</v>
      </c>
      <c r="L69" s="14"/>
      <c r="M69" s="40">
        <f>N69+O69</f>
        <v>0.0079</v>
      </c>
      <c r="N69" s="25">
        <v>0.0026</v>
      </c>
      <c r="O69" s="25">
        <v>0.0053</v>
      </c>
      <c r="P69" s="6">
        <f>Q69+R69</f>
        <v>0.0276</v>
      </c>
      <c r="Q69" s="25">
        <v>0.0091</v>
      </c>
      <c r="R69" s="25">
        <v>0.0185</v>
      </c>
      <c r="S69" s="25" t="s">
        <v>42</v>
      </c>
      <c r="T69" s="25" t="s">
        <v>109</v>
      </c>
      <c r="U69" s="55">
        <v>2024.1</v>
      </c>
      <c r="V69" s="14"/>
    </row>
    <row r="70" ht="189" customHeight="1" spans="1:22">
      <c r="A70" s="25">
        <v>33</v>
      </c>
      <c r="B70" s="58" t="s">
        <v>252</v>
      </c>
      <c r="C70" s="58" t="s">
        <v>108</v>
      </c>
      <c r="D70" s="15" t="s">
        <v>36</v>
      </c>
      <c r="E70" s="58" t="s">
        <v>253</v>
      </c>
      <c r="F70" s="40" t="s">
        <v>254</v>
      </c>
      <c r="G70" s="58">
        <v>100</v>
      </c>
      <c r="H70" s="25" t="s">
        <v>39</v>
      </c>
      <c r="I70" s="76" t="s">
        <v>255</v>
      </c>
      <c r="J70" s="58"/>
      <c r="K70" s="77">
        <v>3</v>
      </c>
      <c r="L70" s="58"/>
      <c r="M70" s="6">
        <f>N70+O70</f>
        <v>0.01416</v>
      </c>
      <c r="N70" s="58">
        <v>0.0134</v>
      </c>
      <c r="O70" s="58">
        <v>0.00076</v>
      </c>
      <c r="P70" s="6">
        <f>Q70+R70</f>
        <v>0.0449</v>
      </c>
      <c r="Q70" s="83">
        <v>0.0387</v>
      </c>
      <c r="R70" s="58">
        <v>0.0062</v>
      </c>
      <c r="S70" s="25" t="s">
        <v>42</v>
      </c>
      <c r="T70" s="77" t="s">
        <v>109</v>
      </c>
      <c r="U70" s="55">
        <v>2024.1</v>
      </c>
      <c r="V70" s="14"/>
    </row>
    <row r="71" ht="105" customHeight="1" spans="1:22">
      <c r="A71" s="25">
        <v>34</v>
      </c>
      <c r="B71" s="25" t="s">
        <v>256</v>
      </c>
      <c r="C71" s="25" t="s">
        <v>35</v>
      </c>
      <c r="D71" s="15" t="s">
        <v>36</v>
      </c>
      <c r="E71" s="25" t="s">
        <v>129</v>
      </c>
      <c r="F71" s="40" t="s">
        <v>257</v>
      </c>
      <c r="G71" s="25">
        <v>400</v>
      </c>
      <c r="H71" s="25" t="s">
        <v>39</v>
      </c>
      <c r="I71" s="40" t="s">
        <v>258</v>
      </c>
      <c r="J71" s="25"/>
      <c r="K71" s="25"/>
      <c r="L71" s="25">
        <v>1</v>
      </c>
      <c r="M71" s="15">
        <v>0.0307</v>
      </c>
      <c r="N71" s="15">
        <v>0.0085</v>
      </c>
      <c r="O71" s="15">
        <v>0.0222</v>
      </c>
      <c r="P71" s="78">
        <v>0.1288</v>
      </c>
      <c r="Q71" s="78">
        <v>0.0281</v>
      </c>
      <c r="R71" s="15">
        <v>0.1007</v>
      </c>
      <c r="S71" s="25" t="s">
        <v>187</v>
      </c>
      <c r="T71" s="25" t="s">
        <v>118</v>
      </c>
      <c r="U71" s="55">
        <v>2024.1</v>
      </c>
      <c r="V71" s="14"/>
    </row>
    <row r="72" ht="96" customHeight="1" spans="1:22">
      <c r="A72" s="25">
        <v>35</v>
      </c>
      <c r="B72" s="46" t="s">
        <v>259</v>
      </c>
      <c r="C72" s="46" t="s">
        <v>35</v>
      </c>
      <c r="D72" s="59" t="s">
        <v>36</v>
      </c>
      <c r="E72" s="46" t="s">
        <v>260</v>
      </c>
      <c r="F72" s="49" t="s">
        <v>261</v>
      </c>
      <c r="G72" s="46">
        <v>18</v>
      </c>
      <c r="H72" s="25" t="s">
        <v>39</v>
      </c>
      <c r="I72" s="26" t="s">
        <v>262</v>
      </c>
      <c r="J72" s="15"/>
      <c r="K72" s="15">
        <v>1</v>
      </c>
      <c r="L72" s="15">
        <v>0</v>
      </c>
      <c r="M72" s="15">
        <v>0.0198</v>
      </c>
      <c r="N72" s="15">
        <v>0.0062</v>
      </c>
      <c r="O72" s="15">
        <v>0.0136</v>
      </c>
      <c r="P72" s="15">
        <v>0.0804</v>
      </c>
      <c r="Q72" s="15">
        <v>0.0206</v>
      </c>
      <c r="R72" s="15">
        <v>0.0598</v>
      </c>
      <c r="S72" s="15" t="s">
        <v>187</v>
      </c>
      <c r="T72" s="15" t="s">
        <v>263</v>
      </c>
      <c r="U72" s="55">
        <v>2024.1</v>
      </c>
      <c r="V72" s="14"/>
    </row>
    <row r="73" ht="66" customHeight="1" spans="1:22">
      <c r="A73" s="25">
        <v>36</v>
      </c>
      <c r="B73" s="15" t="s">
        <v>264</v>
      </c>
      <c r="C73" s="15" t="s">
        <v>35</v>
      </c>
      <c r="D73" s="15" t="s">
        <v>36</v>
      </c>
      <c r="E73" s="15" t="s">
        <v>265</v>
      </c>
      <c r="F73" s="60" t="s">
        <v>266</v>
      </c>
      <c r="G73" s="46">
        <v>15</v>
      </c>
      <c r="H73" s="25" t="s">
        <v>39</v>
      </c>
      <c r="I73" s="26" t="s">
        <v>267</v>
      </c>
      <c r="J73" s="15"/>
      <c r="K73" s="15"/>
      <c r="L73" s="15">
        <v>1</v>
      </c>
      <c r="M73" s="15">
        <v>0.0543</v>
      </c>
      <c r="N73" s="15">
        <v>0.0114</v>
      </c>
      <c r="O73" s="15">
        <v>0.0429</v>
      </c>
      <c r="P73" s="15">
        <v>0.2165</v>
      </c>
      <c r="Q73" s="15">
        <v>0.0484</v>
      </c>
      <c r="R73" s="15">
        <v>0.1681</v>
      </c>
      <c r="S73" s="15" t="s">
        <v>42</v>
      </c>
      <c r="T73" s="15" t="s">
        <v>263</v>
      </c>
      <c r="U73" s="55">
        <v>2024.1</v>
      </c>
      <c r="V73" s="14"/>
    </row>
    <row r="74" ht="79.05" customHeight="1" spans="1:22">
      <c r="A74" s="25">
        <v>37</v>
      </c>
      <c r="B74" s="15" t="s">
        <v>268</v>
      </c>
      <c r="C74" s="15" t="s">
        <v>269</v>
      </c>
      <c r="D74" s="15" t="s">
        <v>36</v>
      </c>
      <c r="E74" s="15" t="s">
        <v>270</v>
      </c>
      <c r="F74" s="26" t="s">
        <v>271</v>
      </c>
      <c r="G74" s="15">
        <v>48</v>
      </c>
      <c r="H74" s="25" t="s">
        <v>39</v>
      </c>
      <c r="I74" s="26" t="s">
        <v>272</v>
      </c>
      <c r="J74" s="15"/>
      <c r="K74" s="15">
        <v>1</v>
      </c>
      <c r="L74" s="15">
        <v>0</v>
      </c>
      <c r="M74" s="15">
        <v>0.017</v>
      </c>
      <c r="N74" s="15">
        <v>0.0056</v>
      </c>
      <c r="O74" s="15">
        <v>0.0114</v>
      </c>
      <c r="P74" s="15">
        <v>0.0576</v>
      </c>
      <c r="Q74" s="15">
        <v>0.0198</v>
      </c>
      <c r="R74" s="15">
        <v>0.0378</v>
      </c>
      <c r="S74" s="15" t="s">
        <v>42</v>
      </c>
      <c r="T74" s="15" t="s">
        <v>263</v>
      </c>
      <c r="U74" s="55">
        <v>2024.1</v>
      </c>
      <c r="V74" s="14"/>
    </row>
    <row r="75" ht="60" customHeight="1" spans="1:22">
      <c r="A75" s="25">
        <v>38</v>
      </c>
      <c r="B75" s="46" t="s">
        <v>273</v>
      </c>
      <c r="C75" s="46" t="s">
        <v>35</v>
      </c>
      <c r="D75" s="59" t="s">
        <v>36</v>
      </c>
      <c r="E75" s="46" t="s">
        <v>274</v>
      </c>
      <c r="F75" s="49" t="s">
        <v>275</v>
      </c>
      <c r="G75" s="46">
        <v>91</v>
      </c>
      <c r="H75" s="25" t="s">
        <v>39</v>
      </c>
      <c r="I75" s="26" t="s">
        <v>195</v>
      </c>
      <c r="J75" s="15"/>
      <c r="K75" s="15"/>
      <c r="L75" s="15">
        <v>1</v>
      </c>
      <c r="M75" s="15">
        <v>0.024</v>
      </c>
      <c r="N75" s="15">
        <v>0.0054</v>
      </c>
      <c r="O75" s="15">
        <v>0.0186</v>
      </c>
      <c r="P75" s="15">
        <v>0.978</v>
      </c>
      <c r="Q75" s="15">
        <v>0.15</v>
      </c>
      <c r="R75" s="15">
        <v>0.828</v>
      </c>
      <c r="S75" s="15" t="s">
        <v>42</v>
      </c>
      <c r="T75" s="15" t="s">
        <v>263</v>
      </c>
      <c r="U75" s="55">
        <v>2024.1</v>
      </c>
      <c r="V75" s="14"/>
    </row>
    <row r="76" ht="60" customHeight="1" spans="1:22">
      <c r="A76" s="25">
        <v>39</v>
      </c>
      <c r="B76" s="46" t="s">
        <v>276</v>
      </c>
      <c r="C76" s="46" t="s">
        <v>35</v>
      </c>
      <c r="D76" s="46" t="s">
        <v>36</v>
      </c>
      <c r="E76" s="46" t="s">
        <v>274</v>
      </c>
      <c r="F76" s="45" t="s">
        <v>277</v>
      </c>
      <c r="G76" s="46">
        <v>52</v>
      </c>
      <c r="H76" s="25" t="s">
        <v>39</v>
      </c>
      <c r="I76" s="26" t="s">
        <v>278</v>
      </c>
      <c r="J76" s="15"/>
      <c r="K76" s="15"/>
      <c r="L76" s="15">
        <v>1</v>
      </c>
      <c r="M76" s="15">
        <f>N76+O76</f>
        <v>0.0543</v>
      </c>
      <c r="N76" s="15">
        <v>0.0114</v>
      </c>
      <c r="O76" s="15">
        <v>0.0429</v>
      </c>
      <c r="P76" s="15">
        <f>Q76+R76</f>
        <v>0.2165</v>
      </c>
      <c r="Q76" s="15">
        <v>0.0484</v>
      </c>
      <c r="R76" s="15">
        <v>0.1681</v>
      </c>
      <c r="S76" s="15" t="s">
        <v>42</v>
      </c>
      <c r="T76" s="15" t="s">
        <v>263</v>
      </c>
      <c r="U76" s="55">
        <v>2024.1</v>
      </c>
      <c r="V76" s="14"/>
    </row>
    <row r="77" ht="60" customHeight="1" spans="1:22">
      <c r="A77" s="25">
        <v>40</v>
      </c>
      <c r="B77" s="15" t="s">
        <v>279</v>
      </c>
      <c r="C77" s="15" t="s">
        <v>35</v>
      </c>
      <c r="D77" s="15" t="s">
        <v>36</v>
      </c>
      <c r="E77" s="15" t="s">
        <v>280</v>
      </c>
      <c r="F77" s="26" t="s">
        <v>281</v>
      </c>
      <c r="G77" s="15">
        <v>25</v>
      </c>
      <c r="H77" s="25" t="s">
        <v>39</v>
      </c>
      <c r="I77" s="26" t="s">
        <v>225</v>
      </c>
      <c r="J77" s="15"/>
      <c r="K77" s="15"/>
      <c r="L77" s="15">
        <v>1</v>
      </c>
      <c r="M77" s="15">
        <f>N77+O77</f>
        <v>0.0543</v>
      </c>
      <c r="N77" s="15">
        <v>0.0114</v>
      </c>
      <c r="O77" s="15">
        <v>0.0429</v>
      </c>
      <c r="P77" s="15">
        <f>Q77+R77</f>
        <v>0.2165</v>
      </c>
      <c r="Q77" s="15">
        <v>0.0484</v>
      </c>
      <c r="R77" s="15">
        <v>0.1681</v>
      </c>
      <c r="S77" s="15" t="s">
        <v>42</v>
      </c>
      <c r="T77" s="15" t="s">
        <v>69</v>
      </c>
      <c r="U77" s="55">
        <v>2024.1</v>
      </c>
      <c r="V77" s="14"/>
    </row>
    <row r="78" ht="84" customHeight="1" spans="1:22">
      <c r="A78" s="25">
        <v>41</v>
      </c>
      <c r="B78" s="54" t="s">
        <v>282</v>
      </c>
      <c r="C78" s="54" t="s">
        <v>35</v>
      </c>
      <c r="D78" s="15" t="s">
        <v>36</v>
      </c>
      <c r="E78" s="54" t="s">
        <v>283</v>
      </c>
      <c r="F78" s="61" t="s">
        <v>284</v>
      </c>
      <c r="G78" s="54">
        <v>100</v>
      </c>
      <c r="H78" s="25" t="s">
        <v>39</v>
      </c>
      <c r="I78" s="61" t="s">
        <v>285</v>
      </c>
      <c r="J78" s="54"/>
      <c r="K78" s="54">
        <v>1</v>
      </c>
      <c r="L78" s="54"/>
      <c r="M78" s="15">
        <v>0.0058</v>
      </c>
      <c r="N78" s="15">
        <v>0.0019</v>
      </c>
      <c r="O78" s="15">
        <v>0.0039</v>
      </c>
      <c r="P78" s="15">
        <v>0.0203</v>
      </c>
      <c r="Q78" s="15">
        <v>0.0066</v>
      </c>
      <c r="R78" s="15">
        <v>0.0137</v>
      </c>
      <c r="S78" s="15" t="s">
        <v>42</v>
      </c>
      <c r="T78" s="54" t="s">
        <v>286</v>
      </c>
      <c r="U78" s="55">
        <v>2024.1</v>
      </c>
      <c r="V78" s="14"/>
    </row>
    <row r="79" ht="84" customHeight="1" spans="1:22">
      <c r="A79" s="25">
        <v>42</v>
      </c>
      <c r="B79" s="54" t="s">
        <v>287</v>
      </c>
      <c r="C79" s="54" t="s">
        <v>35</v>
      </c>
      <c r="D79" s="15" t="s">
        <v>36</v>
      </c>
      <c r="E79" s="54" t="s">
        <v>288</v>
      </c>
      <c r="F79" s="61" t="s">
        <v>289</v>
      </c>
      <c r="G79" s="54">
        <v>100</v>
      </c>
      <c r="H79" s="25" t="s">
        <v>39</v>
      </c>
      <c r="I79" s="61" t="s">
        <v>290</v>
      </c>
      <c r="J79" s="54"/>
      <c r="K79" s="54">
        <v>1</v>
      </c>
      <c r="L79" s="54"/>
      <c r="M79" s="15">
        <f>N79+O79</f>
        <v>0.0058</v>
      </c>
      <c r="N79" s="15">
        <v>0.0019</v>
      </c>
      <c r="O79" s="15">
        <v>0.0039</v>
      </c>
      <c r="P79" s="15">
        <f>Q79+R79</f>
        <v>0.0203</v>
      </c>
      <c r="Q79" s="15">
        <v>0.0066</v>
      </c>
      <c r="R79" s="15">
        <v>0.0137</v>
      </c>
      <c r="S79" s="15" t="s">
        <v>42</v>
      </c>
      <c r="T79" s="54" t="s">
        <v>286</v>
      </c>
      <c r="U79" s="55">
        <v>2024.1</v>
      </c>
      <c r="V79" s="14"/>
    </row>
    <row r="80" ht="57" customHeight="1" spans="1:22">
      <c r="A80" s="25">
        <v>43</v>
      </c>
      <c r="B80" s="54" t="s">
        <v>291</v>
      </c>
      <c r="C80" s="15" t="s">
        <v>35</v>
      </c>
      <c r="D80" s="15" t="s">
        <v>36</v>
      </c>
      <c r="E80" s="15" t="s">
        <v>288</v>
      </c>
      <c r="F80" s="61" t="s">
        <v>292</v>
      </c>
      <c r="G80" s="54">
        <v>62</v>
      </c>
      <c r="H80" s="25" t="s">
        <v>39</v>
      </c>
      <c r="I80" s="61" t="s">
        <v>293</v>
      </c>
      <c r="J80" s="54"/>
      <c r="K80" s="15">
        <v>1</v>
      </c>
      <c r="L80" s="15">
        <v>0</v>
      </c>
      <c r="M80" s="15">
        <v>0.0179</v>
      </c>
      <c r="N80" s="15">
        <v>0.0044</v>
      </c>
      <c r="O80" s="15">
        <v>0.0135</v>
      </c>
      <c r="P80" s="15">
        <v>0.0679</v>
      </c>
      <c r="Q80" s="15">
        <v>0.0194</v>
      </c>
      <c r="R80" s="15">
        <v>0.0485</v>
      </c>
      <c r="S80" s="15" t="s">
        <v>42</v>
      </c>
      <c r="T80" s="54" t="s">
        <v>286</v>
      </c>
      <c r="U80" s="55">
        <v>2024.1</v>
      </c>
      <c r="V80" s="14"/>
    </row>
    <row r="81" ht="60" customHeight="1" spans="1:22">
      <c r="A81" s="25">
        <v>44</v>
      </c>
      <c r="B81" s="54" t="s">
        <v>294</v>
      </c>
      <c r="C81" s="54" t="s">
        <v>35</v>
      </c>
      <c r="D81" s="15" t="s">
        <v>36</v>
      </c>
      <c r="E81" s="25" t="s">
        <v>295</v>
      </c>
      <c r="F81" s="61" t="s">
        <v>296</v>
      </c>
      <c r="G81" s="54">
        <v>80</v>
      </c>
      <c r="H81" s="25" t="s">
        <v>39</v>
      </c>
      <c r="I81" s="61" t="s">
        <v>297</v>
      </c>
      <c r="J81" s="54"/>
      <c r="K81" s="54"/>
      <c r="L81" s="54">
        <v>1</v>
      </c>
      <c r="M81" s="15">
        <v>0.0411</v>
      </c>
      <c r="N81" s="15">
        <v>0.0071</v>
      </c>
      <c r="O81" s="78">
        <v>0.034</v>
      </c>
      <c r="P81" s="78">
        <v>0.163</v>
      </c>
      <c r="Q81" s="78">
        <v>0.02</v>
      </c>
      <c r="R81" s="15">
        <v>0.143</v>
      </c>
      <c r="S81" s="15" t="s">
        <v>42</v>
      </c>
      <c r="T81" s="54" t="s">
        <v>286</v>
      </c>
      <c r="U81" s="55">
        <v>2024.1</v>
      </c>
      <c r="V81" s="14"/>
    </row>
    <row r="82" ht="85.95" customHeight="1" spans="1:22">
      <c r="A82" s="25">
        <v>45</v>
      </c>
      <c r="B82" s="25" t="s">
        <v>298</v>
      </c>
      <c r="C82" s="54" t="s">
        <v>35</v>
      </c>
      <c r="D82" s="15" t="s">
        <v>36</v>
      </c>
      <c r="E82" s="25" t="s">
        <v>299</v>
      </c>
      <c r="F82" s="40" t="s">
        <v>300</v>
      </c>
      <c r="G82" s="25">
        <v>85</v>
      </c>
      <c r="H82" s="25" t="s">
        <v>39</v>
      </c>
      <c r="I82" s="61" t="s">
        <v>297</v>
      </c>
      <c r="J82" s="54"/>
      <c r="K82" s="54"/>
      <c r="L82" s="25">
        <v>1</v>
      </c>
      <c r="M82" s="78">
        <v>0.009</v>
      </c>
      <c r="N82" s="78">
        <v>0.003</v>
      </c>
      <c r="O82" s="78">
        <v>0.006</v>
      </c>
      <c r="P82" s="15">
        <v>0.0365</v>
      </c>
      <c r="Q82" s="15">
        <v>0.0132</v>
      </c>
      <c r="R82" s="15">
        <v>0.0233</v>
      </c>
      <c r="S82" s="15" t="s">
        <v>42</v>
      </c>
      <c r="T82" s="54" t="s">
        <v>286</v>
      </c>
      <c r="U82" s="55">
        <v>2024.1</v>
      </c>
      <c r="V82" s="14"/>
    </row>
    <row r="83" ht="84" customHeight="1" spans="1:22">
      <c r="A83" s="25">
        <v>46</v>
      </c>
      <c r="B83" s="27" t="s">
        <v>301</v>
      </c>
      <c r="C83" s="62" t="s">
        <v>35</v>
      </c>
      <c r="D83" s="27" t="s">
        <v>36</v>
      </c>
      <c r="E83" s="27" t="s">
        <v>299</v>
      </c>
      <c r="F83" s="60" t="s">
        <v>302</v>
      </c>
      <c r="G83" s="27">
        <v>25</v>
      </c>
      <c r="H83" s="25" t="s">
        <v>39</v>
      </c>
      <c r="I83" s="61" t="s">
        <v>297</v>
      </c>
      <c r="J83" s="54"/>
      <c r="K83" s="54"/>
      <c r="L83" s="25">
        <v>1</v>
      </c>
      <c r="M83" s="78">
        <v>0.009</v>
      </c>
      <c r="N83" s="78">
        <v>0.003</v>
      </c>
      <c r="O83" s="78">
        <v>0.006</v>
      </c>
      <c r="P83" s="15">
        <v>0.0365</v>
      </c>
      <c r="Q83" s="15">
        <v>0.0132</v>
      </c>
      <c r="R83" s="15">
        <v>0.0233</v>
      </c>
      <c r="S83" s="15" t="s">
        <v>42</v>
      </c>
      <c r="T83" s="54" t="s">
        <v>286</v>
      </c>
      <c r="U83" s="55">
        <v>2024.1</v>
      </c>
      <c r="V83" s="14"/>
    </row>
    <row r="84" ht="67.05" customHeight="1" spans="1:22">
      <c r="A84" s="25">
        <v>47</v>
      </c>
      <c r="B84" s="25" t="s">
        <v>303</v>
      </c>
      <c r="C84" s="54" t="s">
        <v>35</v>
      </c>
      <c r="D84" s="15" t="s">
        <v>36</v>
      </c>
      <c r="E84" s="25" t="s">
        <v>217</v>
      </c>
      <c r="F84" s="40" t="s">
        <v>304</v>
      </c>
      <c r="G84" s="25">
        <v>195</v>
      </c>
      <c r="H84" s="25" t="s">
        <v>39</v>
      </c>
      <c r="I84" s="61" t="s">
        <v>151</v>
      </c>
      <c r="J84" s="54"/>
      <c r="K84" s="54"/>
      <c r="L84" s="25">
        <v>1</v>
      </c>
      <c r="M84" s="25">
        <v>0.0163</v>
      </c>
      <c r="N84" s="25">
        <v>0.0042</v>
      </c>
      <c r="O84" s="25">
        <v>0.0121</v>
      </c>
      <c r="P84" s="25">
        <v>0.0654</v>
      </c>
      <c r="Q84" s="25">
        <v>0.0196</v>
      </c>
      <c r="R84" s="25">
        <v>0.0458</v>
      </c>
      <c r="S84" s="15" t="s">
        <v>42</v>
      </c>
      <c r="T84" s="23" t="s">
        <v>69</v>
      </c>
      <c r="U84" s="55">
        <v>2024.1</v>
      </c>
      <c r="V84" s="14"/>
    </row>
    <row r="85" ht="165" customHeight="1" spans="1:22">
      <c r="A85" s="25">
        <v>48</v>
      </c>
      <c r="B85" s="25" t="s">
        <v>305</v>
      </c>
      <c r="C85" s="54" t="s">
        <v>142</v>
      </c>
      <c r="D85" s="15" t="s">
        <v>306</v>
      </c>
      <c r="E85" s="25" t="s">
        <v>307</v>
      </c>
      <c r="F85" s="40" t="s">
        <v>308</v>
      </c>
      <c r="G85" s="25">
        <v>54</v>
      </c>
      <c r="H85" s="25" t="s">
        <v>39</v>
      </c>
      <c r="I85" s="61" t="s">
        <v>309</v>
      </c>
      <c r="J85" s="54"/>
      <c r="K85" s="54"/>
      <c r="L85" s="25">
        <v>8</v>
      </c>
      <c r="M85" s="25">
        <v>0.853</v>
      </c>
      <c r="N85" s="25">
        <v>0.031</v>
      </c>
      <c r="O85" s="25">
        <v>0.85</v>
      </c>
      <c r="P85" s="25">
        <v>4.2</v>
      </c>
      <c r="Q85" s="25">
        <v>1.1</v>
      </c>
      <c r="R85" s="25">
        <v>3.1</v>
      </c>
      <c r="S85" s="15" t="s">
        <v>187</v>
      </c>
      <c r="T85" s="23" t="s">
        <v>310</v>
      </c>
      <c r="U85" s="55" t="s">
        <v>311</v>
      </c>
      <c r="V85" s="14"/>
    </row>
    <row r="86" ht="42" customHeight="1" spans="1:22">
      <c r="A86" s="17" t="s">
        <v>96</v>
      </c>
      <c r="B86" s="17" t="s">
        <v>312</v>
      </c>
      <c r="C86" s="54"/>
      <c r="D86" s="15"/>
      <c r="E86" s="25"/>
      <c r="F86" s="40"/>
      <c r="G86" s="17">
        <v>427.5</v>
      </c>
      <c r="H86" s="25"/>
      <c r="I86" s="61"/>
      <c r="J86" s="54"/>
      <c r="K86" s="54"/>
      <c r="L86" s="25"/>
      <c r="M86" s="78"/>
      <c r="N86" s="78"/>
      <c r="O86" s="78"/>
      <c r="P86" s="15"/>
      <c r="Q86" s="15"/>
      <c r="R86" s="15"/>
      <c r="S86" s="15"/>
      <c r="T86" s="54"/>
      <c r="U86" s="55"/>
      <c r="V86" s="14"/>
    </row>
    <row r="87" ht="52.05" customHeight="1" spans="1:22">
      <c r="A87" s="25">
        <v>1</v>
      </c>
      <c r="B87" s="46" t="s">
        <v>313</v>
      </c>
      <c r="C87" s="46" t="s">
        <v>35</v>
      </c>
      <c r="D87" s="46" t="s">
        <v>36</v>
      </c>
      <c r="E87" s="46" t="s">
        <v>181</v>
      </c>
      <c r="F87" s="60" t="s">
        <v>314</v>
      </c>
      <c r="G87" s="46">
        <v>91</v>
      </c>
      <c r="H87" s="25" t="s">
        <v>39</v>
      </c>
      <c r="I87" s="61" t="s">
        <v>315</v>
      </c>
      <c r="J87" s="54"/>
      <c r="K87" s="54"/>
      <c r="L87" s="25">
        <v>1</v>
      </c>
      <c r="M87" s="25">
        <f>N87+O87</f>
        <v>0.0773</v>
      </c>
      <c r="N87" s="25">
        <v>0.0025</v>
      </c>
      <c r="O87" s="25">
        <v>0.0748</v>
      </c>
      <c r="P87" s="25">
        <f>Q87+R87</f>
        <v>0.2631</v>
      </c>
      <c r="Q87" s="25">
        <v>0.0094</v>
      </c>
      <c r="R87" s="25">
        <v>0.2537</v>
      </c>
      <c r="S87" s="15" t="s">
        <v>316</v>
      </c>
      <c r="T87" s="25" t="s">
        <v>43</v>
      </c>
      <c r="U87" s="55">
        <v>2024.1</v>
      </c>
      <c r="V87" s="14"/>
    </row>
    <row r="88" s="2" customFormat="1" ht="72" customHeight="1" spans="1:22">
      <c r="A88" s="25">
        <v>2</v>
      </c>
      <c r="B88" s="25" t="s">
        <v>317</v>
      </c>
      <c r="C88" s="25" t="s">
        <v>35</v>
      </c>
      <c r="D88" s="15" t="s">
        <v>36</v>
      </c>
      <c r="E88" s="25" t="s">
        <v>165</v>
      </c>
      <c r="F88" s="26" t="s">
        <v>318</v>
      </c>
      <c r="G88" s="15">
        <v>90</v>
      </c>
      <c r="H88" s="25" t="s">
        <v>39</v>
      </c>
      <c r="I88" s="26" t="s">
        <v>315</v>
      </c>
      <c r="J88" s="15"/>
      <c r="K88" s="15"/>
      <c r="L88" s="15">
        <v>1</v>
      </c>
      <c r="M88" s="15">
        <v>0.0149</v>
      </c>
      <c r="N88" s="15">
        <v>0.0007</v>
      </c>
      <c r="O88" s="15">
        <v>0.0187</v>
      </c>
      <c r="P88" s="15">
        <v>0.1087</v>
      </c>
      <c r="Q88" s="15">
        <v>0.0031</v>
      </c>
      <c r="R88" s="15">
        <v>0.1056</v>
      </c>
      <c r="S88" s="15" t="s">
        <v>316</v>
      </c>
      <c r="T88" s="25" t="s">
        <v>43</v>
      </c>
      <c r="U88" s="55">
        <v>2024.1</v>
      </c>
      <c r="V88" s="15"/>
    </row>
    <row r="89" ht="58.95" customHeight="1" spans="1:22">
      <c r="A89" s="25">
        <v>3</v>
      </c>
      <c r="B89" s="46" t="s">
        <v>319</v>
      </c>
      <c r="C89" s="46" t="s">
        <v>35</v>
      </c>
      <c r="D89" s="59" t="s">
        <v>36</v>
      </c>
      <c r="E89" s="46" t="s">
        <v>320</v>
      </c>
      <c r="F89" s="45" t="s">
        <v>321</v>
      </c>
      <c r="G89" s="46">
        <v>71</v>
      </c>
      <c r="H89" s="25" t="s">
        <v>39</v>
      </c>
      <c r="I89" s="26" t="s">
        <v>315</v>
      </c>
      <c r="J89" s="25"/>
      <c r="K89" s="25"/>
      <c r="L89" s="25">
        <v>1</v>
      </c>
      <c r="M89" s="25">
        <v>0.0076</v>
      </c>
      <c r="N89" s="25">
        <v>0.0003</v>
      </c>
      <c r="O89" s="25">
        <v>0.0073</v>
      </c>
      <c r="P89" s="25">
        <v>0.0302</v>
      </c>
      <c r="Q89" s="25">
        <v>0.0012</v>
      </c>
      <c r="R89" s="25">
        <v>0.029</v>
      </c>
      <c r="S89" s="15" t="s">
        <v>316</v>
      </c>
      <c r="T89" s="25" t="s">
        <v>43</v>
      </c>
      <c r="U89" s="55">
        <v>2024.1</v>
      </c>
      <c r="V89" s="14"/>
    </row>
    <row r="90" ht="58.95" customHeight="1" spans="1:22">
      <c r="A90" s="25">
        <v>4</v>
      </c>
      <c r="B90" s="46" t="s">
        <v>322</v>
      </c>
      <c r="C90" s="46" t="s">
        <v>35</v>
      </c>
      <c r="D90" s="59" t="s">
        <v>36</v>
      </c>
      <c r="E90" s="46" t="s">
        <v>320</v>
      </c>
      <c r="F90" s="60" t="s">
        <v>323</v>
      </c>
      <c r="G90" s="46">
        <v>32</v>
      </c>
      <c r="H90" s="25" t="s">
        <v>39</v>
      </c>
      <c r="I90" s="26" t="s">
        <v>315</v>
      </c>
      <c r="J90" s="25"/>
      <c r="K90" s="25"/>
      <c r="L90" s="25">
        <v>1</v>
      </c>
      <c r="M90" s="25">
        <v>0.0076</v>
      </c>
      <c r="N90" s="25">
        <v>0.0003</v>
      </c>
      <c r="O90" s="25">
        <v>0.0073</v>
      </c>
      <c r="P90" s="25">
        <v>0.0302</v>
      </c>
      <c r="Q90" s="25">
        <v>0.0012</v>
      </c>
      <c r="R90" s="25">
        <v>0.029</v>
      </c>
      <c r="S90" s="15" t="s">
        <v>316</v>
      </c>
      <c r="T90" s="25" t="s">
        <v>43</v>
      </c>
      <c r="U90" s="55">
        <v>2024.1</v>
      </c>
      <c r="V90" s="14"/>
    </row>
    <row r="91" ht="58.95" customHeight="1" spans="1:22">
      <c r="A91" s="25">
        <v>5</v>
      </c>
      <c r="B91" s="46" t="s">
        <v>324</v>
      </c>
      <c r="C91" s="46" t="s">
        <v>35</v>
      </c>
      <c r="D91" s="46" t="s">
        <v>36</v>
      </c>
      <c r="E91" s="46" t="s">
        <v>177</v>
      </c>
      <c r="F91" s="49" t="s">
        <v>325</v>
      </c>
      <c r="G91" s="63">
        <v>24</v>
      </c>
      <c r="H91" s="25" t="s">
        <v>39</v>
      </c>
      <c r="I91" s="26" t="s">
        <v>315</v>
      </c>
      <c r="J91" s="25"/>
      <c r="K91" s="25"/>
      <c r="L91" s="64">
        <v>1</v>
      </c>
      <c r="M91" s="6">
        <f>N91+O91</f>
        <v>0.0773</v>
      </c>
      <c r="N91" s="79">
        <v>0.0025</v>
      </c>
      <c r="O91" s="79">
        <v>0.0748</v>
      </c>
      <c r="P91" s="6">
        <f>Q91+R91</f>
        <v>0.2857</v>
      </c>
      <c r="Q91" s="79">
        <v>0.032</v>
      </c>
      <c r="R91" s="79">
        <v>0.2537</v>
      </c>
      <c r="S91" s="15" t="s">
        <v>316</v>
      </c>
      <c r="T91" s="25" t="s">
        <v>43</v>
      </c>
      <c r="U91" s="55">
        <v>2024.1</v>
      </c>
      <c r="V91" s="14"/>
    </row>
    <row r="92" ht="57" customHeight="1" spans="1:22">
      <c r="A92" s="25">
        <v>6</v>
      </c>
      <c r="B92" s="46" t="s">
        <v>326</v>
      </c>
      <c r="C92" s="64" t="s">
        <v>35</v>
      </c>
      <c r="D92" s="59" t="s">
        <v>36</v>
      </c>
      <c r="E92" s="46" t="s">
        <v>327</v>
      </c>
      <c r="F92" s="45" t="s">
        <v>328</v>
      </c>
      <c r="G92" s="64">
        <v>32</v>
      </c>
      <c r="H92" s="25" t="s">
        <v>39</v>
      </c>
      <c r="I92" s="26" t="s">
        <v>315</v>
      </c>
      <c r="J92" s="15"/>
      <c r="K92" s="15"/>
      <c r="L92" s="15">
        <v>1</v>
      </c>
      <c r="M92" s="15">
        <v>0.0201</v>
      </c>
      <c r="N92" s="15">
        <v>0.0015</v>
      </c>
      <c r="O92" s="15">
        <v>0.0186</v>
      </c>
      <c r="P92" s="15">
        <v>0.0801</v>
      </c>
      <c r="Q92" s="15">
        <v>0.0066</v>
      </c>
      <c r="R92" s="15">
        <v>0.0735</v>
      </c>
      <c r="S92" s="15" t="s">
        <v>316</v>
      </c>
      <c r="T92" s="15" t="s">
        <v>124</v>
      </c>
      <c r="U92" s="55">
        <v>2024.1</v>
      </c>
      <c r="V92" s="14"/>
    </row>
    <row r="93" ht="57" customHeight="1" spans="1:22">
      <c r="A93" s="25">
        <v>7</v>
      </c>
      <c r="B93" s="65" t="s">
        <v>329</v>
      </c>
      <c r="C93" s="59" t="s">
        <v>35</v>
      </c>
      <c r="D93" s="59" t="s">
        <v>36</v>
      </c>
      <c r="E93" s="64" t="s">
        <v>121</v>
      </c>
      <c r="F93" s="66" t="s">
        <v>330</v>
      </c>
      <c r="G93" s="64">
        <v>68</v>
      </c>
      <c r="H93" s="25" t="s">
        <v>39</v>
      </c>
      <c r="I93" s="26" t="s">
        <v>315</v>
      </c>
      <c r="J93" s="15"/>
      <c r="K93" s="15">
        <v>1</v>
      </c>
      <c r="L93" s="15"/>
      <c r="M93" s="6">
        <f>N93+O93</f>
        <v>0.0254</v>
      </c>
      <c r="N93" s="15">
        <v>0.0063</v>
      </c>
      <c r="O93" s="15">
        <v>0.0191</v>
      </c>
      <c r="P93" s="15">
        <f>Q93+R93</f>
        <v>0.0874</v>
      </c>
      <c r="Q93" s="15">
        <v>0.0264</v>
      </c>
      <c r="R93" s="15">
        <v>0.061</v>
      </c>
      <c r="S93" s="15" t="s">
        <v>316</v>
      </c>
      <c r="T93" s="15" t="s">
        <v>124</v>
      </c>
      <c r="U93" s="55">
        <v>2024.1</v>
      </c>
      <c r="V93" s="14"/>
    </row>
    <row r="94" ht="69" customHeight="1" spans="1:22">
      <c r="A94" s="25">
        <v>8</v>
      </c>
      <c r="B94" s="15" t="s">
        <v>331</v>
      </c>
      <c r="C94" s="15" t="s">
        <v>35</v>
      </c>
      <c r="D94" s="15" t="s">
        <v>36</v>
      </c>
      <c r="E94" s="15" t="s">
        <v>265</v>
      </c>
      <c r="F94" s="26" t="s">
        <v>332</v>
      </c>
      <c r="G94" s="15">
        <v>76</v>
      </c>
      <c r="H94" s="25" t="s">
        <v>39</v>
      </c>
      <c r="I94" s="26" t="s">
        <v>315</v>
      </c>
      <c r="J94" s="15"/>
      <c r="K94" s="15"/>
      <c r="L94" s="15">
        <v>1</v>
      </c>
      <c r="M94" s="15">
        <v>0.0117</v>
      </c>
      <c r="N94" s="15">
        <v>0.0028</v>
      </c>
      <c r="O94" s="15">
        <v>0.0089</v>
      </c>
      <c r="P94" s="15">
        <v>0.016</v>
      </c>
      <c r="Q94" s="15">
        <v>0.0125</v>
      </c>
      <c r="R94" s="15">
        <v>0.0035</v>
      </c>
      <c r="S94" s="15" t="s">
        <v>316</v>
      </c>
      <c r="T94" s="15" t="s">
        <v>263</v>
      </c>
      <c r="U94" s="55">
        <v>2024.1</v>
      </c>
      <c r="V94" s="14"/>
    </row>
    <row r="95" ht="39" customHeight="1" spans="1:22">
      <c r="A95" s="41" t="s">
        <v>333</v>
      </c>
      <c r="B95" s="67" t="s">
        <v>334</v>
      </c>
      <c r="C95" s="14"/>
      <c r="D95" s="14"/>
      <c r="E95" s="14"/>
      <c r="F95" s="44"/>
      <c r="G95" s="41">
        <v>170</v>
      </c>
      <c r="H95" s="25"/>
      <c r="I95" s="44"/>
      <c r="J95" s="14"/>
      <c r="K95" s="14"/>
      <c r="L95" s="14"/>
      <c r="M95" s="14"/>
      <c r="N95" s="14"/>
      <c r="O95" s="14"/>
      <c r="P95" s="14"/>
      <c r="Q95" s="14"/>
      <c r="R95" s="14"/>
      <c r="S95" s="14"/>
      <c r="T95" s="14"/>
      <c r="U95" s="14"/>
      <c r="V95" s="14"/>
    </row>
    <row r="96" s="3" customFormat="1" ht="100.95" customHeight="1" spans="1:22">
      <c r="A96" s="14">
        <v>1</v>
      </c>
      <c r="B96" s="68" t="s">
        <v>335</v>
      </c>
      <c r="C96" s="15" t="s">
        <v>35</v>
      </c>
      <c r="D96" s="15" t="s">
        <v>36</v>
      </c>
      <c r="E96" s="68" t="s">
        <v>336</v>
      </c>
      <c r="F96" s="69" t="s">
        <v>337</v>
      </c>
      <c r="G96" s="14">
        <v>170</v>
      </c>
      <c r="H96" s="25" t="s">
        <v>39</v>
      </c>
      <c r="I96" s="69" t="s">
        <v>338</v>
      </c>
      <c r="J96" s="68"/>
      <c r="K96" s="34">
        <v>15</v>
      </c>
      <c r="L96" s="34">
        <v>46</v>
      </c>
      <c r="M96" s="3">
        <f>N96+O96</f>
        <v>0.0792</v>
      </c>
      <c r="N96" s="14">
        <v>0.0396</v>
      </c>
      <c r="O96" s="14">
        <v>0.0396</v>
      </c>
      <c r="P96" s="14">
        <f>Q96+R96</f>
        <v>0.3326</v>
      </c>
      <c r="Q96" s="52">
        <v>0.1663</v>
      </c>
      <c r="R96" s="34">
        <v>0.1663</v>
      </c>
      <c r="S96" s="15" t="s">
        <v>42</v>
      </c>
      <c r="T96" s="34" t="s">
        <v>336</v>
      </c>
      <c r="U96" s="55">
        <v>2024.1</v>
      </c>
      <c r="V96" s="14"/>
    </row>
    <row r="97" ht="43.05" customHeight="1" spans="1:22">
      <c r="A97" s="14" t="s">
        <v>339</v>
      </c>
      <c r="B97" s="70" t="s">
        <v>340</v>
      </c>
      <c r="C97" s="14"/>
      <c r="D97" s="14"/>
      <c r="E97" s="14"/>
      <c r="F97" s="44"/>
      <c r="G97" s="41">
        <v>376.4</v>
      </c>
      <c r="H97" s="25" t="s">
        <v>39</v>
      </c>
      <c r="I97" s="44"/>
      <c r="J97" s="14"/>
      <c r="K97" s="14"/>
      <c r="L97" s="14"/>
      <c r="M97" s="14"/>
      <c r="N97" s="14"/>
      <c r="O97" s="80"/>
      <c r="P97" s="3"/>
      <c r="Q97" s="14"/>
      <c r="R97" s="14"/>
      <c r="S97" s="14"/>
      <c r="T97" s="14"/>
      <c r="U97" s="14"/>
      <c r="V97" s="14"/>
    </row>
    <row r="98" s="3" customFormat="1" ht="64.05" customHeight="1" spans="1:22">
      <c r="A98" s="14">
        <v>1</v>
      </c>
      <c r="B98" s="15" t="s">
        <v>341</v>
      </c>
      <c r="C98" s="15" t="s">
        <v>35</v>
      </c>
      <c r="D98" s="25" t="s">
        <v>77</v>
      </c>
      <c r="E98" s="15" t="s">
        <v>72</v>
      </c>
      <c r="F98" s="26" t="s">
        <v>342</v>
      </c>
      <c r="G98" s="25">
        <v>103.8</v>
      </c>
      <c r="H98" s="25" t="s">
        <v>39</v>
      </c>
      <c r="I98" s="26" t="s">
        <v>343</v>
      </c>
      <c r="J98" s="15"/>
      <c r="K98" s="25">
        <v>61</v>
      </c>
      <c r="L98" s="15"/>
      <c r="M98" s="14">
        <f>N98+O98</f>
        <v>0.025</v>
      </c>
      <c r="N98" s="25">
        <v>0.025</v>
      </c>
      <c r="O98" s="25"/>
      <c r="P98" s="14">
        <f>Q98+R98</f>
        <v>0.025</v>
      </c>
      <c r="Q98" s="25">
        <v>0.025</v>
      </c>
      <c r="R98" s="25"/>
      <c r="S98" s="14" t="s">
        <v>344</v>
      </c>
      <c r="T98" s="14" t="s">
        <v>344</v>
      </c>
      <c r="U98" s="55">
        <v>2024.1</v>
      </c>
      <c r="V98" s="14"/>
    </row>
    <row r="99" s="3" customFormat="1" ht="64.05" customHeight="1" spans="1:22">
      <c r="A99" s="14">
        <v>2</v>
      </c>
      <c r="B99" s="15" t="s">
        <v>345</v>
      </c>
      <c r="C99" s="15" t="s">
        <v>35</v>
      </c>
      <c r="D99" s="25" t="s">
        <v>77</v>
      </c>
      <c r="E99" s="15" t="s">
        <v>72</v>
      </c>
      <c r="F99" s="26" t="s">
        <v>346</v>
      </c>
      <c r="G99" s="71">
        <v>36.6</v>
      </c>
      <c r="H99" s="25" t="s">
        <v>39</v>
      </c>
      <c r="I99" s="28" t="s">
        <v>347</v>
      </c>
      <c r="J99" s="15"/>
      <c r="K99" s="25">
        <v>61</v>
      </c>
      <c r="L99" s="15"/>
      <c r="M99" s="14">
        <v>0.0061</v>
      </c>
      <c r="N99" s="25">
        <v>0.0061</v>
      </c>
      <c r="O99" s="25"/>
      <c r="P99" s="14"/>
      <c r="Q99" s="25"/>
      <c r="R99" s="25"/>
      <c r="S99" s="63" t="s">
        <v>348</v>
      </c>
      <c r="T99" s="63" t="s">
        <v>348</v>
      </c>
      <c r="U99" s="55">
        <v>2024.1</v>
      </c>
      <c r="V99" s="14"/>
    </row>
    <row r="100" s="3" customFormat="1" ht="67.95" customHeight="1" spans="1:22">
      <c r="A100" s="14">
        <v>3</v>
      </c>
      <c r="B100" s="15" t="s">
        <v>349</v>
      </c>
      <c r="C100" s="15" t="s">
        <v>35</v>
      </c>
      <c r="D100" s="25" t="s">
        <v>77</v>
      </c>
      <c r="E100" s="15" t="s">
        <v>350</v>
      </c>
      <c r="F100" s="26" t="s">
        <v>351</v>
      </c>
      <c r="G100" s="23">
        <v>21</v>
      </c>
      <c r="H100" s="25" t="s">
        <v>39</v>
      </c>
      <c r="I100" s="26" t="s">
        <v>352</v>
      </c>
      <c r="J100" s="14"/>
      <c r="K100" s="23">
        <v>10</v>
      </c>
      <c r="L100" s="14"/>
      <c r="M100" s="14">
        <f>N100+O100</f>
        <v>0.007</v>
      </c>
      <c r="N100" s="25">
        <v>0.007</v>
      </c>
      <c r="O100" s="25"/>
      <c r="P100" s="14">
        <f>Q100+R100</f>
        <v>0.007</v>
      </c>
      <c r="Q100" s="25">
        <v>0.007</v>
      </c>
      <c r="R100" s="25"/>
      <c r="S100" s="14" t="s">
        <v>344</v>
      </c>
      <c r="T100" s="14" t="s">
        <v>344</v>
      </c>
      <c r="U100" s="55">
        <v>2024.1</v>
      </c>
      <c r="V100" s="14"/>
    </row>
    <row r="101" s="3" customFormat="1" ht="76.95" customHeight="1" spans="1:22">
      <c r="A101" s="14">
        <v>4</v>
      </c>
      <c r="B101" s="15" t="s">
        <v>353</v>
      </c>
      <c r="C101" s="15" t="s">
        <v>35</v>
      </c>
      <c r="D101" s="15" t="s">
        <v>77</v>
      </c>
      <c r="E101" s="15" t="s">
        <v>72</v>
      </c>
      <c r="F101" s="26" t="s">
        <v>354</v>
      </c>
      <c r="G101" s="15">
        <v>50</v>
      </c>
      <c r="H101" s="25" t="s">
        <v>39</v>
      </c>
      <c r="I101" s="26" t="s">
        <v>352</v>
      </c>
      <c r="J101" s="14"/>
      <c r="K101" s="25">
        <v>61</v>
      </c>
      <c r="L101" s="14"/>
      <c r="M101" s="14">
        <f>N101+O101</f>
        <v>0.1167</v>
      </c>
      <c r="N101" s="14">
        <v>0.1167</v>
      </c>
      <c r="O101" s="14"/>
      <c r="P101" s="14">
        <f>Q101+R101</f>
        <v>0.1167</v>
      </c>
      <c r="Q101" s="14">
        <v>0.1167</v>
      </c>
      <c r="R101" s="14"/>
      <c r="S101" s="14" t="s">
        <v>344</v>
      </c>
      <c r="T101" s="14" t="s">
        <v>344</v>
      </c>
      <c r="U101" s="55">
        <v>2024.1</v>
      </c>
      <c r="V101" s="14"/>
    </row>
    <row r="102" ht="64.95" customHeight="1" spans="1:22">
      <c r="A102" s="14">
        <v>5</v>
      </c>
      <c r="B102" s="30" t="s">
        <v>355</v>
      </c>
      <c r="C102" s="25" t="s">
        <v>35</v>
      </c>
      <c r="D102" s="15" t="s">
        <v>356</v>
      </c>
      <c r="E102" s="14" t="s">
        <v>336</v>
      </c>
      <c r="F102" s="72" t="s">
        <v>357</v>
      </c>
      <c r="G102" s="73">
        <v>321</v>
      </c>
      <c r="H102" s="25" t="s">
        <v>39</v>
      </c>
      <c r="I102" s="61" t="s">
        <v>358</v>
      </c>
      <c r="J102" s="54"/>
      <c r="K102" s="14">
        <v>15</v>
      </c>
      <c r="L102" s="14">
        <v>46</v>
      </c>
      <c r="M102" s="14">
        <v>0.11</v>
      </c>
      <c r="N102" s="15">
        <v>0.11</v>
      </c>
      <c r="O102" s="15"/>
      <c r="P102" s="15">
        <v>0.11</v>
      </c>
      <c r="Q102" s="15">
        <v>0.11</v>
      </c>
      <c r="R102" s="14"/>
      <c r="S102" s="15" t="s">
        <v>42</v>
      </c>
      <c r="T102" s="15" t="s">
        <v>42</v>
      </c>
      <c r="U102" s="55">
        <v>2024.1</v>
      </c>
      <c r="V102" s="14"/>
    </row>
    <row r="103" ht="39" customHeight="1" spans="1:22">
      <c r="A103" s="41" t="s">
        <v>359</v>
      </c>
      <c r="B103" s="70" t="s">
        <v>360</v>
      </c>
      <c r="C103" s="14"/>
      <c r="D103" s="14"/>
      <c r="E103" s="14"/>
      <c r="F103" s="44"/>
      <c r="G103" s="41">
        <f>G104+G165</f>
        <v>4486.76</v>
      </c>
      <c r="H103" s="25"/>
      <c r="I103" s="44">
        <v>3695.62</v>
      </c>
      <c r="J103" s="14"/>
      <c r="K103" s="14"/>
      <c r="L103" s="14"/>
      <c r="M103" s="14"/>
      <c r="N103" s="14"/>
      <c r="O103" s="14"/>
      <c r="P103" s="14"/>
      <c r="Q103" s="14"/>
      <c r="R103" s="14"/>
      <c r="S103" s="14"/>
      <c r="T103" s="14"/>
      <c r="U103" s="14"/>
      <c r="V103" s="14"/>
    </row>
    <row r="104" ht="39" customHeight="1" spans="1:22">
      <c r="A104" s="41" t="s">
        <v>30</v>
      </c>
      <c r="B104" s="70" t="s">
        <v>361</v>
      </c>
      <c r="C104" s="14"/>
      <c r="D104" s="14"/>
      <c r="E104" s="14"/>
      <c r="F104" s="44"/>
      <c r="G104" s="41">
        <f>G105+G124+G141+G151+G153</f>
        <v>3745.44</v>
      </c>
      <c r="H104" s="25"/>
      <c r="I104" s="44"/>
      <c r="J104" s="14"/>
      <c r="K104" s="14"/>
      <c r="L104" s="14"/>
      <c r="M104" s="14"/>
      <c r="N104" s="14"/>
      <c r="O104" s="14"/>
      <c r="P104" s="14"/>
      <c r="Q104" s="14"/>
      <c r="R104" s="14"/>
      <c r="S104" s="14"/>
      <c r="T104" s="14"/>
      <c r="U104" s="14"/>
      <c r="V104" s="14"/>
    </row>
    <row r="105" ht="39" customHeight="1" spans="1:22">
      <c r="A105" s="41" t="s">
        <v>32</v>
      </c>
      <c r="B105" s="70" t="s">
        <v>362</v>
      </c>
      <c r="C105" s="14"/>
      <c r="D105" s="14"/>
      <c r="E105" s="14"/>
      <c r="F105" s="44"/>
      <c r="G105" s="41">
        <v>1437</v>
      </c>
      <c r="H105" s="25"/>
      <c r="I105" s="44"/>
      <c r="J105" s="14"/>
      <c r="K105" s="14"/>
      <c r="L105" s="14"/>
      <c r="M105" s="14"/>
      <c r="N105" s="14"/>
      <c r="O105" s="14"/>
      <c r="P105" s="14"/>
      <c r="Q105" s="14"/>
      <c r="R105" s="14"/>
      <c r="S105" s="14"/>
      <c r="T105" s="14"/>
      <c r="U105" s="14"/>
      <c r="V105" s="14"/>
    </row>
    <row r="106" ht="57" customHeight="1" spans="1:22">
      <c r="A106" s="25">
        <v>1</v>
      </c>
      <c r="B106" s="25" t="s">
        <v>363</v>
      </c>
      <c r="C106" s="25" t="s">
        <v>35</v>
      </c>
      <c r="D106" s="15" t="s">
        <v>36</v>
      </c>
      <c r="E106" s="15" t="s">
        <v>364</v>
      </c>
      <c r="F106" s="40" t="s">
        <v>365</v>
      </c>
      <c r="G106" s="14">
        <v>147</v>
      </c>
      <c r="H106" s="25" t="s">
        <v>39</v>
      </c>
      <c r="I106" s="26" t="s">
        <v>315</v>
      </c>
      <c r="J106" s="14"/>
      <c r="K106" s="14"/>
      <c r="L106" s="25">
        <v>1</v>
      </c>
      <c r="M106" s="25">
        <v>0.0138</v>
      </c>
      <c r="N106" s="25">
        <v>0.0017</v>
      </c>
      <c r="O106" s="25">
        <v>0.0121</v>
      </c>
      <c r="P106" s="25">
        <v>0.0654</v>
      </c>
      <c r="Q106" s="25">
        <v>0.0054</v>
      </c>
      <c r="R106" s="25">
        <v>0.06</v>
      </c>
      <c r="S106" s="15" t="s">
        <v>316</v>
      </c>
      <c r="T106" s="25" t="s">
        <v>43</v>
      </c>
      <c r="U106" s="55">
        <v>2024.1</v>
      </c>
      <c r="V106" s="14"/>
    </row>
    <row r="107" ht="57" customHeight="1" spans="1:22">
      <c r="A107" s="25">
        <v>2</v>
      </c>
      <c r="B107" s="46" t="s">
        <v>366</v>
      </c>
      <c r="C107" s="46" t="s">
        <v>35</v>
      </c>
      <c r="D107" s="46" t="s">
        <v>36</v>
      </c>
      <c r="E107" s="46" t="s">
        <v>179</v>
      </c>
      <c r="F107" s="45" t="s">
        <v>367</v>
      </c>
      <c r="G107" s="64">
        <v>36</v>
      </c>
      <c r="H107" s="25" t="s">
        <v>39</v>
      </c>
      <c r="I107" s="26" t="s">
        <v>315</v>
      </c>
      <c r="J107" s="14"/>
      <c r="K107" s="14"/>
      <c r="L107" s="25">
        <v>1</v>
      </c>
      <c r="M107" s="25">
        <f>N107+O107</f>
        <v>0.066</v>
      </c>
      <c r="N107" s="25">
        <v>0.0025</v>
      </c>
      <c r="O107" s="25">
        <v>0.0635</v>
      </c>
      <c r="P107" s="25">
        <f>Q107+R107</f>
        <v>0.2141</v>
      </c>
      <c r="Q107" s="25">
        <v>0.0099</v>
      </c>
      <c r="R107" s="25">
        <v>0.2042</v>
      </c>
      <c r="S107" s="15" t="s">
        <v>316</v>
      </c>
      <c r="T107" s="25" t="s">
        <v>43</v>
      </c>
      <c r="U107" s="55">
        <v>2024.1</v>
      </c>
      <c r="V107" s="14"/>
    </row>
    <row r="108" ht="64.05" customHeight="1" spans="1:22">
      <c r="A108" s="25">
        <v>3</v>
      </c>
      <c r="B108" s="25" t="s">
        <v>368</v>
      </c>
      <c r="C108" s="25" t="s">
        <v>35</v>
      </c>
      <c r="D108" s="15" t="s">
        <v>36</v>
      </c>
      <c r="E108" s="15" t="s">
        <v>168</v>
      </c>
      <c r="F108" s="26" t="s">
        <v>318</v>
      </c>
      <c r="G108" s="14">
        <v>90</v>
      </c>
      <c r="H108" s="25" t="s">
        <v>39</v>
      </c>
      <c r="I108" s="26" t="s">
        <v>315</v>
      </c>
      <c r="J108" s="14"/>
      <c r="K108" s="14"/>
      <c r="L108" s="14">
        <v>1</v>
      </c>
      <c r="M108" s="14">
        <v>0.0434</v>
      </c>
      <c r="N108" s="14">
        <v>0.0012</v>
      </c>
      <c r="O108" s="14">
        <v>0.0422</v>
      </c>
      <c r="P108" s="14">
        <v>0.1746</v>
      </c>
      <c r="Q108" s="14">
        <v>0.0042</v>
      </c>
      <c r="R108" s="14">
        <v>0.165</v>
      </c>
      <c r="S108" s="15" t="s">
        <v>316</v>
      </c>
      <c r="T108" s="25" t="s">
        <v>43</v>
      </c>
      <c r="U108" s="55">
        <v>2024.1</v>
      </c>
      <c r="V108" s="14"/>
    </row>
    <row r="109" ht="64.05" customHeight="1" spans="1:22">
      <c r="A109" s="25">
        <v>4</v>
      </c>
      <c r="B109" s="27" t="s">
        <v>369</v>
      </c>
      <c r="C109" s="27" t="s">
        <v>35</v>
      </c>
      <c r="D109" s="27" t="s">
        <v>36</v>
      </c>
      <c r="E109" s="27" t="s">
        <v>165</v>
      </c>
      <c r="F109" s="49" t="s">
        <v>370</v>
      </c>
      <c r="G109" s="27">
        <v>74</v>
      </c>
      <c r="H109" s="25" t="s">
        <v>39</v>
      </c>
      <c r="I109" s="26" t="s">
        <v>315</v>
      </c>
      <c r="J109" s="81"/>
      <c r="K109" s="81"/>
      <c r="L109" s="79">
        <v>1</v>
      </c>
      <c r="M109" s="14">
        <f>N109+O109</f>
        <v>0.0194</v>
      </c>
      <c r="N109" s="27">
        <v>0.0007</v>
      </c>
      <c r="O109" s="27">
        <v>0.0187</v>
      </c>
      <c r="P109" s="14">
        <f>Q109+R109</f>
        <v>0.1087</v>
      </c>
      <c r="Q109" s="27">
        <v>0.0031</v>
      </c>
      <c r="R109" s="27">
        <v>0.1056</v>
      </c>
      <c r="S109" s="15" t="s">
        <v>316</v>
      </c>
      <c r="T109" s="25" t="s">
        <v>43</v>
      </c>
      <c r="U109" s="55">
        <v>2024.1</v>
      </c>
      <c r="V109" s="14"/>
    </row>
    <row r="110" ht="46.95" customHeight="1" spans="1:22">
      <c r="A110" s="25">
        <v>5</v>
      </c>
      <c r="B110" s="74" t="s">
        <v>371</v>
      </c>
      <c r="C110" s="74" t="s">
        <v>35</v>
      </c>
      <c r="D110" s="27" t="s">
        <v>36</v>
      </c>
      <c r="E110" s="74" t="s">
        <v>209</v>
      </c>
      <c r="F110" s="49" t="s">
        <v>372</v>
      </c>
      <c r="G110" s="27">
        <v>87</v>
      </c>
      <c r="H110" s="25" t="s">
        <v>39</v>
      </c>
      <c r="I110" s="82" t="s">
        <v>373</v>
      </c>
      <c r="J110" s="51"/>
      <c r="K110" s="51"/>
      <c r="L110" s="51">
        <v>1</v>
      </c>
      <c r="M110" s="51">
        <v>0.0523</v>
      </c>
      <c r="N110" s="51">
        <v>0.039</v>
      </c>
      <c r="O110" s="51">
        <v>0.0484</v>
      </c>
      <c r="P110" s="51">
        <v>0.2208</v>
      </c>
      <c r="Q110" s="51">
        <v>0.0178</v>
      </c>
      <c r="R110" s="57">
        <v>0.203</v>
      </c>
      <c r="S110" s="15" t="s">
        <v>316</v>
      </c>
      <c r="T110" s="15" t="s">
        <v>124</v>
      </c>
      <c r="U110" s="55">
        <v>2024.1</v>
      </c>
      <c r="V110" s="14"/>
    </row>
    <row r="111" ht="48" customHeight="1" spans="1:22">
      <c r="A111" s="25">
        <v>6</v>
      </c>
      <c r="B111" s="15" t="s">
        <v>374</v>
      </c>
      <c r="C111" s="15" t="s">
        <v>35</v>
      </c>
      <c r="D111" s="15" t="s">
        <v>36</v>
      </c>
      <c r="E111" s="15" t="s">
        <v>184</v>
      </c>
      <c r="F111" s="26" t="s">
        <v>375</v>
      </c>
      <c r="G111" s="15">
        <v>93</v>
      </c>
      <c r="H111" s="25" t="s">
        <v>39</v>
      </c>
      <c r="I111" s="26" t="s">
        <v>315</v>
      </c>
      <c r="J111" s="15"/>
      <c r="K111" s="15"/>
      <c r="L111" s="15">
        <v>1</v>
      </c>
      <c r="M111" s="15">
        <v>0.0195</v>
      </c>
      <c r="N111" s="15">
        <v>0.0032</v>
      </c>
      <c r="O111" s="15">
        <v>0.0163</v>
      </c>
      <c r="P111" s="15">
        <v>0.0678</v>
      </c>
      <c r="Q111" s="15">
        <v>0.0137</v>
      </c>
      <c r="R111" s="15">
        <v>0.0541</v>
      </c>
      <c r="S111" s="15" t="s">
        <v>316</v>
      </c>
      <c r="T111" s="15" t="s">
        <v>124</v>
      </c>
      <c r="U111" s="55">
        <v>2024.1</v>
      </c>
      <c r="V111" s="14"/>
    </row>
    <row r="112" ht="49.05" customHeight="1" spans="1:22">
      <c r="A112" s="25">
        <v>7</v>
      </c>
      <c r="B112" s="15" t="s">
        <v>376</v>
      </c>
      <c r="C112" s="14" t="s">
        <v>35</v>
      </c>
      <c r="D112" s="15" t="s">
        <v>36</v>
      </c>
      <c r="E112" s="15" t="s">
        <v>204</v>
      </c>
      <c r="F112" s="26" t="s">
        <v>377</v>
      </c>
      <c r="G112" s="14">
        <v>96</v>
      </c>
      <c r="H112" s="25" t="s">
        <v>39</v>
      </c>
      <c r="I112" s="26" t="s">
        <v>378</v>
      </c>
      <c r="J112" s="15"/>
      <c r="K112" s="15"/>
      <c r="L112" s="15">
        <v>1</v>
      </c>
      <c r="M112" s="15">
        <v>0.0201</v>
      </c>
      <c r="N112" s="15">
        <v>0.0015</v>
      </c>
      <c r="O112" s="15">
        <v>0.0186</v>
      </c>
      <c r="P112" s="15">
        <v>0.0801</v>
      </c>
      <c r="Q112" s="15">
        <v>0.0066</v>
      </c>
      <c r="R112" s="15">
        <v>0.0735</v>
      </c>
      <c r="S112" s="15" t="s">
        <v>316</v>
      </c>
      <c r="T112" s="15" t="s">
        <v>124</v>
      </c>
      <c r="U112" s="55">
        <v>2024.1</v>
      </c>
      <c r="V112" s="14"/>
    </row>
    <row r="113" ht="55.05" customHeight="1" spans="1:22">
      <c r="A113" s="25">
        <v>8</v>
      </c>
      <c r="B113" s="15" t="s">
        <v>379</v>
      </c>
      <c r="C113" s="15" t="s">
        <v>142</v>
      </c>
      <c r="D113" s="15" t="s">
        <v>36</v>
      </c>
      <c r="E113" s="15" t="s">
        <v>200</v>
      </c>
      <c r="F113" s="26" t="s">
        <v>380</v>
      </c>
      <c r="G113" s="15">
        <v>100</v>
      </c>
      <c r="H113" s="25" t="s">
        <v>39</v>
      </c>
      <c r="I113" s="26" t="s">
        <v>315</v>
      </c>
      <c r="J113" s="15"/>
      <c r="K113" s="15"/>
      <c r="L113" s="15">
        <v>1</v>
      </c>
      <c r="M113" s="15">
        <v>0.009</v>
      </c>
      <c r="N113" s="15">
        <v>0.001</v>
      </c>
      <c r="O113" s="15">
        <v>0.008</v>
      </c>
      <c r="P113" s="15">
        <v>0.036</v>
      </c>
      <c r="Q113" s="15">
        <v>0.044</v>
      </c>
      <c r="R113" s="15">
        <v>0.0316</v>
      </c>
      <c r="S113" s="15" t="s">
        <v>316</v>
      </c>
      <c r="T113" s="15" t="s">
        <v>124</v>
      </c>
      <c r="U113" s="55">
        <v>2024.1</v>
      </c>
      <c r="V113" s="14"/>
    </row>
    <row r="114" ht="52.95" customHeight="1" spans="1:22">
      <c r="A114" s="25">
        <v>9</v>
      </c>
      <c r="B114" s="15" t="s">
        <v>381</v>
      </c>
      <c r="C114" s="15" t="s">
        <v>35</v>
      </c>
      <c r="D114" s="15" t="s">
        <v>36</v>
      </c>
      <c r="E114" s="15" t="s">
        <v>382</v>
      </c>
      <c r="F114" s="26" t="s">
        <v>383</v>
      </c>
      <c r="G114" s="15">
        <v>65</v>
      </c>
      <c r="H114" s="25" t="s">
        <v>39</v>
      </c>
      <c r="I114" s="26" t="s">
        <v>315</v>
      </c>
      <c r="J114" s="17"/>
      <c r="K114" s="17"/>
      <c r="L114" s="15">
        <v>1</v>
      </c>
      <c r="M114" s="15">
        <v>0.0318</v>
      </c>
      <c r="N114" s="15">
        <v>0.003</v>
      </c>
      <c r="O114" s="15">
        <v>0.0288</v>
      </c>
      <c r="P114" s="15">
        <v>0.1218</v>
      </c>
      <c r="Q114" s="15">
        <v>0.0098</v>
      </c>
      <c r="R114" s="15">
        <v>0.112</v>
      </c>
      <c r="S114" s="15" t="s">
        <v>316</v>
      </c>
      <c r="T114" s="15" t="s">
        <v>124</v>
      </c>
      <c r="U114" s="55">
        <v>2024.1</v>
      </c>
      <c r="V114" s="14"/>
    </row>
    <row r="115" ht="64.05" customHeight="1" spans="1:22">
      <c r="A115" s="25">
        <v>10</v>
      </c>
      <c r="B115" s="25" t="s">
        <v>384</v>
      </c>
      <c r="C115" s="25" t="s">
        <v>35</v>
      </c>
      <c r="D115" s="15" t="s">
        <v>36</v>
      </c>
      <c r="E115" s="25" t="s">
        <v>231</v>
      </c>
      <c r="F115" s="40" t="s">
        <v>385</v>
      </c>
      <c r="G115" s="25">
        <v>90</v>
      </c>
      <c r="H115" s="25" t="s">
        <v>39</v>
      </c>
      <c r="I115" s="26" t="s">
        <v>315</v>
      </c>
      <c r="J115" s="25"/>
      <c r="K115" s="25"/>
      <c r="L115" s="25">
        <v>1</v>
      </c>
      <c r="M115" s="25">
        <v>0.0802</v>
      </c>
      <c r="N115" s="25">
        <v>0.0077</v>
      </c>
      <c r="O115" s="25">
        <v>0.0725</v>
      </c>
      <c r="P115" s="25">
        <v>0.3209</v>
      </c>
      <c r="Q115" s="25">
        <v>0.0346</v>
      </c>
      <c r="R115" s="25">
        <v>0.2863</v>
      </c>
      <c r="S115" s="15" t="s">
        <v>316</v>
      </c>
      <c r="T115" s="23" t="s">
        <v>69</v>
      </c>
      <c r="U115" s="55">
        <v>2024.1</v>
      </c>
      <c r="V115" s="14"/>
    </row>
    <row r="116" ht="55.05" customHeight="1" spans="1:22">
      <c r="A116" s="25">
        <v>11</v>
      </c>
      <c r="B116" s="25" t="s">
        <v>386</v>
      </c>
      <c r="C116" s="25" t="s">
        <v>35</v>
      </c>
      <c r="D116" s="15" t="s">
        <v>36</v>
      </c>
      <c r="E116" s="25" t="s">
        <v>387</v>
      </c>
      <c r="F116" s="40" t="s">
        <v>388</v>
      </c>
      <c r="G116" s="25">
        <v>90</v>
      </c>
      <c r="H116" s="25" t="s">
        <v>39</v>
      </c>
      <c r="I116" s="26" t="s">
        <v>315</v>
      </c>
      <c r="J116" s="25"/>
      <c r="K116" s="25"/>
      <c r="L116" s="25">
        <v>1</v>
      </c>
      <c r="M116" s="25">
        <v>0.0365</v>
      </c>
      <c r="N116" s="25">
        <v>0.0054</v>
      </c>
      <c r="O116" s="25">
        <v>0.0311</v>
      </c>
      <c r="P116" s="25">
        <v>0.1428</v>
      </c>
      <c r="Q116" s="25">
        <v>0.0227</v>
      </c>
      <c r="R116" s="25">
        <v>0.1201</v>
      </c>
      <c r="S116" s="15" t="s">
        <v>316</v>
      </c>
      <c r="T116" s="23" t="s">
        <v>69</v>
      </c>
      <c r="U116" s="55">
        <v>2024.1</v>
      </c>
      <c r="V116" s="14"/>
    </row>
    <row r="117" ht="55.05" customHeight="1" spans="1:22">
      <c r="A117" s="25">
        <v>12</v>
      </c>
      <c r="B117" s="25" t="s">
        <v>389</v>
      </c>
      <c r="C117" s="25" t="s">
        <v>35</v>
      </c>
      <c r="D117" s="15" t="s">
        <v>36</v>
      </c>
      <c r="E117" s="25" t="s">
        <v>246</v>
      </c>
      <c r="F117" s="40" t="s">
        <v>390</v>
      </c>
      <c r="G117" s="25">
        <v>72</v>
      </c>
      <c r="H117" s="25" t="s">
        <v>39</v>
      </c>
      <c r="I117" s="26" t="s">
        <v>315</v>
      </c>
      <c r="J117" s="25"/>
      <c r="K117" s="25"/>
      <c r="L117" s="25">
        <v>1</v>
      </c>
      <c r="M117" s="25">
        <v>0.0735</v>
      </c>
      <c r="N117" s="25">
        <v>0.007</v>
      </c>
      <c r="O117" s="25">
        <v>0.0665</v>
      </c>
      <c r="P117" s="25">
        <v>0.2844</v>
      </c>
      <c r="Q117" s="25">
        <v>0.0293</v>
      </c>
      <c r="R117" s="25">
        <v>0.2551</v>
      </c>
      <c r="S117" s="15" t="s">
        <v>316</v>
      </c>
      <c r="T117" s="23" t="s">
        <v>69</v>
      </c>
      <c r="U117" s="55">
        <v>2024.1</v>
      </c>
      <c r="V117" s="14"/>
    </row>
    <row r="118" ht="55.05" customHeight="1" spans="1:22">
      <c r="A118" s="25">
        <v>13</v>
      </c>
      <c r="B118" s="46" t="s">
        <v>391</v>
      </c>
      <c r="C118" s="46" t="s">
        <v>35</v>
      </c>
      <c r="D118" s="46" t="s">
        <v>36</v>
      </c>
      <c r="E118" s="46" t="s">
        <v>223</v>
      </c>
      <c r="F118" s="45" t="s">
        <v>392</v>
      </c>
      <c r="G118" s="46">
        <v>20</v>
      </c>
      <c r="H118" s="25" t="s">
        <v>39</v>
      </c>
      <c r="I118" s="26" t="s">
        <v>315</v>
      </c>
      <c r="J118" s="25"/>
      <c r="K118" s="25"/>
      <c r="L118" s="27">
        <v>1</v>
      </c>
      <c r="M118" s="6">
        <f>N118+O118</f>
        <v>0.042</v>
      </c>
      <c r="N118" s="27">
        <v>0.004</v>
      </c>
      <c r="O118" s="27">
        <v>0.038</v>
      </c>
      <c r="P118" s="6">
        <f>Q118+R118</f>
        <v>0.1691</v>
      </c>
      <c r="Q118" s="27">
        <v>0.0162</v>
      </c>
      <c r="R118" s="27">
        <v>0.1529</v>
      </c>
      <c r="S118" s="15" t="s">
        <v>316</v>
      </c>
      <c r="T118" s="23" t="s">
        <v>69</v>
      </c>
      <c r="U118" s="55">
        <v>2024.1</v>
      </c>
      <c r="V118" s="14"/>
    </row>
    <row r="119" ht="55.05" customHeight="1" spans="1:22">
      <c r="A119" s="25">
        <v>14</v>
      </c>
      <c r="B119" s="15" t="s">
        <v>393</v>
      </c>
      <c r="C119" s="25" t="s">
        <v>35</v>
      </c>
      <c r="D119" s="15" t="s">
        <v>36</v>
      </c>
      <c r="E119" s="15" t="s">
        <v>121</v>
      </c>
      <c r="F119" s="26" t="s">
        <v>394</v>
      </c>
      <c r="G119" s="15">
        <v>120</v>
      </c>
      <c r="H119" s="25" t="s">
        <v>39</v>
      </c>
      <c r="I119" s="26" t="s">
        <v>315</v>
      </c>
      <c r="J119" s="15"/>
      <c r="K119" s="15"/>
      <c r="L119" s="15">
        <v>1</v>
      </c>
      <c r="M119" s="15">
        <v>0.0195</v>
      </c>
      <c r="N119" s="15">
        <v>0.0065</v>
      </c>
      <c r="O119" s="15">
        <v>0.013</v>
      </c>
      <c r="P119" s="15">
        <v>0.083</v>
      </c>
      <c r="Q119" s="15">
        <v>0.0276</v>
      </c>
      <c r="R119" s="15">
        <v>0.0554</v>
      </c>
      <c r="S119" s="15" t="s">
        <v>316</v>
      </c>
      <c r="T119" s="25" t="s">
        <v>118</v>
      </c>
      <c r="U119" s="55">
        <v>2024.1</v>
      </c>
      <c r="V119" s="14"/>
    </row>
    <row r="120" ht="52.05" customHeight="1" spans="1:22">
      <c r="A120" s="25">
        <v>15</v>
      </c>
      <c r="B120" s="15" t="s">
        <v>395</v>
      </c>
      <c r="C120" s="15" t="s">
        <v>35</v>
      </c>
      <c r="D120" s="15" t="s">
        <v>36</v>
      </c>
      <c r="E120" s="15" t="s">
        <v>396</v>
      </c>
      <c r="F120" s="49" t="s">
        <v>397</v>
      </c>
      <c r="G120" s="46">
        <v>41</v>
      </c>
      <c r="H120" s="25" t="s">
        <v>39</v>
      </c>
      <c r="I120" s="26" t="s">
        <v>315</v>
      </c>
      <c r="J120" s="15"/>
      <c r="K120" s="15"/>
      <c r="L120" s="15">
        <v>1</v>
      </c>
      <c r="M120" s="15">
        <v>0.0375</v>
      </c>
      <c r="N120" s="15">
        <v>0.0105</v>
      </c>
      <c r="O120" s="15">
        <v>0.027</v>
      </c>
      <c r="P120" s="15">
        <f>Q120+R120</f>
        <v>0.1361</v>
      </c>
      <c r="Q120" s="15">
        <v>0.0441</v>
      </c>
      <c r="R120" s="15">
        <v>0.092</v>
      </c>
      <c r="S120" s="15" t="s">
        <v>42</v>
      </c>
      <c r="T120" s="15" t="s">
        <v>263</v>
      </c>
      <c r="U120" s="55">
        <v>2024.1</v>
      </c>
      <c r="V120" s="14"/>
    </row>
    <row r="121" ht="138" customHeight="1" spans="1:22">
      <c r="A121" s="25">
        <v>16</v>
      </c>
      <c r="B121" s="15" t="s">
        <v>398</v>
      </c>
      <c r="C121" s="15" t="s">
        <v>35</v>
      </c>
      <c r="D121" s="15" t="s">
        <v>36</v>
      </c>
      <c r="E121" s="15" t="s">
        <v>260</v>
      </c>
      <c r="F121" s="26" t="s">
        <v>399</v>
      </c>
      <c r="G121" s="15">
        <v>74</v>
      </c>
      <c r="H121" s="25" t="s">
        <v>39</v>
      </c>
      <c r="I121" s="26" t="s">
        <v>315</v>
      </c>
      <c r="J121" s="15"/>
      <c r="K121" s="15">
        <v>1</v>
      </c>
      <c r="L121" s="15"/>
      <c r="M121" s="15">
        <v>0.0092</v>
      </c>
      <c r="N121" s="15">
        <v>0.0026</v>
      </c>
      <c r="O121" s="15">
        <v>0.0066</v>
      </c>
      <c r="P121" s="15">
        <v>0.0368</v>
      </c>
      <c r="Q121" s="15">
        <v>0.0108</v>
      </c>
      <c r="R121" s="15">
        <v>0.026</v>
      </c>
      <c r="S121" s="15" t="s">
        <v>42</v>
      </c>
      <c r="T121" s="15" t="s">
        <v>263</v>
      </c>
      <c r="U121" s="55">
        <v>2024.1</v>
      </c>
      <c r="V121" s="14"/>
    </row>
    <row r="122" ht="70.95" customHeight="1" spans="1:22">
      <c r="A122" s="25">
        <v>17</v>
      </c>
      <c r="B122" s="15" t="s">
        <v>400</v>
      </c>
      <c r="C122" s="15" t="s">
        <v>35</v>
      </c>
      <c r="D122" s="15" t="s">
        <v>36</v>
      </c>
      <c r="E122" s="54" t="s">
        <v>283</v>
      </c>
      <c r="F122" s="75" t="s">
        <v>401</v>
      </c>
      <c r="G122" s="15">
        <v>65</v>
      </c>
      <c r="H122" s="25" t="s">
        <v>39</v>
      </c>
      <c r="I122" s="26" t="s">
        <v>315</v>
      </c>
      <c r="J122" s="15"/>
      <c r="K122" s="15">
        <v>1</v>
      </c>
      <c r="L122" s="15"/>
      <c r="M122" s="15">
        <v>0.0192</v>
      </c>
      <c r="N122" s="4">
        <v>0.0045</v>
      </c>
      <c r="O122" s="15">
        <v>0.0147</v>
      </c>
      <c r="P122" s="15">
        <v>0.0701</v>
      </c>
      <c r="Q122" s="15">
        <v>0.0194</v>
      </c>
      <c r="R122" s="15">
        <v>0.0507</v>
      </c>
      <c r="S122" s="15" t="s">
        <v>316</v>
      </c>
      <c r="T122" s="54" t="s">
        <v>286</v>
      </c>
      <c r="U122" s="55">
        <v>2024.1</v>
      </c>
      <c r="V122" s="14"/>
    </row>
    <row r="123" ht="70.95" customHeight="1" spans="1:22">
      <c r="A123" s="25">
        <v>18</v>
      </c>
      <c r="B123" s="46" t="s">
        <v>402</v>
      </c>
      <c r="C123" s="46" t="s">
        <v>35</v>
      </c>
      <c r="D123" s="46" t="s">
        <v>36</v>
      </c>
      <c r="E123" s="46" t="s">
        <v>295</v>
      </c>
      <c r="F123" s="45" t="s">
        <v>403</v>
      </c>
      <c r="G123" s="46">
        <v>77</v>
      </c>
      <c r="H123" s="25" t="s">
        <v>39</v>
      </c>
      <c r="I123" s="26" t="s">
        <v>315</v>
      </c>
      <c r="J123" s="15"/>
      <c r="K123" s="15"/>
      <c r="L123" s="15">
        <v>1</v>
      </c>
      <c r="M123" s="15">
        <v>0.0411</v>
      </c>
      <c r="N123" s="15">
        <v>0.0071</v>
      </c>
      <c r="O123" s="78">
        <v>0.034</v>
      </c>
      <c r="P123" s="78">
        <v>0.163</v>
      </c>
      <c r="Q123" s="78">
        <v>0.02</v>
      </c>
      <c r="R123" s="15">
        <v>0.143</v>
      </c>
      <c r="S123" s="15" t="s">
        <v>316</v>
      </c>
      <c r="T123" s="54" t="s">
        <v>286</v>
      </c>
      <c r="U123" s="55">
        <v>2024.1</v>
      </c>
      <c r="V123" s="14"/>
    </row>
    <row r="124" ht="40.05" customHeight="1" spans="1:22">
      <c r="A124" s="14" t="s">
        <v>96</v>
      </c>
      <c r="B124" s="16" t="s">
        <v>404</v>
      </c>
      <c r="C124" s="14"/>
      <c r="D124" s="14"/>
      <c r="E124" s="14"/>
      <c r="F124" s="44"/>
      <c r="G124" s="41">
        <v>803</v>
      </c>
      <c r="H124" s="25"/>
      <c r="I124" s="44"/>
      <c r="J124" s="14"/>
      <c r="K124" s="14"/>
      <c r="L124" s="14"/>
      <c r="M124" s="14"/>
      <c r="N124" s="14"/>
      <c r="O124" s="14"/>
      <c r="P124" s="14"/>
      <c r="Q124" s="14"/>
      <c r="R124" s="14"/>
      <c r="S124" s="14"/>
      <c r="T124" s="14"/>
      <c r="U124" s="14"/>
      <c r="V124" s="14"/>
    </row>
    <row r="125" s="2" customFormat="1" ht="154.95" customHeight="1" spans="1:22">
      <c r="A125" s="25">
        <v>1</v>
      </c>
      <c r="B125" s="15" t="s">
        <v>405</v>
      </c>
      <c r="C125" s="25" t="s">
        <v>35</v>
      </c>
      <c r="D125" s="15" t="s">
        <v>36</v>
      </c>
      <c r="E125" s="15" t="s">
        <v>406</v>
      </c>
      <c r="F125" s="26" t="s">
        <v>407</v>
      </c>
      <c r="G125" s="15">
        <v>30</v>
      </c>
      <c r="H125" s="25" t="s">
        <v>39</v>
      </c>
      <c r="I125" s="26" t="s">
        <v>408</v>
      </c>
      <c r="J125" s="15"/>
      <c r="K125" s="15"/>
      <c r="L125" s="15">
        <v>1</v>
      </c>
      <c r="M125" s="15">
        <v>0.0292</v>
      </c>
      <c r="N125" s="15">
        <v>0.0092</v>
      </c>
      <c r="O125" s="15">
        <v>0.02</v>
      </c>
      <c r="P125" s="15">
        <v>0.098</v>
      </c>
      <c r="Q125" s="15">
        <v>0.036</v>
      </c>
      <c r="R125" s="15">
        <v>0.062</v>
      </c>
      <c r="S125" s="15" t="s">
        <v>187</v>
      </c>
      <c r="T125" s="25" t="s">
        <v>43</v>
      </c>
      <c r="U125" s="55">
        <v>2024.1</v>
      </c>
      <c r="V125" s="15"/>
    </row>
    <row r="126" ht="52.95" customHeight="1" spans="1:22">
      <c r="A126" s="25">
        <v>2</v>
      </c>
      <c r="B126" s="15" t="s">
        <v>409</v>
      </c>
      <c r="C126" s="15" t="s">
        <v>35</v>
      </c>
      <c r="D126" s="15" t="s">
        <v>36</v>
      </c>
      <c r="E126" s="15" t="s">
        <v>121</v>
      </c>
      <c r="F126" s="26" t="s">
        <v>410</v>
      </c>
      <c r="G126" s="15">
        <v>57</v>
      </c>
      <c r="H126" s="25" t="s">
        <v>39</v>
      </c>
      <c r="I126" s="26" t="s">
        <v>315</v>
      </c>
      <c r="J126" s="17"/>
      <c r="K126" s="42">
        <v>1</v>
      </c>
      <c r="L126" s="42"/>
      <c r="M126" s="25">
        <v>0.0241</v>
      </c>
      <c r="N126" s="25">
        <v>0.006</v>
      </c>
      <c r="O126" s="25">
        <v>0.0191</v>
      </c>
      <c r="P126" s="25">
        <v>0.0876</v>
      </c>
      <c r="Q126" s="25">
        <v>0.0241</v>
      </c>
      <c r="R126" s="25">
        <v>0.0618</v>
      </c>
      <c r="S126" s="15" t="s">
        <v>42</v>
      </c>
      <c r="T126" s="15" t="s">
        <v>124</v>
      </c>
      <c r="U126" s="55">
        <v>2024.1</v>
      </c>
      <c r="V126" s="14"/>
    </row>
    <row r="127" ht="52.95" customHeight="1" spans="1:22">
      <c r="A127" s="25">
        <v>3</v>
      </c>
      <c r="B127" s="74" t="s">
        <v>411</v>
      </c>
      <c r="C127" s="46" t="s">
        <v>35</v>
      </c>
      <c r="D127" s="46" t="s">
        <v>36</v>
      </c>
      <c r="E127" s="46" t="s">
        <v>412</v>
      </c>
      <c r="F127" s="60" t="s">
        <v>413</v>
      </c>
      <c r="G127" s="46">
        <v>21</v>
      </c>
      <c r="H127" s="25" t="s">
        <v>39</v>
      </c>
      <c r="I127" s="26" t="s">
        <v>414</v>
      </c>
      <c r="J127" s="15"/>
      <c r="K127" s="15"/>
      <c r="L127" s="15">
        <v>1</v>
      </c>
      <c r="M127" s="15">
        <v>0.009</v>
      </c>
      <c r="N127" s="15">
        <v>0.001</v>
      </c>
      <c r="O127" s="15">
        <v>0.008</v>
      </c>
      <c r="P127" s="15">
        <v>0.036</v>
      </c>
      <c r="Q127" s="15">
        <v>0.044</v>
      </c>
      <c r="R127" s="15">
        <v>0.0316</v>
      </c>
      <c r="S127" s="15" t="s">
        <v>187</v>
      </c>
      <c r="T127" s="15" t="s">
        <v>124</v>
      </c>
      <c r="U127" s="55">
        <v>2024.1</v>
      </c>
      <c r="V127" s="14"/>
    </row>
    <row r="128" ht="58.05" customHeight="1" spans="1:22">
      <c r="A128" s="25">
        <v>4</v>
      </c>
      <c r="B128" s="15" t="s">
        <v>415</v>
      </c>
      <c r="C128" s="15" t="s">
        <v>416</v>
      </c>
      <c r="D128" s="15" t="s">
        <v>36</v>
      </c>
      <c r="E128" s="15" t="s">
        <v>417</v>
      </c>
      <c r="F128" s="26" t="s">
        <v>418</v>
      </c>
      <c r="G128" s="14">
        <v>90</v>
      </c>
      <c r="H128" s="25" t="s">
        <v>39</v>
      </c>
      <c r="I128" s="26" t="s">
        <v>414</v>
      </c>
      <c r="J128" s="14"/>
      <c r="K128" s="14"/>
      <c r="L128" s="14">
        <v>1</v>
      </c>
      <c r="M128" s="15">
        <v>0.0107</v>
      </c>
      <c r="N128" s="15">
        <v>0.0007</v>
      </c>
      <c r="O128" s="15">
        <v>0.01</v>
      </c>
      <c r="P128" s="15">
        <v>0.0433</v>
      </c>
      <c r="Q128" s="15">
        <v>0.0035</v>
      </c>
      <c r="R128" s="15">
        <v>0.0398</v>
      </c>
      <c r="S128" s="15" t="s">
        <v>187</v>
      </c>
      <c r="T128" s="15" t="s">
        <v>124</v>
      </c>
      <c r="U128" s="55">
        <v>2024.1</v>
      </c>
      <c r="V128" s="14"/>
    </row>
    <row r="129" ht="55.05" customHeight="1" spans="1:22">
      <c r="A129" s="25">
        <v>5</v>
      </c>
      <c r="B129" s="15" t="s">
        <v>419</v>
      </c>
      <c r="C129" s="14" t="s">
        <v>142</v>
      </c>
      <c r="D129" s="15" t="s">
        <v>36</v>
      </c>
      <c r="E129" s="15" t="s">
        <v>204</v>
      </c>
      <c r="F129" s="44" t="s">
        <v>420</v>
      </c>
      <c r="G129" s="14">
        <v>80</v>
      </c>
      <c r="H129" s="25" t="s">
        <v>39</v>
      </c>
      <c r="I129" s="26" t="s">
        <v>414</v>
      </c>
      <c r="J129" s="15"/>
      <c r="K129" s="15"/>
      <c r="L129" s="15">
        <v>1</v>
      </c>
      <c r="M129" s="15">
        <v>0.0201</v>
      </c>
      <c r="N129" s="15">
        <v>0.0015</v>
      </c>
      <c r="O129" s="15">
        <v>0.0186</v>
      </c>
      <c r="P129" s="15">
        <v>0.0801</v>
      </c>
      <c r="Q129" s="15">
        <v>0.0066</v>
      </c>
      <c r="R129" s="15">
        <v>0.0735</v>
      </c>
      <c r="S129" s="15" t="s">
        <v>187</v>
      </c>
      <c r="T129" s="15" t="s">
        <v>124</v>
      </c>
      <c r="U129" s="55">
        <v>2024.1</v>
      </c>
      <c r="V129" s="14"/>
    </row>
    <row r="130" ht="63" customHeight="1" spans="1:22">
      <c r="A130" s="25">
        <v>6</v>
      </c>
      <c r="B130" s="74" t="s">
        <v>421</v>
      </c>
      <c r="C130" s="46" t="s">
        <v>35</v>
      </c>
      <c r="D130" s="46" t="s">
        <v>36</v>
      </c>
      <c r="E130" s="46" t="s">
        <v>387</v>
      </c>
      <c r="F130" s="60" t="s">
        <v>422</v>
      </c>
      <c r="G130" s="46">
        <v>5</v>
      </c>
      <c r="H130" s="25" t="s">
        <v>39</v>
      </c>
      <c r="I130" s="26" t="s">
        <v>414</v>
      </c>
      <c r="J130" s="25"/>
      <c r="K130" s="25"/>
      <c r="L130" s="25">
        <v>1</v>
      </c>
      <c r="M130" s="25">
        <v>0.0205</v>
      </c>
      <c r="N130" s="25">
        <v>0.0054</v>
      </c>
      <c r="O130" s="25">
        <v>0.0151</v>
      </c>
      <c r="P130" s="25">
        <v>0.1056</v>
      </c>
      <c r="Q130" s="25">
        <v>0.0227</v>
      </c>
      <c r="R130" s="25">
        <v>0.0829</v>
      </c>
      <c r="S130" s="15" t="s">
        <v>187</v>
      </c>
      <c r="T130" s="23" t="s">
        <v>69</v>
      </c>
      <c r="U130" s="55">
        <v>2024.1</v>
      </c>
      <c r="V130" s="14"/>
    </row>
    <row r="131" ht="111" customHeight="1" spans="1:22">
      <c r="A131" s="25">
        <v>7</v>
      </c>
      <c r="B131" s="74" t="s">
        <v>423</v>
      </c>
      <c r="C131" s="46" t="s">
        <v>35</v>
      </c>
      <c r="D131" s="46" t="s">
        <v>36</v>
      </c>
      <c r="E131" s="46" t="s">
        <v>424</v>
      </c>
      <c r="F131" s="84" t="s">
        <v>425</v>
      </c>
      <c r="G131" s="46">
        <v>16</v>
      </c>
      <c r="H131" s="25" t="s">
        <v>39</v>
      </c>
      <c r="I131" s="26" t="s">
        <v>414</v>
      </c>
      <c r="J131" s="25"/>
      <c r="K131" s="25">
        <v>1</v>
      </c>
      <c r="L131" s="25"/>
      <c r="M131" s="25">
        <f>N131+O131</f>
        <v>0.0251</v>
      </c>
      <c r="N131" s="25">
        <v>0.0096</v>
      </c>
      <c r="O131" s="25">
        <v>0.0155</v>
      </c>
      <c r="P131" s="25">
        <f>Q131+R131</f>
        <v>0.1029</v>
      </c>
      <c r="Q131" s="25">
        <v>0.0414</v>
      </c>
      <c r="R131" s="25">
        <v>0.0615</v>
      </c>
      <c r="S131" s="15" t="s">
        <v>187</v>
      </c>
      <c r="T131" s="23" t="s">
        <v>69</v>
      </c>
      <c r="U131" s="55">
        <v>2024.1</v>
      </c>
      <c r="V131" s="14"/>
    </row>
    <row r="132" ht="63" customHeight="1" spans="1:22">
      <c r="A132" s="25">
        <v>8</v>
      </c>
      <c r="B132" s="25" t="s">
        <v>426</v>
      </c>
      <c r="C132" s="25" t="s">
        <v>35</v>
      </c>
      <c r="D132" s="15" t="s">
        <v>36</v>
      </c>
      <c r="E132" s="25" t="s">
        <v>427</v>
      </c>
      <c r="F132" s="40" t="s">
        <v>428</v>
      </c>
      <c r="G132" s="25">
        <v>75</v>
      </c>
      <c r="H132" s="25" t="s">
        <v>39</v>
      </c>
      <c r="I132" s="26" t="s">
        <v>414</v>
      </c>
      <c r="J132" s="25"/>
      <c r="K132" s="25">
        <v>1</v>
      </c>
      <c r="L132" s="25"/>
      <c r="M132" s="25">
        <f>N132+O132</f>
        <v>0.0272</v>
      </c>
      <c r="N132" s="25">
        <v>0.0125</v>
      </c>
      <c r="O132" s="25">
        <v>0.0147</v>
      </c>
      <c r="P132" s="25">
        <f>Q132+R132</f>
        <v>0.0945</v>
      </c>
      <c r="Q132" s="25">
        <v>0.0506</v>
      </c>
      <c r="R132" s="25">
        <v>0.0439</v>
      </c>
      <c r="S132" s="15" t="s">
        <v>187</v>
      </c>
      <c r="T132" s="23" t="s">
        <v>109</v>
      </c>
      <c r="U132" s="55">
        <v>2024.1</v>
      </c>
      <c r="V132" s="14"/>
    </row>
    <row r="133" ht="55.05" customHeight="1" spans="1:22">
      <c r="A133" s="25">
        <v>9</v>
      </c>
      <c r="B133" s="15" t="s">
        <v>429</v>
      </c>
      <c r="C133" s="25" t="s">
        <v>35</v>
      </c>
      <c r="D133" s="15" t="s">
        <v>36</v>
      </c>
      <c r="E133" s="14" t="s">
        <v>114</v>
      </c>
      <c r="F133" s="26" t="s">
        <v>430</v>
      </c>
      <c r="G133" s="14">
        <v>30</v>
      </c>
      <c r="H133" s="25" t="s">
        <v>39</v>
      </c>
      <c r="I133" s="61" t="s">
        <v>414</v>
      </c>
      <c r="J133" s="14"/>
      <c r="K133" s="14"/>
      <c r="L133" s="14">
        <v>1</v>
      </c>
      <c r="M133" s="15">
        <v>0.007</v>
      </c>
      <c r="N133" s="15">
        <v>0.0018</v>
      </c>
      <c r="O133" s="15">
        <v>0.0052</v>
      </c>
      <c r="P133" s="15">
        <v>0.0296</v>
      </c>
      <c r="Q133" s="15">
        <v>0.0082</v>
      </c>
      <c r="R133" s="15">
        <v>0.0214</v>
      </c>
      <c r="S133" s="15" t="s">
        <v>187</v>
      </c>
      <c r="T133" s="25" t="s">
        <v>118</v>
      </c>
      <c r="U133" s="55">
        <v>2024.1</v>
      </c>
      <c r="V133" s="14"/>
    </row>
    <row r="134" ht="90" customHeight="1" spans="1:22">
      <c r="A134" s="25">
        <v>10</v>
      </c>
      <c r="B134" s="15" t="s">
        <v>431</v>
      </c>
      <c r="C134" s="15" t="s">
        <v>35</v>
      </c>
      <c r="D134" s="15" t="s">
        <v>36</v>
      </c>
      <c r="E134" s="15" t="s">
        <v>265</v>
      </c>
      <c r="F134" s="26" t="s">
        <v>432</v>
      </c>
      <c r="G134" s="15">
        <v>12</v>
      </c>
      <c r="H134" s="25" t="s">
        <v>39</v>
      </c>
      <c r="I134" s="26" t="s">
        <v>433</v>
      </c>
      <c r="J134" s="15"/>
      <c r="K134" s="15"/>
      <c r="L134" s="15">
        <v>1</v>
      </c>
      <c r="M134" s="15">
        <v>0.0086</v>
      </c>
      <c r="N134" s="15">
        <v>0.0019</v>
      </c>
      <c r="O134" s="15">
        <v>0.0067</v>
      </c>
      <c r="P134" s="15">
        <v>0.0327</v>
      </c>
      <c r="Q134" s="15">
        <v>0.0072</v>
      </c>
      <c r="R134" s="15">
        <v>0.0255</v>
      </c>
      <c r="S134" s="15" t="s">
        <v>187</v>
      </c>
      <c r="T134" s="15" t="s">
        <v>263</v>
      </c>
      <c r="U134" s="55">
        <v>2024.1</v>
      </c>
      <c r="V134" s="14"/>
    </row>
    <row r="135" ht="99" customHeight="1" spans="1:22">
      <c r="A135" s="25">
        <v>11</v>
      </c>
      <c r="B135" s="46" t="s">
        <v>434</v>
      </c>
      <c r="C135" s="46" t="s">
        <v>35</v>
      </c>
      <c r="D135" s="46" t="s">
        <v>36</v>
      </c>
      <c r="E135" s="46" t="s">
        <v>435</v>
      </c>
      <c r="F135" s="49" t="s">
        <v>436</v>
      </c>
      <c r="G135" s="46">
        <v>16</v>
      </c>
      <c r="H135" s="25" t="s">
        <v>39</v>
      </c>
      <c r="I135" s="45" t="s">
        <v>437</v>
      </c>
      <c r="J135" s="15"/>
      <c r="K135" s="15"/>
      <c r="L135" s="15">
        <v>1</v>
      </c>
      <c r="M135" s="15">
        <v>0.0097</v>
      </c>
      <c r="N135" s="15">
        <v>0.0019</v>
      </c>
      <c r="O135" s="15">
        <v>0.0078</v>
      </c>
      <c r="P135" s="15">
        <v>0.04</v>
      </c>
      <c r="Q135" s="15">
        <v>0.0084</v>
      </c>
      <c r="R135" s="15">
        <v>0.0316</v>
      </c>
      <c r="S135" s="15" t="s">
        <v>187</v>
      </c>
      <c r="T135" s="15" t="s">
        <v>263</v>
      </c>
      <c r="U135" s="55">
        <v>2024.1</v>
      </c>
      <c r="V135" s="14"/>
    </row>
    <row r="136" ht="88.95" customHeight="1" spans="1:22">
      <c r="A136" s="25">
        <v>12</v>
      </c>
      <c r="B136" s="15" t="s">
        <v>438</v>
      </c>
      <c r="C136" s="15" t="s">
        <v>439</v>
      </c>
      <c r="D136" s="15" t="s">
        <v>36</v>
      </c>
      <c r="E136" s="15" t="s">
        <v>435</v>
      </c>
      <c r="F136" s="26" t="s">
        <v>440</v>
      </c>
      <c r="G136" s="15">
        <v>60</v>
      </c>
      <c r="H136" s="25" t="s">
        <v>39</v>
      </c>
      <c r="I136" s="26" t="s">
        <v>441</v>
      </c>
      <c r="J136" s="15"/>
      <c r="K136" s="15"/>
      <c r="L136" s="15">
        <v>1</v>
      </c>
      <c r="M136" s="15">
        <v>0.0273</v>
      </c>
      <c r="N136" s="15">
        <v>0.0067</v>
      </c>
      <c r="O136" s="15">
        <v>0.0206</v>
      </c>
      <c r="P136" s="15">
        <v>0.1073</v>
      </c>
      <c r="Q136" s="15">
        <v>0.0287</v>
      </c>
      <c r="R136" s="15">
        <v>0.0786</v>
      </c>
      <c r="S136" s="15" t="s">
        <v>187</v>
      </c>
      <c r="T136" s="15" t="s">
        <v>263</v>
      </c>
      <c r="U136" s="55">
        <v>2024.1</v>
      </c>
      <c r="V136" s="14"/>
    </row>
    <row r="137" ht="84" customHeight="1" spans="1:22">
      <c r="A137" s="25">
        <v>13</v>
      </c>
      <c r="B137" s="30" t="s">
        <v>442</v>
      </c>
      <c r="C137" s="25" t="s">
        <v>35</v>
      </c>
      <c r="D137" s="15" t="s">
        <v>356</v>
      </c>
      <c r="E137" s="15" t="s">
        <v>443</v>
      </c>
      <c r="F137" s="26" t="s">
        <v>444</v>
      </c>
      <c r="G137" s="85">
        <v>200</v>
      </c>
      <c r="H137" s="25" t="s">
        <v>39</v>
      </c>
      <c r="I137" s="26" t="s">
        <v>445</v>
      </c>
      <c r="J137" s="15"/>
      <c r="K137" s="14"/>
      <c r="L137" s="14">
        <v>1</v>
      </c>
      <c r="M137" s="15">
        <v>0.0368</v>
      </c>
      <c r="N137" s="52">
        <v>0.0129</v>
      </c>
      <c r="O137" s="52">
        <v>0.0239</v>
      </c>
      <c r="P137" s="52">
        <v>0.1456</v>
      </c>
      <c r="Q137" s="52">
        <v>0.0537</v>
      </c>
      <c r="R137" s="52">
        <v>0.0919</v>
      </c>
      <c r="S137" s="15" t="s">
        <v>68</v>
      </c>
      <c r="T137" s="15" t="s">
        <v>263</v>
      </c>
      <c r="U137" s="55">
        <v>2024.1</v>
      </c>
      <c r="V137" s="14"/>
    </row>
    <row r="138" ht="99" customHeight="1" spans="1:22">
      <c r="A138" s="25">
        <v>14</v>
      </c>
      <c r="B138" s="15" t="s">
        <v>446</v>
      </c>
      <c r="C138" s="15" t="s">
        <v>35</v>
      </c>
      <c r="D138" s="15" t="s">
        <v>36</v>
      </c>
      <c r="E138" s="15" t="s">
        <v>443</v>
      </c>
      <c r="F138" s="26" t="s">
        <v>447</v>
      </c>
      <c r="G138" s="15">
        <v>50</v>
      </c>
      <c r="H138" s="25" t="s">
        <v>39</v>
      </c>
      <c r="I138" s="26" t="s">
        <v>448</v>
      </c>
      <c r="J138" s="15"/>
      <c r="K138" s="15">
        <v>1</v>
      </c>
      <c r="L138" s="15"/>
      <c r="M138" s="15">
        <v>0.0368</v>
      </c>
      <c r="N138" s="15">
        <v>0.0129</v>
      </c>
      <c r="O138" s="15">
        <v>0.0239</v>
      </c>
      <c r="P138" s="15">
        <v>0.1456</v>
      </c>
      <c r="Q138" s="15">
        <v>0.0537</v>
      </c>
      <c r="R138" s="15">
        <v>0.0919</v>
      </c>
      <c r="S138" s="15" t="s">
        <v>68</v>
      </c>
      <c r="T138" s="15" t="s">
        <v>263</v>
      </c>
      <c r="U138" s="55">
        <v>2024.1</v>
      </c>
      <c r="V138" s="14"/>
    </row>
    <row r="139" ht="79.95" customHeight="1" spans="1:22">
      <c r="A139" s="25">
        <v>15</v>
      </c>
      <c r="B139" s="15" t="s">
        <v>449</v>
      </c>
      <c r="C139" s="15" t="s">
        <v>35</v>
      </c>
      <c r="D139" s="15" t="s">
        <v>36</v>
      </c>
      <c r="E139" s="15" t="s">
        <v>435</v>
      </c>
      <c r="F139" s="26" t="s">
        <v>450</v>
      </c>
      <c r="G139" s="15">
        <v>11</v>
      </c>
      <c r="H139" s="25" t="s">
        <v>39</v>
      </c>
      <c r="I139" s="26" t="s">
        <v>437</v>
      </c>
      <c r="J139" s="15"/>
      <c r="K139" s="15"/>
      <c r="L139" s="15">
        <v>1</v>
      </c>
      <c r="M139" s="15">
        <v>0.006</v>
      </c>
      <c r="N139" s="15">
        <v>0.0027</v>
      </c>
      <c r="O139" s="15">
        <v>0.0033</v>
      </c>
      <c r="P139" s="15">
        <v>0.0251</v>
      </c>
      <c r="Q139" s="15">
        <v>0.0119</v>
      </c>
      <c r="R139" s="15">
        <v>0.0132</v>
      </c>
      <c r="S139" s="15" t="s">
        <v>68</v>
      </c>
      <c r="T139" s="15" t="s">
        <v>263</v>
      </c>
      <c r="U139" s="55">
        <v>2024.1</v>
      </c>
      <c r="V139" s="14"/>
    </row>
    <row r="140" ht="66" customHeight="1" spans="1:22">
      <c r="A140" s="25">
        <v>16</v>
      </c>
      <c r="B140" s="15" t="s">
        <v>451</v>
      </c>
      <c r="C140" s="15" t="s">
        <v>35</v>
      </c>
      <c r="D140" s="15" t="s">
        <v>36</v>
      </c>
      <c r="E140" s="15" t="s">
        <v>288</v>
      </c>
      <c r="F140" s="26" t="s">
        <v>452</v>
      </c>
      <c r="G140" s="15">
        <v>50</v>
      </c>
      <c r="H140" s="25" t="s">
        <v>39</v>
      </c>
      <c r="I140" s="26" t="s">
        <v>453</v>
      </c>
      <c r="J140" s="15"/>
      <c r="K140" s="15">
        <v>1</v>
      </c>
      <c r="L140" s="15"/>
      <c r="M140" s="15">
        <v>0.0179</v>
      </c>
      <c r="N140" s="15">
        <v>0.0044</v>
      </c>
      <c r="O140" s="15">
        <v>0.0135</v>
      </c>
      <c r="P140" s="15">
        <v>0.0679</v>
      </c>
      <c r="Q140" s="15">
        <v>0.0194</v>
      </c>
      <c r="R140" s="15">
        <v>0.0485</v>
      </c>
      <c r="S140" s="15" t="s">
        <v>42</v>
      </c>
      <c r="T140" s="54" t="s">
        <v>286</v>
      </c>
      <c r="U140" s="55">
        <v>2024.1</v>
      </c>
      <c r="V140" s="14"/>
    </row>
    <row r="141" ht="40.95" customHeight="1" spans="1:22">
      <c r="A141" s="41" t="s">
        <v>101</v>
      </c>
      <c r="B141" s="20" t="s">
        <v>454</v>
      </c>
      <c r="C141" s="14"/>
      <c r="D141" s="14"/>
      <c r="E141" s="14"/>
      <c r="F141" s="44"/>
      <c r="G141" s="41">
        <v>333</v>
      </c>
      <c r="H141" s="25"/>
      <c r="I141" s="44"/>
      <c r="J141" s="14"/>
      <c r="K141" s="14"/>
      <c r="L141" s="14"/>
      <c r="M141" s="14"/>
      <c r="N141" s="14"/>
      <c r="O141" s="14"/>
      <c r="P141" s="14"/>
      <c r="Q141" s="14"/>
      <c r="R141" s="14"/>
      <c r="S141" s="14"/>
      <c r="T141" s="14"/>
      <c r="U141" s="14"/>
      <c r="V141" s="14"/>
    </row>
    <row r="142" ht="49.05" customHeight="1" spans="1:22">
      <c r="A142" s="23">
        <v>1</v>
      </c>
      <c r="B142" s="51" t="s">
        <v>455</v>
      </c>
      <c r="C142" s="86" t="s">
        <v>35</v>
      </c>
      <c r="D142" s="77" t="s">
        <v>36</v>
      </c>
      <c r="E142" s="51" t="s">
        <v>209</v>
      </c>
      <c r="F142" s="87" t="s">
        <v>456</v>
      </c>
      <c r="G142" s="86">
        <v>80</v>
      </c>
      <c r="H142" s="25" t="s">
        <v>39</v>
      </c>
      <c r="I142" s="82" t="s">
        <v>457</v>
      </c>
      <c r="J142" s="86"/>
      <c r="K142" s="86"/>
      <c r="L142" s="51">
        <v>1</v>
      </c>
      <c r="M142" s="51">
        <v>0.0523</v>
      </c>
      <c r="N142" s="51">
        <v>0.039</v>
      </c>
      <c r="O142" s="51">
        <v>0.0484</v>
      </c>
      <c r="P142" s="51">
        <v>0.2208</v>
      </c>
      <c r="Q142" s="51">
        <v>0.0178</v>
      </c>
      <c r="R142" s="57">
        <v>0.203</v>
      </c>
      <c r="S142" s="77" t="s">
        <v>458</v>
      </c>
      <c r="T142" s="77" t="s">
        <v>124</v>
      </c>
      <c r="U142" s="92">
        <v>2024.1</v>
      </c>
      <c r="V142" s="14"/>
    </row>
    <row r="143" ht="55.05" customHeight="1" spans="1:22">
      <c r="A143" s="23">
        <v>2</v>
      </c>
      <c r="B143" s="15" t="s">
        <v>459</v>
      </c>
      <c r="C143" s="15" t="s">
        <v>35</v>
      </c>
      <c r="D143" s="15" t="s">
        <v>36</v>
      </c>
      <c r="E143" s="15" t="s">
        <v>460</v>
      </c>
      <c r="F143" s="44" t="s">
        <v>461</v>
      </c>
      <c r="G143" s="14">
        <v>50</v>
      </c>
      <c r="H143" s="25" t="s">
        <v>39</v>
      </c>
      <c r="I143" s="26" t="s">
        <v>457</v>
      </c>
      <c r="J143" s="14"/>
      <c r="K143" s="14"/>
      <c r="L143" s="14">
        <v>1</v>
      </c>
      <c r="M143" s="25">
        <v>0.0585</v>
      </c>
      <c r="N143" s="25">
        <v>0.0099</v>
      </c>
      <c r="O143" s="25">
        <v>0.0486</v>
      </c>
      <c r="P143" s="25">
        <v>0.2106</v>
      </c>
      <c r="Q143" s="25">
        <v>0.0493</v>
      </c>
      <c r="R143" s="25">
        <v>0.1613</v>
      </c>
      <c r="S143" s="77" t="s">
        <v>458</v>
      </c>
      <c r="T143" s="15" t="s">
        <v>124</v>
      </c>
      <c r="U143" s="55">
        <v>2024.1</v>
      </c>
      <c r="V143" s="14"/>
    </row>
    <row r="144" ht="51" customHeight="1" spans="1:22">
      <c r="A144" s="23">
        <v>3</v>
      </c>
      <c r="B144" s="15" t="s">
        <v>462</v>
      </c>
      <c r="C144" s="15" t="s">
        <v>35</v>
      </c>
      <c r="D144" s="15" t="s">
        <v>36</v>
      </c>
      <c r="E144" s="15" t="s">
        <v>189</v>
      </c>
      <c r="F144" s="26" t="s">
        <v>463</v>
      </c>
      <c r="G144" s="15">
        <v>30</v>
      </c>
      <c r="H144" s="25" t="s">
        <v>39</v>
      </c>
      <c r="I144" s="26" t="s">
        <v>457</v>
      </c>
      <c r="J144" s="15"/>
      <c r="K144" s="15"/>
      <c r="L144" s="15">
        <v>1</v>
      </c>
      <c r="M144" s="15">
        <v>0.0355</v>
      </c>
      <c r="N144" s="15">
        <v>0.001</v>
      </c>
      <c r="O144" s="15">
        <v>0.0345</v>
      </c>
      <c r="P144" s="15">
        <v>0.1347</v>
      </c>
      <c r="Q144" s="15">
        <v>0.0037</v>
      </c>
      <c r="R144" s="15">
        <v>0.131</v>
      </c>
      <c r="S144" s="77" t="s">
        <v>458</v>
      </c>
      <c r="T144" s="15" t="s">
        <v>124</v>
      </c>
      <c r="U144" s="55">
        <v>2024.1</v>
      </c>
      <c r="V144" s="14"/>
    </row>
    <row r="145" ht="54" customHeight="1" spans="1:22">
      <c r="A145" s="23">
        <v>4</v>
      </c>
      <c r="B145" s="15" t="s">
        <v>464</v>
      </c>
      <c r="C145" s="14" t="s">
        <v>35</v>
      </c>
      <c r="D145" s="15" t="s">
        <v>36</v>
      </c>
      <c r="E145" s="15" t="s">
        <v>204</v>
      </c>
      <c r="F145" s="26" t="s">
        <v>465</v>
      </c>
      <c r="G145" s="14">
        <v>30</v>
      </c>
      <c r="H145" s="25" t="s">
        <v>39</v>
      </c>
      <c r="I145" s="26" t="s">
        <v>457</v>
      </c>
      <c r="J145" s="15"/>
      <c r="K145" s="15"/>
      <c r="L145" s="15">
        <v>1</v>
      </c>
      <c r="M145" s="15">
        <v>0.0201</v>
      </c>
      <c r="N145" s="15">
        <v>0.0015</v>
      </c>
      <c r="O145" s="15">
        <v>0.0186</v>
      </c>
      <c r="P145" s="15">
        <v>0.0801</v>
      </c>
      <c r="Q145" s="15">
        <v>0.0066</v>
      </c>
      <c r="R145" s="15">
        <v>0.0735</v>
      </c>
      <c r="S145" s="77" t="s">
        <v>458</v>
      </c>
      <c r="T145" s="15" t="s">
        <v>124</v>
      </c>
      <c r="U145" s="55">
        <v>2024.1</v>
      </c>
      <c r="V145" s="14"/>
    </row>
    <row r="146" s="4" customFormat="1" ht="48" customHeight="1" spans="1:22">
      <c r="A146" s="23">
        <v>5</v>
      </c>
      <c r="B146" s="15" t="s">
        <v>466</v>
      </c>
      <c r="C146" s="15" t="s">
        <v>35</v>
      </c>
      <c r="D146" s="15" t="s">
        <v>36</v>
      </c>
      <c r="E146" s="15" t="s">
        <v>121</v>
      </c>
      <c r="F146" s="26" t="s">
        <v>467</v>
      </c>
      <c r="G146" s="15">
        <v>15</v>
      </c>
      <c r="H146" s="25" t="s">
        <v>39</v>
      </c>
      <c r="I146" s="26" t="s">
        <v>457</v>
      </c>
      <c r="J146" s="15"/>
      <c r="K146" s="15">
        <v>1</v>
      </c>
      <c r="L146" s="15"/>
      <c r="M146" s="15">
        <v>0.0241</v>
      </c>
      <c r="N146" s="15">
        <v>0.006</v>
      </c>
      <c r="O146" s="15">
        <v>0.0191</v>
      </c>
      <c r="P146" s="15">
        <v>0.0876</v>
      </c>
      <c r="Q146" s="15">
        <v>0.0241</v>
      </c>
      <c r="R146" s="15">
        <v>0.0618</v>
      </c>
      <c r="S146" s="77" t="s">
        <v>458</v>
      </c>
      <c r="T146" s="15" t="s">
        <v>124</v>
      </c>
      <c r="U146" s="55">
        <v>2024.1</v>
      </c>
      <c r="V146" s="15"/>
    </row>
    <row r="147" ht="55.95" customHeight="1" spans="1:22">
      <c r="A147" s="23">
        <v>6</v>
      </c>
      <c r="B147" s="25" t="s">
        <v>391</v>
      </c>
      <c r="C147" s="25" t="s">
        <v>35</v>
      </c>
      <c r="D147" s="15" t="s">
        <v>36</v>
      </c>
      <c r="E147" s="25" t="s">
        <v>223</v>
      </c>
      <c r="F147" s="40" t="s">
        <v>468</v>
      </c>
      <c r="G147" s="25">
        <v>63</v>
      </c>
      <c r="H147" s="25" t="s">
        <v>39</v>
      </c>
      <c r="I147" s="26" t="s">
        <v>457</v>
      </c>
      <c r="J147" s="25"/>
      <c r="K147" s="25"/>
      <c r="L147" s="25">
        <v>1</v>
      </c>
      <c r="M147" s="25">
        <v>0.042</v>
      </c>
      <c r="N147" s="25">
        <v>0.004</v>
      </c>
      <c r="O147" s="25">
        <v>0.038</v>
      </c>
      <c r="P147" s="25">
        <v>0.1691</v>
      </c>
      <c r="Q147" s="25">
        <v>0.0162</v>
      </c>
      <c r="R147" s="25">
        <v>0.1529</v>
      </c>
      <c r="S147" s="23" t="s">
        <v>458</v>
      </c>
      <c r="T147" s="23" t="s">
        <v>69</v>
      </c>
      <c r="U147" s="55">
        <v>2024.1</v>
      </c>
      <c r="V147" s="14"/>
    </row>
    <row r="148" ht="49.05" customHeight="1" spans="1:22">
      <c r="A148" s="23">
        <v>7</v>
      </c>
      <c r="B148" s="15" t="s">
        <v>469</v>
      </c>
      <c r="C148" s="25" t="s">
        <v>35</v>
      </c>
      <c r="D148" s="15" t="s">
        <v>36</v>
      </c>
      <c r="E148" s="25" t="s">
        <v>114</v>
      </c>
      <c r="F148" s="26" t="s">
        <v>470</v>
      </c>
      <c r="G148" s="25">
        <v>20</v>
      </c>
      <c r="H148" s="25" t="s">
        <v>39</v>
      </c>
      <c r="I148" s="61" t="s">
        <v>471</v>
      </c>
      <c r="J148" s="25"/>
      <c r="K148" s="25"/>
      <c r="L148" s="25">
        <v>1</v>
      </c>
      <c r="M148" s="15">
        <v>0.0275</v>
      </c>
      <c r="N148" s="15">
        <v>0.0055</v>
      </c>
      <c r="O148" s="15">
        <v>0.022</v>
      </c>
      <c r="P148" s="78">
        <v>0.1088</v>
      </c>
      <c r="Q148" s="78">
        <v>0.021</v>
      </c>
      <c r="R148" s="15">
        <v>0.0878</v>
      </c>
      <c r="S148" s="25" t="s">
        <v>458</v>
      </c>
      <c r="T148" s="25" t="s">
        <v>118</v>
      </c>
      <c r="U148" s="55">
        <v>2024.1</v>
      </c>
      <c r="V148" s="14"/>
    </row>
    <row r="149" ht="46.95" customHeight="1" spans="1:22">
      <c r="A149" s="23">
        <v>8</v>
      </c>
      <c r="B149" s="27" t="s">
        <v>472</v>
      </c>
      <c r="C149" s="62" t="s">
        <v>35</v>
      </c>
      <c r="D149" s="27" t="s">
        <v>36</v>
      </c>
      <c r="E149" s="27" t="s">
        <v>299</v>
      </c>
      <c r="F149" s="50" t="s">
        <v>473</v>
      </c>
      <c r="G149" s="27">
        <v>17</v>
      </c>
      <c r="H149" s="25" t="s">
        <v>39</v>
      </c>
      <c r="I149" s="61" t="s">
        <v>474</v>
      </c>
      <c r="J149" s="54"/>
      <c r="K149" s="54"/>
      <c r="L149" s="23">
        <v>1</v>
      </c>
      <c r="M149" s="15">
        <v>0.0514</v>
      </c>
      <c r="N149" s="78">
        <v>0.01</v>
      </c>
      <c r="O149" s="15">
        <v>0.0414</v>
      </c>
      <c r="P149" s="15">
        <v>0.1847</v>
      </c>
      <c r="Q149" s="78">
        <v>0.039</v>
      </c>
      <c r="R149" s="15">
        <v>0.1457</v>
      </c>
      <c r="S149" s="15" t="s">
        <v>42</v>
      </c>
      <c r="T149" s="54" t="s">
        <v>286</v>
      </c>
      <c r="U149" s="55">
        <v>2024.1</v>
      </c>
      <c r="V149" s="14"/>
    </row>
    <row r="150" ht="40.05" customHeight="1" spans="1:22">
      <c r="A150" s="23">
        <v>9</v>
      </c>
      <c r="B150" s="25" t="s">
        <v>475</v>
      </c>
      <c r="C150" s="54" t="s">
        <v>35</v>
      </c>
      <c r="D150" s="15" t="s">
        <v>36</v>
      </c>
      <c r="E150" s="25" t="s">
        <v>181</v>
      </c>
      <c r="F150" s="40" t="s">
        <v>476</v>
      </c>
      <c r="G150" s="25">
        <v>31</v>
      </c>
      <c r="H150" s="25" t="s">
        <v>39</v>
      </c>
      <c r="I150" s="61" t="s">
        <v>474</v>
      </c>
      <c r="J150" s="54"/>
      <c r="K150" s="54"/>
      <c r="L150" s="15">
        <v>1</v>
      </c>
      <c r="M150" s="15">
        <v>0.08</v>
      </c>
      <c r="N150" s="15">
        <v>0.004</v>
      </c>
      <c r="O150" s="15">
        <v>0.076</v>
      </c>
      <c r="P150" s="15">
        <v>0.246</v>
      </c>
      <c r="Q150" s="15">
        <v>0.012</v>
      </c>
      <c r="R150" s="15">
        <v>0.234</v>
      </c>
      <c r="S150" s="15" t="s">
        <v>42</v>
      </c>
      <c r="T150" s="25" t="s">
        <v>43</v>
      </c>
      <c r="U150" s="25">
        <v>2024.9</v>
      </c>
      <c r="V150" s="14"/>
    </row>
    <row r="151" ht="40.05" customHeight="1" spans="1:22">
      <c r="A151" s="41" t="s">
        <v>477</v>
      </c>
      <c r="B151" s="17" t="s">
        <v>478</v>
      </c>
      <c r="C151" s="54"/>
      <c r="D151" s="15"/>
      <c r="E151" s="25"/>
      <c r="F151" s="40"/>
      <c r="G151" s="17">
        <v>432.44</v>
      </c>
      <c r="H151" s="25"/>
      <c r="I151" s="61"/>
      <c r="J151" s="54"/>
      <c r="K151" s="54"/>
      <c r="L151" s="23"/>
      <c r="M151" s="15"/>
      <c r="N151" s="78"/>
      <c r="O151" s="15"/>
      <c r="P151" s="15"/>
      <c r="Q151" s="78"/>
      <c r="R151" s="15"/>
      <c r="S151" s="15"/>
      <c r="T151" s="54"/>
      <c r="U151" s="55"/>
      <c r="V151" s="14"/>
    </row>
    <row r="152" ht="100.95" customHeight="1" spans="1:22">
      <c r="A152" s="23">
        <v>1</v>
      </c>
      <c r="B152" s="25" t="s">
        <v>479</v>
      </c>
      <c r="C152" s="54" t="s">
        <v>35</v>
      </c>
      <c r="D152" s="15" t="s">
        <v>36</v>
      </c>
      <c r="E152" s="25" t="s">
        <v>274</v>
      </c>
      <c r="F152" s="40" t="s">
        <v>480</v>
      </c>
      <c r="G152" s="25">
        <v>432.84</v>
      </c>
      <c r="H152" s="25" t="s">
        <v>39</v>
      </c>
      <c r="I152" s="61" t="s">
        <v>481</v>
      </c>
      <c r="J152" s="54"/>
      <c r="K152" s="54"/>
      <c r="L152" s="23">
        <v>2</v>
      </c>
      <c r="M152" s="15">
        <v>0.0513</v>
      </c>
      <c r="N152" s="78">
        <v>0.0121</v>
      </c>
      <c r="O152" s="15">
        <v>0.0392</v>
      </c>
      <c r="P152" s="15">
        <v>1.0853</v>
      </c>
      <c r="Q152" s="78">
        <v>0.1787</v>
      </c>
      <c r="R152" s="15">
        <v>0.9066</v>
      </c>
      <c r="S152" s="15" t="s">
        <v>68</v>
      </c>
      <c r="T152" s="54" t="s">
        <v>263</v>
      </c>
      <c r="U152" s="55">
        <v>2024.1</v>
      </c>
      <c r="V152" s="14"/>
    </row>
    <row r="153" ht="36" customHeight="1" spans="1:22">
      <c r="A153" s="41" t="s">
        <v>482</v>
      </c>
      <c r="B153" s="20" t="s">
        <v>483</v>
      </c>
      <c r="C153" s="14"/>
      <c r="D153" s="14"/>
      <c r="E153" s="14"/>
      <c r="F153" s="44"/>
      <c r="G153" s="41">
        <v>740</v>
      </c>
      <c r="H153" s="25"/>
      <c r="I153" s="44"/>
      <c r="J153" s="14"/>
      <c r="K153" s="14"/>
      <c r="L153" s="14"/>
      <c r="M153" s="14"/>
      <c r="N153" s="14"/>
      <c r="O153" s="14"/>
      <c r="P153" s="14"/>
      <c r="Q153" s="14"/>
      <c r="R153" s="14"/>
      <c r="S153" s="14"/>
      <c r="T153" s="14"/>
      <c r="U153" s="14"/>
      <c r="V153" s="14"/>
    </row>
    <row r="154" ht="79.95" customHeight="1" spans="1:22">
      <c r="A154" s="81">
        <v>1</v>
      </c>
      <c r="B154" s="34" t="s">
        <v>484</v>
      </c>
      <c r="C154" s="54" t="s">
        <v>35</v>
      </c>
      <c r="D154" s="15" t="s">
        <v>36</v>
      </c>
      <c r="E154" s="81" t="s">
        <v>485</v>
      </c>
      <c r="F154" s="36" t="s">
        <v>486</v>
      </c>
      <c r="G154" s="81">
        <v>65</v>
      </c>
      <c r="H154" s="25" t="s">
        <v>39</v>
      </c>
      <c r="I154" s="36" t="s">
        <v>487</v>
      </c>
      <c r="J154" s="81"/>
      <c r="K154" s="81">
        <v>2</v>
      </c>
      <c r="L154" s="81"/>
      <c r="M154" s="6">
        <f>N154+O154</f>
        <v>0.00134</v>
      </c>
      <c r="N154" s="15">
        <v>0.00083</v>
      </c>
      <c r="O154" s="15">
        <v>0.00051</v>
      </c>
      <c r="P154" s="6">
        <f>Q154+R154</f>
        <v>0.00073</v>
      </c>
      <c r="Q154" s="15">
        <v>0.00031</v>
      </c>
      <c r="R154" s="15">
        <v>0.00042</v>
      </c>
      <c r="S154" s="81" t="s">
        <v>187</v>
      </c>
      <c r="T154" s="81" t="s">
        <v>109</v>
      </c>
      <c r="U154" s="55">
        <v>2024.1</v>
      </c>
      <c r="V154" s="14"/>
    </row>
    <row r="155" ht="55.95" customHeight="1" spans="1:22">
      <c r="A155" s="81">
        <v>2</v>
      </c>
      <c r="B155" s="25" t="s">
        <v>488</v>
      </c>
      <c r="C155" s="25" t="s">
        <v>35</v>
      </c>
      <c r="D155" s="15" t="s">
        <v>36</v>
      </c>
      <c r="E155" s="15" t="s">
        <v>489</v>
      </c>
      <c r="F155" s="40" t="s">
        <v>490</v>
      </c>
      <c r="G155" s="14">
        <v>140</v>
      </c>
      <c r="H155" s="25" t="s">
        <v>39</v>
      </c>
      <c r="I155" s="40" t="s">
        <v>491</v>
      </c>
      <c r="J155" s="14"/>
      <c r="K155" s="14"/>
      <c r="L155" s="25">
        <v>1</v>
      </c>
      <c r="M155" s="25">
        <v>0.0518</v>
      </c>
      <c r="N155" s="25">
        <v>0.0018</v>
      </c>
      <c r="O155" s="25">
        <v>0.05</v>
      </c>
      <c r="P155" s="25">
        <v>0.1878</v>
      </c>
      <c r="Q155" s="25">
        <v>0.0078</v>
      </c>
      <c r="R155" s="25">
        <v>0.18</v>
      </c>
      <c r="S155" s="15" t="s">
        <v>42</v>
      </c>
      <c r="T155" s="25" t="s">
        <v>43</v>
      </c>
      <c r="U155" s="55">
        <v>2024.1</v>
      </c>
      <c r="V155" s="14"/>
    </row>
    <row r="156" ht="55.95" customHeight="1" spans="1:22">
      <c r="A156" s="81">
        <v>3</v>
      </c>
      <c r="B156" s="15" t="s">
        <v>492</v>
      </c>
      <c r="C156" s="15" t="s">
        <v>35</v>
      </c>
      <c r="D156" s="15" t="s">
        <v>36</v>
      </c>
      <c r="E156" s="15" t="s">
        <v>460</v>
      </c>
      <c r="F156" s="26" t="s">
        <v>493</v>
      </c>
      <c r="G156" s="14">
        <v>100</v>
      </c>
      <c r="H156" s="25" t="s">
        <v>39</v>
      </c>
      <c r="I156" s="26" t="s">
        <v>494</v>
      </c>
      <c r="J156" s="14"/>
      <c r="K156" s="14"/>
      <c r="L156" s="14">
        <v>1</v>
      </c>
      <c r="M156" s="25">
        <v>0.0055</v>
      </c>
      <c r="N156" s="25">
        <v>0.001</v>
      </c>
      <c r="O156" s="25">
        <v>0.004</v>
      </c>
      <c r="P156" s="25">
        <v>0.0183</v>
      </c>
      <c r="Q156" s="25">
        <v>0.0019</v>
      </c>
      <c r="R156" s="25">
        <v>0.0164</v>
      </c>
      <c r="S156" s="15" t="s">
        <v>187</v>
      </c>
      <c r="T156" s="15" t="s">
        <v>124</v>
      </c>
      <c r="U156" s="55">
        <v>2024.1</v>
      </c>
      <c r="V156" s="14"/>
    </row>
    <row r="157" ht="52.95" customHeight="1" spans="1:22">
      <c r="A157" s="81">
        <v>4</v>
      </c>
      <c r="B157" s="15" t="s">
        <v>495</v>
      </c>
      <c r="C157" s="15" t="s">
        <v>35</v>
      </c>
      <c r="D157" s="15" t="s">
        <v>36</v>
      </c>
      <c r="E157" s="15" t="s">
        <v>200</v>
      </c>
      <c r="F157" s="26" t="s">
        <v>496</v>
      </c>
      <c r="G157" s="15">
        <v>40</v>
      </c>
      <c r="H157" s="25" t="s">
        <v>39</v>
      </c>
      <c r="I157" s="26" t="s">
        <v>494</v>
      </c>
      <c r="J157" s="15"/>
      <c r="K157" s="15"/>
      <c r="L157" s="15">
        <v>1</v>
      </c>
      <c r="M157" s="15">
        <v>0.009</v>
      </c>
      <c r="N157" s="15">
        <v>0.001</v>
      </c>
      <c r="O157" s="15">
        <v>0.008</v>
      </c>
      <c r="P157" s="15">
        <v>0.036</v>
      </c>
      <c r="Q157" s="15">
        <v>0.044</v>
      </c>
      <c r="R157" s="15">
        <v>0.0316</v>
      </c>
      <c r="S157" s="15" t="s">
        <v>187</v>
      </c>
      <c r="T157" s="15" t="s">
        <v>124</v>
      </c>
      <c r="U157" s="55">
        <v>2024.1</v>
      </c>
      <c r="V157" s="14"/>
    </row>
    <row r="158" ht="52.95" customHeight="1" spans="1:22">
      <c r="A158" s="81">
        <v>5</v>
      </c>
      <c r="B158" s="15" t="s">
        <v>497</v>
      </c>
      <c r="C158" s="15" t="s">
        <v>35</v>
      </c>
      <c r="D158" s="15" t="s">
        <v>36</v>
      </c>
      <c r="E158" s="15" t="s">
        <v>193</v>
      </c>
      <c r="F158" s="26" t="s">
        <v>498</v>
      </c>
      <c r="G158" s="15">
        <v>10</v>
      </c>
      <c r="H158" s="25" t="s">
        <v>39</v>
      </c>
      <c r="I158" s="26" t="s">
        <v>499</v>
      </c>
      <c r="J158" s="15"/>
      <c r="K158" s="15"/>
      <c r="L158" s="15">
        <v>1</v>
      </c>
      <c r="M158" s="15">
        <f>N158+O158</f>
        <v>0.1652</v>
      </c>
      <c r="N158" s="15">
        <v>0.0002</v>
      </c>
      <c r="O158" s="15">
        <v>0.165</v>
      </c>
      <c r="P158" s="15">
        <f>Q158+R158</f>
        <v>0.0558</v>
      </c>
      <c r="Q158" s="15">
        <v>0.001</v>
      </c>
      <c r="R158" s="15">
        <v>0.0548</v>
      </c>
      <c r="S158" s="15" t="s">
        <v>42</v>
      </c>
      <c r="T158" s="15" t="s">
        <v>124</v>
      </c>
      <c r="U158" s="55">
        <v>2024.1</v>
      </c>
      <c r="V158" s="14"/>
    </row>
    <row r="159" ht="109.95" customHeight="1" spans="1:22">
      <c r="A159" s="81">
        <v>6</v>
      </c>
      <c r="B159" s="25" t="s">
        <v>500</v>
      </c>
      <c r="C159" s="25" t="s">
        <v>35</v>
      </c>
      <c r="D159" s="15" t="s">
        <v>36</v>
      </c>
      <c r="E159" s="25" t="s">
        <v>424</v>
      </c>
      <c r="F159" s="40" t="s">
        <v>501</v>
      </c>
      <c r="G159" s="25">
        <v>120</v>
      </c>
      <c r="H159" s="25" t="s">
        <v>39</v>
      </c>
      <c r="I159" s="40" t="s">
        <v>502</v>
      </c>
      <c r="J159" s="25"/>
      <c r="K159" s="25">
        <v>1</v>
      </c>
      <c r="L159" s="25"/>
      <c r="M159" s="25">
        <v>0.0245</v>
      </c>
      <c r="N159" s="25">
        <v>0.0096</v>
      </c>
      <c r="O159" s="25">
        <v>0.0149</v>
      </c>
      <c r="P159" s="25">
        <v>0.0998</v>
      </c>
      <c r="Q159" s="93">
        <v>0.041</v>
      </c>
      <c r="R159" s="25">
        <v>0.0588</v>
      </c>
      <c r="S159" s="23" t="s">
        <v>187</v>
      </c>
      <c r="T159" s="23" t="s">
        <v>69</v>
      </c>
      <c r="U159" s="55">
        <v>2024.1</v>
      </c>
      <c r="V159" s="14"/>
    </row>
    <row r="160" ht="69" customHeight="1" spans="1:22">
      <c r="A160" s="81">
        <v>7</v>
      </c>
      <c r="B160" s="25" t="s">
        <v>503</v>
      </c>
      <c r="C160" s="25" t="s">
        <v>35</v>
      </c>
      <c r="D160" s="15" t="s">
        <v>36</v>
      </c>
      <c r="E160" s="25" t="s">
        <v>504</v>
      </c>
      <c r="F160" s="40" t="s">
        <v>505</v>
      </c>
      <c r="G160" s="25">
        <v>120</v>
      </c>
      <c r="H160" s="25" t="s">
        <v>39</v>
      </c>
      <c r="I160" s="40" t="s">
        <v>506</v>
      </c>
      <c r="J160" s="25"/>
      <c r="K160" s="25"/>
      <c r="L160" s="25">
        <v>1</v>
      </c>
      <c r="M160" s="25">
        <v>0.0802</v>
      </c>
      <c r="N160" s="25">
        <v>0.0077</v>
      </c>
      <c r="O160" s="25">
        <v>0.0725</v>
      </c>
      <c r="P160" s="25">
        <v>0.3209</v>
      </c>
      <c r="Q160" s="25">
        <v>0.0346</v>
      </c>
      <c r="R160" s="25">
        <v>0.2863</v>
      </c>
      <c r="S160" s="25" t="s">
        <v>42</v>
      </c>
      <c r="T160" s="23" t="s">
        <v>69</v>
      </c>
      <c r="U160" s="55">
        <v>2024.1</v>
      </c>
      <c r="V160" s="14"/>
    </row>
    <row r="161" ht="111" customHeight="1" spans="1:22">
      <c r="A161" s="81">
        <v>8</v>
      </c>
      <c r="B161" s="25" t="s">
        <v>507</v>
      </c>
      <c r="C161" s="25" t="s">
        <v>35</v>
      </c>
      <c r="D161" s="15" t="s">
        <v>36</v>
      </c>
      <c r="E161" s="25" t="s">
        <v>239</v>
      </c>
      <c r="F161" s="84" t="s">
        <v>508</v>
      </c>
      <c r="G161" s="46">
        <v>94</v>
      </c>
      <c r="H161" s="25" t="s">
        <v>39</v>
      </c>
      <c r="I161" s="40" t="s">
        <v>509</v>
      </c>
      <c r="J161" s="25"/>
      <c r="K161" s="25"/>
      <c r="L161" s="25">
        <v>1</v>
      </c>
      <c r="M161" s="25">
        <v>0.0557</v>
      </c>
      <c r="N161" s="25">
        <v>0.006</v>
      </c>
      <c r="O161" s="25">
        <v>0.0497</v>
      </c>
      <c r="P161" s="25">
        <v>0.1561</v>
      </c>
      <c r="Q161" s="25">
        <v>0.032</v>
      </c>
      <c r="R161" s="25">
        <v>0.1241</v>
      </c>
      <c r="S161" s="25" t="s">
        <v>42</v>
      </c>
      <c r="T161" s="23" t="s">
        <v>69</v>
      </c>
      <c r="U161" s="55">
        <v>2024.1</v>
      </c>
      <c r="V161" s="14"/>
    </row>
    <row r="162" ht="54" customHeight="1" spans="1:22">
      <c r="A162" s="81">
        <v>9</v>
      </c>
      <c r="B162" s="15" t="s">
        <v>510</v>
      </c>
      <c r="C162" s="25" t="s">
        <v>35</v>
      </c>
      <c r="D162" s="15" t="s">
        <v>36</v>
      </c>
      <c r="E162" s="25" t="s">
        <v>511</v>
      </c>
      <c r="F162" s="50" t="s">
        <v>512</v>
      </c>
      <c r="G162" s="46">
        <v>70</v>
      </c>
      <c r="H162" s="25" t="s">
        <v>39</v>
      </c>
      <c r="I162" s="61" t="s">
        <v>513</v>
      </c>
      <c r="J162" s="25"/>
      <c r="K162" s="25"/>
      <c r="L162" s="25">
        <v>1</v>
      </c>
      <c r="M162" s="15">
        <v>0.0128</v>
      </c>
      <c r="N162" s="15">
        <v>0.0058</v>
      </c>
      <c r="O162" s="15">
        <v>0.007</v>
      </c>
      <c r="P162" s="15">
        <v>0.0537</v>
      </c>
      <c r="Q162" s="15">
        <v>0.0242</v>
      </c>
      <c r="R162" s="15">
        <v>0.0295</v>
      </c>
      <c r="S162" s="25" t="s">
        <v>187</v>
      </c>
      <c r="T162" s="25" t="s">
        <v>118</v>
      </c>
      <c r="U162" s="55">
        <v>2024.1</v>
      </c>
      <c r="V162" s="14"/>
    </row>
    <row r="163" ht="61.95" customHeight="1" spans="1:22">
      <c r="A163" s="81">
        <v>10</v>
      </c>
      <c r="B163" s="15" t="s">
        <v>514</v>
      </c>
      <c r="C163" s="25" t="s">
        <v>35</v>
      </c>
      <c r="D163" s="15" t="s">
        <v>36</v>
      </c>
      <c r="E163" s="15" t="s">
        <v>121</v>
      </c>
      <c r="F163" s="40" t="s">
        <v>515</v>
      </c>
      <c r="G163" s="15">
        <v>35</v>
      </c>
      <c r="H163" s="25" t="s">
        <v>39</v>
      </c>
      <c r="I163" s="61" t="s">
        <v>513</v>
      </c>
      <c r="J163" s="15"/>
      <c r="K163" s="15"/>
      <c r="L163" s="15">
        <v>1</v>
      </c>
      <c r="M163" s="15">
        <v>0.0195</v>
      </c>
      <c r="N163" s="15">
        <v>0.0065</v>
      </c>
      <c r="O163" s="15">
        <v>0.013</v>
      </c>
      <c r="P163" s="15">
        <v>0.083</v>
      </c>
      <c r="Q163" s="15">
        <v>0.0276</v>
      </c>
      <c r="R163" s="15">
        <v>0.0554</v>
      </c>
      <c r="S163" s="25" t="s">
        <v>187</v>
      </c>
      <c r="T163" s="25" t="s">
        <v>118</v>
      </c>
      <c r="U163" s="55">
        <v>2024.1</v>
      </c>
      <c r="V163" s="14"/>
    </row>
    <row r="164" ht="78" customHeight="1" spans="1:22">
      <c r="A164" s="81">
        <v>11</v>
      </c>
      <c r="B164" s="15" t="s">
        <v>516</v>
      </c>
      <c r="C164" s="25" t="s">
        <v>35</v>
      </c>
      <c r="D164" s="15" t="s">
        <v>36</v>
      </c>
      <c r="E164" s="14" t="s">
        <v>517</v>
      </c>
      <c r="F164" s="40" t="s">
        <v>518</v>
      </c>
      <c r="G164" s="14">
        <v>20</v>
      </c>
      <c r="H164" s="25" t="s">
        <v>39</v>
      </c>
      <c r="I164" s="26" t="s">
        <v>519</v>
      </c>
      <c r="J164" s="14"/>
      <c r="K164" s="14">
        <v>1</v>
      </c>
      <c r="L164" s="14"/>
      <c r="M164" s="15">
        <v>0.0176</v>
      </c>
      <c r="N164" s="15">
        <v>0.0056</v>
      </c>
      <c r="O164" s="15">
        <v>0.012</v>
      </c>
      <c r="P164" s="15">
        <v>0.0696</v>
      </c>
      <c r="Q164" s="15">
        <v>0.0242</v>
      </c>
      <c r="R164" s="15">
        <v>0.0454</v>
      </c>
      <c r="S164" s="25" t="s">
        <v>187</v>
      </c>
      <c r="T164" s="25" t="s">
        <v>118</v>
      </c>
      <c r="U164" s="55">
        <v>2024.1</v>
      </c>
      <c r="V164" s="14"/>
    </row>
    <row r="165" ht="40.05" customHeight="1" spans="1:22">
      <c r="A165" s="41" t="s">
        <v>138</v>
      </c>
      <c r="B165" s="88" t="s">
        <v>520</v>
      </c>
      <c r="C165" s="14"/>
      <c r="D165" s="14"/>
      <c r="E165" s="14"/>
      <c r="F165" s="44"/>
      <c r="G165" s="41">
        <v>741.32</v>
      </c>
      <c r="H165" s="25"/>
      <c r="I165" s="44"/>
      <c r="J165" s="14"/>
      <c r="K165" s="14"/>
      <c r="L165" s="14"/>
      <c r="M165" s="14"/>
      <c r="N165" s="14"/>
      <c r="O165" s="14"/>
      <c r="P165" s="14"/>
      <c r="Q165" s="14"/>
      <c r="R165" s="14"/>
      <c r="S165" s="14"/>
      <c r="T165" s="14"/>
      <c r="U165" s="14"/>
      <c r="V165" s="14"/>
    </row>
    <row r="166" s="3" customFormat="1" ht="268.05" customHeight="1" spans="1:22">
      <c r="A166" s="15">
        <v>1</v>
      </c>
      <c r="B166" s="15" t="s">
        <v>521</v>
      </c>
      <c r="C166" s="15" t="s">
        <v>35</v>
      </c>
      <c r="D166" s="15" t="s">
        <v>36</v>
      </c>
      <c r="E166" s="15" t="s">
        <v>336</v>
      </c>
      <c r="F166" s="61" t="s">
        <v>522</v>
      </c>
      <c r="G166" s="89">
        <v>540.32</v>
      </c>
      <c r="H166" s="25" t="s">
        <v>39</v>
      </c>
      <c r="I166" s="61" t="s">
        <v>523</v>
      </c>
      <c r="J166" s="54"/>
      <c r="K166" s="34">
        <v>15</v>
      </c>
      <c r="L166" s="34">
        <v>46</v>
      </c>
      <c r="M166" s="78">
        <v>3.5789</v>
      </c>
      <c r="N166" s="78">
        <v>1.1084</v>
      </c>
      <c r="O166" s="78">
        <v>2.4705</v>
      </c>
      <c r="P166" s="78">
        <v>9.8311</v>
      </c>
      <c r="Q166" s="78">
        <v>1.8885</v>
      </c>
      <c r="R166" s="78">
        <v>7.9426</v>
      </c>
      <c r="S166" s="15" t="s">
        <v>458</v>
      </c>
      <c r="T166" s="15" t="s">
        <v>336</v>
      </c>
      <c r="U166" s="55">
        <v>2024.1</v>
      </c>
      <c r="V166" s="14"/>
    </row>
    <row r="167" s="3" customFormat="1" ht="61.05" customHeight="1" spans="1:22">
      <c r="A167" s="15">
        <v>2</v>
      </c>
      <c r="B167" s="25" t="s">
        <v>524</v>
      </c>
      <c r="C167" s="30" t="s">
        <v>35</v>
      </c>
      <c r="D167" s="15" t="s">
        <v>36</v>
      </c>
      <c r="E167" s="15" t="s">
        <v>43</v>
      </c>
      <c r="F167" s="40" t="s">
        <v>525</v>
      </c>
      <c r="G167" s="25">
        <v>140</v>
      </c>
      <c r="H167" s="25" t="s">
        <v>39</v>
      </c>
      <c r="I167" s="40" t="s">
        <v>526</v>
      </c>
      <c r="J167" s="30"/>
      <c r="K167" s="30"/>
      <c r="L167" s="25">
        <v>1</v>
      </c>
      <c r="M167" s="25">
        <v>0.0367</v>
      </c>
      <c r="N167" s="25">
        <v>0.0119</v>
      </c>
      <c r="O167" s="25">
        <v>0.0248</v>
      </c>
      <c r="P167" s="25">
        <v>0.1361</v>
      </c>
      <c r="Q167" s="25">
        <v>0.0498</v>
      </c>
      <c r="R167" s="25">
        <v>0.0863</v>
      </c>
      <c r="S167" s="15" t="s">
        <v>458</v>
      </c>
      <c r="T167" s="25" t="s">
        <v>43</v>
      </c>
      <c r="U167" s="55">
        <v>2024.1</v>
      </c>
      <c r="V167" s="14"/>
    </row>
    <row r="168" ht="72" customHeight="1" spans="1:22">
      <c r="A168" s="15">
        <v>3</v>
      </c>
      <c r="B168" s="27" t="s">
        <v>527</v>
      </c>
      <c r="C168" s="46" t="s">
        <v>35</v>
      </c>
      <c r="D168" s="59" t="s">
        <v>36</v>
      </c>
      <c r="E168" s="46" t="s">
        <v>129</v>
      </c>
      <c r="F168" s="50" t="s">
        <v>528</v>
      </c>
      <c r="G168" s="64">
        <v>63</v>
      </c>
      <c r="H168" s="25" t="s">
        <v>39</v>
      </c>
      <c r="I168" s="26" t="s">
        <v>529</v>
      </c>
      <c r="J168" s="14"/>
      <c r="K168" s="14">
        <v>1</v>
      </c>
      <c r="L168" s="14">
        <v>5</v>
      </c>
      <c r="M168" s="15">
        <v>0.1613</v>
      </c>
      <c r="N168" s="15">
        <v>0.0378</v>
      </c>
      <c r="O168" s="15">
        <v>0.1235</v>
      </c>
      <c r="P168" s="15">
        <v>0.7161</v>
      </c>
      <c r="Q168" s="15">
        <v>0.1721</v>
      </c>
      <c r="R168" s="15">
        <v>0.544</v>
      </c>
      <c r="S168" s="25" t="s">
        <v>458</v>
      </c>
      <c r="T168" s="25" t="s">
        <v>118</v>
      </c>
      <c r="U168" s="55">
        <v>2024.1</v>
      </c>
      <c r="V168" s="14"/>
    </row>
    <row r="169" ht="37.95" customHeight="1" spans="1:22">
      <c r="A169" s="41" t="s">
        <v>530</v>
      </c>
      <c r="B169" s="20" t="s">
        <v>531</v>
      </c>
      <c r="C169" s="14"/>
      <c r="D169" s="14"/>
      <c r="E169" s="14"/>
      <c r="F169" s="44"/>
      <c r="G169" s="41">
        <v>700</v>
      </c>
      <c r="H169" s="25"/>
      <c r="I169" s="44"/>
      <c r="J169" s="14"/>
      <c r="K169" s="14"/>
      <c r="L169" s="14"/>
      <c r="M169" s="14"/>
      <c r="N169" s="14"/>
      <c r="O169" s="14"/>
      <c r="P169" s="14"/>
      <c r="Q169" s="14"/>
      <c r="R169" s="14"/>
      <c r="S169" s="14"/>
      <c r="T169" s="14"/>
      <c r="U169" s="14"/>
      <c r="V169" s="14"/>
    </row>
    <row r="170" ht="58.05" customHeight="1" spans="1:22">
      <c r="A170" s="14">
        <v>1</v>
      </c>
      <c r="B170" s="30" t="s">
        <v>532</v>
      </c>
      <c r="C170" s="25" t="s">
        <v>35</v>
      </c>
      <c r="D170" s="15" t="s">
        <v>356</v>
      </c>
      <c r="E170" s="15" t="s">
        <v>42</v>
      </c>
      <c r="F170" s="44" t="s">
        <v>533</v>
      </c>
      <c r="G170" s="85">
        <v>200</v>
      </c>
      <c r="H170" s="25" t="s">
        <v>39</v>
      </c>
      <c r="I170" s="26" t="s">
        <v>534</v>
      </c>
      <c r="J170" s="15"/>
      <c r="K170" s="14">
        <v>1</v>
      </c>
      <c r="L170" s="14">
        <v>3</v>
      </c>
      <c r="M170" s="15">
        <f>N170+O170</f>
        <v>0.0619</v>
      </c>
      <c r="N170" s="52">
        <v>0.0619</v>
      </c>
      <c r="O170" s="52"/>
      <c r="P170" s="52"/>
      <c r="Q170" s="52">
        <v>0.27</v>
      </c>
      <c r="R170" s="52"/>
      <c r="S170" s="15" t="s">
        <v>42</v>
      </c>
      <c r="T170" s="15" t="s">
        <v>42</v>
      </c>
      <c r="U170" s="55">
        <v>2024.1</v>
      </c>
      <c r="V170" s="14"/>
    </row>
    <row r="171" ht="94.05" customHeight="1" spans="1:22">
      <c r="A171" s="14">
        <v>2</v>
      </c>
      <c r="B171" s="27" t="s">
        <v>535</v>
      </c>
      <c r="C171" s="27" t="s">
        <v>35</v>
      </c>
      <c r="D171" s="59" t="s">
        <v>36</v>
      </c>
      <c r="E171" s="27" t="s">
        <v>109</v>
      </c>
      <c r="F171" s="28" t="s">
        <v>536</v>
      </c>
      <c r="G171" s="27">
        <v>188</v>
      </c>
      <c r="H171" s="25" t="s">
        <v>39</v>
      </c>
      <c r="I171" s="40" t="s">
        <v>537</v>
      </c>
      <c r="J171" s="40" t="s">
        <v>538</v>
      </c>
      <c r="K171" s="25">
        <v>5</v>
      </c>
      <c r="L171" s="25">
        <v>2</v>
      </c>
      <c r="M171" s="25">
        <f>N171+O171</f>
        <v>0.0141</v>
      </c>
      <c r="N171" s="25">
        <v>0.0045</v>
      </c>
      <c r="O171" s="25">
        <v>0.0096</v>
      </c>
      <c r="P171" s="25">
        <f>Q171+R171</f>
        <v>0.0493</v>
      </c>
      <c r="Q171" s="25">
        <v>0.0157</v>
      </c>
      <c r="R171" s="25">
        <v>0.0336</v>
      </c>
      <c r="S171" s="15" t="s">
        <v>42</v>
      </c>
      <c r="T171" s="25" t="s">
        <v>109</v>
      </c>
      <c r="U171" s="55">
        <v>2024.1</v>
      </c>
      <c r="V171" s="14" t="s">
        <v>44</v>
      </c>
    </row>
    <row r="172" s="2" customFormat="1" ht="79.95" customHeight="1" spans="1:22">
      <c r="A172" s="14">
        <v>3</v>
      </c>
      <c r="B172" s="34" t="s">
        <v>539</v>
      </c>
      <c r="C172" s="34" t="s">
        <v>108</v>
      </c>
      <c r="D172" s="15" t="s">
        <v>36</v>
      </c>
      <c r="E172" s="34" t="s">
        <v>253</v>
      </c>
      <c r="F172" s="36" t="s">
        <v>540</v>
      </c>
      <c r="G172" s="34">
        <v>40</v>
      </c>
      <c r="H172" s="25" t="s">
        <v>39</v>
      </c>
      <c r="I172" s="36" t="s">
        <v>541</v>
      </c>
      <c r="J172" s="34"/>
      <c r="K172" s="15">
        <v>5</v>
      </c>
      <c r="L172" s="15">
        <v>2</v>
      </c>
      <c r="M172" s="15">
        <f>N172+O172</f>
        <v>0.021</v>
      </c>
      <c r="N172" s="34">
        <v>0.0114</v>
      </c>
      <c r="O172" s="34">
        <v>0.0096</v>
      </c>
      <c r="P172" s="2">
        <f>Q172+R172</f>
        <v>0.0399</v>
      </c>
      <c r="Q172" s="30">
        <v>0.0357</v>
      </c>
      <c r="R172" s="34">
        <v>0.0042</v>
      </c>
      <c r="S172" s="15" t="s">
        <v>542</v>
      </c>
      <c r="T172" s="15" t="s">
        <v>109</v>
      </c>
      <c r="U172" s="55">
        <v>2024.1</v>
      </c>
      <c r="V172" s="15"/>
    </row>
    <row r="173" s="2" customFormat="1" ht="133.95" customHeight="1" spans="1:22">
      <c r="A173" s="14">
        <v>4</v>
      </c>
      <c r="B173" s="47" t="s">
        <v>543</v>
      </c>
      <c r="C173" s="47" t="s">
        <v>108</v>
      </c>
      <c r="D173" s="27" t="s">
        <v>36</v>
      </c>
      <c r="E173" s="47" t="s">
        <v>253</v>
      </c>
      <c r="F173" s="90" t="s">
        <v>544</v>
      </c>
      <c r="G173" s="47">
        <v>12</v>
      </c>
      <c r="H173" s="25" t="s">
        <v>39</v>
      </c>
      <c r="I173" s="36" t="s">
        <v>545</v>
      </c>
      <c r="J173" s="34"/>
      <c r="K173" s="15">
        <v>2</v>
      </c>
      <c r="L173" s="15"/>
      <c r="M173" s="15">
        <f>N173+O173</f>
        <v>0.0021</v>
      </c>
      <c r="N173" s="34">
        <v>0.00114</v>
      </c>
      <c r="O173" s="34">
        <v>0.00096</v>
      </c>
      <c r="P173" s="2">
        <f>Q173+R173</f>
        <v>0.00777</v>
      </c>
      <c r="Q173" s="30">
        <v>0.00357</v>
      </c>
      <c r="R173" s="34">
        <v>0.0042</v>
      </c>
      <c r="S173" s="15" t="s">
        <v>68</v>
      </c>
      <c r="T173" s="15" t="s">
        <v>109</v>
      </c>
      <c r="U173" s="55">
        <v>2024.1</v>
      </c>
      <c r="V173" s="15"/>
    </row>
    <row r="174" ht="37.95" customHeight="1" spans="1:22">
      <c r="A174" s="41" t="s">
        <v>546</v>
      </c>
      <c r="B174" s="16" t="s">
        <v>547</v>
      </c>
      <c r="C174" s="14"/>
      <c r="D174" s="14"/>
      <c r="E174" s="14"/>
      <c r="F174" s="44"/>
      <c r="G174" s="41">
        <v>225.2</v>
      </c>
      <c r="H174" s="25"/>
      <c r="I174" s="44"/>
      <c r="J174" s="14"/>
      <c r="K174" s="14"/>
      <c r="L174" s="14"/>
      <c r="M174" s="14"/>
      <c r="N174" s="14"/>
      <c r="O174" s="14"/>
      <c r="P174" s="14"/>
      <c r="Q174" s="14"/>
      <c r="R174" s="14"/>
      <c r="S174" s="14"/>
      <c r="T174" s="14"/>
      <c r="U174" s="14"/>
      <c r="V174" s="14"/>
    </row>
    <row r="175" s="3" customFormat="1" ht="61.95" customHeight="1" spans="1:22">
      <c r="A175" s="39">
        <v>1</v>
      </c>
      <c r="B175" s="15" t="s">
        <v>548</v>
      </c>
      <c r="C175" s="54" t="s">
        <v>35</v>
      </c>
      <c r="D175" s="15" t="s">
        <v>356</v>
      </c>
      <c r="E175" s="15" t="s">
        <v>42</v>
      </c>
      <c r="F175" s="69" t="s">
        <v>549</v>
      </c>
      <c r="G175" s="15">
        <v>130</v>
      </c>
      <c r="H175" s="25" t="s">
        <v>39</v>
      </c>
      <c r="I175" s="69" t="s">
        <v>550</v>
      </c>
      <c r="J175" s="34"/>
      <c r="K175" s="34"/>
      <c r="L175" s="14"/>
      <c r="M175" s="15"/>
      <c r="N175" s="34"/>
      <c r="O175" s="14"/>
      <c r="P175" s="34"/>
      <c r="Q175" s="14"/>
      <c r="R175" s="34"/>
      <c r="S175" s="15" t="s">
        <v>42</v>
      </c>
      <c r="T175" s="15" t="s">
        <v>42</v>
      </c>
      <c r="U175" s="55">
        <v>2024.1</v>
      </c>
      <c r="V175" s="14"/>
    </row>
    <row r="176" s="5" customFormat="1" ht="61.95" customHeight="1" spans="1:22">
      <c r="A176" s="91">
        <v>2</v>
      </c>
      <c r="B176" s="30" t="s">
        <v>551</v>
      </c>
      <c r="C176" s="25" t="s">
        <v>35</v>
      </c>
      <c r="D176" s="15" t="s">
        <v>356</v>
      </c>
      <c r="E176" s="15" t="s">
        <v>42</v>
      </c>
      <c r="F176" s="69" t="s">
        <v>552</v>
      </c>
      <c r="G176" s="15">
        <v>64</v>
      </c>
      <c r="H176" s="25" t="s">
        <v>39</v>
      </c>
      <c r="I176" s="61" t="s">
        <v>553</v>
      </c>
      <c r="J176" s="54"/>
      <c r="K176" s="14"/>
      <c r="L176" s="14"/>
      <c r="M176" s="14"/>
      <c r="N176" s="15"/>
      <c r="O176" s="15"/>
      <c r="P176" s="15"/>
      <c r="Q176" s="15"/>
      <c r="R176" s="14"/>
      <c r="S176" s="15" t="s">
        <v>42</v>
      </c>
      <c r="T176" s="15" t="s">
        <v>42</v>
      </c>
      <c r="U176" s="55">
        <v>2024.1</v>
      </c>
      <c r="V176" s="43"/>
    </row>
    <row r="177" s="5" customFormat="1" ht="61.95" customHeight="1" spans="1:22">
      <c r="A177" s="91">
        <v>3</v>
      </c>
      <c r="B177" s="30" t="s">
        <v>554</v>
      </c>
      <c r="C177" s="25" t="s">
        <v>35</v>
      </c>
      <c r="D177" s="15" t="s">
        <v>356</v>
      </c>
      <c r="E177" s="15" t="s">
        <v>42</v>
      </c>
      <c r="F177" s="69" t="s">
        <v>555</v>
      </c>
      <c r="G177" s="15">
        <v>16</v>
      </c>
      <c r="H177" s="25" t="s">
        <v>39</v>
      </c>
      <c r="I177" s="61" t="s">
        <v>556</v>
      </c>
      <c r="J177" s="54"/>
      <c r="K177" s="14"/>
      <c r="L177" s="14"/>
      <c r="M177" s="14"/>
      <c r="N177" s="15"/>
      <c r="O177" s="15"/>
      <c r="P177" s="15"/>
      <c r="Q177" s="15"/>
      <c r="R177" s="14"/>
      <c r="S177" s="15" t="s">
        <v>42</v>
      </c>
      <c r="T177" s="15" t="s">
        <v>42</v>
      </c>
      <c r="U177" s="55">
        <v>2024.1</v>
      </c>
      <c r="V177" s="43"/>
    </row>
    <row r="178" s="5" customFormat="1" ht="61.95" customHeight="1" spans="1:22">
      <c r="A178" s="91">
        <v>4</v>
      </c>
      <c r="B178" s="30" t="s">
        <v>557</v>
      </c>
      <c r="C178" s="25" t="s">
        <v>35</v>
      </c>
      <c r="D178" s="15" t="s">
        <v>356</v>
      </c>
      <c r="E178" s="15" t="s">
        <v>42</v>
      </c>
      <c r="F178" s="69" t="s">
        <v>558</v>
      </c>
      <c r="G178" s="15">
        <v>12</v>
      </c>
      <c r="H178" s="25" t="s">
        <v>39</v>
      </c>
      <c r="I178" s="61" t="s">
        <v>559</v>
      </c>
      <c r="J178" s="54"/>
      <c r="K178" s="14"/>
      <c r="L178" s="14">
        <v>15</v>
      </c>
      <c r="M178" s="14">
        <v>46</v>
      </c>
      <c r="N178" s="15">
        <v>0.024</v>
      </c>
      <c r="O178" s="15">
        <v>0.024</v>
      </c>
      <c r="P178" s="15"/>
      <c r="Q178" s="15">
        <v>0.024</v>
      </c>
      <c r="R178" s="14">
        <v>0.024</v>
      </c>
      <c r="S178" s="15" t="s">
        <v>42</v>
      </c>
      <c r="T178" s="15" t="s">
        <v>42</v>
      </c>
      <c r="U178" s="55">
        <v>2024.1</v>
      </c>
      <c r="V178" s="43"/>
    </row>
    <row r="179" s="5" customFormat="1" ht="61.95" customHeight="1" spans="1:22">
      <c r="A179" s="91">
        <v>5</v>
      </c>
      <c r="B179" s="30" t="s">
        <v>560</v>
      </c>
      <c r="C179" s="25" t="s">
        <v>35</v>
      </c>
      <c r="D179" s="15" t="s">
        <v>356</v>
      </c>
      <c r="E179" s="15" t="s">
        <v>42</v>
      </c>
      <c r="F179" s="69" t="s">
        <v>561</v>
      </c>
      <c r="G179" s="15">
        <v>3.2</v>
      </c>
      <c r="H179" s="25" t="s">
        <v>39</v>
      </c>
      <c r="I179" s="61" t="s">
        <v>562</v>
      </c>
      <c r="J179" s="54"/>
      <c r="K179" s="14"/>
      <c r="L179" s="14"/>
      <c r="M179" s="14"/>
      <c r="N179" s="15"/>
      <c r="O179" s="15"/>
      <c r="P179" s="15"/>
      <c r="Q179" s="15"/>
      <c r="R179" s="14"/>
      <c r="S179" s="15" t="s">
        <v>42</v>
      </c>
      <c r="T179" s="15" t="s">
        <v>42</v>
      </c>
      <c r="U179" s="55">
        <v>2024.1</v>
      </c>
      <c r="V179" s="43"/>
    </row>
  </sheetData>
  <autoFilter xmlns:etc="http://www.wps.cn/officeDocument/2017/etCustomData" ref="A8:AH179" etc:filterBottomFollowUsedRange="0">
    <extLst/>
  </autoFilter>
  <mergeCells count="29">
    <mergeCell ref="A1:B1"/>
    <mergeCell ref="A2:U2"/>
    <mergeCell ref="A3:U3"/>
    <mergeCell ref="I4:R4"/>
    <mergeCell ref="A4:A8"/>
    <mergeCell ref="B4:B8"/>
    <mergeCell ref="C4:C8"/>
    <mergeCell ref="D4:D8"/>
    <mergeCell ref="E4:E8"/>
    <mergeCell ref="F4:F8"/>
    <mergeCell ref="G4:G8"/>
    <mergeCell ref="H4:H8"/>
    <mergeCell ref="I5:I8"/>
    <mergeCell ref="J5:J8"/>
    <mergeCell ref="K7:K8"/>
    <mergeCell ref="L7:L8"/>
    <mergeCell ref="M7:M8"/>
    <mergeCell ref="N7:N8"/>
    <mergeCell ref="O7:O8"/>
    <mergeCell ref="P7:P8"/>
    <mergeCell ref="Q7:Q8"/>
    <mergeCell ref="R7:R8"/>
    <mergeCell ref="S4:S8"/>
    <mergeCell ref="T4:T8"/>
    <mergeCell ref="U4:U8"/>
    <mergeCell ref="V4:V8"/>
    <mergeCell ref="K5:L6"/>
    <mergeCell ref="M5:O6"/>
    <mergeCell ref="P5:R6"/>
  </mergeCells>
  <pageMargins left="0.66875" right="0.550694444444444" top="1" bottom="1" header="0.5" footer="0.5"/>
  <pageSetup paperSize="8" scale="75" orientation="landscape"/>
  <headerFooter alignWithMargins="0">
    <oddFooter>&amp;C第 &amp;P 页</oddFooter>
  </headerFooter>
  <rowBreaks count="1" manualBreakCount="1">
    <brk id="24" max="16383" man="1"/>
  </rowBreaks>
  <ignoredErrors>
    <ignoredError sqref="O96" evalError="1"/>
  </ignoredErrors>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lvpeng</dc:creator>
  <cp:lastModifiedBy>Administrator</cp:lastModifiedBy>
  <dcterms:created xsi:type="dcterms:W3CDTF">2024-09-06T05:43:00Z</dcterms:created>
  <dcterms:modified xsi:type="dcterms:W3CDTF">2025-03-28T00:36:22Z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2052-12.1.0.20305</vt:lpwstr>
  </property>
  <property fmtid="{D5CDD505-2E9C-101B-9397-08002B2CF9AE}" pid="3" name="ICV">
    <vt:lpwstr>899C923A14C940278E41E461C69D8832_13</vt:lpwstr>
  </property>
  <property fmtid="{D5CDD505-2E9C-101B-9397-08002B2CF9AE}" pid="4" name="KSOReadingLayout">
    <vt:bool>true</vt:bool>
  </property>
</Properties>
</file>