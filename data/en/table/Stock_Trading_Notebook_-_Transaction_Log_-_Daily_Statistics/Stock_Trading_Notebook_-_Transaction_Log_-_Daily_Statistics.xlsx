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4" autoFilterDateGrouping="1"/>
  </bookViews>
  <sheets>
    <sheet name="Cash_flow" sheetId="1" state="visible" r:id="rId1"/>
    <sheet name="Hold" sheetId="2" state="visible" r:id="rId2"/>
    <sheet name="Daily_Summary" sheetId="3" state="visible" r:id="rId3"/>
    <sheet name="Sheet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%"/>
    <numFmt numFmtId="166" formatCode="0.00_ "/>
  </numFmts>
  <fonts count="21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theme="10"/>
      <sz val="11"/>
      <u val="single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color rgb="FF0000FF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Protection="1">
      <protection locked="0" hidden="0"/>
    </xf>
    <xf numFmtId="0" fontId="3" fillId="0" borderId="0"/>
    <xf numFmtId="0" fontId="0" fillId="2" borderId="1"/>
    <xf numFmtId="0" fontId="4" fillId="0" borderId="0"/>
    <xf numFmtId="0" fontId="5" fillId="0" borderId="0"/>
    <xf numFmtId="0" fontId="6" fillId="0" borderId="0"/>
    <xf numFmtId="0" fontId="7" fillId="0" borderId="2"/>
    <xf numFmtId="0" fontId="8" fillId="0" borderId="2"/>
    <xf numFmtId="0" fontId="9" fillId="0" borderId="3"/>
    <xf numFmtId="0" fontId="9" fillId="0" borderId="0"/>
    <xf numFmtId="0" fontId="10" fillId="3" borderId="4"/>
    <xf numFmtId="0" fontId="11" fillId="4" borderId="5"/>
    <xf numFmtId="0" fontId="12" fillId="4" borderId="4"/>
    <xf numFmtId="0" fontId="13" fillId="5" borderId="6"/>
    <xf numFmtId="0" fontId="14" fillId="0" borderId="7"/>
    <xf numFmtId="0" fontId="15" fillId="0" borderId="8"/>
    <xf numFmtId="0" fontId="16" fillId="6" borderId="0"/>
    <xf numFmtId="0" fontId="17" fillId="7" borderId="0"/>
    <xf numFmtId="0" fontId="18" fillId="8" borderId="0"/>
    <xf numFmtId="0" fontId="19" fillId="9" borderId="0"/>
    <xf numFmtId="0" fontId="0" fillId="10" borderId="0"/>
    <xf numFmtId="0" fontId="0" fillId="11" borderId="0"/>
    <xf numFmtId="0" fontId="19" fillId="12" borderId="0"/>
    <xf numFmtId="0" fontId="19" fillId="13" borderId="0"/>
    <xf numFmtId="0" fontId="0" fillId="14" borderId="0"/>
    <xf numFmtId="0" fontId="0" fillId="15" borderId="0"/>
    <xf numFmtId="0" fontId="19" fillId="16" borderId="0"/>
    <xf numFmtId="0" fontId="19" fillId="17" borderId="0"/>
    <xf numFmtId="0" fontId="0" fillId="18" borderId="0"/>
    <xf numFmtId="0" fontId="0" fillId="19" borderId="0"/>
    <xf numFmtId="0" fontId="19" fillId="20" borderId="0"/>
    <xf numFmtId="0" fontId="19" fillId="21" borderId="0"/>
    <xf numFmtId="0" fontId="0" fillId="22" borderId="0"/>
    <xf numFmtId="0" fontId="0" fillId="23" borderId="0"/>
    <xf numFmtId="0" fontId="19" fillId="24" borderId="0"/>
    <xf numFmtId="0" fontId="19" fillId="25" borderId="0"/>
    <xf numFmtId="0" fontId="0" fillId="26" borderId="0"/>
    <xf numFmtId="0" fontId="0" fillId="27" borderId="0"/>
    <xf numFmtId="0" fontId="19" fillId="28" borderId="0"/>
    <xf numFmtId="0" fontId="19" fillId="29" borderId="0"/>
    <xf numFmtId="0" fontId="0" fillId="30" borderId="0"/>
    <xf numFmtId="0" fontId="0" fillId="31" borderId="0"/>
    <xf numFmtId="0" fontId="19" fillId="32" borderId="0"/>
    <xf numFmtId="0" fontId="2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15" fillId="0" borderId="0" applyAlignment="1" pivotButton="0" quotePrefix="0" xfId="0">
      <alignment vertical="center"/>
    </xf>
    <xf numFmtId="0" fontId="20" fillId="0" borderId="0" applyAlignment="1" pivotButton="0" quotePrefix="0" xfId="68">
      <alignment vertical="center"/>
    </xf>
    <xf numFmtId="0" fontId="2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A1" zoomScale="85" zoomScaleNormal="85" workbookViewId="0">
      <selection activeCell="D8" sqref="D8"/>
    </sheetView>
  </sheetViews>
  <sheetFormatPr baseColWidth="8" defaultColWidth="9.00390625" defaultRowHeight="13.5" outlineLevelRow="6"/>
  <cols>
    <col width="3.50390625" customWidth="1" min="2" max="2"/>
    <col width="9.00390625" customWidth="1" style="5" min="4" max="4"/>
    <col width="9.00390625" customWidth="1" style="11" min="7" max="7"/>
    <col width="9.00390625" customWidth="1" style="12" min="12" max="12"/>
  </cols>
  <sheetData>
    <row r="1" ht="13.5" customHeight="1" s="13">
      <c r="A1" s="0" t="inlineStr">
        <is>
          <t>Date</t>
        </is>
      </c>
      <c r="B1" s="0" t="inlineStr">
        <is>
          <t>Time</t>
        </is>
      </c>
      <c r="C1" s="0" t="inlineStr">
        <is>
          <t>Buy/Sell</t>
        </is>
      </c>
      <c r="D1" s="5" t="inlineStr">
        <is>
          <t>Stock Code</t>
        </is>
      </c>
      <c r="E1" s="0" t="inlineStr">
        <is>
          <t>Stock Name</t>
        </is>
      </c>
      <c r="F1" s="0" t="inlineStr">
        <is>
          <t>Quantity</t>
        </is>
      </c>
      <c r="G1" s="11" t="inlineStr">
        <is>
          <t>Cost Price</t>
        </is>
      </c>
      <c r="H1" s="0" t="inlineStr">
        <is>
          <t>Transaction Price</t>
        </is>
      </c>
      <c r="I1" s="0" t="inlineStr">
        <is>
          <t>Fee</t>
        </is>
      </c>
      <c r="J1" s="0" t="inlineStr">
        <is>
          <t>Amount Change</t>
        </is>
      </c>
      <c r="K1" s="0" t="inlineStr">
        <is>
          <t>Profit and Loss</t>
        </is>
      </c>
      <c r="L1" s="12" t="inlineStr">
        <is>
          <t>Profit Margin</t>
        </is>
      </c>
    </row>
    <row r="2" ht="13.5" customHeight="1" s="13">
      <c r="A2" s="4" t="n">
        <v>42094</v>
      </c>
      <c r="B2" s="6" t="n">
        <v>0.301087962962963</v>
      </c>
      <c r="C2" s="6" t="inlineStr">
        <is>
          <t>Buy</t>
        </is>
      </c>
      <c r="D2" s="5" t="inlineStr">
        <is>
          <t>002313</t>
        </is>
      </c>
      <c r="E2" s="0" t="inlineStr">
        <is>
          <t>Rihai Communications</t>
        </is>
      </c>
      <c r="F2" s="0" t="n">
        <v>300</v>
      </c>
      <c r="G2" s="11" t="n">
        <v>16.767</v>
      </c>
      <c r="H2" s="0" t="n">
        <v>16.75</v>
      </c>
      <c r="I2" s="0">
        <f>(G2-H2)*F2</f>
        <v/>
      </c>
      <c r="J2" s="0">
        <f>-G2*F2</f>
        <v/>
      </c>
    </row>
    <row r="3" ht="13.5" customHeight="1" s="13">
      <c r="A3" s="4" t="n">
        <v>42095</v>
      </c>
      <c r="C3" s="6" t="inlineStr">
        <is>
          <t>Buy</t>
        </is>
      </c>
      <c r="D3" s="5" t="inlineStr">
        <is>
          <t>002614</t>
        </is>
      </c>
      <c r="E3" s="0" t="inlineStr">
        <is>
          <t>Mengfali</t>
        </is>
      </c>
      <c r="F3" s="0" t="n">
        <v>200</v>
      </c>
      <c r="G3" s="11">
        <f>I3/F3+H3</f>
        <v/>
      </c>
      <c r="H3" s="0" t="n">
        <v>20.2</v>
      </c>
      <c r="I3" s="0" t="n">
        <v>5</v>
      </c>
      <c r="J3" s="0">
        <f>-G3*F3</f>
        <v/>
      </c>
    </row>
    <row r="4" ht="13.5" customHeight="1" s="13">
      <c r="A4" s="4" t="n">
        <v>42096</v>
      </c>
      <c r="C4" s="6" t="inlineStr">
        <is>
          <t>Buy</t>
        </is>
      </c>
      <c r="D4" s="5" t="inlineStr">
        <is>
          <t>002750</t>
        </is>
      </c>
      <c r="E4" s="0" t="inlineStr">
        <is>
          <t>Longjin Pharmaceutical</t>
        </is>
      </c>
      <c r="F4" s="0" t="n">
        <v>100</v>
      </c>
      <c r="G4" s="11">
        <f>I4/F4+H4</f>
        <v/>
      </c>
      <c r="H4" s="0" t="n">
        <v>58.45</v>
      </c>
      <c r="I4" s="0" t="n">
        <v>5</v>
      </c>
      <c r="J4" s="0">
        <f>-G4*F4</f>
        <v/>
      </c>
    </row>
    <row r="5" ht="13.5" customHeight="1" s="13">
      <c r="A5" s="4" t="n">
        <v>42097</v>
      </c>
      <c r="C5" s="6" t="inlineStr">
        <is>
          <t>Buy</t>
        </is>
      </c>
      <c r="D5" s="5" t="inlineStr">
        <is>
          <t>002652</t>
        </is>
      </c>
      <c r="E5" s="0" t="inlineStr">
        <is>
          <t>Yangzi New Material</t>
        </is>
      </c>
      <c r="F5" s="0" t="n">
        <v>400</v>
      </c>
      <c r="G5" s="11">
        <f>I5/F5+H5</f>
        <v/>
      </c>
      <c r="H5" s="0" t="n">
        <v>23.8</v>
      </c>
      <c r="I5" s="0" t="n">
        <v>5</v>
      </c>
      <c r="J5" s="0">
        <f>-G5*F5</f>
        <v/>
      </c>
    </row>
    <row r="6" ht="13.5" customHeight="1" s="13">
      <c r="A6" s="4" t="n">
        <v>42097</v>
      </c>
      <c r="C6" s="6" t="inlineStr">
        <is>
          <t>Buy</t>
        </is>
      </c>
      <c r="D6" s="5" t="inlineStr">
        <is>
          <t>002034</t>
        </is>
      </c>
      <c r="E6" s="0" t="inlineStr">
        <is>
          <t>Meixinda</t>
        </is>
      </c>
      <c r="F6" s="0" t="n">
        <v>300</v>
      </c>
      <c r="G6" s="11">
        <f>I6/F6+H6</f>
        <v/>
      </c>
      <c r="H6" s="0" t="n">
        <v>27.7</v>
      </c>
      <c r="I6" s="0" t="n">
        <v>5</v>
      </c>
      <c r="J6" s="0">
        <f>-G6*F6</f>
        <v/>
      </c>
    </row>
    <row r="7" ht="13.5" customHeight="1" s="13">
      <c r="A7" s="4" t="n">
        <v>42101</v>
      </c>
      <c r="C7" s="6" t="inlineStr">
        <is>
          <t>Sell</t>
        </is>
      </c>
      <c r="D7" s="5" t="inlineStr">
        <is>
          <t>002750</t>
        </is>
      </c>
      <c r="E7" s="0" t="inlineStr">
        <is>
          <t>Longjin Pharmaceutical</t>
        </is>
      </c>
      <c r="F7" s="0" t="n">
        <v>-100</v>
      </c>
      <c r="G7" s="11">
        <f>I7/F7+H7</f>
        <v/>
      </c>
      <c r="H7" s="0" t="n">
        <v>67.65000000000001</v>
      </c>
      <c r="I7" s="0" t="n">
        <v>-5</v>
      </c>
      <c r="J7" s="0">
        <f>-G7*F7</f>
        <v/>
      </c>
      <c r="K7" s="0">
        <f>J7+J4</f>
        <v/>
      </c>
      <c r="L7" s="12">
        <f>-K7/J4</f>
        <v/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topLeftCell="A1" workbookViewId="0">
      <selection activeCell="D24" sqref="D24"/>
    </sheetView>
  </sheetViews>
  <sheetFormatPr baseColWidth="8" defaultColWidth="9.00390625" defaultRowHeight="13.5" outlineLevelRow="6"/>
  <cols>
    <col width="9.50390625" customWidth="1" style="11" min="7" max="7"/>
    <col width="9.00390625" customWidth="1" style="12" min="11" max="11"/>
  </cols>
  <sheetData>
    <row r="1" ht="13.5" customHeight="1" s="13">
      <c r="C1" s="0" t="inlineStr">
        <is>
          <t>Total Amount</t>
        </is>
      </c>
      <c r="D1" s="0">
        <f>G1+J1</f>
        <v/>
      </c>
      <c r="F1" s="0" t="inlineStr">
        <is>
          <t>Cash</t>
        </is>
      </c>
      <c r="G1" s="11" t="n">
        <v>9988.18</v>
      </c>
      <c r="I1" s="0" t="inlineStr">
        <is>
          <t>Total stock price</t>
        </is>
      </c>
      <c r="J1" s="0">
        <f>SUM(J3)</f>
        <v/>
      </c>
    </row>
    <row r="2" ht="13.5" customHeight="1" s="13">
      <c r="A2" s="0" t="inlineStr">
        <is>
          <t>Buy Date</t>
        </is>
      </c>
      <c r="B2" s="0" t="inlineStr">
        <is>
          <t>Sell Date</t>
        </is>
      </c>
      <c r="C2" s="0" t="inlineStr">
        <is>
          <t>Income</t>
        </is>
      </c>
      <c r="D2" s="5" t="inlineStr">
        <is>
          <t>Stock Code</t>
        </is>
      </c>
      <c r="E2" s="0" t="inlineStr">
        <is>
          <t>Stock Name</t>
        </is>
      </c>
      <c r="F2" s="0" t="inlineStr">
        <is>
          <t>Quantity</t>
        </is>
      </c>
      <c r="G2" s="11" t="inlineStr">
        <is>
          <t>Cost Price</t>
        </is>
      </c>
      <c r="H2" s="0" t="inlineStr">
        <is>
          <t>Latest Price</t>
        </is>
      </c>
      <c r="I2" s="0" t="inlineStr">
        <is>
          <t>Profit and Loss</t>
        </is>
      </c>
      <c r="J2" s="0" t="inlineStr">
        <is>
          <t>Amount</t>
        </is>
      </c>
      <c r="K2" s="12" t="inlineStr">
        <is>
          <t>Profit Margin</t>
        </is>
      </c>
    </row>
    <row r="3" ht="13.5" customHeight="1" s="13">
      <c r="A3" s="4" t="n">
        <v>42094</v>
      </c>
      <c r="B3" s="4" t="n"/>
      <c r="C3" s="4" t="n"/>
      <c r="D3" s="5" t="inlineStr">
        <is>
          <t>002313</t>
        </is>
      </c>
      <c r="E3" s="0" t="inlineStr">
        <is>
          <t>Rihai Communications</t>
        </is>
      </c>
      <c r="F3" s="0" t="n">
        <v>300</v>
      </c>
      <c r="G3" s="11" t="n">
        <v>16.767</v>
      </c>
      <c r="H3" s="0" t="n">
        <v>19.09</v>
      </c>
      <c r="I3" s="0">
        <f>(H3-G3)*F3</f>
        <v/>
      </c>
      <c r="J3" s="0">
        <f>H3*F3</f>
        <v/>
      </c>
      <c r="K3" s="12">
        <f>H3/G3-1</f>
        <v/>
      </c>
    </row>
    <row r="4" ht="13.5" customHeight="1" s="13">
      <c r="A4" s="4" t="n">
        <v>42095</v>
      </c>
      <c r="D4" s="0" t="inlineStr">
        <is>
          <t>002614</t>
        </is>
      </c>
      <c r="E4" s="0" t="inlineStr">
        <is>
          <t>Mengfali</t>
        </is>
      </c>
      <c r="F4" s="0" t="n">
        <v>200</v>
      </c>
      <c r="G4" s="11" t="n">
        <v>20.225</v>
      </c>
      <c r="H4" s="0" t="n">
        <v>23</v>
      </c>
      <c r="I4" s="0">
        <f>(H4-G4)*F4</f>
        <v/>
      </c>
      <c r="J4" s="0">
        <f>H4*F4</f>
        <v/>
      </c>
      <c r="K4" s="12">
        <f>H4/G4-1</f>
        <v/>
      </c>
    </row>
    <row r="5" ht="13.5" customHeight="1" s="13">
      <c r="A5" s="4" t="n">
        <v>42096</v>
      </c>
      <c r="B5" s="4" t="n">
        <v>42101</v>
      </c>
      <c r="D5" s="0" t="inlineStr">
        <is>
          <t>002750</t>
        </is>
      </c>
      <c r="E5" s="0" t="inlineStr">
        <is>
          <t>Longjin Pharmaceutical</t>
        </is>
      </c>
      <c r="F5" s="0" t="n">
        <v>100</v>
      </c>
      <c r="G5" s="11" t="n">
        <v>58.5</v>
      </c>
      <c r="I5" s="0" t="n">
        <v>920</v>
      </c>
      <c r="J5" s="0">
        <f>H5*F5</f>
        <v/>
      </c>
      <c r="K5" s="12">
        <f>I5/F5/G5</f>
        <v/>
      </c>
    </row>
    <row r="6" ht="13.5" customHeight="1" s="13">
      <c r="A6" s="4" t="n">
        <v>42097</v>
      </c>
      <c r="D6" s="0" t="inlineStr">
        <is>
          <t>002652</t>
        </is>
      </c>
      <c r="E6" s="0" t="inlineStr">
        <is>
          <t>Yangzi New Material</t>
        </is>
      </c>
      <c r="F6" s="0" t="n">
        <v>400</v>
      </c>
      <c r="G6" s="11" t="n">
        <v>23.8125</v>
      </c>
      <c r="H6" s="0" t="n">
        <v>27.5</v>
      </c>
      <c r="I6" s="0">
        <f>(H6-G6)*F6</f>
        <v/>
      </c>
      <c r="J6" s="0">
        <f>H6*F6</f>
        <v/>
      </c>
      <c r="K6" s="12">
        <f>H6/G6-1</f>
        <v/>
      </c>
    </row>
    <row r="7" ht="13.5" customHeight="1" s="13">
      <c r="A7" s="4" t="n">
        <v>42097</v>
      </c>
      <c r="D7" s="0" t="inlineStr">
        <is>
          <t>002034</t>
        </is>
      </c>
      <c r="E7" s="0" t="inlineStr">
        <is>
          <t>Meixinda</t>
        </is>
      </c>
      <c r="F7" s="0" t="n">
        <v>300</v>
      </c>
      <c r="G7" s="11" t="n">
        <v>27.7166666666667</v>
      </c>
      <c r="H7" s="0" t="n">
        <v>29.16</v>
      </c>
      <c r="I7" s="0">
        <f>(H7-G7)*F7</f>
        <v/>
      </c>
      <c r="J7" s="0">
        <f>H7*F7</f>
        <v/>
      </c>
      <c r="K7" s="12">
        <f>H7/G7-1</f>
        <v/>
      </c>
    </row>
  </sheetData>
  <conditionalFormatting sqref="K1:K1048576">
    <cfRule type="colorScale" priority="5">
      <colorScale>
        <cfvo type="min" val="0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 val="0"/>
        <cfvo type="max"/>
        <color rgb="FFFF7128"/>
        <color rgb="FFFFEF9C"/>
      </colorScale>
    </cfRule>
    <cfRule type="colorScale" priority="3">
      <colorScale>
        <cfvo type="min" val="0"/>
        <cfvo type="percentile" val="50"/>
        <cfvo type="max"/>
        <color rgb="FF00B050"/>
        <color theme="0" tint="-0.1499900072813034"/>
        <color rgb="FFFF0000"/>
      </colorScale>
    </cfRule>
    <cfRule type="colorScale" priority="2">
      <colorScale>
        <cfvo type="num" val="-1"/>
        <cfvo type="percentile" val="0"/>
        <cfvo type="num" val="1"/>
        <color rgb="FF00B050"/>
        <color theme="0" tint="-0.1499900072813034"/>
        <color rgb="FFFF0000"/>
      </colorScale>
    </cfRule>
    <cfRule type="colorScale" priority="1">
      <colorScale>
        <cfvo type="min" val="0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topLeftCell="A1" zoomScale="70" zoomScaleNormal="70" workbookViewId="0">
      <pane xSplit="1" ySplit="1" topLeftCell="B32" activePane="bottomRight" state="frozen"/>
      <selection pane="topRight" activeCell="A1" sqref="A1"/>
      <selection pane="bottomLeft" activeCell="A1" sqref="A1"/>
      <selection pane="bottomRight" activeCell="K1" sqref="A1:K1"/>
    </sheetView>
  </sheetViews>
  <sheetFormatPr baseColWidth="8" defaultColWidth="9.00390625" defaultRowHeight="13.5"/>
  <cols>
    <col width="9.00390625" customWidth="1" style="14" min="7" max="7"/>
    <col width="9.00390625" customWidth="1" style="12" min="8" max="8"/>
    <col width="9.00390625" customWidth="1" style="14" min="9" max="9"/>
    <col width="9.00390625" customWidth="1" style="12" min="10" max="10"/>
    <col width="9.00390625" customWidth="1" style="11" min="11" max="11"/>
  </cols>
  <sheetData>
    <row r="1" ht="13.5" customHeight="1" s="13">
      <c r="A1" s="0" t="inlineStr">
        <is>
          <t>Date</t>
        </is>
      </c>
      <c r="B1" s="0" t="inlineStr">
        <is>
          <t>Total Investment</t>
        </is>
      </c>
      <c r="C1" s="0" t="inlineStr">
        <is>
          <t>Available Cash</t>
        </is>
      </c>
      <c r="D1" s="0" t="inlineStr">
        <is>
          <t>Market Value of Stocks</t>
        </is>
      </c>
      <c r="E1" s="0" t="inlineStr">
        <is>
          <t>Position P/L</t>
        </is>
      </c>
      <c r="F1" s="0" t="inlineStr">
        <is>
          <t>Total Assets</t>
        </is>
      </c>
      <c r="G1" s="14" t="inlineStr">
        <is>
          <t>Total P&amp;L</t>
        </is>
      </c>
      <c r="H1" s="12" t="inlineStr">
        <is>
          <t>Total Profit Rate</t>
        </is>
      </c>
      <c r="I1" s="14" t="inlineStr">
        <is>
          <t>Daily P/L</t>
        </is>
      </c>
      <c r="J1" s="12" t="inlineStr">
        <is>
          <t>Daily Return Rate</t>
        </is>
      </c>
      <c r="K1" s="11" t="inlineStr">
        <is>
          <t>Shanghai Composite Index</t>
        </is>
      </c>
    </row>
    <row r="2" ht="13.5" customHeight="1" s="13">
      <c r="A2" s="4" t="n">
        <v>42094</v>
      </c>
      <c r="B2" s="0" t="n">
        <v>10000</v>
      </c>
      <c r="G2" s="14" t="n">
        <v>300</v>
      </c>
      <c r="H2" s="12">
        <f>G2/B2</f>
        <v/>
      </c>
      <c r="I2" s="14">
        <f>G2</f>
        <v/>
      </c>
      <c r="J2" s="12">
        <f>I2/B2</f>
        <v/>
      </c>
      <c r="K2" s="11" t="n">
        <v>-1.02</v>
      </c>
    </row>
    <row r="3" ht="13.5" customHeight="1" s="13">
      <c r="A3" s="4" t="n">
        <v>42095</v>
      </c>
      <c r="B3" s="0" t="n">
        <v>16000</v>
      </c>
      <c r="G3" s="14" t="n">
        <v>800</v>
      </c>
      <c r="H3" s="12">
        <f>G3/B3</f>
        <v/>
      </c>
      <c r="I3" s="14">
        <f>G3-G2</f>
        <v/>
      </c>
      <c r="J3" s="12">
        <f>I3/B3</f>
        <v/>
      </c>
      <c r="K3" s="11" t="n">
        <v>1.66</v>
      </c>
    </row>
    <row r="4" ht="13.5" customHeight="1" s="13">
      <c r="A4" s="4" t="n">
        <v>42096</v>
      </c>
      <c r="B4" s="0" t="n">
        <v>36000</v>
      </c>
      <c r="C4" s="0" t="n">
        <v>3235</v>
      </c>
      <c r="D4" s="0">
        <f>F4-C4</f>
        <v/>
      </c>
      <c r="E4" s="0" t="n">
        <v>3250</v>
      </c>
      <c r="F4" s="0">
        <f>B4+E4</f>
        <v/>
      </c>
      <c r="G4" s="14" t="n">
        <v>1700</v>
      </c>
      <c r="H4" s="12">
        <f>G4/B4</f>
        <v/>
      </c>
      <c r="I4" s="14">
        <f>G4-G3</f>
        <v/>
      </c>
      <c r="J4" s="12">
        <f>I4/B4</f>
        <v/>
      </c>
      <c r="K4" s="11" t="n">
        <v>0.41</v>
      </c>
    </row>
    <row r="5" ht="13.5" customHeight="1" s="13">
      <c r="A5" s="4" t="n">
        <v>42097</v>
      </c>
      <c r="B5" s="0" t="n">
        <v>36000</v>
      </c>
      <c r="C5" s="0" t="n">
        <v>3235</v>
      </c>
      <c r="D5" s="0">
        <f>F5-C5</f>
        <v/>
      </c>
      <c r="E5" s="0" t="n">
        <v>3250</v>
      </c>
      <c r="F5" s="0">
        <f>B5+E5</f>
        <v/>
      </c>
      <c r="G5" s="14">
        <f>F5-B5</f>
        <v/>
      </c>
      <c r="H5" s="12">
        <f>G5/B5</f>
        <v/>
      </c>
      <c r="I5" s="14">
        <f>G5-G4</f>
        <v/>
      </c>
      <c r="J5" s="12">
        <f>I5/B5</f>
        <v/>
      </c>
      <c r="K5" s="11" t="n">
        <v>1</v>
      </c>
    </row>
    <row r="6" ht="13.5" customHeight="1" s="13">
      <c r="A6" s="4" t="n">
        <v>42101</v>
      </c>
      <c r="B6" s="0" t="n">
        <v>36000</v>
      </c>
      <c r="C6" s="0">
        <f>F6-D6</f>
        <v/>
      </c>
      <c r="D6" s="0" t="n">
        <v>30075</v>
      </c>
      <c r="E6" s="0" t="n">
        <v>3113.07</v>
      </c>
      <c r="F6" s="0" t="n">
        <v>40063.18</v>
      </c>
      <c r="G6" s="14">
        <f>F6-B6</f>
        <v/>
      </c>
      <c r="H6" s="12">
        <f>G6/B6</f>
        <v/>
      </c>
      <c r="I6" s="14">
        <f>G6-G5</f>
        <v/>
      </c>
      <c r="J6" s="12">
        <f>I6/B6</f>
        <v/>
      </c>
      <c r="K6" s="11" t="n">
        <v>2.52</v>
      </c>
    </row>
    <row r="7" ht="13.5" customHeight="1" s="13">
      <c r="A7" s="4" t="n">
        <v>42102</v>
      </c>
      <c r="B7" s="0" t="n">
        <v>36500</v>
      </c>
      <c r="F7" s="0" t="n">
        <v>41200</v>
      </c>
      <c r="G7" s="14">
        <f>F7-B7</f>
        <v/>
      </c>
      <c r="H7" s="12">
        <f>G7/B7</f>
        <v/>
      </c>
      <c r="I7" s="14">
        <f>G7-G6</f>
        <v/>
      </c>
      <c r="J7" s="12">
        <f>I7/B7</f>
        <v/>
      </c>
      <c r="K7" s="11" t="n">
        <v>0.84</v>
      </c>
      <c r="L7" s="0" t="inlineStr">
        <is>
          <t>The two stocks that hit the daily limit up today were sold by me in advance.</t>
        </is>
      </c>
    </row>
    <row r="8" ht="13.5" customHeight="1" s="13">
      <c r="A8" s="4" t="n">
        <v>42103</v>
      </c>
      <c r="B8" s="0" t="n">
        <v>36500</v>
      </c>
      <c r="F8" s="0" t="n">
        <v>41800</v>
      </c>
      <c r="G8" s="14">
        <f>F8-B8</f>
        <v/>
      </c>
      <c r="H8" s="12">
        <f>G8/B8</f>
        <v/>
      </c>
      <c r="I8" s="14">
        <f>G8-G7</f>
        <v/>
      </c>
      <c r="J8" s="12">
        <f>I8/B8</f>
        <v/>
      </c>
      <c r="K8" s="11" t="n">
        <v>-0.93</v>
      </c>
      <c r="L8" s="0" t="inlineStr">
        <is>
          <t>The market dropped sharply in the morning and rebounded significantly in the afternoon.</t>
        </is>
      </c>
    </row>
    <row r="9" ht="13.5" customHeight="1" s="13">
      <c r="A9" s="4" t="n">
        <v>42104</v>
      </c>
      <c r="B9" s="0" t="n">
        <v>36500</v>
      </c>
      <c r="F9" s="0" t="n">
        <v>42426</v>
      </c>
      <c r="G9" s="14">
        <f>F9-B9</f>
        <v/>
      </c>
      <c r="H9" s="12">
        <f>G9/B9</f>
        <v/>
      </c>
      <c r="I9" s="14">
        <f>G9-G8</f>
        <v/>
      </c>
      <c r="J9" s="12">
        <f>I9/B9</f>
        <v/>
      </c>
      <c r="K9" s="11" t="n">
        <v>1.94</v>
      </c>
    </row>
    <row r="10" ht="13.5" customHeight="1" s="13">
      <c r="A10" s="4" t="n">
        <v>42107</v>
      </c>
      <c r="B10" s="0" t="n">
        <v>44000</v>
      </c>
      <c r="F10" s="0" t="n">
        <v>50263</v>
      </c>
      <c r="G10" s="14">
        <f>F10-B10</f>
        <v/>
      </c>
      <c r="H10" s="12">
        <f>G10/B10</f>
        <v/>
      </c>
      <c r="I10" s="14">
        <f>G10-G9</f>
        <v/>
      </c>
      <c r="J10" s="12">
        <f>I10/B10</f>
        <v/>
      </c>
    </row>
    <row r="11" ht="13.5" customHeight="1" s="13">
      <c r="A11" s="4" t="n">
        <v>42108</v>
      </c>
      <c r="B11" s="0" t="n">
        <v>44000</v>
      </c>
      <c r="F11" s="0" t="n">
        <v>49267</v>
      </c>
      <c r="G11" s="14">
        <f>F11-B11</f>
        <v/>
      </c>
      <c r="H11" s="12">
        <f>G11/B11</f>
        <v/>
      </c>
      <c r="I11" s="14">
        <f>G11-G10</f>
        <v/>
      </c>
      <c r="J11" s="12">
        <f>I11/B11</f>
        <v/>
      </c>
    </row>
    <row r="12" ht="13.5" customHeight="1" s="13">
      <c r="A12" s="4" t="n">
        <v>42109</v>
      </c>
      <c r="B12" s="0" t="n">
        <v>44000</v>
      </c>
      <c r="F12" s="0" t="n">
        <v>48374</v>
      </c>
      <c r="G12" s="14">
        <f>F12-B12</f>
        <v/>
      </c>
      <c r="H12" s="12">
        <f>G12/B12</f>
        <v/>
      </c>
      <c r="I12" s="14">
        <f>G12-G11</f>
        <v/>
      </c>
      <c r="J12" s="12">
        <f>I12/B12</f>
        <v/>
      </c>
      <c r="L12" s="0" t="inlineStr">
        <is>
          <t>All sold out, all sold at the lowest points.</t>
        </is>
      </c>
    </row>
    <row r="13" ht="13.5" customHeight="1" s="13">
      <c r="A13" s="4" t="n">
        <v>42110</v>
      </c>
      <c r="B13" s="0" t="n">
        <v>44000</v>
      </c>
      <c r="F13" s="0" t="n">
        <v>48374</v>
      </c>
      <c r="G13" s="14">
        <f>F13-B13</f>
        <v/>
      </c>
      <c r="H13" s="12">
        <f>G13/B13</f>
        <v/>
      </c>
      <c r="I13" s="14">
        <f>G13-G12</f>
        <v/>
      </c>
      <c r="J13" s="12">
        <f>I13/B13</f>
        <v/>
      </c>
    </row>
    <row r="14" ht="13.5" customHeight="1" s="13">
      <c r="A14" s="4" t="n">
        <v>42111</v>
      </c>
      <c r="B14" s="0" t="n">
        <v>30000</v>
      </c>
      <c r="F14" s="0" t="n">
        <v>35620</v>
      </c>
      <c r="G14" s="14">
        <f>F14-B14</f>
        <v/>
      </c>
      <c r="H14" s="12">
        <f>G14/B14</f>
        <v/>
      </c>
      <c r="I14" s="14">
        <f>G14-G13</f>
        <v/>
      </c>
      <c r="J14" s="12">
        <f>I14/B14</f>
        <v/>
      </c>
      <c r="L14" s="0" t="inlineStr">
        <is>
          <t>Bought two stocks with 20,000 yesterday, both limit-up.</t>
        </is>
      </c>
    </row>
    <row r="15" ht="13.5" customHeight="1" s="13">
      <c r="A15" s="4" t="n">
        <v>42114</v>
      </c>
      <c r="B15" s="0" t="n">
        <v>45000</v>
      </c>
      <c r="C15" s="0">
        <f>F15-D15</f>
        <v/>
      </c>
      <c r="D15" s="0" t="n">
        <v>21261</v>
      </c>
      <c r="F15" s="0" t="n">
        <v>51813</v>
      </c>
      <c r="G15" s="14">
        <f>F15-B15</f>
        <v/>
      </c>
      <c r="H15" s="12">
        <f>G15/B15</f>
        <v/>
      </c>
      <c r="I15" s="14">
        <f>G15-G14</f>
        <v/>
      </c>
      <c r="J15" s="12">
        <f>I15/B15</f>
        <v/>
      </c>
      <c r="L15" s="0" t="inlineStr">
        <is>
          <t>Bought Zhenzhang Real Estate at limit-up price, wanted to buy Jiangsu Sanyou but didn't buy</t>
        </is>
      </c>
    </row>
    <row r="16" ht="13.5" customHeight="1" s="13">
      <c r="A16" s="4" t="n">
        <v>42115</v>
      </c>
      <c r="B16" s="0" t="n">
        <v>45000</v>
      </c>
      <c r="C16" s="0">
        <f>F16-D16</f>
        <v/>
      </c>
      <c r="D16" s="0" t="n">
        <v>21261</v>
      </c>
      <c r="F16" s="0" t="n">
        <v>51850</v>
      </c>
      <c r="G16" s="14">
        <f>F16-B16</f>
        <v/>
      </c>
      <c r="H16" s="12">
        <f>G16/B16</f>
        <v/>
      </c>
      <c r="I16" s="14">
        <f>G16-G15</f>
        <v/>
      </c>
      <c r="J16" s="12">
        <f>I16/B16</f>
        <v/>
      </c>
      <c r="K16" s="11" t="n">
        <v>4.09</v>
      </c>
      <c r="L16" s="0" t="inlineStr">
        <is>
          <t>Today's market surged, but I didn't buy any stocks.</t>
        </is>
      </c>
    </row>
    <row r="17" ht="13.5" customHeight="1" s="13">
      <c r="A17" s="4" t="n">
        <v>42116</v>
      </c>
      <c r="B17" s="0" t="n">
        <v>45000</v>
      </c>
      <c r="C17" s="0">
        <f>F17-D17</f>
        <v/>
      </c>
      <c r="D17" s="0" t="n">
        <v>42355</v>
      </c>
      <c r="E17" s="0" t="n">
        <v>116</v>
      </c>
      <c r="F17" s="0" t="n">
        <v>51919</v>
      </c>
      <c r="G17" s="14">
        <f>F17-B17</f>
        <v/>
      </c>
      <c r="H17" s="12">
        <f>G17/B17</f>
        <v/>
      </c>
      <c r="I17" s="14">
        <f>G17-G16</f>
        <v/>
      </c>
      <c r="J17" s="12">
        <f>I17/B17</f>
        <v/>
      </c>
      <c r="K17" s="11" t="n">
        <v>2.15</v>
      </c>
      <c r="L17" s="0" t="inlineStr">
        <is>
          <t>Today's market surged, but I didn't buy any stocks.</t>
        </is>
      </c>
    </row>
    <row r="18" ht="13.5" customHeight="1" s="13">
      <c r="A18" s="4" t="n">
        <v>42117</v>
      </c>
      <c r="B18" s="0" t="n">
        <v>45000</v>
      </c>
      <c r="C18" s="0">
        <f>F18-D18</f>
        <v/>
      </c>
      <c r="D18" s="0" t="n">
        <v>42355</v>
      </c>
      <c r="E18" s="0" t="n">
        <v>116</v>
      </c>
      <c r="F18" s="0" t="n">
        <v>51700</v>
      </c>
      <c r="G18" s="14">
        <f>F18-B18</f>
        <v/>
      </c>
      <c r="H18" s="12">
        <f>G18/B18</f>
        <v/>
      </c>
      <c r="I18" s="14">
        <f>G18-G17</f>
        <v/>
      </c>
      <c r="J18" s="12">
        <f>I18/F17</f>
        <v/>
      </c>
      <c r="K18" s="11" t="n">
        <v>-0.04</v>
      </c>
    </row>
    <row r="19" ht="13.5" customHeight="1" s="13">
      <c r="A19" s="4" t="n">
        <v>42118</v>
      </c>
      <c r="B19" s="0" t="n">
        <v>45000</v>
      </c>
      <c r="C19" s="0">
        <f>F19-D19</f>
        <v/>
      </c>
      <c r="D19" s="0" t="n">
        <v>42355</v>
      </c>
      <c r="E19" s="0" t="n">
        <v>116</v>
      </c>
      <c r="F19" s="0" t="n">
        <v>51329</v>
      </c>
      <c r="G19" s="14">
        <f>F19-B19</f>
        <v/>
      </c>
      <c r="H19" s="12">
        <f>G19/B19</f>
        <v/>
      </c>
      <c r="I19" s="14">
        <f>G19-G18</f>
        <v/>
      </c>
      <c r="J19" s="12">
        <f>I19/F18</f>
        <v/>
      </c>
      <c r="K19" s="11" t="n">
        <v>-0.98</v>
      </c>
    </row>
    <row r="20" ht="13.5" customHeight="1" s="13">
      <c r="A20" s="4" t="n">
        <v>42121</v>
      </c>
      <c r="B20" s="0" t="n">
        <v>45000</v>
      </c>
      <c r="C20" s="0">
        <f>F20-D20</f>
        <v/>
      </c>
      <c r="D20" s="0" t="n">
        <v>42355</v>
      </c>
      <c r="E20" s="0" t="n">
        <v>116</v>
      </c>
      <c r="F20" s="0" t="n">
        <v>51156</v>
      </c>
      <c r="G20" s="14">
        <f>F20-B20</f>
        <v/>
      </c>
      <c r="H20" s="12">
        <f>G20/B20</f>
        <v/>
      </c>
      <c r="I20" s="14">
        <f>G20-G19</f>
        <v/>
      </c>
      <c r="J20" s="12">
        <f>I20/F19</f>
        <v/>
      </c>
      <c r="K20" s="11" t="n">
        <v>1.44</v>
      </c>
    </row>
    <row r="21" ht="13.5" customHeight="1" s="13">
      <c r="A21" s="4" t="n">
        <v>42122</v>
      </c>
      <c r="B21" s="0" t="n">
        <v>45000</v>
      </c>
      <c r="C21" s="0">
        <f>F21-D21</f>
        <v/>
      </c>
      <c r="D21" s="0" t="n">
        <v>42355</v>
      </c>
      <c r="E21" s="0" t="n">
        <v>116</v>
      </c>
      <c r="F21" s="0" t="n">
        <v>50000</v>
      </c>
      <c r="G21" s="14">
        <f>F21-B21</f>
        <v/>
      </c>
      <c r="H21" s="12">
        <f>G21/B21</f>
        <v/>
      </c>
      <c r="I21" s="14">
        <f>G21-G20</f>
        <v/>
      </c>
      <c r="J21" s="12">
        <f>I21/F20</f>
        <v/>
      </c>
      <c r="K21" s="11" t="n">
        <v>-0.6899999999999999</v>
      </c>
      <c r="L21" s="0" t="inlineStr">
        <is>
          <t>You should have reduced your holdings a bit yesterday.</t>
        </is>
      </c>
    </row>
    <row r="22" ht="13.5" customHeight="1" s="13">
      <c r="A22" s="4" t="n">
        <v>42123</v>
      </c>
      <c r="B22" s="0" t="n">
        <v>45000</v>
      </c>
      <c r="C22" s="0">
        <f>F22-D22</f>
        <v/>
      </c>
      <c r="D22" s="0" t="n">
        <v>49719</v>
      </c>
      <c r="E22" s="0" t="n">
        <v>-1374</v>
      </c>
      <c r="F22" s="0" t="n">
        <v>50428</v>
      </c>
      <c r="G22" s="14">
        <f>F22-B22</f>
        <v/>
      </c>
      <c r="H22" s="12">
        <f>G22/B22</f>
        <v/>
      </c>
      <c r="I22" s="14">
        <f>G22-G21</f>
        <v/>
      </c>
      <c r="J22" s="12">
        <f>I22/F21</f>
        <v/>
      </c>
      <c r="K22" s="11" t="n">
        <v>1.12</v>
      </c>
      <c r="L22" s="0" t="inlineStr">
        <is>
          <t>Cofco Property surged yesterday but wasn't sold, and it dropped back today.</t>
        </is>
      </c>
    </row>
    <row r="23" ht="13.5" customHeight="1" s="13">
      <c r="A23" s="4" t="n">
        <v>42128</v>
      </c>
      <c r="B23" s="0" t="n">
        <v>45000</v>
      </c>
      <c r="C23" s="0">
        <f>F23-D23</f>
        <v/>
      </c>
      <c r="D23" s="0" t="n">
        <v>49143</v>
      </c>
      <c r="E23" s="0" t="n">
        <v>-1374</v>
      </c>
      <c r="F23" s="0" t="n">
        <v>49897</v>
      </c>
      <c r="G23" s="14">
        <f>F23-B23</f>
        <v/>
      </c>
      <c r="H23" s="12">
        <f>G23/B23</f>
        <v/>
      </c>
      <c r="I23" s="14">
        <f>G23-G22</f>
        <v/>
      </c>
      <c r="J23" s="12">
        <f>I23/F22</f>
        <v/>
      </c>
      <c r="K23" s="11" t="n">
        <v>-0.36</v>
      </c>
      <c r="L23" s="0" t="inlineStr">
        <is>
          <t>China Nonferrous Metal Industry Co., Ltd. fell 4%, with a significant drop in the closing hours.</t>
        </is>
      </c>
    </row>
    <row r="24" ht="13.5" customHeight="1" s="13">
      <c r="A24" s="4" t="n">
        <v>42129</v>
      </c>
      <c r="B24" s="0" t="n">
        <v>45000</v>
      </c>
      <c r="C24" s="0">
        <f>F24-D24</f>
        <v/>
      </c>
      <c r="D24" s="0" t="n">
        <v>49143</v>
      </c>
      <c r="E24" s="0" t="n">
        <v>-1374</v>
      </c>
      <c r="F24" s="0" t="n">
        <v>49000</v>
      </c>
      <c r="G24" s="14">
        <f>F24-B24</f>
        <v/>
      </c>
      <c r="H24" s="12">
        <f>G24/B24</f>
        <v/>
      </c>
      <c r="I24" s="14">
        <f>G24-G23</f>
        <v/>
      </c>
      <c r="J24" s="12">
        <f>I24/F23</f>
        <v/>
      </c>
      <c r="K24" s="11" t="n">
        <v>-4</v>
      </c>
    </row>
    <row r="25" ht="13.5" customHeight="1" s="13">
      <c r="A25" s="4" t="n">
        <v>42130</v>
      </c>
      <c r="B25" s="0" t="n">
        <v>45000</v>
      </c>
      <c r="C25" s="0">
        <f>F25-D25</f>
        <v/>
      </c>
      <c r="D25" s="0" t="n">
        <v>49143</v>
      </c>
      <c r="E25" s="0" t="n">
        <v>-1374</v>
      </c>
      <c r="F25" s="0" t="n">
        <v>48300</v>
      </c>
      <c r="G25" s="14">
        <f>F25-B25</f>
        <v/>
      </c>
      <c r="H25" s="12">
        <f>G25/B25</f>
        <v/>
      </c>
      <c r="I25" s="14">
        <f>G25-G24</f>
        <v/>
      </c>
      <c r="J25" s="12">
        <f>I25/F24</f>
        <v/>
      </c>
      <c r="K25" s="11" t="n">
        <v>-1</v>
      </c>
      <c r="L25" s="0" t="inlineStr">
        <is>
          <t>Sell early in the morning, don't sell late.</t>
        </is>
      </c>
      <c r="M25" s="0" t="inlineStr">
        <is>
          <t>Sold out</t>
        </is>
      </c>
      <c r="N25" s="0" t="inlineStr">
        <is>
          <t>Adjust the market; you shouldn't buy these risky, large-cap stocks.</t>
        </is>
      </c>
    </row>
    <row r="26" ht="13.5" customHeight="1" s="13">
      <c r="A26" s="4" t="n">
        <v>42131</v>
      </c>
      <c r="B26" s="0" t="n">
        <v>25000</v>
      </c>
      <c r="C26" s="0">
        <f>F26-D26</f>
        <v/>
      </c>
      <c r="D26" s="0" t="n">
        <v>15000</v>
      </c>
      <c r="F26" s="0" t="n">
        <v>29000</v>
      </c>
      <c r="G26" s="14">
        <f>F26-B26</f>
        <v/>
      </c>
      <c r="H26" s="12">
        <f>G26/B26</f>
        <v/>
      </c>
      <c r="I26" s="14">
        <f>G26-G25</f>
        <v/>
      </c>
      <c r="J26" s="12">
        <f>I26/F25</f>
        <v/>
      </c>
      <c r="K26" s="11" t="n">
        <v>-1</v>
      </c>
      <c r="L26" s="0" t="inlineStr">
        <is>
          <t>Today's big drop, bought Rishengxing Technology</t>
        </is>
      </c>
    </row>
    <row r="27" ht="13.5" customHeight="1" s="13">
      <c r="A27" s="4" t="n">
        <v>42132</v>
      </c>
      <c r="B27" s="0" t="n">
        <v>25000</v>
      </c>
      <c r="C27" s="0">
        <f>F27-D27</f>
        <v/>
      </c>
      <c r="D27" s="0" t="n">
        <v>24000</v>
      </c>
      <c r="E27" s="0" t="n">
        <v>-1374</v>
      </c>
      <c r="F27" s="0" t="n">
        <v>30000</v>
      </c>
      <c r="G27" s="14">
        <f>F27-B27</f>
        <v/>
      </c>
      <c r="H27" s="12">
        <f>G27/B27</f>
        <v/>
      </c>
      <c r="I27" s="14">
        <f>G27-G26</f>
        <v/>
      </c>
      <c r="J27" s="12">
        <f>I27/F26</f>
        <v/>
      </c>
      <c r="K27" s="11" t="n">
        <v>2.5</v>
      </c>
      <c r="L27" s="0" t="inlineStr">
        <is>
          <t>Bought another 8,000 shares of Risingsun Technology today.</t>
        </is>
      </c>
    </row>
    <row r="28" ht="13.5" customHeight="1" s="13">
      <c r="A28" s="4" t="n">
        <v>42135</v>
      </c>
      <c r="B28" s="0" t="n">
        <v>25000</v>
      </c>
      <c r="C28" s="0">
        <f>F28-D28</f>
        <v/>
      </c>
      <c r="D28" s="0" t="n">
        <v>27000</v>
      </c>
      <c r="E28" s="0" t="n">
        <v>-1374</v>
      </c>
      <c r="F28" s="0" t="n">
        <v>32371</v>
      </c>
      <c r="G28" s="14">
        <f>F28-B28</f>
        <v/>
      </c>
      <c r="H28" s="12">
        <f>G28/B28</f>
        <v/>
      </c>
      <c r="I28" s="14">
        <f>G28-G27</f>
        <v/>
      </c>
      <c r="J28" s="12">
        <f>I28/F27</f>
        <v/>
      </c>
      <c r="K28" s="11" t="n">
        <v>-1</v>
      </c>
    </row>
    <row r="29" ht="13.5" customHeight="1" s="13">
      <c r="A29" s="4" t="n">
        <v>42136</v>
      </c>
      <c r="B29" s="0" t="n">
        <v>32000</v>
      </c>
      <c r="C29" s="0">
        <f>F29-D29</f>
        <v/>
      </c>
      <c r="D29" s="0" t="n">
        <v>35520</v>
      </c>
      <c r="E29" s="0" t="n">
        <v>-1374</v>
      </c>
      <c r="F29" s="0" t="n">
        <v>41904</v>
      </c>
      <c r="G29" s="14">
        <f>F29-B29</f>
        <v/>
      </c>
      <c r="H29" s="12">
        <f>G29/B29</f>
        <v/>
      </c>
      <c r="I29" s="14">
        <f>G29-G28</f>
        <v/>
      </c>
      <c r="J29" s="12">
        <f>I29/F28</f>
        <v/>
      </c>
      <c r="K29" s="11" t="n">
        <v>-1</v>
      </c>
    </row>
    <row r="30" ht="13.5" customHeight="1" s="13">
      <c r="A30" s="4" t="n">
        <v>42137</v>
      </c>
      <c r="B30" s="0" t="n">
        <v>32000</v>
      </c>
      <c r="C30" s="0">
        <f>F30-D30</f>
        <v/>
      </c>
      <c r="D30" s="0" t="n">
        <v>35520</v>
      </c>
      <c r="E30" s="0" t="n">
        <v>-1374</v>
      </c>
      <c r="F30" s="0" t="n">
        <v>43724</v>
      </c>
      <c r="G30" s="14">
        <f>F30-B30</f>
        <v/>
      </c>
      <c r="H30" s="12">
        <f>G30/B30</f>
        <v/>
      </c>
      <c r="I30" s="14">
        <f>G30-G29</f>
        <v/>
      </c>
      <c r="J30" s="12">
        <f>I30/F29</f>
        <v/>
      </c>
      <c r="K30" s="11" t="n">
        <v>-1</v>
      </c>
      <c r="L30" s="0" t="inlineStr">
        <is>
          <t>Today I mistakenly sold Risunxing, sold Dayilong at -3, bought it back at +7, and finally it was happy to hit the limit up.</t>
        </is>
      </c>
    </row>
    <row r="31" ht="13.5" customHeight="1" s="13">
      <c r="A31" s="4" t="n">
        <v>42138</v>
      </c>
      <c r="B31" s="0" t="n">
        <v>32000</v>
      </c>
      <c r="C31" s="0">
        <f>F31-D31</f>
        <v/>
      </c>
      <c r="D31" s="0" t="n">
        <v>35520</v>
      </c>
      <c r="E31" s="0" t="n">
        <v>-1374</v>
      </c>
      <c r="F31" s="0" t="n">
        <v>43891</v>
      </c>
      <c r="G31" s="14">
        <f>F31-B31</f>
        <v/>
      </c>
      <c r="H31" s="12">
        <f>G31/B31</f>
        <v/>
      </c>
      <c r="I31" s="14">
        <f>G31-G30</f>
        <v/>
      </c>
      <c r="J31" s="12">
        <f>I31/F30</f>
        <v/>
      </c>
      <c r="K31" s="11" t="n">
        <v>-1</v>
      </c>
      <c r="L31" s="0" t="inlineStr">
        <is>
          <t>Today, I bought Risunxing at +5 and +10, and Dayilong at +3. It fell back to -3.</t>
        </is>
      </c>
    </row>
    <row r="32" ht="13.5" customHeight="1" s="13">
      <c r="A32" s="4" t="n">
        <v>42139</v>
      </c>
      <c r="B32" s="0" t="n">
        <v>32000</v>
      </c>
      <c r="C32" s="0">
        <f>F32-D32</f>
        <v/>
      </c>
      <c r="D32" s="0" t="n">
        <v>35520</v>
      </c>
      <c r="E32" s="0" t="n">
        <v>-1374</v>
      </c>
      <c r="F32" s="0" t="n">
        <v>43724</v>
      </c>
      <c r="G32" s="14">
        <f>F32-B32</f>
        <v/>
      </c>
      <c r="H32" s="12">
        <f>G32/B32</f>
        <v/>
      </c>
      <c r="I32" s="14">
        <f>G32-G31</f>
        <v/>
      </c>
      <c r="J32" s="12">
        <f>I32/F31</f>
        <v/>
      </c>
      <c r="K32" s="11" t="n">
        <v>-1</v>
      </c>
    </row>
    <row r="33" ht="13.5" customHeight="1" s="13">
      <c r="A33" s="4" t="n">
        <v>42142</v>
      </c>
      <c r="B33" s="0" t="n">
        <v>32000</v>
      </c>
      <c r="C33" s="0">
        <f>F33-D33</f>
        <v/>
      </c>
      <c r="D33" s="0" t="n">
        <v>35520</v>
      </c>
      <c r="E33" s="0" t="n">
        <v>-1374</v>
      </c>
      <c r="F33" s="0" t="n">
        <v>45524</v>
      </c>
      <c r="G33" s="14">
        <f>F33-B33</f>
        <v/>
      </c>
      <c r="H33" s="12">
        <f>G33/B33</f>
        <v/>
      </c>
      <c r="I33" s="14">
        <f>G33-G32</f>
        <v/>
      </c>
      <c r="J33" s="12">
        <f>I33/F32</f>
        <v/>
      </c>
      <c r="K33" s="11" t="n">
        <v>-1</v>
      </c>
      <c r="L33" s="0" t="inlineStr">
        <is>
          <t>You have 600 shares of Shengxing.</t>
        </is>
      </c>
    </row>
    <row r="34" ht="13.5" customHeight="1" s="13">
      <c r="A34" s="4" t="n">
        <v>42143</v>
      </c>
      <c r="B34" s="0" t="n">
        <v>32000</v>
      </c>
      <c r="C34" s="0">
        <f>F34-D34</f>
        <v/>
      </c>
      <c r="D34" s="0" t="n">
        <v>35520</v>
      </c>
      <c r="E34" s="0" t="n">
        <v>-1374</v>
      </c>
      <c r="F34" s="0" t="n">
        <v>47724</v>
      </c>
      <c r="G34" s="14">
        <f>F34-B34</f>
        <v/>
      </c>
      <c r="H34" s="12">
        <f>G34/B34</f>
        <v/>
      </c>
      <c r="I34" s="14">
        <f>G34-G33</f>
        <v/>
      </c>
      <c r="J34" s="12">
        <f>I34/F33</f>
        <v/>
      </c>
      <c r="K34" s="11" t="n">
        <v>-1</v>
      </c>
    </row>
    <row r="35" ht="13.5" customHeight="1" s="13">
      <c r="A35" s="4" t="n">
        <v>42144</v>
      </c>
      <c r="B35" s="0" t="n">
        <v>42000</v>
      </c>
      <c r="C35" s="0">
        <f>F35-D35</f>
        <v/>
      </c>
      <c r="D35" s="0" t="n">
        <v>35520</v>
      </c>
      <c r="E35" s="0" t="n">
        <v>-1374</v>
      </c>
      <c r="F35" s="0" t="n">
        <v>63600</v>
      </c>
      <c r="G35" s="14">
        <f>F35-B35</f>
        <v/>
      </c>
      <c r="H35" s="12">
        <f>G35/B35</f>
        <v/>
      </c>
      <c r="I35" s="14">
        <f>G35-G34</f>
        <v/>
      </c>
      <c r="J35" s="12">
        <f>I35/F34</f>
        <v/>
      </c>
      <c r="K35" s="11" t="n">
        <v>-1</v>
      </c>
      <c r="L35" s="0" t="inlineStr">
        <is>
          <t>Bought 400 shares of Shengxing</t>
        </is>
      </c>
    </row>
    <row r="36" ht="13.5" customHeight="1" s="13">
      <c r="A36" s="4" t="n">
        <v>42145</v>
      </c>
      <c r="B36" s="0" t="n">
        <v>42000</v>
      </c>
      <c r="C36" s="0">
        <f>F36-D36</f>
        <v/>
      </c>
      <c r="D36" s="0" t="n">
        <v>35520</v>
      </c>
      <c r="E36" s="0" t="n">
        <v>-1374</v>
      </c>
      <c r="F36" s="0" t="n">
        <v>68637</v>
      </c>
      <c r="G36" s="14">
        <f>F36-B36</f>
        <v/>
      </c>
      <c r="H36" s="12">
        <f>G36/B36</f>
        <v/>
      </c>
      <c r="I36" s="14">
        <f>G36-G35</f>
        <v/>
      </c>
      <c r="J36" s="12">
        <f>I36/F35</f>
        <v/>
      </c>
      <c r="K36" s="11" t="n">
        <v>-1</v>
      </c>
    </row>
    <row r="37" ht="13.5" customHeight="1" s="13">
      <c r="A37" s="4" t="n">
        <v>42146</v>
      </c>
      <c r="B37" s="0" t="n">
        <v>31000</v>
      </c>
      <c r="C37" s="0">
        <f>F37-D37</f>
        <v/>
      </c>
      <c r="D37" s="0" t="n">
        <v>61230</v>
      </c>
      <c r="E37" s="0" t="n">
        <v>-1374</v>
      </c>
      <c r="F37" s="0" t="n">
        <v>63260</v>
      </c>
      <c r="G37" s="14">
        <f>F37-B37</f>
        <v/>
      </c>
      <c r="H37" s="12">
        <f>G37/B37</f>
        <v/>
      </c>
      <c r="I37" s="14">
        <f>G37-G36</f>
        <v/>
      </c>
      <c r="J37" s="12">
        <f>I37/F36</f>
        <v/>
      </c>
      <c r="K37" s="11" t="n">
        <v>-1</v>
      </c>
    </row>
    <row r="38" ht="13.5" customHeight="1" s="13">
      <c r="A38" s="4" t="n">
        <v>42149</v>
      </c>
      <c r="B38" s="0" t="n">
        <v>31000</v>
      </c>
      <c r="C38" s="0">
        <f>F38-D38</f>
        <v/>
      </c>
      <c r="D38" s="0" t="n">
        <v>61230</v>
      </c>
      <c r="E38" s="0" t="n">
        <v>-1374</v>
      </c>
      <c r="F38" s="0" t="n">
        <v>70000</v>
      </c>
      <c r="G38" s="14">
        <f>F38-B38</f>
        <v/>
      </c>
      <c r="H38" s="12">
        <f>G38/B38</f>
        <v/>
      </c>
      <c r="I38" s="14">
        <f>G38-G37</f>
        <v/>
      </c>
      <c r="J38" s="12">
        <f>I38/F37</f>
        <v/>
      </c>
      <c r="K38" s="11" t="n">
        <v>-1</v>
      </c>
    </row>
    <row r="39" ht="13.5" customHeight="1" s="13">
      <c r="A39" s="4" t="n">
        <v>42150</v>
      </c>
      <c r="B39" s="0" t="n">
        <v>31000</v>
      </c>
      <c r="C39" s="0">
        <f>F39-D39</f>
        <v/>
      </c>
      <c r="D39" s="0" t="n">
        <v>61230</v>
      </c>
      <c r="E39" s="0" t="n">
        <v>-1374</v>
      </c>
      <c r="F39" s="0" t="n">
        <v>77000</v>
      </c>
      <c r="G39" s="14">
        <f>F39-B39</f>
        <v/>
      </c>
      <c r="H39" s="12">
        <f>G39/B39</f>
        <v/>
      </c>
      <c r="I39" s="14">
        <f>G39-G38</f>
        <v/>
      </c>
      <c r="J39" s="12">
        <f>I39/F38</f>
        <v/>
      </c>
      <c r="K39" s="11" t="n">
        <v>-1</v>
      </c>
    </row>
    <row r="40" ht="13.5" customHeight="1" s="13">
      <c r="A40" s="4" t="n">
        <v>42151</v>
      </c>
      <c r="B40" s="0" t="n">
        <v>31000</v>
      </c>
      <c r="C40" s="0">
        <f>F40-D40</f>
        <v/>
      </c>
      <c r="D40" s="0" t="n">
        <v>61230</v>
      </c>
      <c r="E40" s="0" t="n">
        <v>-1374</v>
      </c>
      <c r="F40" s="0" t="n">
        <v>74000</v>
      </c>
      <c r="G40" s="14">
        <f>F40-B40</f>
        <v/>
      </c>
      <c r="H40" s="12">
        <f>G40/B40</f>
        <v/>
      </c>
      <c r="I40" s="14">
        <f>G40-G39</f>
        <v/>
      </c>
      <c r="J40" s="12">
        <f>I40/F39</f>
        <v/>
      </c>
      <c r="K40" s="11" t="n">
        <v>-1</v>
      </c>
      <c r="L40" s="0" t="inlineStr">
        <is>
          <t>Today from limit-up to limit-down</t>
        </is>
      </c>
    </row>
    <row r="41" ht="13.5" customHeight="1" s="13">
      <c r="A41" s="4" t="n">
        <v>42152</v>
      </c>
      <c r="B41" s="0" t="n">
        <v>31000</v>
      </c>
      <c r="C41" s="0">
        <f>F41-D41</f>
        <v/>
      </c>
      <c r="D41" s="0" t="n">
        <v>61230</v>
      </c>
      <c r="E41" s="0" t="n">
        <v>-1374</v>
      </c>
      <c r="F41" s="0" t="n">
        <v>75000</v>
      </c>
      <c r="G41" s="14">
        <f>F41-B41</f>
        <v/>
      </c>
      <c r="H41" s="12">
        <f>G41/B41</f>
        <v/>
      </c>
      <c r="I41" s="14">
        <f>G41-G40</f>
        <v/>
      </c>
      <c r="J41" s="12">
        <f>I41/F40</f>
        <v/>
      </c>
      <c r="K41" s="11" t="n">
        <v>-1</v>
      </c>
      <c r="L41" s="0" t="inlineStr">
        <is>
          <t>Morning limit down, highest rise of 5% in the morning, sold at 1.5%, bought again at 10%</t>
        </is>
      </c>
    </row>
    <row r="42" ht="13.5" customHeight="1" s="13">
      <c r="A42" s="4" t="n">
        <v>42153</v>
      </c>
      <c r="B42" s="0" t="n">
        <v>31000</v>
      </c>
      <c r="C42" s="0">
        <f>F42-D42</f>
        <v/>
      </c>
      <c r="D42" s="0" t="n">
        <v>61230</v>
      </c>
      <c r="E42" s="0" t="n">
        <v>-1374</v>
      </c>
      <c r="F42" s="0" t="n">
        <v>70000</v>
      </c>
      <c r="G42" s="14">
        <f>F42-B42</f>
        <v/>
      </c>
      <c r="H42" s="12">
        <f>G42/B42</f>
        <v/>
      </c>
      <c r="I42" s="14">
        <f>G42-G41</f>
        <v/>
      </c>
      <c r="J42" s="12">
        <f>I42/F41</f>
        <v/>
      </c>
      <c r="K42" s="11" t="n">
        <v>-1</v>
      </c>
      <c r="L42" s="0" t="inlineStr">
        <is>
          <t>Today's limit down, bought half at limit down.</t>
        </is>
      </c>
    </row>
    <row r="43" ht="13.5" customHeight="1" s="13">
      <c r="A43" s="4" t="n">
        <v>42156</v>
      </c>
      <c r="B43" s="0" t="n">
        <v>31000</v>
      </c>
      <c r="C43" s="0">
        <f>F43-D43</f>
        <v/>
      </c>
      <c r="D43" s="0" t="n">
        <v>61230</v>
      </c>
      <c r="E43" s="0" t="n">
        <v>-1374</v>
      </c>
      <c r="F43" s="0" t="n">
        <v>64000</v>
      </c>
      <c r="G43" s="14">
        <f>F43-B43</f>
        <v/>
      </c>
      <c r="H43" s="12">
        <f>G43/B43</f>
        <v/>
      </c>
      <c r="I43" s="14">
        <f>G43-G42</f>
        <v/>
      </c>
      <c r="J43" s="12">
        <f>I43/F42</f>
        <v/>
      </c>
      <c r="K43" s="11" t="n">
        <v>-1</v>
      </c>
      <c r="L43" s="0" t="inlineStr">
        <is>
          <t>Another fall, all sold.</t>
        </is>
      </c>
    </row>
    <row r="44" ht="13.5" customHeight="1" s="13">
      <c r="A44" s="4" t="n">
        <v>42157</v>
      </c>
      <c r="B44" s="0" t="n">
        <v>31000</v>
      </c>
      <c r="C44" s="0">
        <f>F44-D44</f>
        <v/>
      </c>
      <c r="D44" s="0" t="n">
        <v>61230</v>
      </c>
      <c r="E44" s="0" t="n">
        <v>-1374</v>
      </c>
      <c r="F44" s="0" t="n">
        <v>64000</v>
      </c>
      <c r="G44" s="14">
        <f>F44-B44</f>
        <v/>
      </c>
      <c r="H44" s="12">
        <f>G44/B44</f>
        <v/>
      </c>
      <c r="I44" s="14">
        <f>G44-G43</f>
        <v/>
      </c>
      <c r="J44" s="12">
        <f>I44/F43</f>
        <v/>
      </c>
      <c r="K44" s="11" t="n">
        <v>-1</v>
      </c>
      <c r="L44" s="0" t="inlineStr">
        <is>
          <t>All new stock purchases, all not hit</t>
        </is>
      </c>
    </row>
    <row r="45" ht="13.5" customHeight="1" s="13">
      <c r="A45" s="4" t="n">
        <v>42158</v>
      </c>
      <c r="B45" s="0" t="n">
        <v>31000</v>
      </c>
      <c r="C45" s="0">
        <f>F45-D45</f>
        <v/>
      </c>
      <c r="D45" s="0" t="n">
        <v>61230</v>
      </c>
      <c r="E45" s="0" t="n">
        <v>-1374</v>
      </c>
      <c r="F45" s="0" t="n">
        <v>64000</v>
      </c>
      <c r="G45" s="14">
        <f>F45-B45</f>
        <v/>
      </c>
      <c r="H45" s="12">
        <f>G45/B45</f>
        <v/>
      </c>
      <c r="I45" s="14">
        <f>G45-G44</f>
        <v/>
      </c>
      <c r="J45" s="12">
        <f>I45/F44</f>
        <v/>
      </c>
      <c r="L45" s="0" t="inlineStr">
        <is>
          <t>Open GF Securities account</t>
        </is>
      </c>
    </row>
    <row r="46" ht="13.5" customHeight="1" s="13">
      <c r="A46" s="4" t="n">
        <v>42159</v>
      </c>
      <c r="B46" s="0" t="n">
        <v>31000</v>
      </c>
      <c r="C46" s="0">
        <f>F46-D46</f>
        <v/>
      </c>
      <c r="D46" s="0" t="n">
        <v>61230</v>
      </c>
      <c r="E46" s="0" t="n">
        <v>-1374</v>
      </c>
      <c r="F46" s="0" t="n">
        <v>64000</v>
      </c>
      <c r="G46" s="14">
        <f>F46-B46</f>
        <v/>
      </c>
      <c r="H46" s="12">
        <f>G46/B46</f>
        <v/>
      </c>
      <c r="I46" s="14">
        <f>G46-G45</f>
        <v/>
      </c>
      <c r="J46" s="12">
        <f>I46/F45</f>
        <v/>
      </c>
      <c r="L46" s="0" t="inlineStr">
        <is>
          <t>A newly recommended stock dropped to its daily limit.</t>
        </is>
      </c>
    </row>
    <row r="47" ht="13.5" customHeight="1" s="13">
      <c r="A47" s="4" t="n">
        <v>42163</v>
      </c>
      <c r="B47" s="0" t="n">
        <v>31000</v>
      </c>
      <c r="C47" s="0">
        <f>F47-D47</f>
        <v/>
      </c>
      <c r="D47" s="0" t="n">
        <v>61230</v>
      </c>
      <c r="E47" s="0" t="n">
        <v>-1374</v>
      </c>
      <c r="F47" s="0" t="n">
        <v>66566</v>
      </c>
      <c r="G47" s="14">
        <f>F47-B47</f>
        <v/>
      </c>
      <c r="H47" s="12">
        <f>G47/B47</f>
        <v/>
      </c>
      <c r="I47" s="14">
        <f>G47-G46</f>
        <v/>
      </c>
      <c r="J47" s="12">
        <f>I47/F46</f>
        <v/>
      </c>
    </row>
    <row r="48" ht="13.5" customHeight="1" s="13">
      <c r="A48" s="4" t="n">
        <v>42164</v>
      </c>
      <c r="B48" s="0" t="n">
        <v>31001</v>
      </c>
      <c r="C48" s="0">
        <f>F48-D48</f>
        <v/>
      </c>
      <c r="D48" s="0" t="n">
        <v>61230</v>
      </c>
      <c r="E48" s="0" t="n">
        <v>-1374</v>
      </c>
      <c r="F48" s="0" t="n">
        <v>60194</v>
      </c>
      <c r="G48" s="14">
        <f>F48-B48</f>
        <v/>
      </c>
      <c r="H48" s="12">
        <f>G48/B48</f>
        <v/>
      </c>
      <c r="I48" s="14">
        <f>G48-G47</f>
        <v/>
      </c>
      <c r="J48" s="12">
        <f>I48/F47</f>
        <v/>
      </c>
    </row>
    <row r="49" ht="13.5" customHeight="1" s="13">
      <c r="A49" s="4" t="n">
        <v>42165</v>
      </c>
      <c r="B49" s="0" t="n">
        <v>29000</v>
      </c>
      <c r="C49" s="0">
        <f>F49-D49</f>
        <v/>
      </c>
      <c r="D49" s="0" t="n">
        <v>63090</v>
      </c>
      <c r="E49" s="0" t="n">
        <v>-1374</v>
      </c>
      <c r="F49" s="0" t="n">
        <v>65927</v>
      </c>
      <c r="G49" s="14">
        <f>F49-B49</f>
        <v/>
      </c>
      <c r="H49" s="12">
        <f>G49/B49</f>
        <v/>
      </c>
      <c r="I49" s="14">
        <f>G49-G48</f>
        <v/>
      </c>
      <c r="J49" s="12">
        <f>I49/F48</f>
        <v/>
      </c>
    </row>
    <row r="50" ht="13.5" customHeight="1" s="13">
      <c r="A50" s="4" t="n">
        <v>42166</v>
      </c>
      <c r="B50" s="0" t="n">
        <v>29000</v>
      </c>
      <c r="C50" s="0">
        <f>F50-D50</f>
        <v/>
      </c>
      <c r="D50" s="0" t="n">
        <v>63090</v>
      </c>
      <c r="E50" s="0" t="n">
        <v>-1374</v>
      </c>
      <c r="F50" s="0" t="n">
        <v>69121</v>
      </c>
      <c r="G50" s="14">
        <f>F50-B50</f>
        <v/>
      </c>
      <c r="H50" s="12">
        <f>G50/B50</f>
        <v/>
      </c>
      <c r="I50" s="14">
        <f>G50-G49</f>
        <v/>
      </c>
      <c r="J50" s="12">
        <f>I50/F49</f>
        <v/>
      </c>
    </row>
    <row r="51" ht="13.5" customHeight="1" s="13">
      <c r="A51" s="4" t="n">
        <v>42167</v>
      </c>
      <c r="B51" s="0" t="n">
        <v>21000</v>
      </c>
      <c r="C51" s="0">
        <f>F51-D51</f>
        <v/>
      </c>
      <c r="D51" s="0" t="n">
        <v>39712</v>
      </c>
      <c r="E51" s="0" t="n">
        <v>-1374</v>
      </c>
      <c r="F51" s="0" t="n">
        <v>61000</v>
      </c>
      <c r="G51" s="14">
        <f>F51-B51</f>
        <v/>
      </c>
      <c r="H51" s="12">
        <f>G51/B51</f>
        <v/>
      </c>
      <c r="I51" s="14">
        <f>G51-G50</f>
        <v/>
      </c>
      <c r="J51" s="12">
        <f>I51/F50</f>
        <v/>
      </c>
    </row>
    <row r="52" ht="13.5" customHeight="1" s="13">
      <c r="A52" s="4" t="n">
        <v>42170</v>
      </c>
      <c r="B52" s="0" t="n">
        <v>21000</v>
      </c>
      <c r="C52" s="0">
        <f>F52-D52</f>
        <v/>
      </c>
      <c r="D52" s="0" t="n">
        <v>39712</v>
      </c>
      <c r="E52" s="0" t="n">
        <v>-1374</v>
      </c>
      <c r="F52" s="0" t="n">
        <v>58133</v>
      </c>
      <c r="G52" s="14">
        <f>F52-B52</f>
        <v/>
      </c>
      <c r="H52" s="12">
        <f>G52/B52</f>
        <v/>
      </c>
      <c r="I52" s="14">
        <f>G52-G51</f>
        <v/>
      </c>
      <c r="J52" s="12">
        <f>I52/F51</f>
        <v/>
      </c>
    </row>
    <row r="53" ht="13.5" customHeight="1" s="13">
      <c r="A53" s="4" t="n">
        <v>42171</v>
      </c>
      <c r="B53" s="0" t="n">
        <v>21000</v>
      </c>
      <c r="C53" s="0">
        <f>F53-D53</f>
        <v/>
      </c>
      <c r="D53" s="0" t="n">
        <v>39712</v>
      </c>
      <c r="E53" s="0" t="n">
        <v>-1374</v>
      </c>
      <c r="F53" s="0" t="n">
        <v>58027</v>
      </c>
      <c r="G53" s="14">
        <f>F53-B53</f>
        <v/>
      </c>
      <c r="H53" s="12">
        <f>G53/B53</f>
        <v/>
      </c>
      <c r="I53" s="14">
        <f>G53-G52</f>
        <v/>
      </c>
      <c r="J53" s="12">
        <f>I53/F52</f>
        <v/>
      </c>
    </row>
    <row r="54" ht="13.5" customHeight="1" s="13">
      <c r="A54" s="4" t="n">
        <v>42172</v>
      </c>
      <c r="B54" s="0">
        <f>21000+3000-1800-2700</f>
        <v/>
      </c>
      <c r="C54" s="0">
        <f>F54-D54</f>
        <v/>
      </c>
      <c r="D54" s="0" t="n">
        <v>39712</v>
      </c>
      <c r="E54" s="0" t="n">
        <v>-1374</v>
      </c>
      <c r="F54" s="0" t="n">
        <v>55862</v>
      </c>
      <c r="G54" s="14">
        <f>F54-B54</f>
        <v/>
      </c>
      <c r="H54" s="12">
        <f>G54/B54</f>
        <v/>
      </c>
      <c r="I54" s="14">
        <f>G54-G53</f>
        <v/>
      </c>
      <c r="J54" s="12">
        <f>I54/F53</f>
        <v/>
      </c>
      <c r="L54" s="0" t="inlineStr">
        <is>
          <t>The newly listed stock I bought went up to the daily limit one day and down to the daily limit the next day. After selling, it dropped sharply for three more days. If I had bought that pharmaceutical stock instead, it would have been perfect, but I didn't have enough money. I've sold everything now.</t>
        </is>
      </c>
    </row>
    <row r="55" ht="13.5" customHeight="1" s="13">
      <c r="A55" s="4" t="n">
        <v>42179</v>
      </c>
      <c r="B55" s="0">
        <f>19500-30000+10700</f>
        <v/>
      </c>
      <c r="C55" s="0">
        <f>F55-D55</f>
        <v/>
      </c>
      <c r="D55" s="0" t="n">
        <v>39712</v>
      </c>
      <c r="E55" s="0" t="n">
        <v>-1374</v>
      </c>
      <c r="F55" s="0" t="n">
        <v>37000</v>
      </c>
      <c r="G55" s="14">
        <f>F55-B55</f>
        <v/>
      </c>
      <c r="H55" s="12">
        <f>G55/B55</f>
        <v/>
      </c>
      <c r="I55" s="14">
        <f>G55-G54</f>
        <v/>
      </c>
      <c r="J55" s="12">
        <f>I55/F54</f>
        <v/>
      </c>
      <c r="L55" s="0" t="inlineStr">
        <is>
          <t>Didn't win any new stock subscription.</t>
        </is>
      </c>
    </row>
    <row r="56" ht="13.5" customHeight="1" s="13">
      <c r="A56" s="4" t="n">
        <v>42180</v>
      </c>
      <c r="B56" s="0">
        <f>19500-30000+10700</f>
        <v/>
      </c>
      <c r="C56" s="0">
        <f>F56-D56</f>
        <v/>
      </c>
      <c r="D56" s="0" t="n">
        <v>39712</v>
      </c>
      <c r="E56" s="0" t="n">
        <v>-1374</v>
      </c>
      <c r="F56" s="0" t="n">
        <v>36700</v>
      </c>
      <c r="G56" s="14">
        <f>F56-B56</f>
        <v/>
      </c>
      <c r="H56" s="12">
        <f>G56/B56</f>
        <v/>
      </c>
      <c r="I56" s="14">
        <f>G56-G55</f>
        <v/>
      </c>
      <c r="J56" s="12">
        <f>I56/F55</f>
        <v/>
      </c>
    </row>
    <row r="57" ht="13.5" customHeight="1" s="13">
      <c r="A57" s="4" t="n">
        <v>42181</v>
      </c>
      <c r="B57" s="0">
        <f>19500-30000+10700</f>
        <v/>
      </c>
      <c r="C57" s="0">
        <f>F57-D57</f>
        <v/>
      </c>
      <c r="D57" s="0" t="n">
        <v>39712</v>
      </c>
      <c r="E57" s="0" t="n">
        <v>-1374</v>
      </c>
      <c r="F57" s="0" t="n">
        <v>36700</v>
      </c>
      <c r="G57" s="14">
        <f>F57-B57</f>
        <v/>
      </c>
      <c r="H57" s="12">
        <f>G57/B57</f>
        <v/>
      </c>
      <c r="I57" s="14">
        <f>G57-G56</f>
        <v/>
      </c>
      <c r="J57" s="12">
        <f>I57/F56</f>
        <v/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topLeftCell="A1" workbookViewId="0">
      <selection activeCell="E24" sqref="E24"/>
    </sheetView>
  </sheetViews>
  <sheetFormatPr baseColWidth="8" defaultColWidth="9.00390625" defaultRowHeight="13.5"/>
  <sheetData>
    <row r="1" ht="13.5" customHeight="1" s="13">
      <c r="A1" s="0">
        <f>180*3+147</f>
        <v/>
      </c>
      <c r="B1" s="0">
        <f>A1/4</f>
        <v/>
      </c>
    </row>
    <row r="2" ht="13.5" customHeight="1" s="13"/>
    <row r="3" ht="13.5" customHeight="1" s="13"/>
    <row r="4" ht="13.5" customHeight="1" s="13"/>
    <row r="5" ht="13.5" customHeight="1" s="13">
      <c r="A5" s="0" t="n">
        <v>144</v>
      </c>
    </row>
    <row r="6" ht="13.5" customHeight="1" s="13">
      <c r="A6" s="0" t="n">
        <v>105</v>
      </c>
      <c r="D6" s="0" t="n">
        <v>7.49</v>
      </c>
      <c r="E6" s="0">
        <f>D6*1.44</f>
        <v/>
      </c>
    </row>
    <row r="7" ht="13.5" customHeight="1" s="13">
      <c r="A7" s="0" t="n">
        <v>120</v>
      </c>
      <c r="D7" s="0" t="n">
        <v>21.74</v>
      </c>
      <c r="E7" s="0">
        <f>D7*1.44</f>
        <v/>
      </c>
    </row>
    <row r="8" ht="13.5" customHeight="1" s="13">
      <c r="A8" s="0" t="n">
        <v>208</v>
      </c>
    </row>
    <row r="9" ht="13.5" customHeight="1" s="13">
      <c r="A9" s="0">
        <f>SUM(A5:A8)</f>
        <v/>
      </c>
      <c r="B9" s="0">
        <f>A9/4</f>
        <v/>
      </c>
    </row>
    <row r="10" ht="13.5" customHeight="1" s="13"/>
    <row r="11" ht="13.5" customHeight="1" s="13"/>
    <row r="12" ht="13.5" customHeight="1" s="13">
      <c r="A12" s="7" t="inlineStr">
        <is>
          <t>002752</t>
        </is>
      </c>
      <c r="B12" s="0" t="n">
        <v>5.74</v>
      </c>
      <c r="C12" s="0" t="n">
        <v>1.44</v>
      </c>
      <c r="D12" s="0" t="n">
        <v>8.265599999999999</v>
      </c>
    </row>
    <row r="13" ht="13.5" customHeight="1" s="13">
      <c r="C13" s="0" t="n">
        <v>1.4</v>
      </c>
      <c r="D13" s="0">
        <f>B12*C13</f>
        <v/>
      </c>
    </row>
    <row r="14" ht="13.5" customHeight="1" s="13">
      <c r="A14" s="0">
        <f>9.1*1.1</f>
        <v/>
      </c>
    </row>
    <row r="15" ht="13.5" customHeight="1" s="13"/>
    <row r="16" ht="13.5" customHeight="1" s="13"/>
    <row r="17" ht="13.5" customHeight="1" s="13">
      <c r="A17" s="0" t="inlineStr">
        <is>
          <t>China Nonferrous Metal Industry Shares Co.</t>
        </is>
      </c>
      <c r="B17" s="0" t="inlineStr">
        <is>
          <t>Highest of Yesterday</t>
        </is>
      </c>
      <c r="C17" s="0" t="n">
        <v>25.8</v>
      </c>
    </row>
    <row r="18" ht="13.5" customHeight="1" s="13">
      <c r="A18" s="0" t="inlineStr">
        <is>
          <t>COFCO Real Estate</t>
        </is>
      </c>
      <c r="B18" s="0" t="inlineStr">
        <is>
          <t>Highest</t>
        </is>
      </c>
      <c r="C18" s="0" t="n">
        <v>12.87</v>
      </c>
    </row>
    <row r="19" ht="13.5" customHeight="1" s="13"/>
    <row r="20" ht="13.5" customHeight="1" s="13">
      <c r="A20" s="0" t="inlineStr">
        <is>
          <t>Buy Yishang Exhibition</t>
        </is>
      </c>
      <c r="B20" s="0" t="n">
        <v>2751</v>
      </c>
      <c r="C20" s="0" t="n">
        <v>29.41</v>
      </c>
      <c r="D20" s="0" t="n">
        <v>32.35</v>
      </c>
      <c r="E20" s="0">
        <f>D20*1.1</f>
        <v/>
      </c>
    </row>
    <row r="21" ht="13.5" customHeight="1" s="13">
      <c r="A21" s="0" t="n">
        <v>2752</v>
      </c>
      <c r="C21" s="0" t="n">
        <v>19.5</v>
      </c>
      <c r="D21" s="0">
        <f>C21*1.1</f>
        <v/>
      </c>
      <c r="E21" s="0">
        <f>D21*1.1</f>
        <v/>
      </c>
    </row>
    <row r="22" ht="13.5" customHeight="1" s="13">
      <c r="C22" s="0" t="n">
        <v>80.69</v>
      </c>
      <c r="D22" s="0">
        <f>C22*1.1</f>
        <v/>
      </c>
      <c r="E22" s="0">
        <f>C22*0.9</f>
        <v/>
      </c>
    </row>
    <row r="23" ht="13.5" customHeight="1" s="13">
      <c r="C23" s="0" t="n">
        <v>72.62</v>
      </c>
      <c r="D23" s="0">
        <f>C23*1.1</f>
        <v/>
      </c>
      <c r="E23" s="0">
        <f>C23*0.9</f>
        <v/>
      </c>
    </row>
    <row r="24" ht="13.5" customHeight="1" s="13">
      <c r="C24" s="0" t="n">
        <v>70.11</v>
      </c>
      <c r="D24" s="0">
        <f>C24*1.1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2006-09-13T11:21:00Z</dcterms:created>
  <dcterms:modified xsi:type="dcterms:W3CDTF">2025-07-08T03:13:55Z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EB7AB4942DB94DED9561DF14BA7BDADE_12</vt:lpwstr>
  </property>
  <property name="KSOProductBuildVer" fmtid="{D5CDD505-2E9C-101B-9397-08002B2CF9AE}" pid="3">
    <vt:lpwstr>2052-12.1.0.16894</vt:lpwstr>
  </property>
</Properties>
</file>