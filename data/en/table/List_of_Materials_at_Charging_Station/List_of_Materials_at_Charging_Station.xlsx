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40" yWindow="120" windowWidth="23040" windowHeight="9060" tabRatio="600" firstSheet="2" autoFilterDateGrouping="1"/>
  </bookViews>
  <sheets>
    <sheet name="Shang_Lilang_4S_Store_Super_Cha" sheetId="1" state="visible" r:id="rId1"/>
    <sheet name="Sheet1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\$#,##0_);\(\$#,##0\)"/>
    <numFmt numFmtId="166" formatCode="0_ "/>
  </numFmts>
  <fonts count="31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sz val="10"/>
      <scheme val="minor"/>
    </font>
    <font>
      <name val="宋体"/>
      <family val="2"/>
      <sz val="9"/>
      <scheme val="minor"/>
    </font>
    <font>
      <name val="宋体"/>
      <family val="2"/>
      <sz val="9"/>
    </font>
    <font>
      <name val="宋体"/>
      <family val="2"/>
      <color rgb="FFFF0000"/>
      <sz val="9"/>
      <scheme val="minor"/>
    </font>
    <font>
      <name val="宋体"/>
      <family val="2"/>
      <color rgb="FFFF0000"/>
      <sz val="9"/>
    </font>
    <font>
      <name val="宋体"/>
      <family val="2"/>
      <sz val="11"/>
      <scheme val="minor"/>
    </font>
    <font>
      <name val="宋体"/>
      <family val="2"/>
      <i val="1"/>
      <sz val="7"/>
      <scheme val="minor"/>
    </font>
    <font>
      <name val="宋体"/>
      <family val="2"/>
      <b val="1"/>
      <color rgb="FFFF0000"/>
      <sz val="9"/>
      <scheme val="minor"/>
    </font>
    <font>
      <name val="宋体"/>
      <family val="2"/>
      <color theme="1"/>
      <sz val="9"/>
      <scheme val="minor"/>
    </font>
    <font>
      <name val="宋体"/>
      <family val="2"/>
      <i val="1"/>
      <sz val="9"/>
      <scheme val="minor"/>
    </font>
    <font>
      <name val="宋体"/>
      <family val="2"/>
      <b val="1"/>
      <sz val="9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6000000238418579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 style="thin"/>
      <top/>
      <bottom style="thin"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57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13" fillId="0" borderId="0"/>
    <xf numFmtId="0" fontId="14" fillId="0" borderId="0"/>
    <xf numFmtId="0" fontId="0" fillId="2" borderId="1"/>
    <xf numFmtId="0" fontId="15" fillId="0" borderId="0"/>
    <xf numFmtId="0" fontId="16" fillId="0" borderId="0"/>
    <xf numFmtId="0" fontId="17" fillId="0" borderId="0"/>
    <xf numFmtId="0" fontId="18" fillId="0" borderId="2"/>
    <xf numFmtId="0" fontId="19" fillId="0" borderId="2"/>
    <xf numFmtId="0" fontId="20" fillId="0" borderId="3"/>
    <xf numFmtId="0" fontId="20" fillId="0" borderId="0"/>
    <xf numFmtId="0" fontId="21" fillId="3" borderId="4"/>
    <xf numFmtId="0" fontId="22" fillId="4" borderId="5"/>
    <xf numFmtId="0" fontId="23" fillId="4" borderId="4"/>
    <xf numFmtId="0" fontId="24" fillId="5" borderId="6"/>
    <xf numFmtId="0" fontId="25" fillId="0" borderId="7"/>
    <xf numFmtId="0" fontId="26" fillId="0" borderId="8"/>
    <xf numFmtId="0" fontId="27" fillId="6" borderId="0"/>
    <xf numFmtId="0" fontId="28" fillId="7" borderId="0"/>
    <xf numFmtId="0" fontId="29" fillId="8" borderId="0"/>
    <xf numFmtId="0" fontId="30" fillId="9" borderId="0"/>
    <xf numFmtId="0" fontId="0" fillId="10" borderId="0"/>
    <xf numFmtId="0" fontId="0" fillId="11" borderId="0"/>
    <xf numFmtId="0" fontId="30" fillId="12" borderId="0"/>
    <xf numFmtId="0" fontId="30" fillId="13" borderId="0"/>
    <xf numFmtId="0" fontId="0" fillId="14" borderId="0"/>
    <xf numFmtId="0" fontId="0" fillId="15" borderId="0"/>
    <xf numFmtId="0" fontId="30" fillId="16" borderId="0"/>
    <xf numFmtId="0" fontId="30" fillId="17" borderId="0"/>
    <xf numFmtId="0" fontId="0" fillId="18" borderId="0"/>
    <xf numFmtId="0" fontId="0" fillId="19" borderId="0"/>
    <xf numFmtId="0" fontId="30" fillId="20" borderId="0"/>
    <xf numFmtId="0" fontId="30" fillId="21" borderId="0"/>
    <xf numFmtId="0" fontId="0" fillId="22" borderId="0"/>
    <xf numFmtId="0" fontId="0" fillId="23" borderId="0"/>
    <xf numFmtId="0" fontId="30" fillId="24" borderId="0"/>
    <xf numFmtId="0" fontId="30" fillId="25" borderId="0"/>
    <xf numFmtId="0" fontId="0" fillId="26" borderId="0"/>
    <xf numFmtId="0" fontId="0" fillId="27" borderId="0"/>
    <xf numFmtId="0" fontId="30" fillId="28" borderId="0"/>
    <xf numFmtId="0" fontId="30" fillId="29" borderId="0"/>
    <xf numFmtId="0" fontId="0" fillId="30" borderId="0"/>
    <xf numFmtId="0" fontId="0" fillId="31" borderId="0"/>
    <xf numFmtId="0" fontId="30" fillId="32" borderId="0"/>
    <xf numFmtId="0" fontId="1" fillId="0" borderId="0"/>
    <xf numFmtId="0" fontId="0" fillId="0" borderId="0" applyAlignment="1">
      <alignment vertical="center"/>
    </xf>
    <xf numFmtId="0" fontId="13" fillId="0" borderId="0" applyAlignment="1">
      <alignment vertical="center"/>
    </xf>
  </cellStyleXfs>
  <cellXfs count="120">
    <xf numFmtId="0" fontId="0" fillId="0" borderId="0" applyAlignment="1" pivotButton="0" quotePrefix="0" xfId="0">
      <alignment vertical="center"/>
    </xf>
    <xf numFmtId="0" fontId="0" fillId="33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vertical="center"/>
    </xf>
    <xf numFmtId="0" fontId="3" fillId="0" borderId="9" applyAlignment="1" pivotButton="0" quotePrefix="0" xfId="0">
      <alignment horizontal="center" vertical="center"/>
    </xf>
    <xf numFmtId="0" fontId="3" fillId="34" borderId="9" applyAlignment="1" pivotButton="0" quotePrefix="0" xfId="0">
      <alignment horizontal="center" vertical="center"/>
    </xf>
    <xf numFmtId="0" fontId="3" fillId="34" borderId="9" applyAlignment="1" pivotButton="0" quotePrefix="0" xfId="0">
      <alignment horizontal="center" vertical="center"/>
    </xf>
    <xf numFmtId="164" fontId="3" fillId="34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5" fillId="35" borderId="9" applyAlignment="1" pivotButton="0" quotePrefix="0" xfId="0">
      <alignment horizontal="center" vertical="center"/>
    </xf>
    <xf numFmtId="165" fontId="6" fillId="35" borderId="9" applyAlignment="1" pivotButton="0" quotePrefix="0" xfId="0">
      <alignment horizontal="center" vertical="center" wrapText="1"/>
    </xf>
    <xf numFmtId="166" fontId="6" fillId="35" borderId="9" applyAlignment="1" pivotButton="0" quotePrefix="0" xfId="0">
      <alignment horizontal="center" vertical="center" shrinkToFit="1"/>
    </xf>
    <xf numFmtId="164" fontId="6" fillId="35" borderId="9" applyAlignment="1" pivotButton="0" quotePrefix="0" xfId="0">
      <alignment horizontal="center" vertical="center" shrinkToFit="1"/>
    </xf>
    <xf numFmtId="164" fontId="5" fillId="35" borderId="9" applyAlignment="1" pivotButton="0" quotePrefix="0" xfId="0">
      <alignment horizontal="center" vertical="center"/>
    </xf>
    <xf numFmtId="0" fontId="5" fillId="35" borderId="9" applyAlignment="1" pivotButton="0" quotePrefix="0" xfId="0">
      <alignment horizontal="center" vertical="center" wrapText="1"/>
    </xf>
    <xf numFmtId="166" fontId="5" fillId="35" borderId="9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3" fillId="33" borderId="9" applyAlignment="1" pivotButton="0" quotePrefix="0" xfId="0">
      <alignment horizontal="center" vertical="center" wrapText="1"/>
    </xf>
    <xf numFmtId="0" fontId="5" fillId="33" borderId="9" applyAlignment="1" pivotButton="0" quotePrefix="0" xfId="0">
      <alignment horizontal="center" vertical="center" wrapText="1"/>
    </xf>
    <xf numFmtId="0" fontId="5" fillId="33" borderId="9" applyAlignment="1" pivotButton="0" quotePrefix="0" xfId="0">
      <alignment horizontal="center" vertical="center"/>
    </xf>
    <xf numFmtId="165" fontId="6" fillId="33" borderId="9" applyAlignment="1" pivotButton="0" quotePrefix="0" xfId="0">
      <alignment horizontal="center" vertical="center" wrapText="1"/>
    </xf>
    <xf numFmtId="0" fontId="5" fillId="33" borderId="9" applyAlignment="1" pivotButton="0" quotePrefix="0" xfId="0">
      <alignment horizontal="center" vertical="center"/>
    </xf>
    <xf numFmtId="164" fontId="5" fillId="33" borderId="9" applyAlignment="1" pivotButton="0" quotePrefix="0" xfId="0">
      <alignment horizontal="center" vertical="center"/>
    </xf>
    <xf numFmtId="0" fontId="6" fillId="35" borderId="9" applyAlignment="1" pivotButton="0" quotePrefix="0" xfId="0">
      <alignment horizontal="center" vertical="center" shrinkToFit="1"/>
    </xf>
    <xf numFmtId="0" fontId="6" fillId="35" borderId="9" applyAlignment="1" pivotButton="0" quotePrefix="0" xfId="68">
      <alignment horizontal="center" vertical="center" wrapText="1"/>
    </xf>
    <xf numFmtId="0" fontId="5" fillId="35" borderId="9" applyAlignment="1" pivotButton="0" quotePrefix="0" xfId="0">
      <alignment horizontal="center" vertical="center"/>
    </xf>
    <xf numFmtId="2" fontId="5" fillId="35" borderId="9" applyAlignment="1" pivotButton="0" quotePrefix="0" xfId="0">
      <alignment horizontal="center" vertical="center"/>
    </xf>
    <xf numFmtId="0" fontId="5" fillId="35" borderId="10" applyAlignment="1" pivotButton="0" quotePrefix="0" xfId="0">
      <alignment horizontal="center" vertical="center" wrapText="1"/>
    </xf>
    <xf numFmtId="164" fontId="6" fillId="35" borderId="9" applyAlignment="1" pivotButton="0" quotePrefix="0" xfId="68">
      <alignment horizontal="center" vertical="center" shrinkToFit="1"/>
    </xf>
    <xf numFmtId="0" fontId="7" fillId="33" borderId="0" applyAlignment="1" pivotButton="0" quotePrefix="0" xfId="0">
      <alignment vertical="center"/>
    </xf>
    <xf numFmtId="0" fontId="8" fillId="0" borderId="9" applyAlignment="1" pivotButton="0" quotePrefix="0" xfId="0">
      <alignment horizontal="center" vertical="center" wrapText="1"/>
    </xf>
    <xf numFmtId="164" fontId="4" fillId="0" borderId="9" applyAlignment="1" pivotButton="0" quotePrefix="0" xfId="68">
      <alignment horizontal="center" vertical="center" shrinkToFit="1"/>
    </xf>
    <xf numFmtId="0" fontId="3" fillId="34" borderId="9" applyAlignment="1" pivotButton="0" quotePrefix="0" xfId="0">
      <alignment horizontal="center" vertical="center" wrapText="1"/>
    </xf>
    <xf numFmtId="164" fontId="9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 wrapText="1"/>
    </xf>
    <xf numFmtId="2" fontId="10" fillId="0" borderId="9" applyAlignment="1" pivotButton="0" quotePrefix="0" xfId="0">
      <alignment horizontal="center" vertical="center"/>
    </xf>
    <xf numFmtId="2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 wrapText="1"/>
    </xf>
    <xf numFmtId="2" fontId="9" fillId="0" borderId="9" applyAlignment="1" pivotButton="0" quotePrefix="0" xfId="0">
      <alignment horizontal="center" vertical="center"/>
    </xf>
    <xf numFmtId="0" fontId="3" fillId="33" borderId="10" applyAlignment="1" pivotButton="0" quotePrefix="0" xfId="0">
      <alignment horizontal="center" vertical="center" wrapText="1"/>
    </xf>
    <xf numFmtId="0" fontId="6" fillId="35" borderId="9" applyAlignment="1" pivotButton="0" quotePrefix="0" xfId="0">
      <alignment horizontal="center" vertical="center" wrapText="1"/>
    </xf>
    <xf numFmtId="0" fontId="3" fillId="33" borderId="11" applyAlignment="1" pivotButton="0" quotePrefix="0" xfId="0">
      <alignment horizontal="center" vertical="center" wrapText="1"/>
    </xf>
    <xf numFmtId="0" fontId="6" fillId="35" borderId="10" applyAlignment="1" pivotButton="0" quotePrefix="0" xfId="0">
      <alignment horizontal="center" vertical="center" wrapText="1"/>
    </xf>
    <xf numFmtId="0" fontId="3" fillId="33" borderId="12" applyAlignment="1" pivotButton="0" quotePrefix="0" xfId="0">
      <alignment horizontal="center" vertical="center" wrapText="1"/>
    </xf>
    <xf numFmtId="165" fontId="6" fillId="34" borderId="9" applyAlignment="1" pivotButton="0" quotePrefix="0" xfId="0">
      <alignment horizontal="center" vertical="center" wrapText="1"/>
    </xf>
    <xf numFmtId="0" fontId="5" fillId="34" borderId="9" applyAlignment="1" pivotButton="0" quotePrefix="0" xfId="0">
      <alignment horizontal="center" vertical="center"/>
    </xf>
    <xf numFmtId="0" fontId="5" fillId="34" borderId="9" applyAlignment="1" pivotButton="0" quotePrefix="0" xfId="0">
      <alignment horizontal="center" vertical="center"/>
    </xf>
    <xf numFmtId="164" fontId="6" fillId="34" borderId="9" applyAlignment="1" pivotButton="0" quotePrefix="0" xfId="0">
      <alignment horizontal="center" vertical="center" shrinkToFit="1"/>
    </xf>
    <xf numFmtId="164" fontId="9" fillId="35" borderId="9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 wrapText="1"/>
    </xf>
    <xf numFmtId="0" fontId="11" fillId="34" borderId="9" applyAlignment="1" pivotButton="0" quotePrefix="0" xfId="0">
      <alignment horizontal="center" vertical="center" wrapText="1"/>
    </xf>
    <xf numFmtId="0" fontId="4" fillId="34" borderId="9" applyAlignment="1" pivotButton="0" quotePrefix="0" xfId="0">
      <alignment horizontal="center" vertical="center"/>
    </xf>
    <xf numFmtId="165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shrinkToFit="1"/>
    </xf>
    <xf numFmtId="164" fontId="4" fillId="0" borderId="9" applyAlignment="1" pivotButton="0" quotePrefix="0" xfId="0">
      <alignment horizontal="center" vertical="center" shrinkToFit="1"/>
    </xf>
    <xf numFmtId="165" fontId="4" fillId="0" borderId="9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/>
    </xf>
    <xf numFmtId="0" fontId="4" fillId="0" borderId="9" applyAlignment="1" pivotButton="0" quotePrefix="0" xfId="0">
      <alignment horizontal="center" vertical="center"/>
    </xf>
    <xf numFmtId="0" fontId="4" fillId="36" borderId="9" applyAlignment="1" pivotButton="0" quotePrefix="0" xfId="0">
      <alignment horizontal="center" vertical="center" wrapText="1"/>
    </xf>
    <xf numFmtId="0" fontId="3" fillId="36" borderId="9" applyAlignment="1" pivotButton="0" quotePrefix="0" xfId="0">
      <alignment horizontal="center" vertical="center"/>
    </xf>
    <xf numFmtId="0" fontId="4" fillId="36" borderId="9" applyAlignment="1" pivotButton="0" quotePrefix="0" xfId="0">
      <alignment horizontal="center" vertical="center"/>
    </xf>
    <xf numFmtId="0" fontId="4" fillId="36" borderId="9" applyAlignment="1" pivotButton="0" quotePrefix="0" xfId="0">
      <alignment horizontal="center" vertical="center"/>
    </xf>
    <xf numFmtId="164" fontId="3" fillId="36" borderId="9" applyAlignment="1" pivotButton="0" quotePrefix="0" xfId="0">
      <alignment horizontal="center" vertical="center"/>
    </xf>
    <xf numFmtId="0" fontId="12" fillId="36" borderId="13" applyAlignment="1" pivotButton="0" quotePrefix="0" xfId="0">
      <alignment horizontal="center" vertical="center" wrapText="1"/>
    </xf>
    <xf numFmtId="0" fontId="12" fillId="36" borderId="14" applyAlignment="1" pivotButton="0" quotePrefix="0" xfId="0">
      <alignment horizontal="center" vertical="center" wrapText="1"/>
    </xf>
    <xf numFmtId="0" fontId="12" fillId="36" borderId="15" applyAlignment="1" pivotButton="0" quotePrefix="0" xfId="0">
      <alignment horizontal="center" vertical="center" wrapText="1"/>
    </xf>
    <xf numFmtId="49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49" fontId="3" fillId="0" borderId="9" applyAlignment="1" pivotButton="0" quotePrefix="0" xfId="22">
      <alignment horizontal="center" vertical="center" wrapText="1"/>
    </xf>
    <xf numFmtId="0" fontId="3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49" fontId="3" fillId="34" borderId="9" applyAlignment="1" pivotButton="0" quotePrefix="0" xfId="22">
      <alignment horizontal="center" vertical="center" wrapText="1"/>
    </xf>
    <xf numFmtId="0" fontId="12" fillId="34" borderId="13" applyAlignment="1" pivotButton="0" quotePrefix="0" xfId="0">
      <alignment horizontal="center" vertical="center" wrapText="1"/>
    </xf>
    <xf numFmtId="0" fontId="3" fillId="34" borderId="14" applyAlignment="1" pivotButton="0" quotePrefix="0" xfId="0">
      <alignment horizontal="center" vertical="center" wrapText="1"/>
    </xf>
    <xf numFmtId="0" fontId="3" fillId="34" borderId="15" applyAlignment="1" pivotButton="0" quotePrefix="0" xfId="0">
      <alignment horizontal="center" vertical="center" wrapText="1"/>
    </xf>
    <xf numFmtId="0" fontId="26" fillId="0" borderId="0" applyAlignment="1" pivotButton="0" quotePrefix="0" xfId="0">
      <alignment vertical="center"/>
    </xf>
    <xf numFmtId="0" fontId="13" fillId="0" borderId="0" applyAlignment="1" pivotButton="0" quotePrefix="0" xfId="70">
      <alignment vertical="center"/>
    </xf>
    <xf numFmtId="0" fontId="13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  <xf numFmtId="164" fontId="3" fillId="0" borderId="9" applyAlignment="1" pivotButton="0" quotePrefix="0" xfId="0">
      <alignment horizontal="center" vertical="center"/>
    </xf>
    <xf numFmtId="165" fontId="6" fillId="35" borderId="9" applyAlignment="1" pivotButton="0" quotePrefix="0" xfId="0">
      <alignment horizontal="center" vertical="center" wrapText="1"/>
    </xf>
    <xf numFmtId="166" fontId="6" fillId="35" borderId="9" applyAlignment="1" pivotButton="0" quotePrefix="0" xfId="0">
      <alignment horizontal="center" vertical="center" shrinkToFit="1"/>
    </xf>
    <xf numFmtId="164" fontId="6" fillId="35" borderId="9" applyAlignment="1" pivotButton="0" quotePrefix="0" xfId="0">
      <alignment horizontal="center" vertical="center" shrinkToFit="1"/>
    </xf>
    <xf numFmtId="164" fontId="5" fillId="35" borderId="9" applyAlignment="1" pivotButton="0" quotePrefix="0" xfId="0">
      <alignment horizontal="center" vertical="center"/>
    </xf>
    <xf numFmtId="0" fontId="0" fillId="0" borderId="21" pivotButton="0" quotePrefix="0" xfId="0"/>
    <xf numFmtId="166" fontId="5" fillId="35" borderId="9" applyAlignment="1" pivotButton="0" quotePrefix="0" xfId="0">
      <alignment horizontal="center" vertical="center"/>
    </xf>
    <xf numFmtId="165" fontId="6" fillId="33" borderId="9" applyAlignment="1" pivotButton="0" quotePrefix="0" xfId="0">
      <alignment horizontal="center" vertical="center" wrapText="1"/>
    </xf>
    <xf numFmtId="164" fontId="5" fillId="33" borderId="9" applyAlignment="1" pivotButton="0" quotePrefix="0" xfId="0">
      <alignment horizontal="center" vertical="center"/>
    </xf>
    <xf numFmtId="164" fontId="6" fillId="35" borderId="9" applyAlignment="1" pivotButton="0" quotePrefix="0" xfId="68">
      <alignment horizontal="center" vertical="center" shrinkToFit="1"/>
    </xf>
    <xf numFmtId="164" fontId="4" fillId="0" borderId="9" applyAlignment="1" pivotButton="0" quotePrefix="0" xfId="68">
      <alignment horizontal="center" vertical="center" shrinkToFit="1"/>
    </xf>
    <xf numFmtId="164" fontId="3" fillId="34" borderId="9" applyAlignment="1" pivotButton="0" quotePrefix="0" xfId="0">
      <alignment horizontal="center" vertical="center"/>
    </xf>
    <xf numFmtId="164" fontId="9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5" fontId="6" fillId="34" borderId="9" applyAlignment="1" pivotButton="0" quotePrefix="0" xfId="0">
      <alignment horizontal="center" vertical="center" wrapText="1"/>
    </xf>
    <xf numFmtId="164" fontId="6" fillId="34" borderId="9" applyAlignment="1" pivotButton="0" quotePrefix="0" xfId="0">
      <alignment horizontal="center" vertical="center" shrinkToFit="1"/>
    </xf>
    <xf numFmtId="164" fontId="9" fillId="35" borderId="9" applyAlignment="1" pivotButton="0" quotePrefix="0" xfId="0">
      <alignment horizontal="center" vertical="center"/>
    </xf>
    <xf numFmtId="165" fontId="4" fillId="0" borderId="9" applyAlignment="1" pivotButton="0" quotePrefix="0" xfId="0">
      <alignment horizontal="center" vertical="center" wrapText="1"/>
    </xf>
    <xf numFmtId="164" fontId="4" fillId="0" borderId="9" applyAlignment="1" pivotButton="0" quotePrefix="0" xfId="0">
      <alignment horizontal="center" vertical="center" shrinkToFit="1"/>
    </xf>
    <xf numFmtId="165" fontId="4" fillId="0" borderId="9" applyAlignment="1" pivotButton="0" quotePrefix="0" xfId="0">
      <alignment horizontal="left" vertical="center" wrapText="1"/>
    </xf>
    <xf numFmtId="164" fontId="3" fillId="36" borderId="9" applyAlignment="1" pivotButton="0" quotePrefix="0" xfId="0">
      <alignment horizontal="center" vertical="center"/>
    </xf>
    <xf numFmtId="0" fontId="12" fillId="36" borderId="9" applyAlignment="1" pivotButton="0" quotePrefix="0" xfId="0">
      <alignment horizontal="center" vertical="center" wrapText="1"/>
    </xf>
    <xf numFmtId="0" fontId="12" fillId="34" borderId="9" applyAlignment="1" pivotButton="0" quotePrefix="0" xfId="0">
      <alignment horizontal="center" vertical="center" wrapText="1"/>
    </xf>
  </cellXfs>
  <cellStyles count="57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常规 2" xfId="54"/>
    <cellStyle name="常规 5" xfId="55"/>
    <cellStyle name="Hyperlink" xfId="5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topLeftCell="A11" zoomScale="120" zoomScaleNormal="120" workbookViewId="0">
      <selection activeCell="I9" sqref="I9"/>
    </sheetView>
  </sheetViews>
  <sheetFormatPr baseColWidth="8" defaultColWidth="8.875" defaultRowHeight="13.5"/>
  <cols>
    <col width="18.50390625" customWidth="1" min="2" max="2"/>
    <col width="33.625" customWidth="1" min="4" max="4"/>
    <col width="15.50390625" customWidth="1" min="5" max="5"/>
    <col width="20.625" customWidth="1" min="6" max="6"/>
    <col width="19.00390625" customWidth="1" min="7" max="7"/>
    <col width="12.875" customWidth="1" min="9" max="9"/>
  </cols>
  <sheetData>
    <row r="1" ht="13.5" customHeight="1" s="91">
      <c r="A1" s="5" t="n"/>
      <c r="B1" s="3" t="n"/>
      <c r="C1" s="5" t="n"/>
      <c r="D1" s="4" t="n"/>
      <c r="E1" s="5" t="n"/>
      <c r="F1" s="92" t="n"/>
      <c r="G1" s="93" t="n"/>
    </row>
    <row r="2" ht="13.5" customHeight="1" s="91">
      <c r="A2" s="13" t="inlineStr">
        <is>
          <t>Item</t>
        </is>
      </c>
      <c r="B2" s="13" t="inlineStr">
        <is>
          <t>Name</t>
        </is>
      </c>
      <c r="C2" s="13" t="inlineStr">
        <is>
          <t>Unit</t>
        </is>
      </c>
      <c r="D2" s="10" t="inlineStr">
        <is>
          <t>Shang Lilang 4S Store Super Charging Station</t>
        </is>
      </c>
      <c r="E2" s="94" t="n"/>
      <c r="F2" s="94" t="n"/>
      <c r="G2" s="95" t="n"/>
      <c r="I2" s="0" t="inlineStr">
        <is>
          <t>Installation</t>
        </is>
      </c>
    </row>
    <row r="3" ht="13.5" customHeight="1" s="91">
      <c r="A3" s="96" t="n"/>
      <c r="B3" s="96" t="n"/>
      <c r="C3" s="96" t="n"/>
      <c r="D3" s="12" t="inlineStr">
        <is>
          <t>Specification (According to Design Changes)</t>
        </is>
      </c>
      <c r="E3" s="13" t="inlineStr">
        <is>
          <t>Quantity</t>
        </is>
      </c>
      <c r="F3" s="97" t="inlineStr">
        <is>
          <t>Unit Price</t>
        </is>
      </c>
      <c r="G3" s="97" t="inlineStr">
        <is>
          <t>Total Price</t>
        </is>
      </c>
    </row>
    <row r="4" ht="13.5" customHeight="1" s="91">
      <c r="A4" s="15" t="inlineStr">
        <is>
          <t>High-voltage section</t>
        </is>
      </c>
      <c r="B4" s="32" t="inlineStr">
        <is>
          <t>High-voltage power cable</t>
        </is>
      </c>
      <c r="C4" s="32" t="inlineStr">
        <is>
          <t>meter</t>
        </is>
      </c>
      <c r="D4" s="98" t="inlineStr">
        <is>
          <t>ZR-YJV22-8.7/15kV-3x120</t>
        </is>
      </c>
      <c r="E4" s="99" t="n">
        <v>85</v>
      </c>
      <c r="F4" s="100" t="n">
        <v>400</v>
      </c>
      <c r="G4" s="101">
        <f>E4*F4</f>
        <v/>
      </c>
      <c r="H4" s="0" t="inlineStr">
        <is>
          <t>With tax</t>
        </is>
      </c>
    </row>
    <row r="5" ht="13.5" customHeight="1" s="91">
      <c r="A5" s="102" t="n"/>
      <c r="B5" s="21" t="inlineStr">
        <is>
          <t>Power cable laying and connection</t>
        </is>
      </c>
      <c r="C5" s="32" t="inlineStr">
        <is>
          <t>meter</t>
        </is>
      </c>
      <c r="D5" s="98" t="inlineStr">
        <is>
          <t>ZR-YJV22-8.7/15kV-3x120</t>
        </is>
      </c>
      <c r="E5" s="103">
        <f>E4</f>
        <v/>
      </c>
      <c r="F5" s="101" t="n">
        <v>30</v>
      </c>
      <c r="G5" s="101">
        <f>E5*F5</f>
        <v/>
      </c>
      <c r="H5" s="23" t="n"/>
    </row>
    <row r="6" ht="13.5" customFormat="1" customHeight="1" s="1">
      <c r="A6" s="102" t="n"/>
      <c r="B6" s="25" t="inlineStr">
        <is>
          <t>High-voltage cable terminal head</t>
        </is>
      </c>
      <c r="C6" s="28" t="inlineStr">
        <is>
          <t>Set</t>
        </is>
      </c>
      <c r="D6" s="104" t="inlineStr">
        <is>
          <t>ZR-YJV22-8.7/15kV-3x120</t>
        </is>
      </c>
      <c r="E6" s="28" t="n">
        <v>4</v>
      </c>
      <c r="F6" s="105" t="n">
        <v>3200</v>
      </c>
      <c r="G6" s="105">
        <f>E6*F6</f>
        <v/>
      </c>
      <c r="H6" s="1" t="n"/>
      <c r="I6" s="1" t="n"/>
    </row>
    <row r="7" ht="13.5" customHeight="1" s="91">
      <c r="A7" s="102" t="n"/>
      <c r="B7" s="98" t="inlineStr">
        <is>
          <t>Insulating boots</t>
        </is>
      </c>
      <c r="C7" s="98" t="inlineStr">
        <is>
          <t>Double</t>
        </is>
      </c>
      <c r="D7" s="98" t="inlineStr">
        <is>
          <t>Insulating Shoes for Electric Shock Protection 20KV High Voltage</t>
        </is>
      </c>
      <c r="E7" s="30" t="n">
        <v>5</v>
      </c>
      <c r="F7" s="100" t="n">
        <v>100</v>
      </c>
      <c r="G7" s="101">
        <f>E7*F7</f>
        <v/>
      </c>
    </row>
    <row r="8" ht="13.5" customHeight="1" s="91">
      <c r="A8" s="102" t="n"/>
      <c r="B8" s="98" t="inlineStr">
        <is>
          <t>Insulating gloves</t>
        </is>
      </c>
      <c r="C8" s="98" t="inlineStr">
        <is>
          <t>Double</t>
        </is>
      </c>
      <c r="D8" s="98" t="inlineStr">
        <is>
          <t>Insulating gloves for live working on high voltage 12KV</t>
        </is>
      </c>
      <c r="E8" s="30" t="n">
        <v>5</v>
      </c>
      <c r="F8" s="100" t="n">
        <v>110.96</v>
      </c>
      <c r="G8" s="101">
        <f>E8*F8</f>
        <v/>
      </c>
    </row>
    <row r="9" ht="21" customHeight="1" s="91">
      <c r="A9" s="102" t="n"/>
      <c r="B9" s="21" t="inlineStr">
        <is>
          <t>Power System Test and Commissioning Fee (Including Design)</t>
        </is>
      </c>
      <c r="C9" s="31" t="inlineStr">
        <is>
          <t>System</t>
        </is>
      </c>
      <c r="D9" s="31" t="inlineStr">
        <is>
          <t>Transformer system commissioning below 10kV</t>
        </is>
      </c>
      <c r="E9" s="32" t="n">
        <v>1</v>
      </c>
      <c r="F9" s="101" t="n">
        <v>120000</v>
      </c>
      <c r="G9" s="101">
        <f>E9*F9</f>
        <v/>
      </c>
    </row>
    <row r="10" ht="13.5" customHeight="1" s="91">
      <c r="A10" s="102" t="n"/>
      <c r="B10" s="21" t="inlineStr">
        <is>
          <t>High-voltage cable protection pipe</t>
        </is>
      </c>
      <c r="C10" s="32" t="inlineStr">
        <is>
          <t>meter</t>
        </is>
      </c>
      <c r="D10" s="21" t="inlineStr">
        <is>
          <t>PE160</t>
        </is>
      </c>
      <c r="E10" s="32">
        <f>75</f>
        <v/>
      </c>
      <c r="F10" s="33" t="n">
        <v>140</v>
      </c>
      <c r="G10" s="33">
        <f>F10*E10</f>
        <v/>
      </c>
    </row>
    <row r="11" ht="13.5" customHeight="1" s="91">
      <c r="A11" s="102" t="n"/>
      <c r="B11" s="21" t="inlineStr">
        <is>
          <t>Direct burial cable trench excavation</t>
        </is>
      </c>
      <c r="C11" s="32" t="inlineStr">
        <is>
          <t>meter</t>
        </is>
      </c>
      <c r="D11" s="21" t="inlineStr">
        <is>
          <t>Breaking up ground concrete and removing, pipeline laying, etc.</t>
        </is>
      </c>
      <c r="E11" s="21" t="n">
        <v>75</v>
      </c>
      <c r="F11" s="33" t="n">
        <v>300</v>
      </c>
      <c r="G11" s="33">
        <f>F11*E11</f>
        <v/>
      </c>
      <c r="H11" s="23" t="n"/>
    </row>
    <row r="12" ht="13.5" customHeight="1" s="91">
      <c r="A12" s="102" t="n"/>
      <c r="B12" s="21" t="inlineStr">
        <is>
          <t>High-voltage cable manhole</t>
        </is>
      </c>
      <c r="C12" s="32" t="inlineStr">
        <is>
          <t>seat</t>
        </is>
      </c>
      <c r="D12" s="34" t="n"/>
      <c r="E12" s="32" t="n">
        <v>3</v>
      </c>
      <c r="F12" s="106" t="n">
        <v>5000</v>
      </c>
      <c r="G12" s="33">
        <f>F12*E12</f>
        <v/>
      </c>
      <c r="H12" s="36" t="n"/>
    </row>
    <row r="13" ht="18" customHeight="1" s="91">
      <c r="A13" s="102" t="n"/>
      <c r="B13" s="37" t="inlineStr">
        <is>
          <t>(Other items please insert above this row...)</t>
        </is>
      </c>
      <c r="C13" s="13" t="n"/>
      <c r="D13" s="15" t="n"/>
      <c r="E13" s="13" t="n"/>
      <c r="F13" s="107" t="n"/>
      <c r="G13" s="97" t="n"/>
    </row>
    <row r="14" ht="13.5" customHeight="1" s="91">
      <c r="A14" s="96" t="n"/>
      <c r="B14" s="39" t="n"/>
      <c r="C14" s="10" t="n"/>
      <c r="D14" s="39" t="inlineStr">
        <is>
          <t>Subtotal</t>
        </is>
      </c>
      <c r="E14" s="10" t="n"/>
      <c r="F14" s="108" t="n"/>
      <c r="G14" s="109">
        <f>SUM(G4:G13)</f>
        <v/>
      </c>
    </row>
    <row r="15" ht="13.5" customHeight="1" s="91">
      <c r="A15" s="15" t="inlineStr">
        <is>
          <t>Prefabricated cabin</t>
        </is>
      </c>
      <c r="B15" s="42" t="inlineStr">
        <is>
          <t>Newly built prefabricated cabin</t>
        </is>
      </c>
      <c r="C15" s="44" t="inlineStr">
        <is>
          <t>Unit</t>
        </is>
      </c>
      <c r="D15" s="42" t="inlineStr">
        <is>
          <t>1250kVA Prefabricated Cabin</t>
        </is>
      </c>
      <c r="E15" s="44" t="n">
        <v>1</v>
      </c>
      <c r="F15" s="110" t="n">
        <v>650000</v>
      </c>
      <c r="G15" s="110">
        <f>E15*F15</f>
        <v/>
      </c>
      <c r="H15" s="0" t="inlineStr">
        <is>
          <t>With tax</t>
        </is>
      </c>
    </row>
    <row r="16" ht="13.5" customHeight="1" s="91">
      <c r="A16" s="102" t="n"/>
      <c r="B16" s="42" t="inlineStr">
        <is>
          <t>Newly built prefabricated cabin foundation</t>
        </is>
      </c>
      <c r="C16" s="44" t="inlineStr">
        <is>
          <t>seat</t>
        </is>
      </c>
      <c r="D16" s="42" t="inlineStr">
        <is>
          <t>Newly built prefabricated cabin foundation</t>
        </is>
      </c>
      <c r="E16" s="44" t="n">
        <v>1</v>
      </c>
      <c r="F16" s="110" t="n">
        <v>50000</v>
      </c>
      <c r="G16" s="110">
        <f>E16*F16</f>
        <v/>
      </c>
      <c r="H16" s="0" t="inlineStr">
        <is>
          <t>With tax</t>
        </is>
      </c>
    </row>
    <row r="17" ht="13.5" customHeight="1" s="91">
      <c r="A17" s="102" t="n"/>
      <c r="B17" s="42" t="n"/>
      <c r="C17" s="44" t="n"/>
      <c r="D17" s="42" t="n"/>
      <c r="E17" s="44" t="n"/>
      <c r="F17" s="110" t="n"/>
      <c r="G17" s="110" t="n"/>
    </row>
    <row r="18" ht="13.5" customHeight="1" s="91">
      <c r="A18" s="102" t="n"/>
      <c r="B18" s="15" t="n"/>
      <c r="C18" s="13" t="n"/>
      <c r="D18" s="15" t="n"/>
      <c r="E18" s="13" t="n"/>
      <c r="F18" s="47" t="n"/>
      <c r="G18" s="48" t="n"/>
    </row>
    <row r="19" ht="18" customHeight="1" s="91">
      <c r="A19" s="102" t="n"/>
      <c r="B19" s="37" t="inlineStr">
        <is>
          <t>(Other items please insert above this row...)</t>
        </is>
      </c>
      <c r="C19" s="13" t="n"/>
      <c r="D19" s="15" t="n"/>
      <c r="E19" s="13" t="n"/>
      <c r="F19" s="48" t="n"/>
      <c r="G19" s="48" t="n"/>
    </row>
    <row r="20" ht="13.5" customHeight="1" s="91">
      <c r="A20" s="96" t="n"/>
      <c r="B20" s="39" t="n"/>
      <c r="C20" s="10" t="n"/>
      <c r="D20" s="39" t="inlineStr">
        <is>
          <t>Subtotal</t>
        </is>
      </c>
      <c r="E20" s="10" t="n"/>
      <c r="F20" s="10" t="n"/>
      <c r="G20" s="50">
        <f>SUM(G15:G19)</f>
        <v/>
      </c>
      <c r="H20" s="0" t="inlineStr">
        <is>
          <t>With tax</t>
        </is>
      </c>
    </row>
    <row r="21" ht="13.5" customHeight="1" s="91">
      <c r="A21" s="24" t="inlineStr">
        <is>
          <t>Cable within the station</t>
        </is>
      </c>
      <c r="B21" s="52" t="inlineStr">
        <is>
          <t>Low-voltage power cable</t>
        </is>
      </c>
      <c r="C21" s="98" t="inlineStr">
        <is>
          <t>meter</t>
        </is>
      </c>
      <c r="D21" s="98" t="inlineStr">
        <is>
          <t>ZC-YJV22-3x300+2x150</t>
        </is>
      </c>
      <c r="E21" s="30" t="n">
        <v>436</v>
      </c>
      <c r="F21" s="100" t="n">
        <v>1266</v>
      </c>
      <c r="G21" s="101">
        <f>F21*E21</f>
        <v/>
      </c>
      <c r="H21" s="0" t="inlineStr">
        <is>
          <t>With tax</t>
        </is>
      </c>
    </row>
    <row r="22" ht="13.5" customHeight="1" s="91">
      <c r="A22" s="102" t="n"/>
      <c r="B22" s="52" t="inlineStr">
        <is>
          <t>Low-voltage power cable laying</t>
        </is>
      </c>
      <c r="C22" s="98" t="inlineStr">
        <is>
          <t>meter</t>
        </is>
      </c>
      <c r="D22" s="98" t="inlineStr">
        <is>
          <t>ZC-YJV22-3x300+2x150</t>
        </is>
      </c>
      <c r="E22" s="30" t="n">
        <v>436</v>
      </c>
      <c r="F22" s="100" t="n">
        <v>32</v>
      </c>
      <c r="G22" s="101">
        <f>F22*E22</f>
        <v/>
      </c>
    </row>
    <row r="23" ht="13.5" customHeight="1" s="91">
      <c r="A23" s="102" t="n"/>
      <c r="B23" s="21" t="inlineStr">
        <is>
          <t>Low-voltage cable terminal head</t>
        </is>
      </c>
      <c r="C23" s="98" t="inlineStr">
        <is>
          <t>piece</t>
        </is>
      </c>
      <c r="D23" s="21" t="inlineStr">
        <is>
          <t>Below 1kV, cross-section below 300mm2</t>
        </is>
      </c>
      <c r="E23" s="32" t="n">
        <v>8</v>
      </c>
      <c r="F23" s="33" t="n">
        <v>300</v>
      </c>
      <c r="G23" s="101">
        <f>E23*F23</f>
        <v/>
      </c>
    </row>
    <row r="24" ht="13.5" customHeight="1" s="91">
      <c r="A24" s="102" t="n"/>
      <c r="B24" s="52" t="inlineStr">
        <is>
          <t>Low-voltage power cable</t>
        </is>
      </c>
      <c r="C24" s="98" t="inlineStr">
        <is>
          <t>meter</t>
        </is>
      </c>
      <c r="D24" s="98" t="inlineStr">
        <is>
          <t>ZC-YJV22-1x120</t>
        </is>
      </c>
      <c r="E24" s="30" t="n">
        <v>300</v>
      </c>
      <c r="F24" s="100" t="n">
        <v>300</v>
      </c>
      <c r="G24" s="101">
        <f>F24*E24</f>
        <v/>
      </c>
      <c r="H24" s="0" t="inlineStr">
        <is>
          <t>With tax</t>
        </is>
      </c>
    </row>
    <row r="25" ht="13.5" customHeight="1" s="91">
      <c r="A25" s="102" t="n"/>
      <c r="B25" s="52" t="inlineStr">
        <is>
          <t>Low-voltage power cable laying</t>
        </is>
      </c>
      <c r="C25" s="98" t="inlineStr">
        <is>
          <t>meter</t>
        </is>
      </c>
      <c r="D25" s="98" t="inlineStr">
        <is>
          <t>ZC-YJV22-1x120</t>
        </is>
      </c>
      <c r="E25" s="30" t="n">
        <v>300</v>
      </c>
      <c r="F25" s="100" t="n">
        <v>28</v>
      </c>
      <c r="G25" s="101">
        <f>F25*E25</f>
        <v/>
      </c>
    </row>
    <row r="26" ht="13.5" customHeight="1" s="91">
      <c r="A26" s="102" t="n"/>
      <c r="B26" s="21" t="inlineStr">
        <is>
          <t>Low-voltage cable terminal head</t>
        </is>
      </c>
      <c r="C26" s="98" t="inlineStr">
        <is>
          <t>piece</t>
        </is>
      </c>
      <c r="D26" s="21" t="inlineStr">
        <is>
          <t>Below 1kV, cross-section below 300mm2</t>
        </is>
      </c>
      <c r="E26" s="32" t="n">
        <v>15</v>
      </c>
      <c r="F26" s="33" t="n">
        <v>200</v>
      </c>
      <c r="G26" s="101">
        <f>E26*F26</f>
        <v/>
      </c>
    </row>
    <row r="27" ht="13.5" customHeight="1" s="91">
      <c r="A27" s="102" t="n"/>
      <c r="B27" s="52" t="inlineStr">
        <is>
          <t>Low-voltage power cable</t>
        </is>
      </c>
      <c r="C27" s="98" t="inlineStr">
        <is>
          <t>meter</t>
        </is>
      </c>
      <c r="D27" s="98" t="inlineStr">
        <is>
          <t>ZC-YJV22-1x70</t>
        </is>
      </c>
      <c r="E27" s="30" t="n">
        <v>115</v>
      </c>
      <c r="F27" s="33" t="n">
        <v>76</v>
      </c>
      <c r="G27" s="101">
        <f>F27*E27</f>
        <v/>
      </c>
      <c r="H27" s="0" t="inlineStr">
        <is>
          <t>With tax</t>
        </is>
      </c>
    </row>
    <row r="28" ht="13.5" customHeight="1" s="91">
      <c r="A28" s="102" t="n"/>
      <c r="B28" s="52" t="inlineStr">
        <is>
          <t>Low-voltage power cable laying</t>
        </is>
      </c>
      <c r="C28" s="98" t="inlineStr">
        <is>
          <t>meter</t>
        </is>
      </c>
      <c r="D28" s="98" t="inlineStr">
        <is>
          <t>ZC-YJV22-1x70</t>
        </is>
      </c>
      <c r="E28" s="30">
        <f>E27</f>
        <v/>
      </c>
      <c r="F28" s="100" t="n">
        <v>25</v>
      </c>
      <c r="G28" s="101">
        <f>F28*E28</f>
        <v/>
      </c>
    </row>
    <row r="29" ht="13.5" customHeight="1" s="91">
      <c r="A29" s="102" t="n"/>
      <c r="B29" s="21" t="inlineStr">
        <is>
          <t>Low-voltage cable terminal head</t>
        </is>
      </c>
      <c r="C29" s="98" t="inlineStr">
        <is>
          <t>piece</t>
        </is>
      </c>
      <c r="D29" s="21" t="inlineStr">
        <is>
          <t>Below 1kV, cross-section below 150mm2</t>
        </is>
      </c>
      <c r="E29" s="32" t="n">
        <v>22</v>
      </c>
      <c r="F29" s="100" t="n">
        <v>190</v>
      </c>
      <c r="G29" s="101">
        <f>E29*F29</f>
        <v/>
      </c>
    </row>
    <row r="30" ht="13.5" customHeight="1" s="91">
      <c r="A30" s="102" t="n"/>
      <c r="B30" s="52" t="inlineStr">
        <is>
          <t>Communication Network Cable</t>
        </is>
      </c>
      <c r="C30" s="98" t="inlineStr">
        <is>
          <t>meter</t>
        </is>
      </c>
      <c r="D30" s="98" t="inlineStr">
        <is>
          <t>Cat6a shielded network cable</t>
        </is>
      </c>
      <c r="E30" s="30" t="n">
        <v>115</v>
      </c>
      <c r="F30" s="100" t="n">
        <v>5</v>
      </c>
      <c r="G30" s="101">
        <f>E30*F30</f>
        <v/>
      </c>
    </row>
    <row r="31" ht="13.5" customHeight="1" s="91">
      <c r="A31" s="102" t="n"/>
      <c r="B31" s="21" t="inlineStr">
        <is>
          <t>Manhole for Pipe Jacking</t>
        </is>
      </c>
      <c r="C31" s="44" t="inlineStr">
        <is>
          <t>seat</t>
        </is>
      </c>
      <c r="D31" s="54" t="n"/>
      <c r="E31" s="30" t="n">
        <v>2</v>
      </c>
      <c r="F31" s="100" t="n">
        <v>2500</v>
      </c>
      <c r="G31" s="101">
        <f>E31*F31</f>
        <v/>
      </c>
    </row>
    <row r="32" ht="13.5" customHeight="1" s="91">
      <c r="A32" s="102" t="n"/>
      <c r="B32" s="21" t="inlineStr">
        <is>
          <t>Pipe jacking</t>
        </is>
      </c>
      <c r="C32" s="98" t="inlineStr">
        <is>
          <t>meter</t>
        </is>
      </c>
      <c r="D32" s="98" t="inlineStr">
        <is>
          <t>PE160</t>
        </is>
      </c>
      <c r="E32" s="100">
        <f>4*103</f>
        <v/>
      </c>
      <c r="F32" s="100" t="n">
        <v>200</v>
      </c>
      <c r="G32" s="101">
        <f>F32*E32</f>
        <v/>
      </c>
    </row>
    <row r="33" ht="13.5" customHeight="1" s="91">
      <c r="A33" s="102" t="n"/>
      <c r="B33" s="21" t="inlineStr">
        <is>
          <t>Low-voltage cable manhole</t>
        </is>
      </c>
      <c r="C33" s="44" t="inlineStr">
        <is>
          <t>seat</t>
        </is>
      </c>
      <c r="D33" s="54" t="inlineStr">
        <is>
          <t>Breaking up ground concrete and removing, pipeline laying, etc.</t>
        </is>
      </c>
      <c r="E33" s="100" t="n">
        <v>2</v>
      </c>
      <c r="F33" s="100" t="n">
        <v>2500</v>
      </c>
      <c r="G33" s="101">
        <f>F33*E33</f>
        <v/>
      </c>
    </row>
    <row r="34" ht="12.75" customHeight="1" s="91">
      <c r="A34" s="102" t="n"/>
      <c r="B34" s="21" t="inlineStr">
        <is>
          <t>cable protection pipe</t>
        </is>
      </c>
      <c r="C34" s="98" t="inlineStr">
        <is>
          <t>meter</t>
        </is>
      </c>
      <c r="D34" s="98" t="inlineStr">
        <is>
          <t>PVC50</t>
        </is>
      </c>
      <c r="E34" s="100" t="n">
        <v>35</v>
      </c>
      <c r="F34" s="100" t="n">
        <v>11</v>
      </c>
      <c r="G34" s="101">
        <f>F34*E34</f>
        <v/>
      </c>
    </row>
    <row r="35" ht="12.75" customHeight="1" s="91">
      <c r="A35" s="102" t="n"/>
      <c r="B35" s="21" t="inlineStr">
        <is>
          <t>cable protection pipe</t>
        </is>
      </c>
      <c r="C35" s="98" t="inlineStr">
        <is>
          <t>meter</t>
        </is>
      </c>
      <c r="D35" s="98" t="inlineStr">
        <is>
          <t>PVC25</t>
        </is>
      </c>
      <c r="E35" s="100" t="n">
        <v>115</v>
      </c>
      <c r="F35" s="100" t="n">
        <v>6</v>
      </c>
      <c r="G35" s="101">
        <f>F35*E35</f>
        <v/>
      </c>
    </row>
    <row r="36" ht="13.5" customHeight="1" s="91">
      <c r="A36" s="102" t="n"/>
      <c r="B36" s="21" t="inlineStr">
        <is>
          <t>Single-phase cable</t>
        </is>
      </c>
      <c r="C36" s="32" t="inlineStr">
        <is>
          <t>meter</t>
        </is>
      </c>
      <c r="D36" s="98" t="inlineStr">
        <is>
          <t>VV-2*2.5</t>
        </is>
      </c>
      <c r="E36" s="100">
        <f>E35*2</f>
        <v/>
      </c>
      <c r="F36" s="100" t="n">
        <v>11.25</v>
      </c>
      <c r="G36" s="101">
        <f>F36*E36</f>
        <v/>
      </c>
    </row>
    <row r="37" ht="13.5" customHeight="1" s="91">
      <c r="A37" s="96" t="n"/>
      <c r="B37" s="111" t="n"/>
      <c r="C37" s="58" t="n"/>
      <c r="D37" s="111" t="inlineStr">
        <is>
          <t>Subtotal</t>
        </is>
      </c>
      <c r="E37" s="58" t="n"/>
      <c r="F37" s="112" t="n"/>
      <c r="G37" s="113">
        <f>SUM(G21:G35)</f>
        <v/>
      </c>
    </row>
    <row r="38" ht="21" customHeight="1" s="91">
      <c r="A38" s="15" t="inlineStr">
        <is>
          <t>Parking space</t>
        </is>
      </c>
      <c r="B38" s="98" t="inlineStr">
        <is>
          <t>Bumper post</t>
        </is>
      </c>
      <c r="C38" s="98" t="inlineStr">
        <is>
          <t>Root</t>
        </is>
      </c>
      <c r="D38" s="98" t="inlineStr">
        <is>
          <t>Height 1.5 meters, DN150 (wall thickness 4mm, fully filled with concrete) steel pipe, enclosed protection</t>
        </is>
      </c>
      <c r="E38" s="30" t="n">
        <v>16</v>
      </c>
      <c r="F38" s="100" t="n">
        <v>485.17</v>
      </c>
      <c r="G38" s="101">
        <f>E38*F38</f>
        <v/>
      </c>
    </row>
    <row r="39" ht="21" customHeight="1" s="91">
      <c r="A39" s="102" t="n"/>
      <c r="B39" s="98" t="inlineStr">
        <is>
          <t>Parking Position Limiter</t>
        </is>
      </c>
      <c r="C39" s="98" t="inlineStr">
        <is>
          <t>Set</t>
        </is>
      </c>
      <c r="D39" s="98" t="inlineStr">
        <is>
          <t>Length 2.3 meters, DN100 (with inner wall thickness 6mm fully filled with concrete) steel pipe, enclosed protection</t>
        </is>
      </c>
      <c r="E39" s="30" t="n">
        <v>14</v>
      </c>
      <c r="F39" s="100" t="n">
        <v>981.11</v>
      </c>
      <c r="G39" s="101">
        <f>E39*F39</f>
        <v/>
      </c>
    </row>
    <row r="40" ht="13.5" customHeight="1" s="91">
      <c r="A40" s="102" t="n"/>
      <c r="B40" s="98" t="inlineStr">
        <is>
          <t>Ground lock with Bluetooth function</t>
        </is>
      </c>
      <c r="C40" s="98" t="inlineStr">
        <is>
          <t>Set</t>
        </is>
      </c>
      <c r="D40" s="21" t="n"/>
      <c r="E40" s="30" t="n">
        <v>14</v>
      </c>
      <c r="F40" s="100" t="n">
        <v>1000</v>
      </c>
      <c r="G40" s="101">
        <f>E40*F40</f>
        <v/>
      </c>
    </row>
    <row r="41" ht="13.5" customHeight="1" s="91">
      <c r="A41" s="102" t="n"/>
      <c r="B41" s="98" t="inlineStr">
        <is>
          <t>Parking space line marking</t>
        </is>
      </c>
      <c r="C41" s="98" t="inlineStr">
        <is>
          <t>piece</t>
        </is>
      </c>
      <c r="D41" s="21" t="inlineStr">
        <is>
          <t>Hot Melting</t>
        </is>
      </c>
      <c r="E41" s="30" t="n">
        <v>14</v>
      </c>
      <c r="F41" s="100" t="n">
        <v>710.28</v>
      </c>
      <c r="G41" s="101">
        <f>E41*F41</f>
        <v/>
      </c>
    </row>
    <row r="42" ht="18" customHeight="1" s="91">
      <c r="A42" s="102" t="n"/>
      <c r="B42" s="37" t="inlineStr">
        <is>
          <t>(Other items please insert above this row...)</t>
        </is>
      </c>
      <c r="C42" s="13" t="n"/>
      <c r="D42" s="61" t="n"/>
      <c r="E42" s="13" t="n"/>
      <c r="F42" s="97" t="n"/>
      <c r="G42" s="97" t="n"/>
    </row>
    <row r="43" ht="13.5" customHeight="1" s="91">
      <c r="A43" s="96" t="n"/>
      <c r="B43" s="62" t="n"/>
      <c r="C43" s="10" t="n"/>
      <c r="D43" s="63" t="inlineStr">
        <is>
          <t>Subtotal</t>
        </is>
      </c>
      <c r="E43" s="10" t="n"/>
      <c r="F43" s="108" t="n"/>
      <c r="G43" s="109">
        <f>SUM(G38:G42)</f>
        <v/>
      </c>
    </row>
    <row r="44" ht="21" customHeight="1" s="91">
      <c r="A44" s="15" t="inlineStr">
        <is>
          <t>Monitoring and Fire Protection</t>
        </is>
      </c>
      <c r="B44" s="114" t="inlineStr">
        <is>
          <t>Network Hard Disk Video Recorder</t>
        </is>
      </c>
      <c r="C44" s="114" t="inlineStr">
        <is>
          <t>Unit</t>
        </is>
      </c>
      <c r="D44" s="114" t="inlineStr">
        <is>
          <t>1. Video recording equipment Hard disk recorder 6-channel input [6-channel hard disk monitoring mainframe analog NVR network with 1T hard disk]</t>
        </is>
      </c>
      <c r="E44" s="65" t="n">
        <v>1</v>
      </c>
      <c r="F44" s="115" t="n">
        <v>2828.43</v>
      </c>
      <c r="G44" s="97">
        <f>E44*F44</f>
        <v/>
      </c>
    </row>
    <row r="45" ht="21" customHeight="1" s="91">
      <c r="A45" s="102" t="n"/>
      <c r="B45" s="114" t="inlineStr">
        <is>
          <t>Network High-Definition Camera</t>
        </is>
      </c>
      <c r="C45" s="114" t="inlineStr">
        <is>
          <t>Unit</t>
        </is>
      </c>
      <c r="D45" s="114" t="inlineStr">
        <is>
          <t>400W pixel high-definition surveillance camera monitoring equipment, including security box</t>
        </is>
      </c>
      <c r="E45" s="65" t="n">
        <v>2</v>
      </c>
      <c r="F45" s="115" t="n">
        <v>1297.47</v>
      </c>
      <c r="G45" s="97">
        <f>E45*F45</f>
        <v/>
      </c>
    </row>
    <row r="46" ht="21" customHeight="1" s="91">
      <c r="A46" s="102" t="n"/>
      <c r="B46" s="114" t="inlineStr">
        <is>
          <t>Switch</t>
        </is>
      </c>
      <c r="C46" s="114" t="inlineStr">
        <is>
          <t>Set</t>
        </is>
      </c>
      <c r="D46" s="114" t="inlineStr">
        <is>
          <t>1. Workgroup Level Switch Installation and Commissioning [Workgroup Level Switch] 24-Port Gigabit Enterprise-Level Ethernet Network Switch</t>
        </is>
      </c>
      <c r="E46" s="65" t="n">
        <v>1</v>
      </c>
      <c r="F46" s="115" t="n">
        <v>1848.36</v>
      </c>
      <c r="G46" s="97">
        <f>E46*F46</f>
        <v/>
      </c>
    </row>
    <row r="47" ht="13.5" customHeight="1" s="91">
      <c r="A47" s="102" t="n"/>
      <c r="B47" s="114" t="inlineStr">
        <is>
          <t>Outdoor Network Cabinet</t>
        </is>
      </c>
      <c r="C47" s="114" t="inlineStr">
        <is>
          <t>piece</t>
        </is>
      </c>
      <c r="D47" s="114" t="inlineStr">
        <is>
          <t>Computer UPS Switch Cabinet for Weak Electrical Surveillance</t>
        </is>
      </c>
      <c r="E47" s="65" t="n">
        <v>1</v>
      </c>
      <c r="F47" s="115" t="n">
        <v>2982.36</v>
      </c>
      <c r="G47" s="97">
        <f>E47*F47</f>
        <v/>
      </c>
    </row>
    <row r="48" ht="21" customHeight="1" s="91">
      <c r="A48" s="102" t="n"/>
      <c r="B48" s="114" t="inlineStr">
        <is>
          <t>Rainproof Fire Extinguisher Box</t>
        </is>
      </c>
      <c r="C48" s="114" t="inlineStr">
        <is>
          <t>Group</t>
        </is>
      </c>
      <c r="D48" s="114" t="inlineStr">
        <is>
          <t>Rainproof Fire Extinguisher Box (Containing 2 Hand-held Dry Powder Fire Extinguishers)</t>
        </is>
      </c>
      <c r="E48" s="65" t="n">
        <v>4</v>
      </c>
      <c r="F48" s="115" t="n">
        <v>287.5</v>
      </c>
      <c r="G48" s="97">
        <f>F48*E48</f>
        <v/>
      </c>
    </row>
    <row r="49" ht="13.5" customHeight="1" s="91">
      <c r="A49" s="102" t="n"/>
      <c r="B49" s="114" t="inlineStr">
        <is>
          <t>Cart-type dry powder fire extinguisher</t>
        </is>
      </c>
      <c r="C49" s="114" t="inlineStr">
        <is>
          <t>piece</t>
        </is>
      </c>
      <c r="D49" s="114" t="inlineStr">
        <is>
          <t>35kg Cart-type Dry Powder Fire Extinguisher</t>
        </is>
      </c>
      <c r="E49" s="65" t="n">
        <v>1</v>
      </c>
      <c r="F49" s="115" t="n">
        <v>880</v>
      </c>
      <c r="G49" s="97">
        <f>F49*E49</f>
        <v/>
      </c>
    </row>
    <row r="50" ht="13.5" customHeight="1" s="91">
      <c r="A50" s="102" t="n"/>
      <c r="B50" s="114" t="inlineStr">
        <is>
          <t>Monitor Pole</t>
        </is>
      </c>
      <c r="C50" s="114" t="inlineStr">
        <is>
          <t>Root</t>
        </is>
      </c>
      <c r="D50" s="114" t="inlineStr">
        <is>
          <t>4-meter high</t>
        </is>
      </c>
      <c r="E50" s="13" t="n">
        <v>1</v>
      </c>
      <c r="F50" s="115" t="n">
        <v>1986.1</v>
      </c>
      <c r="G50" s="97">
        <f>E50*F50</f>
        <v/>
      </c>
    </row>
    <row r="51" ht="13.5" customHeight="1" s="91">
      <c r="A51" s="102" t="n"/>
      <c r="B51" s="114" t="inlineStr">
        <is>
          <t>Foundation for Monitoring Pole</t>
        </is>
      </c>
      <c r="C51" s="114" t="inlineStr">
        <is>
          <t>piece</t>
        </is>
      </c>
      <c r="D51" s="116" t="n"/>
      <c r="E51" s="65">
        <f>E50</f>
        <v/>
      </c>
      <c r="F51" s="115" t="n">
        <v>1647.2</v>
      </c>
      <c r="G51" s="97">
        <f>E51*F51</f>
        <v/>
      </c>
    </row>
    <row r="52" ht="18" customHeight="1" s="91">
      <c r="A52" s="102" t="n"/>
      <c r="B52" s="37" t="inlineStr">
        <is>
          <t>(Other items please insert above this row...)</t>
        </is>
      </c>
      <c r="C52" s="114" t="n"/>
      <c r="D52" s="116" t="n"/>
      <c r="E52" s="65" t="n"/>
      <c r="F52" s="115" t="n"/>
      <c r="G52" s="97" t="n"/>
    </row>
    <row r="53" ht="13.5" customHeight="1" s="91">
      <c r="A53" s="96" t="n"/>
      <c r="B53" s="39" t="n"/>
      <c r="C53" s="10" t="n"/>
      <c r="D53" s="39" t="inlineStr">
        <is>
          <t>Subtotal</t>
        </is>
      </c>
      <c r="E53" s="10" t="n"/>
      <c r="F53" s="108" t="n"/>
      <c r="G53" s="109">
        <f>SUM(G44:G52)</f>
        <v/>
      </c>
    </row>
    <row r="54" ht="13.5" customHeight="1" s="91">
      <c r="A54" s="15" t="inlineStr">
        <is>
          <t>Lightning protection grounding</t>
        </is>
      </c>
      <c r="B54" s="15" t="inlineStr">
        <is>
          <t>Grounding Electrode</t>
        </is>
      </c>
      <c r="C54" s="13" t="inlineStr">
        <is>
          <t>Root</t>
        </is>
      </c>
      <c r="D54" s="68" t="inlineStr">
        <is>
          <t>Galvanized Angle Steel 50*5*2500</t>
        </is>
      </c>
      <c r="E54" s="13" t="n">
        <v>35</v>
      </c>
      <c r="F54" s="97" t="n">
        <v>142</v>
      </c>
      <c r="G54" s="97">
        <f>E54*F54</f>
        <v/>
      </c>
    </row>
    <row r="55" ht="13.5" customHeight="1" s="91">
      <c r="A55" s="102" t="n"/>
      <c r="B55" s="12" t="inlineStr">
        <is>
          <t>Ground Busbar</t>
        </is>
      </c>
      <c r="C55" s="13" t="inlineStr">
        <is>
          <t>meter</t>
        </is>
      </c>
      <c r="D55" s="69" t="inlineStr">
        <is>
          <t>Galvanized Flat Steel 40×4</t>
        </is>
      </c>
      <c r="E55" s="70" t="n">
        <v>50</v>
      </c>
      <c r="F55" s="97" t="n">
        <v>32</v>
      </c>
      <c r="G55" s="97">
        <f>E55*F55</f>
        <v/>
      </c>
    </row>
    <row r="56" ht="13.5" customHeight="1" s="91">
      <c r="A56" s="102" t="n"/>
      <c r="B56" s="12" t="inlineStr">
        <is>
          <t>Ground Busbar</t>
        </is>
      </c>
      <c r="C56" s="13" t="inlineStr">
        <is>
          <t>meter</t>
        </is>
      </c>
      <c r="D56" s="69" t="inlineStr">
        <is>
          <t>Galvanized Round Steel, Diameter 16mm</t>
        </is>
      </c>
      <c r="E56" s="70" t="n">
        <v>50</v>
      </c>
      <c r="F56" s="97" t="n">
        <v>28</v>
      </c>
      <c r="G56" s="97">
        <f>E56*F56</f>
        <v/>
      </c>
    </row>
    <row r="57" ht="13.5" customHeight="1" s="91">
      <c r="A57" s="102" t="n"/>
      <c r="B57" s="12" t="inlineStr">
        <is>
          <t>Box Transformer Foundation Grounding System</t>
        </is>
      </c>
      <c r="C57" s="13" t="inlineStr">
        <is>
          <t>Set</t>
        </is>
      </c>
      <c r="D57" s="69" t="inlineStr">
        <is>
          <t>Earthing Grid Fabrication and Installation</t>
        </is>
      </c>
      <c r="E57" s="70" t="n">
        <v>1</v>
      </c>
      <c r="F57" s="97" t="n">
        <v>19000</v>
      </c>
      <c r="G57" s="97">
        <f>E57*F57</f>
        <v/>
      </c>
    </row>
    <row r="58" ht="13.5" customHeight="1" s="91">
      <c r="A58" s="102" t="n"/>
      <c r="B58" s="114" t="inlineStr">
        <is>
          <t>Charging pile foundation</t>
        </is>
      </c>
      <c r="C58" s="114" t="inlineStr">
        <is>
          <t>piece</t>
        </is>
      </c>
      <c r="D58" s="61" t="n"/>
      <c r="E58" s="13" t="n">
        <v>7</v>
      </c>
      <c r="F58" s="97" t="n">
        <v>1000</v>
      </c>
      <c r="G58" s="97">
        <f>E58*F58</f>
        <v/>
      </c>
    </row>
    <row r="59" ht="13.5" customHeight="1" s="91">
      <c r="A59" s="96" t="n"/>
      <c r="B59" s="71" t="n"/>
      <c r="C59" s="72" t="n"/>
      <c r="D59" s="74" t="inlineStr">
        <is>
          <t>Subtotal</t>
        </is>
      </c>
      <c r="E59" s="74" t="n"/>
      <c r="F59" s="117" t="n"/>
      <c r="G59" s="117">
        <f>SUM(G54:G58)</f>
        <v/>
      </c>
    </row>
    <row r="60" ht="13.5" customHeight="1" s="91">
      <c r="A60" s="118" t="inlineStr">
        <is>
          <t>Total project amount including tax</t>
        </is>
      </c>
      <c r="B60" s="94" t="n"/>
      <c r="C60" s="94" t="n"/>
      <c r="D60" s="94" t="n"/>
      <c r="E60" s="94" t="n"/>
      <c r="F60" s="95" t="n"/>
      <c r="G60" s="97">
        <f>G16+G15</f>
        <v/>
      </c>
    </row>
    <row r="61" ht="13.5" customHeight="1" s="91">
      <c r="A61" s="118" t="inlineStr">
        <is>
          <t>Total of the project excluding tax</t>
        </is>
      </c>
      <c r="B61" s="94" t="n"/>
      <c r="C61" s="94" t="n"/>
      <c r="D61" s="94" t="n"/>
      <c r="E61" s="94" t="n"/>
      <c r="F61" s="95" t="n"/>
      <c r="G61" s="97">
        <f>G59+G53+G43+G37+G14</f>
        <v/>
      </c>
    </row>
    <row r="62" ht="13.5" customHeight="1" s="91">
      <c r="A62" s="15" t="inlineStr">
        <is>
          <t>Tax</t>
        </is>
      </c>
      <c r="B62" s="15" t="inlineStr">
        <is>
          <t>Tax</t>
        </is>
      </c>
      <c r="C62" s="13" t="n"/>
      <c r="D62" s="79" t="inlineStr">
        <is>
          <t>9%</t>
        </is>
      </c>
      <c r="E62" s="13" t="n"/>
      <c r="F62" s="97" t="n"/>
      <c r="G62" s="97">
        <f>G61*0.09</f>
        <v/>
      </c>
    </row>
    <row r="63" ht="13.5" customHeight="1" s="91">
      <c r="A63" s="118" t="inlineStr">
        <is>
          <t>Total Project Cost</t>
        </is>
      </c>
      <c r="B63" s="94" t="n"/>
      <c r="C63" s="94" t="n"/>
      <c r="D63" s="94" t="n"/>
      <c r="E63" s="94" t="n"/>
      <c r="F63" s="95" t="n"/>
      <c r="G63" s="117">
        <f>G62+G61+G60</f>
        <v/>
      </c>
    </row>
    <row r="64" ht="13.5" customHeight="1" s="91">
      <c r="A64" s="41" t="n"/>
      <c r="B64" s="15" t="n"/>
      <c r="C64" s="13" t="n"/>
      <c r="D64" s="15" t="n"/>
      <c r="E64" s="13" t="n"/>
      <c r="F64" s="97" t="n"/>
      <c r="G64" s="97" t="n"/>
    </row>
    <row r="65" ht="13.5" customHeight="1" s="91">
      <c r="A65" s="41" t="n"/>
      <c r="B65" s="15" t="n"/>
      <c r="C65" s="13" t="n"/>
      <c r="D65" s="15" t="n"/>
      <c r="E65" s="13" t="n"/>
      <c r="F65" s="97" t="n"/>
      <c r="G65" s="97" t="n"/>
    </row>
    <row r="66" ht="13.5" customHeight="1" s="91">
      <c r="A66" s="41" t="n"/>
      <c r="B66" s="15" t="n"/>
      <c r="C66" s="13" t="n"/>
      <c r="D66" s="15" t="n"/>
      <c r="E66" s="13" t="n"/>
      <c r="F66" s="97" t="n"/>
      <c r="G66" s="97" t="n"/>
    </row>
    <row r="67" ht="13.5" customHeight="1" s="91">
      <c r="A67" s="13" t="inlineStr">
        <is>
          <t>Charging Equipment</t>
        </is>
      </c>
      <c r="B67" s="15" t="inlineStr">
        <is>
          <t>Rectifier Cabinet</t>
        </is>
      </c>
      <c r="C67" s="13" t="inlineStr">
        <is>
          <t>Unit</t>
        </is>
      </c>
      <c r="D67" s="81" t="n"/>
      <c r="E67" s="13" t="n">
        <v>1</v>
      </c>
      <c r="F67" s="97" t="n"/>
      <c r="G67" s="97" t="n"/>
    </row>
    <row r="68" ht="13.5" customHeight="1" s="91">
      <c r="A68" s="102" t="n"/>
      <c r="B68" s="15" t="inlineStr">
        <is>
          <t>Super charging DC terminal</t>
        </is>
      </c>
      <c r="C68" s="13" t="inlineStr">
        <is>
          <t>Unit</t>
        </is>
      </c>
      <c r="D68" s="81" t="n"/>
      <c r="E68" s="13" t="n">
        <v>1</v>
      </c>
      <c r="F68" s="97" t="n"/>
      <c r="G68" s="97" t="n"/>
    </row>
    <row r="69" ht="13.5" customHeight="1" s="91">
      <c r="A69" s="96" t="n"/>
      <c r="B69" s="15" t="inlineStr">
        <is>
          <t>Fast Charging DC Terminal</t>
        </is>
      </c>
      <c r="C69" s="13" t="inlineStr">
        <is>
          <t>Unit</t>
        </is>
      </c>
      <c r="D69" s="81" t="n"/>
      <c r="E69" s="13" t="n">
        <v>5</v>
      </c>
      <c r="F69" s="97" t="n"/>
      <c r="G69" s="97" t="n"/>
    </row>
    <row r="70" ht="13.5" customHeight="1" s="91">
      <c r="A70" s="10" t="n"/>
      <c r="B70" s="39" t="inlineStr">
        <is>
          <t>Total</t>
        </is>
      </c>
      <c r="C70" s="10" t="n"/>
      <c r="D70" s="84" t="inlineStr">
        <is>
          <t>Subtotal</t>
        </is>
      </c>
      <c r="E70" s="10" t="n"/>
      <c r="F70" s="108" t="n"/>
      <c r="G70" s="109" t="n"/>
    </row>
    <row r="71" ht="13.5" customHeight="1" s="91">
      <c r="A71" s="119" t="inlineStr">
        <is>
          <t>Total Project Cost</t>
        </is>
      </c>
      <c r="B71" s="94" t="n"/>
      <c r="C71" s="94" t="n"/>
      <c r="D71" s="94" t="n"/>
      <c r="E71" s="94" t="n"/>
      <c r="F71" s="95" t="n"/>
      <c r="G71" s="109" t="n"/>
    </row>
  </sheetData>
  <mergeCells count="15">
    <mergeCell ref="A71:F71"/>
    <mergeCell ref="A63:F63"/>
    <mergeCell ref="A44:A53"/>
    <mergeCell ref="A4:A14"/>
    <mergeCell ref="A60:F60"/>
    <mergeCell ref="A67:A69"/>
    <mergeCell ref="A21:A37"/>
    <mergeCell ref="A15:A20"/>
    <mergeCell ref="A38:A43"/>
    <mergeCell ref="A61:F61"/>
    <mergeCell ref="A54:A59"/>
    <mergeCell ref="A2:A3"/>
    <mergeCell ref="B2:B3"/>
    <mergeCell ref="C2:C3"/>
    <mergeCell ref="D2:G2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8"/>
  <sheetViews>
    <sheetView topLeftCell="A1" workbookViewId="0">
      <selection activeCell="F8" sqref="F8"/>
    </sheetView>
  </sheetViews>
  <sheetFormatPr baseColWidth="8" defaultColWidth="8.875" defaultRowHeight="13.5" outlineLevelRow="7"/>
  <sheetData>
    <row r="1" ht="13.5" customHeight="1" s="91"/>
    <row r="2" ht="13.5" customHeight="1" s="91">
      <c r="A2" s="0" t="n">
        <v>16</v>
      </c>
      <c r="B2" s="0" t="n">
        <v>6</v>
      </c>
      <c r="D2" s="0">
        <f>B2+A2</f>
        <v/>
      </c>
      <c r="F2" s="0">
        <f>D2*1.1</f>
        <v/>
      </c>
      <c r="H2" s="0">
        <f>F2*5</f>
        <v/>
      </c>
    </row>
    <row r="3" ht="13.5" customHeight="1" s="91">
      <c r="A3" s="0" t="n">
        <v>11</v>
      </c>
      <c r="B3" s="0" t="n">
        <v>6</v>
      </c>
      <c r="D3" s="0">
        <f>B3+A3</f>
        <v/>
      </c>
      <c r="F3" s="0">
        <f>D3*1.1</f>
        <v/>
      </c>
      <c r="H3" s="0">
        <f>F3*2</f>
        <v/>
      </c>
    </row>
    <row r="4" ht="13.5" customHeight="1" s="91">
      <c r="A4" s="0" t="n">
        <v>6</v>
      </c>
      <c r="B4" s="0" t="n">
        <v>6</v>
      </c>
      <c r="D4" s="0">
        <f>B4+A4</f>
        <v/>
      </c>
      <c r="F4" s="0">
        <f>D4*1.1</f>
        <v/>
      </c>
      <c r="H4" s="0">
        <f>F4*2</f>
        <v/>
      </c>
    </row>
    <row r="5" ht="13.5" customHeight="1" s="91">
      <c r="A5" s="0" t="n">
        <v>6</v>
      </c>
      <c r="B5" s="0" t="n">
        <v>6</v>
      </c>
      <c r="D5" s="0">
        <f>B5+A5</f>
        <v/>
      </c>
      <c r="F5" s="0">
        <f>D5*1.1</f>
        <v/>
      </c>
      <c r="H5" s="0">
        <f>F5*2</f>
        <v/>
      </c>
    </row>
    <row r="6" ht="13.5" customHeight="1" s="91">
      <c r="A6" s="0" t="n">
        <v>11</v>
      </c>
      <c r="B6" s="0" t="n">
        <v>6</v>
      </c>
      <c r="D6" s="0">
        <f>B6+A6</f>
        <v/>
      </c>
      <c r="F6" s="0">
        <f>D6*1.1</f>
        <v/>
      </c>
      <c r="H6" s="0">
        <f>F6*2</f>
        <v/>
      </c>
    </row>
    <row r="7" ht="13.5" customHeight="1" s="91">
      <c r="A7" s="0" t="n">
        <v>16</v>
      </c>
      <c r="B7" s="0" t="n">
        <v>6</v>
      </c>
      <c r="D7" s="0">
        <f>B7+A7</f>
        <v/>
      </c>
      <c r="F7" s="0">
        <f>D7*1.1</f>
        <v/>
      </c>
      <c r="H7" s="0">
        <f>F7*2</f>
        <v/>
      </c>
    </row>
    <row r="8" ht="13.5" customHeight="1" s="91">
      <c r="F8" s="0">
        <f>SUM(F2:F7)</f>
        <v/>
      </c>
      <c r="H8" s="0">
        <f>SUM(H2:H7)</f>
        <v/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2023-08-07T07:16:00Z</dcterms:created>
  <dcterms:modified xsi:type="dcterms:W3CDTF">2025-07-08T03:44:09Z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C85B82DF4653419CB9F2C9D2C5749EDC</vt:lpwstr>
  </property>
  <property name="KSOProductBuildVer" fmtid="{D5CDD505-2E9C-101B-9397-08002B2CF9AE}" pid="3">
    <vt:lpwstr>2052-12.8.2.15209</vt:lpwstr>
  </property>
  <property name="5B77E7CEEC58BC6AFAE8886BEB80DBEB" fmtid="{D5CDD505-2E9C-101B-9397-08002B2CF9AE}" pid="4">
    <vt:lpwstr>otCYQxs9Dbw2bUEn/Soxv9pYAoWsCRIsU8+gIbxzzmNcJN13+qHIPyWmbF9hFzPHyi2m8DLwi54E5OVVM5pJ0yGmgAiYTaR6oYUdYZxdjep6I9xviFUFZ9aTScfBW9OGJX/1UC70g6YyTHD8SR/Poet0HibI9pfDEINuBeIAR1e7cWlBnRiefsTUELnB1XJVFNaxXH8x7hvFRTfqszYzxxIHW6OVbIf8JNcFYnPZqziLejxBQzquoZRuvRyS8FzJU1EqaYeyvhZHxMCNWfHRPzBH67OXyj/9XfcEAcz148QRLoWIaNNvO0WtnHtMztQOnkFg0rYkLsckaCXaimDKMNawlhk2YaXy/EMq1DcVp+ccoP3y6qiWKlVLKsgsDEgLysIxgxNbhFv8evXdYX+HtL9FVQ12cwjm2XdpmCC+2i26QF15/VD3UCxyEDoGSbPyXGZhvUcgRDEX8M0BTV1OeV3A4ay3q+xodMmyRBhLVOjD8GqgxCpicrzNJe2UryTO4LyQYtIgkYkKADb0iGCxsyIu6hc8qexRCgfrHXpBJkCXrxAeOVvqKoXy+h27jza2pKGNvdLjh9GP7boK/6wpOv2mme0Ge9w7LdL1b/c2tuJeBqkLO08JThd2DSBN+Qkj</vt:lpwstr>
  </property>
</Properties>
</file>