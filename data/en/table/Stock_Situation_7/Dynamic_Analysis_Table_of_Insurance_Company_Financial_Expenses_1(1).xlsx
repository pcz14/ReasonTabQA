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20" windowWidth="17752" windowHeight="11175" tabRatio="600" firstSheet="1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4">
    <numFmt numFmtId="164" formatCode="0_ "/>
    <numFmt numFmtId="165" formatCode="yyyy/m/d;@"/>
    <numFmt numFmtId="166" formatCode="0.00_ "/>
    <numFmt numFmtId="167" formatCode="0_ ;[Red]\-0\ "/>
  </numFmts>
  <fonts count="27">
    <font>
      <name val="黑体"/>
      <family val="2"/>
      <color theme="1"/>
      <sz val="11"/>
      <scheme val="minor"/>
    </font>
    <font>
      <name val="Arial"/>
      <family val="2"/>
      <sz val="10"/>
    </font>
    <font>
      <name val="微软雅黑"/>
      <family val="2"/>
      <color theme="1"/>
      <sz val="12"/>
    </font>
    <font>
      <name val="微软雅黑"/>
      <family val="2"/>
      <color theme="1"/>
      <sz val="11"/>
    </font>
    <font>
      <name val="微软雅黑"/>
      <family val="2"/>
      <b val="1"/>
      <color theme="0"/>
      <sz val="24"/>
    </font>
    <font>
      <name val="微软雅黑"/>
      <family val="2"/>
      <b val="1"/>
      <color theme="0"/>
      <sz val="12"/>
    </font>
    <font>
      <name val="微软雅黑"/>
      <family val="2"/>
      <b val="1"/>
      <color theme="0"/>
      <sz val="11"/>
    </font>
    <font>
      <name val="微软雅黑"/>
      <family val="2"/>
      <sz val="10"/>
    </font>
    <font>
      <name val="微软雅黑"/>
      <family val="2"/>
      <b val="1"/>
      <color rgb="FF44546A"/>
      <sz val="12"/>
    </font>
    <font>
      <name val="黑体"/>
      <family val="2"/>
      <color rgb="FF0000FF"/>
      <sz val="11"/>
      <u val="single"/>
      <scheme val="minor"/>
    </font>
    <font>
      <name val="黑体"/>
      <family val="2"/>
      <color rgb="FF800080"/>
      <sz val="11"/>
      <u val="single"/>
      <scheme val="minor"/>
    </font>
    <font>
      <name val="黑体"/>
      <family val="2"/>
      <color rgb="FFFF0000"/>
      <sz val="11"/>
      <scheme val="minor"/>
    </font>
    <font>
      <name val="黑体"/>
      <family val="2"/>
      <b val="1"/>
      <color theme="3"/>
      <sz val="18"/>
      <scheme val="minor"/>
    </font>
    <font>
      <name val="黑体"/>
      <family val="2"/>
      <i val="1"/>
      <color rgb="FF7F7F7F"/>
      <sz val="11"/>
      <scheme val="minor"/>
    </font>
    <font>
      <name val="黑体"/>
      <family val="2"/>
      <b val="1"/>
      <color theme="3"/>
      <sz val="15"/>
      <scheme val="minor"/>
    </font>
    <font>
      <name val="黑体"/>
      <family val="2"/>
      <b val="1"/>
      <color theme="3"/>
      <sz val="13"/>
      <scheme val="minor"/>
    </font>
    <font>
      <name val="黑体"/>
      <family val="2"/>
      <b val="1"/>
      <color theme="3"/>
      <sz val="11"/>
      <scheme val="minor"/>
    </font>
    <font>
      <name val="黑体"/>
      <family val="2"/>
      <color rgb="FF3F3F76"/>
      <sz val="11"/>
      <scheme val="minor"/>
    </font>
    <font>
      <name val="黑体"/>
      <family val="2"/>
      <b val="1"/>
      <color rgb="FF3F3F3F"/>
      <sz val="11"/>
      <scheme val="minor"/>
    </font>
    <font>
      <name val="黑体"/>
      <family val="2"/>
      <b val="1"/>
      <color rgb="FFFA7D00"/>
      <sz val="11"/>
      <scheme val="minor"/>
    </font>
    <font>
      <name val="黑体"/>
      <family val="2"/>
      <b val="1"/>
      <color rgb="FFFFFFFF"/>
      <sz val="11"/>
      <scheme val="minor"/>
    </font>
    <font>
      <name val="黑体"/>
      <family val="2"/>
      <color rgb="FFFA7D00"/>
      <sz val="11"/>
      <scheme val="minor"/>
    </font>
    <font>
      <name val="黑体"/>
      <family val="2"/>
      <b val="1"/>
      <color theme="1"/>
      <sz val="11"/>
      <scheme val="minor"/>
    </font>
    <font>
      <name val="黑体"/>
      <family val="2"/>
      <color rgb="FF006100"/>
      <sz val="11"/>
      <scheme val="minor"/>
    </font>
    <font>
      <name val="黑体"/>
      <family val="2"/>
      <color rgb="FF9C0006"/>
      <sz val="11"/>
      <scheme val="minor"/>
    </font>
    <font>
      <name val="黑体"/>
      <family val="2"/>
      <color rgb="FF9C6500"/>
      <sz val="11"/>
      <scheme val="minor"/>
    </font>
    <font>
      <name val="黑体"/>
      <family val="2"/>
      <color theme="0"/>
      <sz val="11"/>
      <scheme val="minor"/>
    </font>
  </fonts>
  <fills count="37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799847602844"/>
        <bgColor indexed="64"/>
      </patternFill>
    </fill>
    <fill>
      <patternFill patternType="solid">
        <fgColor theme="4" tint="0.5999900102615356"/>
        <bgColor indexed="64"/>
      </patternFill>
    </fill>
    <fill>
      <patternFill patternType="solid">
        <fgColor theme="4" tint="0.3999800086021423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799847602844"/>
        <bgColor indexed="64"/>
      </patternFill>
    </fill>
    <fill>
      <patternFill patternType="solid">
        <fgColor theme="5" tint="0.5999900102615356"/>
        <bgColor indexed="64"/>
      </patternFill>
    </fill>
    <fill>
      <patternFill patternType="solid">
        <fgColor theme="5" tint="0.3999800086021423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799847602844"/>
        <bgColor indexed="64"/>
      </patternFill>
    </fill>
    <fill>
      <patternFill patternType="solid">
        <fgColor theme="6" tint="0.5999900102615356"/>
        <bgColor indexed="64"/>
      </patternFill>
    </fill>
    <fill>
      <patternFill patternType="solid">
        <fgColor theme="6" tint="0.3999800086021423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799847602844"/>
        <bgColor indexed="64"/>
      </patternFill>
    </fill>
    <fill>
      <patternFill patternType="solid">
        <fgColor theme="7" tint="0.5999900102615356"/>
        <bgColor indexed="64"/>
      </patternFill>
    </fill>
    <fill>
      <patternFill patternType="solid">
        <fgColor theme="7" tint="0.3999800086021423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799847602844"/>
        <bgColor indexed="64"/>
      </patternFill>
    </fill>
    <fill>
      <patternFill patternType="solid">
        <fgColor theme="8" tint="0.5999900102615356"/>
        <bgColor indexed="64"/>
      </patternFill>
    </fill>
    <fill>
      <patternFill patternType="solid">
        <fgColor theme="8" tint="0.3999800086021423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799847602844"/>
        <bgColor indexed="64"/>
      </patternFill>
    </fill>
    <fill>
      <patternFill patternType="solid">
        <fgColor theme="9" tint="0.5999900102615356"/>
        <bgColor indexed="64"/>
      </patternFill>
    </fill>
    <fill>
      <patternFill patternType="solid">
        <fgColor theme="9" tint="0.3999800086021423"/>
        <bgColor indexed="64"/>
      </patternFill>
    </fill>
    <fill>
      <patternFill patternType="solid">
        <fgColor rgb="FF3388A1"/>
        <bgColor indexed="64"/>
      </patternFill>
    </fill>
    <fill>
      <patternFill patternType="solid">
        <fgColor theme="4" tint="-0.2499900013208389"/>
        <bgColor indexed="64"/>
      </patternFill>
    </fill>
    <fill>
      <patternFill patternType="solid">
        <fgColor theme="4" tint="0.4000000059604645"/>
        <bgColor indexed="64"/>
      </patternFill>
    </fill>
    <fill>
      <patternFill patternType="solid">
        <fgColor rgb="FFDAF1F6"/>
        <bgColor indexed="64"/>
      </patternFill>
    </fill>
  </fills>
  <borders count="12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</border>
    <border>
      <left/>
      <right/>
      <top/>
      <bottom style="medium">
        <color theme="4"/>
      </bottom>
    </border>
    <border>
      <left/>
      <right/>
      <top/>
      <bottom style="medium">
        <color theme="4" tint="0.4999800026416779"/>
      </bottom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</border>
    <border>
      <left/>
      <right/>
      <top/>
      <bottom style="double">
        <color rgb="FFFF8001"/>
      </bottom>
    </border>
    <border>
      <left/>
      <right/>
      <top style="thin">
        <color theme="4"/>
      </top>
      <bottom style="double">
        <color theme="4"/>
      </bottom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</border>
    <border>
      <left style="thin">
        <color theme="0" tint="-0.2499900013208389"/>
      </left>
      <right style="thin">
        <color theme="0" tint="-0.2499900013208389"/>
      </right>
      <top/>
      <bottom style="thin">
        <color theme="0" tint="-0.2499900013208389"/>
      </bottom>
    </border>
    <border>
      <left style="thin">
        <color theme="0" tint="-0.2499900013208389"/>
      </left>
      <right style="thin">
        <color theme="0" tint="-0.2499900013208389"/>
      </right>
      <top style="thin">
        <color theme="0" tint="-0.2499900013208389"/>
      </top>
      <bottom style="thin">
        <color theme="0" tint="-0.2499900013208389"/>
      </bottom>
    </border>
  </borders>
  <cellStyleXfs count="55">
    <xf numFmtId="0" fontId="0" fillId="0" borderId="0" applyAlignment="1">
      <alignment vertical="center"/>
    </xf>
    <xf numFmtId="9" fontId="1" fillId="0" borderId="0"/>
    <xf numFmtId="44" fontId="1" fillId="0" borderId="0"/>
    <xf numFmtId="42" fontId="1" fillId="0" borderId="0"/>
    <xf numFmtId="43" fontId="1" fillId="0" borderId="0"/>
    <xf numFmtId="41" fontId="1" fillId="0" borderId="0"/>
    <xf numFmtId="43" fontId="0" fillId="0" borderId="0"/>
    <xf numFmtId="44" fontId="0" fillId="0" borderId="0"/>
    <xf numFmtId="9" fontId="0" fillId="0" borderId="0"/>
    <xf numFmtId="41" fontId="0" fillId="0" borderId="0"/>
    <xf numFmtId="42" fontId="0" fillId="0" borderId="0"/>
    <xf numFmtId="0" fontId="9" fillId="0" borderId="0"/>
    <xf numFmtId="0" fontId="10" fillId="0" borderId="0"/>
    <xf numFmtId="0" fontId="0" fillId="2" borderId="1"/>
    <xf numFmtId="0" fontId="11" fillId="0" borderId="0"/>
    <xf numFmtId="0" fontId="12" fillId="0" borderId="0"/>
    <xf numFmtId="0" fontId="13" fillId="0" borderId="0"/>
    <xf numFmtId="0" fontId="14" fillId="0" borderId="2"/>
    <xf numFmtId="0" fontId="15" fillId="0" borderId="2"/>
    <xf numFmtId="0" fontId="16" fillId="0" borderId="3"/>
    <xf numFmtId="0" fontId="16" fillId="0" borderId="0"/>
    <xf numFmtId="0" fontId="17" fillId="3" borderId="4"/>
    <xf numFmtId="0" fontId="18" fillId="4" borderId="5"/>
    <xf numFmtId="0" fontId="19" fillId="4" borderId="4"/>
    <xf numFmtId="0" fontId="20" fillId="5" borderId="6"/>
    <xf numFmtId="0" fontId="21" fillId="0" borderId="7"/>
    <xf numFmtId="0" fontId="22" fillId="0" borderId="8"/>
    <xf numFmtId="0" fontId="23" fillId="6" borderId="0"/>
    <xf numFmtId="0" fontId="24" fillId="7" borderId="0"/>
    <xf numFmtId="0" fontId="25" fillId="8" borderId="0"/>
    <xf numFmtId="0" fontId="26" fillId="9" borderId="0"/>
    <xf numFmtId="0" fontId="0" fillId="10" borderId="0"/>
    <xf numFmtId="0" fontId="0" fillId="11" borderId="0"/>
    <xf numFmtId="0" fontId="26" fillId="12" borderId="0"/>
    <xf numFmtId="0" fontId="26" fillId="13" borderId="0"/>
    <xf numFmtId="0" fontId="0" fillId="14" borderId="0"/>
    <xf numFmtId="0" fontId="0" fillId="15" borderId="0"/>
    <xf numFmtId="0" fontId="26" fillId="16" borderId="0"/>
    <xf numFmtId="0" fontId="26" fillId="17" borderId="0"/>
    <xf numFmtId="0" fontId="0" fillId="18" borderId="0"/>
    <xf numFmtId="0" fontId="0" fillId="19" borderId="0"/>
    <xf numFmtId="0" fontId="26" fillId="20" borderId="0"/>
    <xf numFmtId="0" fontId="26" fillId="21" borderId="0"/>
    <xf numFmtId="0" fontId="0" fillId="22" borderId="0"/>
    <xf numFmtId="0" fontId="0" fillId="23" borderId="0"/>
    <xf numFmtId="0" fontId="26" fillId="24" borderId="0"/>
    <xf numFmtId="0" fontId="26" fillId="25" borderId="0"/>
    <xf numFmtId="0" fontId="0" fillId="26" borderId="0"/>
    <xf numFmtId="0" fontId="0" fillId="27" borderId="0"/>
    <xf numFmtId="0" fontId="26" fillId="28" borderId="0"/>
    <xf numFmtId="0" fontId="26" fillId="29" borderId="0"/>
    <xf numFmtId="0" fontId="0" fillId="30" borderId="0"/>
    <xf numFmtId="0" fontId="0" fillId="31" borderId="0"/>
    <xf numFmtId="0" fontId="26" fillId="32" borderId="0"/>
    <xf numFmtId="0" fontId="9" fillId="0" borderId="0" applyAlignment="1">
      <alignment vertical="center"/>
    </xf>
  </cellStyleXfs>
  <cellXfs count="48">
    <xf numFmtId="0" fontId="0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9" fontId="3" fillId="0" borderId="0" applyAlignment="1" pivotButton="0" quotePrefix="0" xfId="22">
      <alignment vertical="center"/>
    </xf>
    <xf numFmtId="164" fontId="3" fillId="0" borderId="0" applyAlignment="1" pivotButton="0" quotePrefix="0" xfId="0">
      <alignment vertical="center"/>
    </xf>
    <xf numFmtId="164" fontId="3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4" fillId="33" borderId="0" applyAlignment="1" pivotButton="0" quotePrefix="0" xfId="0">
      <alignment horizontal="center" vertical="center"/>
    </xf>
    <xf numFmtId="0" fontId="4" fillId="0" borderId="0" applyAlignment="1" pivotButton="0" quotePrefix="0" xfId="0">
      <alignment vertical="center"/>
    </xf>
    <xf numFmtId="9" fontId="4" fillId="0" borderId="0" applyAlignment="1" pivotButton="0" quotePrefix="0" xfId="22">
      <alignment vertical="center"/>
    </xf>
    <xf numFmtId="0" fontId="2" fillId="0" borderId="0" applyAlignment="1" pivotButton="0" quotePrefix="0" xfId="0">
      <alignment vertical="center"/>
    </xf>
    <xf numFmtId="0" fontId="5" fillId="34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165" fontId="6" fillId="34" borderId="9" applyAlignment="1" pivotButton="0" quotePrefix="0" xfId="0">
      <alignment horizontal="center" vertical="center"/>
    </xf>
    <xf numFmtId="0" fontId="6" fillId="34" borderId="9" applyAlignment="1" pivotButton="0" quotePrefix="0" xfId="0">
      <alignment horizontal="center" vertical="center"/>
    </xf>
    <xf numFmtId="9" fontId="6" fillId="34" borderId="9" applyAlignment="1" pivotButton="0" quotePrefix="0" xfId="22">
      <alignment horizontal="center" vertical="center"/>
    </xf>
    <xf numFmtId="0" fontId="2" fillId="35" borderId="0" applyAlignment="1" pivotButton="0" quotePrefix="0" xfId="0">
      <alignment vertical="center"/>
    </xf>
    <xf numFmtId="0" fontId="5" fillId="35" borderId="0" applyAlignment="1" pivotButton="0" quotePrefix="0" xfId="0">
      <alignment horizontal="center" vertical="center"/>
    </xf>
    <xf numFmtId="165" fontId="7" fillId="0" borderId="10" applyAlignment="1" pivotButton="0" quotePrefix="0" xfId="0">
      <alignment horizontal="center" vertical="center"/>
    </xf>
    <xf numFmtId="0" fontId="7" fillId="0" borderId="10" applyAlignment="1" pivotButton="0" quotePrefix="0" xfId="0">
      <alignment horizontal="center" vertical="center"/>
    </xf>
    <xf numFmtId="9" fontId="7" fillId="0" borderId="10" applyAlignment="1" pivotButton="0" quotePrefix="0" xfId="22">
      <alignment horizontal="center" vertical="center"/>
    </xf>
    <xf numFmtId="165" fontId="8" fillId="0" borderId="0" applyAlignment="1" pivotButton="0" quotePrefix="0" xfId="0">
      <alignment horizontal="center" vertical="center"/>
    </xf>
    <xf numFmtId="165" fontId="7" fillId="0" borderId="11" applyAlignment="1" pivotButton="0" quotePrefix="0" xfId="0">
      <alignment horizontal="center" vertical="center"/>
    </xf>
    <xf numFmtId="0" fontId="7" fillId="0" borderId="11" applyAlignment="1" pivotButton="0" quotePrefix="0" xfId="0">
      <alignment horizontal="center" vertical="center"/>
    </xf>
    <xf numFmtId="9" fontId="7" fillId="0" borderId="11" applyAlignment="1" pivotButton="0" quotePrefix="0" xfId="22">
      <alignment horizontal="center" vertical="center"/>
    </xf>
    <xf numFmtId="166" fontId="8" fillId="0" borderId="0" applyAlignment="1" pivotButton="0" quotePrefix="0" xfId="0">
      <alignment horizontal="center" vertical="center"/>
    </xf>
    <xf numFmtId="10" fontId="8" fillId="0" borderId="0" applyAlignment="1" pivotButton="0" quotePrefix="0" xfId="0">
      <alignment horizontal="center" vertical="center"/>
    </xf>
    <xf numFmtId="164" fontId="4" fillId="0" borderId="0" applyAlignment="1" pivotButton="0" quotePrefix="0" xfId="0">
      <alignment vertical="center"/>
    </xf>
    <xf numFmtId="164" fontId="6" fillId="34" borderId="9" applyAlignment="1" pivotButton="0" quotePrefix="0" xfId="0">
      <alignment horizontal="center" vertical="center"/>
    </xf>
    <xf numFmtId="167" fontId="6" fillId="34" borderId="9" applyAlignment="1" pivotButton="0" quotePrefix="0" xfId="0">
      <alignment horizontal="center" vertical="center"/>
    </xf>
    <xf numFmtId="164" fontId="7" fillId="0" borderId="10" applyAlignment="1" pivotButton="0" quotePrefix="0" xfId="0">
      <alignment horizontal="center" vertical="center"/>
    </xf>
    <xf numFmtId="10" fontId="7" fillId="36" borderId="10" applyAlignment="1" pivotButton="0" quotePrefix="0" xfId="22">
      <alignment horizontal="center" vertical="center"/>
    </xf>
    <xf numFmtId="164" fontId="7" fillId="0" borderId="11" applyAlignment="1" pivotButton="0" quotePrefix="0" xfId="0">
      <alignment horizontal="center" vertical="center"/>
    </xf>
    <xf numFmtId="0" fontId="22" fillId="0" borderId="0" applyAlignment="1" pivotButton="0" quotePrefix="0" xfId="0">
      <alignment vertical="center"/>
    </xf>
    <xf numFmtId="0" fontId="9" fillId="0" borderId="0" applyAlignment="1" pivotButton="0" quotePrefix="0" xfId="68">
      <alignment vertical="center"/>
    </xf>
    <xf numFmtId="0" fontId="9" fillId="0" borderId="0" applyAlignment="1" pivotButton="0" quotePrefix="0" xfId="0">
      <alignment vertical="center"/>
    </xf>
    <xf numFmtId="164" fontId="3" fillId="0" borderId="0" applyAlignment="1" pivotButton="0" quotePrefix="0" xfId="0">
      <alignment vertical="center"/>
    </xf>
    <xf numFmtId="0" fontId="0" fillId="0" borderId="0" pivotButton="0" quotePrefix="0" xfId="0"/>
    <xf numFmtId="164" fontId="4" fillId="0" borderId="0" applyAlignment="1" pivotButton="0" quotePrefix="0" xfId="0">
      <alignment vertical="center"/>
    </xf>
    <xf numFmtId="165" fontId="6" fillId="34" borderId="9" applyAlignment="1" pivotButton="0" quotePrefix="0" xfId="0">
      <alignment horizontal="center" vertical="center"/>
    </xf>
    <xf numFmtId="164" fontId="6" fillId="34" borderId="9" applyAlignment="1" pivotButton="0" quotePrefix="0" xfId="0">
      <alignment horizontal="center" vertical="center"/>
    </xf>
    <xf numFmtId="167" fontId="6" fillId="34" borderId="9" applyAlignment="1" pivotButton="0" quotePrefix="0" xfId="0">
      <alignment horizontal="center" vertical="center"/>
    </xf>
    <xf numFmtId="165" fontId="7" fillId="0" borderId="10" applyAlignment="1" pivotButton="0" quotePrefix="0" xfId="0">
      <alignment horizontal="center" vertical="center"/>
    </xf>
    <xf numFmtId="164" fontId="7" fillId="0" borderId="10" applyAlignment="1" pivotButton="0" quotePrefix="0" xfId="0">
      <alignment horizontal="center" vertical="center"/>
    </xf>
    <xf numFmtId="165" fontId="8" fillId="0" borderId="0" applyAlignment="1" pivotButton="0" quotePrefix="0" xfId="0">
      <alignment horizontal="center" vertical="center"/>
    </xf>
    <xf numFmtId="165" fontId="7" fillId="0" borderId="11" applyAlignment="1" pivotButton="0" quotePrefix="0" xfId="0">
      <alignment horizontal="center" vertical="center"/>
    </xf>
    <xf numFmtId="164" fontId="7" fillId="0" borderId="11" applyAlignment="1" pivotButton="0" quotePrefix="0" xfId="0">
      <alignment horizontal="center" vertical="center"/>
    </xf>
    <xf numFmtId="166" fontId="8" fillId="0" borderId="0" applyAlignment="1" pivotButton="0" quotePrefix="0" xfId="0">
      <alignment horizontal="center" vertical="center"/>
    </xf>
  </cellXfs>
  <cellStyles count="55">
    <cellStyle name="Normal" xfId="0"/>
    <cellStyle name="Percent" xfId="1"/>
    <cellStyle name="Currency" xfId="2"/>
    <cellStyle name="Currency [0]" xfId="3"/>
    <cellStyle name="Comma" xfId="4"/>
    <cellStyle name="Comma [0]" xfId="5"/>
    <cellStyle name="千位分隔" xfId="6"/>
    <cellStyle name="货币" xfId="7"/>
    <cellStyle name="百分比" xfId="8"/>
    <cellStyle name="千位分隔[0]" xfId="9"/>
    <cellStyle name="货币[0]" xfId="10"/>
    <cellStyle name="超链接" xfId="11"/>
    <cellStyle name="已访问的超链接" xfId="12"/>
    <cellStyle name="注释" xfId="13"/>
    <cellStyle name="警告文本" xfId="14"/>
    <cellStyle name="标题" xfId="15"/>
    <cellStyle name="解释性文本" xfId="16"/>
    <cellStyle name="标题 1" xfId="17"/>
    <cellStyle name="标题 2" xfId="18"/>
    <cellStyle name="标题 3" xfId="19"/>
    <cellStyle name="标题 4" xfId="20"/>
    <cellStyle name="输入" xfId="21"/>
    <cellStyle name="输出" xfId="22"/>
    <cellStyle name="计算" xfId="23"/>
    <cellStyle name="检查单元格" xfId="24"/>
    <cellStyle name="链接单元格" xfId="25"/>
    <cellStyle name="汇总" xfId="26"/>
    <cellStyle name="好" xfId="27"/>
    <cellStyle name="差" xfId="28"/>
    <cellStyle name="适中" xfId="29"/>
    <cellStyle name="强调文字颜色 1" xfId="30"/>
    <cellStyle name="20% - 强调文字颜色 1" xfId="31"/>
    <cellStyle name="40% - 强调文字颜色 1" xfId="32"/>
    <cellStyle name="60% - 强调文字颜色 1" xfId="33"/>
    <cellStyle name="强调文字颜色 2" xfId="34"/>
    <cellStyle name="20% - 强调文字颜色 2" xfId="35"/>
    <cellStyle name="40% - 强调文字颜色 2" xfId="36"/>
    <cellStyle name="60% - 强调文字颜色 2" xfId="37"/>
    <cellStyle name="强调文字颜色 3" xfId="38"/>
    <cellStyle name="20% - 强调文字颜色 3" xfId="39"/>
    <cellStyle name="40% - 强调文字颜色 3" xfId="40"/>
    <cellStyle name="60% - 强调文字颜色 3" xfId="41"/>
    <cellStyle name="强调文字颜色 4" xfId="42"/>
    <cellStyle name="20% - 强调文字颜色 4" xfId="43"/>
    <cellStyle name="40% - 强调文字颜色 4" xfId="44"/>
    <cellStyle name="60% - 强调文字颜色 4" xfId="45"/>
    <cellStyle name="强调文字颜色 5" xfId="46"/>
    <cellStyle name="20% - 强调文字颜色 5" xfId="47"/>
    <cellStyle name="40% - 强调文字颜色 5" xfId="48"/>
    <cellStyle name="60% - 强调文字颜色 5" xfId="49"/>
    <cellStyle name="强调文字颜色 6" xfId="50"/>
    <cellStyle name="20% - 强调文字颜色 6" xfId="51"/>
    <cellStyle name="40% - 强调文字颜色 6" xfId="52"/>
    <cellStyle name="60% - 强调文字颜色 6" xfId="53"/>
    <cellStyle name="Hyperlink" xfId="54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聚合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Concourse">
      <a:majorFont>
        <a:latin typeface="Lucida Sans Unicode"/>
        <a:ea typeface=""/>
        <a:cs typeface=""/>
        <a:font script="Jpan" typeface="ＭＳ Ｐゴシック"/>
        <a:font script="Hang" typeface="맑은 고딕"/>
        <a:font script="Hans" typeface="黑体"/>
        <a:font script="Hant" typeface="微軟正黑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Uigh" typeface="Microsoft Uighur"/>
        <a:font script="Geor" typeface="Sylfaen"/>
      </a:majorFont>
      <a:minorFont>
        <a:latin typeface="Lucida Sans Unicode"/>
        <a:ea typeface=""/>
        <a:cs typeface=""/>
        <a:font script="Jpan" typeface="ＭＳ Ｐゴシック"/>
        <a:font script="Hang" typeface="맑은 고딕"/>
        <a:font script="Hans" typeface="黑体"/>
        <a:font script="Hant" typeface="微軟正黑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Uigh" typeface="Microsoft Uighur"/>
        <a:font script="Geor" typeface="Sylfaen"/>
      </a:minorFont>
    </a:fontScheme>
    <a:fmtScheme name="Concourse">
      <a:fillStyleLst>
        <a:solidFill>
          <a:schemeClr val="phClr"/>
        </a:solidFill>
        <a:gradFill rotWithShape="1">
          <a:gsLst>
            <a:gs pos="0">
              <a:schemeClr val="phClr">
                <a:tint val="62000"/>
                <a:satMod val="180000"/>
              </a:schemeClr>
            </a:gs>
            <a:gs pos="65000">
              <a:schemeClr val="phClr">
                <a:tint val="32000"/>
                <a:satMod val="250000"/>
              </a:schemeClr>
            </a:gs>
            <a:gs pos="100000">
              <a:schemeClr val="phClr">
                <a:tint val="23000"/>
                <a:satMod val="300000"/>
              </a:schemeClr>
            </a:gs>
          </a:gsLst>
          <a:lin ang="16200000" scaled="0"/>
        </a:gradFill>
        <a:gradFill rotWithShape="1">
          <a:gsLst>
            <a:gs pos="0">
              <a:schemeClr val="phClr">
                <a:shade val="15000"/>
                <a:satMod val="180000"/>
              </a:schemeClr>
            </a:gs>
            <a:gs pos="50000">
              <a:schemeClr val="phClr">
                <a:shade val="45000"/>
                <a:satMod val="170000"/>
              </a:schemeClr>
            </a:gs>
            <a:gs pos="70000">
              <a:schemeClr val="phClr">
                <a:tint val="99000"/>
                <a:shade val="65000"/>
                <a:satMod val="155000"/>
              </a:schemeClr>
            </a:gs>
            <a:gs pos="100000">
              <a:schemeClr val="phClr">
                <a:tint val="95500"/>
                <a:shade val="100000"/>
                <a:satMod val="15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/>
          </a:solidFill>
          <a:prstDash val="solid"/>
        </a:ln>
        <a:ln w="55000" cap="flat" cmpd="thickThin" algn="ctr">
          <a:solidFill>
            <a:schemeClr val="phClr"/>
          </a:solidFill>
          <a:prstDash val="solid"/>
        </a:ln>
        <a:ln w="63500" cap="flat" cmpd="thickThin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50800" dist="381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50800" dist="381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63500" dist="38100" dir="5400000" rotWithShape="0">
              <a:srgbClr val="000000">
                <a:alpha val="45000"/>
              </a:srgbClr>
            </a:outerShdw>
          </a:effectLst>
          <a:scene3d>
            <a:camera prst="orthographicFront" fov="0">
              <a:rot lat="0" lon="0" rev="0"/>
            </a:camera>
            <a:lightRig rig="glow" dir="t">
              <a:rot lat="0" lon="0" rev="6360000"/>
            </a:lightRig>
          </a:scene3d>
          <a:sp3d contourW="1000" prstMaterial="flat">
            <a:bevelT w="95250" h="101600"/>
            <a:contourClr>
              <a:schemeClr val="phClr">
                <a:satMod val="30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55000"/>
                <a:satMod val="300000"/>
              </a:schemeClr>
            </a:gs>
            <a:gs pos="40000">
              <a:schemeClr val="phClr">
                <a:tint val="65000"/>
                <a:satMod val="300000"/>
              </a:schemeClr>
            </a:gs>
            <a:gs pos="100000">
              <a:schemeClr val="phClr">
                <a:shade val="65000"/>
                <a:satMod val="300000"/>
              </a:schemeClr>
            </a:gs>
          </a:gsLst>
          <a:path path="circle">
            <a:fillToRect l="65000" b="98000"/>
          </a:path>
        </a:gradFill>
        <a:blipFill>
          <a:blip xmlns:r="http://schemas.openxmlformats.org/officeDocument/2006/relationships" r:embed="rId1">
            <a:duotone>
              <a:schemeClr val="phClr">
                <a:shade val="60000"/>
                <a:satMod val="110000"/>
              </a:schemeClr>
              <a:schemeClr val="phClr">
                <a:tint val="95000"/>
              </a:schemeClr>
            </a:duotone>
          </a:blip>
          <a:tile tx="0" ty="0" sx="50000" sy="50000" flip="none" algn="tl"/>
        </a:blip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O23"/>
  <sheetViews>
    <sheetView showGridLines="0" topLeftCell="A10" workbookViewId="0">
      <selection activeCell="A1" sqref="A1:P20"/>
    </sheetView>
  </sheetViews>
  <sheetFormatPr baseColWidth="8" defaultColWidth="9.00390625" defaultRowHeight="22.5" customHeight="1"/>
  <cols>
    <col width="2.00390625" customWidth="1" style="6" min="1" max="1"/>
    <col width="2.875" customWidth="1" style="6" min="2" max="2"/>
    <col width="16.125" customWidth="1" style="6" min="3" max="3"/>
    <col width="2.875" customWidth="1" style="6" min="4" max="4"/>
    <col width="2.125" customWidth="1" style="6" min="5" max="5"/>
    <col width="12.75390625" customWidth="1" style="6" min="6" max="6"/>
    <col width="11.625" customWidth="1" style="6" min="7" max="7"/>
    <col width="12.50390625" customWidth="1" style="3" min="8" max="8"/>
    <col width="14.375" customWidth="1" style="3" min="9" max="9"/>
    <col width="14.875" customWidth="1" style="6" min="10" max="10"/>
    <col width="14.00390625" customWidth="1" style="6" min="11" max="11"/>
    <col width="14.00390625" customWidth="1" style="36" min="12" max="12"/>
    <col width="12.75390625" customWidth="1" style="36" min="13" max="13"/>
    <col width="14.00390625" customWidth="1" style="6" min="14" max="14"/>
    <col width="12.75390625" customWidth="1" style="6" min="15" max="15"/>
    <col width="2.00390625" customWidth="1" style="6" min="16" max="16"/>
    <col width="9.00390625" customWidth="1" style="6" min="17" max="16384"/>
  </cols>
  <sheetData>
    <row r="1" ht="12" customHeight="1" s="37"/>
    <row r="2" ht="46.5" customHeight="1" s="37">
      <c r="B2" s="7" t="inlineStr">
        <is>
          <t>Product Production Defect Rate Statistical Analysis Table</t>
        </is>
      </c>
    </row>
    <row r="3" ht="12" customHeight="1" s="37">
      <c r="B3" s="8" t="n"/>
      <c r="C3" s="8" t="n"/>
      <c r="D3" s="8" t="n"/>
      <c r="E3" s="8" t="n"/>
      <c r="F3" s="8" t="n"/>
      <c r="G3" s="8" t="n"/>
      <c r="H3" s="9" t="n"/>
      <c r="I3" s="9" t="n"/>
      <c r="J3" s="8" t="n"/>
      <c r="K3" s="8" t="n"/>
      <c r="L3" s="38" t="n"/>
      <c r="M3" s="38" t="n"/>
      <c r="N3" s="8" t="n"/>
      <c r="O3" s="8" t="n"/>
    </row>
    <row r="4" ht="27" customFormat="1" customHeight="1" s="10">
      <c r="A4" s="10" t="n"/>
      <c r="B4" s="11" t="inlineStr">
        <is>
          <t>Statistical Area</t>
        </is>
      </c>
      <c r="E4" s="12" t="n"/>
      <c r="F4" s="39" t="inlineStr">
        <is>
          <t>Date</t>
        </is>
      </c>
      <c r="G4" s="14" t="inlineStr">
        <is>
          <t>Board Position Number</t>
        </is>
      </c>
      <c r="H4" s="15" t="inlineStr">
        <is>
          <t>Workstation</t>
        </is>
      </c>
      <c r="I4" s="14" t="inlineStr">
        <is>
          <t>Product Material Number</t>
        </is>
      </c>
      <c r="J4" s="14" t="inlineStr">
        <is>
          <t>Other</t>
        </is>
      </c>
      <c r="K4" s="14" t="inlineStr">
        <is>
          <t>Work Order</t>
        </is>
      </c>
      <c r="L4" s="40" t="inlineStr">
        <is>
          <t>Production Quantity</t>
        </is>
      </c>
      <c r="M4" s="41" t="inlineStr">
        <is>
          <t>Defective quantity</t>
        </is>
      </c>
      <c r="N4" s="41" t="inlineStr">
        <is>
          <t>Defect Rate</t>
        </is>
      </c>
      <c r="O4" s="14" t="inlineStr">
        <is>
          <t>Yield Rate</t>
        </is>
      </c>
    </row>
    <row r="5" ht="27" customFormat="1" customHeight="1" s="10">
      <c r="A5" s="10" t="n"/>
      <c r="B5" s="16" t="n"/>
      <c r="C5" s="17" t="inlineStr">
        <is>
          <t>Today's Date</t>
        </is>
      </c>
      <c r="D5" s="16" t="n"/>
      <c r="E5" s="12" t="n"/>
      <c r="F5" s="42" t="n">
        <v>44563</v>
      </c>
      <c r="G5" s="19" t="inlineStr">
        <is>
          <t>59-696</t>
        </is>
      </c>
      <c r="H5" s="20" t="inlineStr">
        <is>
          <t>Functional Test</t>
        </is>
      </c>
      <c r="I5" s="19" t="inlineStr">
        <is>
          <t>1.1.01.04.17942</t>
        </is>
      </c>
      <c r="J5" s="19" t="inlineStr">
        <is>
          <t>Other 1</t>
        </is>
      </c>
      <c r="K5" s="19" t="inlineStr">
        <is>
          <t>7M07FDD</t>
        </is>
      </c>
      <c r="L5" s="43" t="n">
        <v>8628</v>
      </c>
      <c r="M5" s="43" t="n">
        <v>3</v>
      </c>
      <c r="N5" s="31">
        <f>M5/L5</f>
        <v/>
      </c>
      <c r="O5" s="31">
        <f>1-N5</f>
        <v/>
      </c>
    </row>
    <row r="6" ht="27" customFormat="1" customHeight="1" s="10">
      <c r="A6" s="10" t="n"/>
      <c r="B6" s="16" t="n"/>
      <c r="C6" s="44">
        <f>TODAY()</f>
        <v/>
      </c>
      <c r="D6" s="16" t="n"/>
      <c r="E6" s="12" t="n"/>
      <c r="F6" s="45" t="n">
        <v>44564</v>
      </c>
      <c r="G6" s="23" t="inlineStr">
        <is>
          <t>59-696</t>
        </is>
      </c>
      <c r="H6" s="24" t="inlineStr">
        <is>
          <t>AOI-B</t>
        </is>
      </c>
      <c r="I6" s="23" t="inlineStr">
        <is>
          <t>1.1.01.04.17942</t>
        </is>
      </c>
      <c r="J6" s="19" t="inlineStr">
        <is>
          <t>Other 2</t>
        </is>
      </c>
      <c r="K6" s="23" t="inlineStr">
        <is>
          <t>7M08A16</t>
        </is>
      </c>
      <c r="L6" s="46" t="n">
        <v>12622</v>
      </c>
      <c r="M6" s="46" t="n">
        <v>5</v>
      </c>
      <c r="N6" s="31">
        <f>M6/L6</f>
        <v/>
      </c>
      <c r="O6" s="31">
        <f>1-N6</f>
        <v/>
      </c>
    </row>
    <row r="7" ht="27" customFormat="1" customHeight="1" s="10">
      <c r="A7" s="10" t="n"/>
      <c r="B7" s="16" t="n"/>
      <c r="C7" s="16" t="n"/>
      <c r="D7" s="16" t="n"/>
      <c r="E7" s="12" t="n"/>
      <c r="F7" s="45" t="n">
        <v>44565</v>
      </c>
      <c r="G7" s="23" t="inlineStr">
        <is>
          <t>59-696</t>
        </is>
      </c>
      <c r="H7" s="24" t="inlineStr">
        <is>
          <t>AOI-T</t>
        </is>
      </c>
      <c r="I7" s="23" t="inlineStr">
        <is>
          <t>1.1.01.04.17942</t>
        </is>
      </c>
      <c r="J7" s="19" t="inlineStr">
        <is>
          <t>Other 3</t>
        </is>
      </c>
      <c r="K7" s="23" t="inlineStr">
        <is>
          <t>7M08A16</t>
        </is>
      </c>
      <c r="L7" s="46" t="n">
        <v>3657</v>
      </c>
      <c r="M7" s="46" t="n">
        <v>1</v>
      </c>
      <c r="N7" s="31">
        <f>M7/L7</f>
        <v/>
      </c>
      <c r="O7" s="31">
        <f>1-N7</f>
        <v/>
      </c>
    </row>
    <row r="8" ht="27" customFormat="1" customHeight="1" s="10">
      <c r="A8" s="10" t="n"/>
      <c r="B8" s="16" t="n"/>
      <c r="C8" s="17" t="inlineStr">
        <is>
          <t>Total Production Quantity</t>
        </is>
      </c>
      <c r="D8" s="16" t="n"/>
      <c r="E8" s="12" t="n"/>
      <c r="F8" s="45" t="n">
        <v>44565</v>
      </c>
      <c r="G8" s="23" t="inlineStr">
        <is>
          <t>91-013</t>
        </is>
      </c>
      <c r="H8" s="24" t="inlineStr">
        <is>
          <t>Functional Test</t>
        </is>
      </c>
      <c r="I8" s="23" t="inlineStr">
        <is>
          <t>1.1.01.04.19137</t>
        </is>
      </c>
      <c r="J8" s="19" t="inlineStr">
        <is>
          <t>Other 4</t>
        </is>
      </c>
      <c r="K8" s="23" t="inlineStr">
        <is>
          <t>7M08A11</t>
        </is>
      </c>
      <c r="L8" s="46" t="n">
        <v>911</v>
      </c>
      <c r="M8" s="46" t="n">
        <v>5</v>
      </c>
      <c r="N8" s="31">
        <f>M8/L8</f>
        <v/>
      </c>
      <c r="O8" s="31">
        <f>1-N8</f>
        <v/>
      </c>
    </row>
    <row r="9" ht="27" customFormat="1" customHeight="1" s="10">
      <c r="A9" s="10" t="n"/>
      <c r="B9" s="16" t="n"/>
      <c r="C9" s="47">
        <f>SUM($L$5:$L$18994)</f>
        <v/>
      </c>
      <c r="D9" s="16" t="n"/>
      <c r="E9" s="12" t="n"/>
      <c r="F9" s="45" t="n">
        <v>44566</v>
      </c>
      <c r="G9" s="23" t="inlineStr">
        <is>
          <t>91-013</t>
        </is>
      </c>
      <c r="H9" s="24" t="inlineStr">
        <is>
          <t>Functional Test</t>
        </is>
      </c>
      <c r="I9" s="23" t="inlineStr">
        <is>
          <t>1.1.01.04.19137</t>
        </is>
      </c>
      <c r="J9" s="19" t="inlineStr">
        <is>
          <t>Other 5</t>
        </is>
      </c>
      <c r="K9" s="23" t="inlineStr">
        <is>
          <t>7M08A11</t>
        </is>
      </c>
      <c r="L9" s="46" t="n">
        <v>3257</v>
      </c>
      <c r="M9" s="46" t="n">
        <v>6</v>
      </c>
      <c r="N9" s="31">
        <f>M9/L9</f>
        <v/>
      </c>
      <c r="O9" s="31">
        <f>1-N9</f>
        <v/>
      </c>
    </row>
    <row r="10" ht="27" customFormat="1" customHeight="1" s="10">
      <c r="A10" s="10" t="n"/>
      <c r="B10" s="16" t="n"/>
      <c r="C10" s="16" t="n"/>
      <c r="D10" s="16" t="n"/>
      <c r="E10" s="12" t="n"/>
      <c r="F10" s="45" t="n">
        <v>44567</v>
      </c>
      <c r="G10" s="23" t="inlineStr">
        <is>
          <t>91-013</t>
        </is>
      </c>
      <c r="H10" s="24" t="inlineStr">
        <is>
          <t>Functional Test</t>
        </is>
      </c>
      <c r="I10" s="23" t="inlineStr">
        <is>
          <t>1.1.01.04.19137</t>
        </is>
      </c>
      <c r="J10" s="19" t="inlineStr">
        <is>
          <t>Other6</t>
        </is>
      </c>
      <c r="K10" s="23" t="inlineStr">
        <is>
          <t>7M08A11</t>
        </is>
      </c>
      <c r="L10" s="46" t="n">
        <v>3482</v>
      </c>
      <c r="M10" s="46" t="n">
        <v>5</v>
      </c>
      <c r="N10" s="31">
        <f>M10/L10</f>
        <v/>
      </c>
      <c r="O10" s="31">
        <f>1-N10</f>
        <v/>
      </c>
    </row>
    <row r="11" ht="27" customFormat="1" customHeight="1" s="10">
      <c r="A11" s="10" t="n"/>
      <c r="B11" s="16" t="n"/>
      <c r="C11" s="17" t="inlineStr">
        <is>
          <t>Total Defective Quantity</t>
        </is>
      </c>
      <c r="D11" s="16" t="n"/>
      <c r="E11" s="12" t="n"/>
      <c r="F11" s="45" t="n">
        <v>44568</v>
      </c>
      <c r="G11" s="23" t="inlineStr">
        <is>
          <t>91-013</t>
        </is>
      </c>
      <c r="H11" s="24" t="inlineStr">
        <is>
          <t>Functional Test</t>
        </is>
      </c>
      <c r="I11" s="23" t="inlineStr">
        <is>
          <t>1.1.01.04.17942</t>
        </is>
      </c>
      <c r="J11" s="19" t="inlineStr">
        <is>
          <t>Other7</t>
        </is>
      </c>
      <c r="K11" s="23" t="inlineStr">
        <is>
          <t>7M08A16</t>
        </is>
      </c>
      <c r="L11" s="46" t="n">
        <v>1782</v>
      </c>
      <c r="M11" s="46" t="n">
        <v>1</v>
      </c>
      <c r="N11" s="31">
        <f>M11/L11</f>
        <v/>
      </c>
      <c r="O11" s="31">
        <f>1-N11</f>
        <v/>
      </c>
    </row>
    <row r="12" ht="27" customHeight="1" s="37">
      <c r="B12" s="16" t="n"/>
      <c r="C12" s="47">
        <f>SUM($M$5:$M$18994)</f>
        <v/>
      </c>
      <c r="D12" s="16" t="n"/>
      <c r="E12" s="12" t="n"/>
      <c r="F12" s="45" t="n">
        <v>44568</v>
      </c>
      <c r="G12" s="23" t="inlineStr">
        <is>
          <t>91-013</t>
        </is>
      </c>
      <c r="H12" s="24" t="inlineStr">
        <is>
          <t>Functional Test</t>
        </is>
      </c>
      <c r="I12" s="23" t="inlineStr">
        <is>
          <t>1.1.01.04.19137</t>
        </is>
      </c>
      <c r="J12" s="19" t="inlineStr">
        <is>
          <t>Other 8</t>
        </is>
      </c>
      <c r="K12" s="23" t="inlineStr">
        <is>
          <t>7M08A11</t>
        </is>
      </c>
      <c r="L12" s="46" t="n">
        <v>3313</v>
      </c>
      <c r="M12" s="46" t="n">
        <v>2</v>
      </c>
      <c r="N12" s="31">
        <f>M12/L12</f>
        <v/>
      </c>
      <c r="O12" s="31">
        <f>1-N12</f>
        <v/>
      </c>
    </row>
    <row r="13" ht="27" customHeight="1" s="37">
      <c r="B13" s="16" t="n"/>
      <c r="C13" s="16" t="n"/>
      <c r="D13" s="16" t="n"/>
      <c r="E13" s="12" t="n"/>
      <c r="F13" s="45" t="n">
        <v>44569</v>
      </c>
      <c r="G13" s="23" t="inlineStr">
        <is>
          <t>91-013</t>
        </is>
      </c>
      <c r="H13" s="24" t="inlineStr">
        <is>
          <t>Functional Test</t>
        </is>
      </c>
      <c r="I13" s="23" t="inlineStr">
        <is>
          <t>1.1.01.04.19137</t>
        </is>
      </c>
      <c r="J13" s="19" t="inlineStr">
        <is>
          <t>Other 9</t>
        </is>
      </c>
      <c r="K13" s="23" t="inlineStr">
        <is>
          <t>7M08A11</t>
        </is>
      </c>
      <c r="L13" s="46" t="n">
        <v>3328</v>
      </c>
      <c r="M13" s="46" t="n">
        <v>3</v>
      </c>
      <c r="N13" s="31">
        <f>M13/L13</f>
        <v/>
      </c>
      <c r="O13" s="31">
        <f>1-N13</f>
        <v/>
      </c>
    </row>
    <row r="14" ht="27" customHeight="1" s="37">
      <c r="B14" s="16" t="n"/>
      <c r="C14" s="17" t="inlineStr">
        <is>
          <t>Total Defect Rate</t>
        </is>
      </c>
      <c r="D14" s="16" t="n"/>
      <c r="E14" s="12" t="n"/>
      <c r="F14" s="45" t="n">
        <v>44569</v>
      </c>
      <c r="G14" s="23" t="inlineStr">
        <is>
          <t>91-013</t>
        </is>
      </c>
      <c r="H14" s="24" t="inlineStr">
        <is>
          <t>Functional Test</t>
        </is>
      </c>
      <c r="I14" s="23" t="inlineStr">
        <is>
          <t>1.1.01.04.19138</t>
        </is>
      </c>
      <c r="J14" s="19" t="inlineStr">
        <is>
          <t>Other10</t>
        </is>
      </c>
      <c r="K14" s="23" t="inlineStr">
        <is>
          <t>7M08A11</t>
        </is>
      </c>
      <c r="L14" s="46" t="n">
        <v>11</v>
      </c>
      <c r="M14" s="46" t="n">
        <v>1</v>
      </c>
      <c r="N14" s="31">
        <f>M14/L14</f>
        <v/>
      </c>
      <c r="O14" s="31">
        <f>1-N14</f>
        <v/>
      </c>
    </row>
    <row r="15" ht="27" customHeight="1" s="37">
      <c r="B15" s="16" t="n"/>
      <c r="C15" s="26">
        <f>C12/C9</f>
        <v/>
      </c>
      <c r="D15" s="16" t="n"/>
      <c r="E15" s="12" t="n"/>
      <c r="F15" s="45" t="n">
        <v>44570</v>
      </c>
      <c r="G15" s="23" t="inlineStr">
        <is>
          <t>91-013</t>
        </is>
      </c>
      <c r="H15" s="24" t="inlineStr">
        <is>
          <t>Functional Test</t>
        </is>
      </c>
      <c r="I15" s="23" t="inlineStr">
        <is>
          <t>1.1.01.04.19137</t>
        </is>
      </c>
      <c r="J15" s="19" t="inlineStr">
        <is>
          <t>Other 11</t>
        </is>
      </c>
      <c r="K15" s="23" t="inlineStr">
        <is>
          <t>7M08A11</t>
        </is>
      </c>
      <c r="L15" s="46" t="n">
        <v>3600</v>
      </c>
      <c r="M15" s="46" t="n">
        <v>8</v>
      </c>
      <c r="N15" s="31">
        <f>M15/L15</f>
        <v/>
      </c>
      <c r="O15" s="31">
        <f>1-N15</f>
        <v/>
      </c>
    </row>
    <row r="16" ht="27" customHeight="1" s="37">
      <c r="B16" s="16" t="n"/>
      <c r="C16" s="17" t="n"/>
      <c r="D16" s="16" t="n"/>
      <c r="E16" s="12" t="n"/>
      <c r="F16" s="45" t="n">
        <v>44570</v>
      </c>
      <c r="G16" s="23" t="inlineStr">
        <is>
          <t>91-013</t>
        </is>
      </c>
      <c r="H16" s="24" t="inlineStr">
        <is>
          <t>Functional Test</t>
        </is>
      </c>
      <c r="I16" s="23" t="inlineStr">
        <is>
          <t>1.1.01.04.19138</t>
        </is>
      </c>
      <c r="J16" s="19" t="inlineStr">
        <is>
          <t>Other 12</t>
        </is>
      </c>
      <c r="K16" s="23" t="inlineStr">
        <is>
          <t>7M08811</t>
        </is>
      </c>
      <c r="L16" s="46" t="n">
        <v>40</v>
      </c>
      <c r="M16" s="46" t="n">
        <v>1</v>
      </c>
      <c r="N16" s="31">
        <f>M16/L16</f>
        <v/>
      </c>
      <c r="O16" s="31">
        <f>1-N16</f>
        <v/>
      </c>
    </row>
    <row r="17" ht="27" customHeight="1" s="37">
      <c r="B17" s="16" t="n"/>
      <c r="C17" s="17" t="inlineStr">
        <is>
          <t>Overall Yield Rate</t>
        </is>
      </c>
      <c r="D17" s="16" t="n"/>
      <c r="E17" s="12" t="n"/>
      <c r="F17" s="45" t="n">
        <v>44571</v>
      </c>
      <c r="G17" s="23" t="inlineStr">
        <is>
          <t>91-013</t>
        </is>
      </c>
      <c r="H17" s="24" t="inlineStr">
        <is>
          <t>Functional Test</t>
        </is>
      </c>
      <c r="I17" s="23" t="inlineStr">
        <is>
          <t>1.1.01.04.19137</t>
        </is>
      </c>
      <c r="J17" s="19" t="inlineStr">
        <is>
          <t>Other 13</t>
        </is>
      </c>
      <c r="K17" s="23" t="inlineStr">
        <is>
          <t>7M08A11</t>
        </is>
      </c>
      <c r="L17" s="46" t="n">
        <v>5631</v>
      </c>
      <c r="M17" s="46" t="n">
        <v>8</v>
      </c>
      <c r="N17" s="31">
        <f>M17/L17</f>
        <v/>
      </c>
      <c r="O17" s="31">
        <f>1-N17</f>
        <v/>
      </c>
    </row>
    <row r="18" ht="27" customHeight="1" s="37">
      <c r="B18" s="16" t="n"/>
      <c r="C18" s="26">
        <f>1-C15</f>
        <v/>
      </c>
      <c r="D18" s="16" t="n"/>
      <c r="E18" s="12" t="n"/>
      <c r="F18" s="45" t="n">
        <v>44571</v>
      </c>
      <c r="G18" s="23" t="inlineStr">
        <is>
          <t>91-028</t>
        </is>
      </c>
      <c r="H18" s="24" t="inlineStr">
        <is>
          <t>Functional Test</t>
        </is>
      </c>
      <c r="I18" s="23" t="inlineStr">
        <is>
          <t>1.1.01.04.18680</t>
        </is>
      </c>
      <c r="J18" s="19" t="inlineStr">
        <is>
          <t>Other 14</t>
        </is>
      </c>
      <c r="K18" s="23" t="inlineStr">
        <is>
          <t>7M08014</t>
        </is>
      </c>
      <c r="L18" s="46" t="n">
        <v>890</v>
      </c>
      <c r="M18" s="46" t="n">
        <v>5</v>
      </c>
      <c r="N18" s="31">
        <f>M18/L18</f>
        <v/>
      </c>
      <c r="O18" s="31">
        <f>1-N18</f>
        <v/>
      </c>
    </row>
    <row r="19" ht="27" customHeight="1" s="37">
      <c r="B19" s="16" t="n"/>
      <c r="C19" s="16" t="n"/>
      <c r="D19" s="16" t="n"/>
      <c r="E19" s="12" t="n"/>
      <c r="F19" s="45" t="n">
        <v>44571</v>
      </c>
      <c r="G19" s="23" t="inlineStr">
        <is>
          <t>91-013</t>
        </is>
      </c>
      <c r="H19" s="24" t="inlineStr">
        <is>
          <t>Functional Test</t>
        </is>
      </c>
      <c r="I19" s="23" t="inlineStr">
        <is>
          <t>1.1.01.04.19138</t>
        </is>
      </c>
      <c r="J19" s="19" t="inlineStr">
        <is>
          <t>Other 15</t>
        </is>
      </c>
      <c r="K19" s="23" t="inlineStr">
        <is>
          <t>7M08811</t>
        </is>
      </c>
      <c r="L19" s="46" t="n">
        <v>9</v>
      </c>
      <c r="M19" s="46" t="n">
        <v>1</v>
      </c>
      <c r="N19" s="31">
        <f>M19/L19</f>
        <v/>
      </c>
      <c r="O19" s="31">
        <f>1-N19</f>
        <v/>
      </c>
    </row>
    <row r="20" ht="22.5" customHeight="1" s="37">
      <c r="E20" s="12" t="n"/>
    </row>
    <row r="21" ht="22.5" customHeight="1" s="37">
      <c r="E21" s="12" t="n"/>
    </row>
    <row r="22" ht="22.5" customHeight="1" s="37">
      <c r="E22" s="12" t="n"/>
    </row>
    <row r="23" ht="22.5" customHeight="1" s="37">
      <c r="E23" s="12" t="n"/>
    </row>
  </sheetData>
  <mergeCells count="2">
    <mergeCell ref="B2:O2"/>
    <mergeCell ref="B4:D4"/>
  </mergeCells>
  <pageMargins left="0.75" right="0.75" top="1" bottom="1" header="0.5" footer="0.5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8</dc:creator>
  <dcterms:created xsi:type="dcterms:W3CDTF">2020-01-14T08:51:00Z</dcterms:created>
  <dcterms:modified xsi:type="dcterms:W3CDTF">2025-07-08T01:04:49Z</dcterms:modified>
  <cp:lastModifiedBy>海绵没宝宝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5FA8D693EC9C43CCA3A9503C98579060_11</vt:lpwstr>
  </property>
  <property name="KSOProductBuildVer" fmtid="{D5CDD505-2E9C-101B-9397-08002B2CF9AE}" pid="3">
    <vt:lpwstr>2052-12.1.0.16250</vt:lpwstr>
  </property>
  <property name="KSOTemplateUUID" fmtid="{D5CDD505-2E9C-101B-9397-08002B2CF9AE}" pid="4">
    <vt:lpwstr>v1.0_mb_+xumqJ+6Vqvf88dyUT8Deg==</vt:lpwstr>
  </property>
</Properties>
</file>