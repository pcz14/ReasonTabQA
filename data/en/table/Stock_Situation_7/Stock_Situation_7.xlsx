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Sheet1" sheetId="1" state="visible" r:id="rId1"/>
  </sheets>
  <externalReferences>
    <externalReference r:id="rId2"/>
  </externalReferences>
  <definedNames>
    <definedName name="工作状态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5">
    <font>
      <name val="宋体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b val="1"/>
      <color theme="1"/>
      <sz val="11"/>
    </font>
    <font>
      <name val="微软雅黑"/>
      <family val="2"/>
      <color theme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9"/>
    </font>
    <font>
      <name val="宋体"/>
      <family val="2"/>
      <sz val="9"/>
    </font>
    <font>
      <name val="宋体"/>
      <family val="2"/>
      <b val="1"/>
      <sz val="8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D3DB"/>
        <bgColor indexed="64"/>
      </patternFill>
    </fill>
    <fill>
      <patternFill patternType="solid">
        <fgColor theme="0" tint="-0.0499899983406066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 tint="-0.4999899864196777"/>
      </left>
      <right style="thin">
        <color theme="0" tint="-0.4999899864196777"/>
      </right>
      <top style="thin">
        <color theme="0" tint="-0.4999899864196777"/>
      </top>
      <bottom style="thin">
        <color theme="0" tint="-0.4999899864196777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2" fillId="34" borderId="9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/>
    </xf>
    <xf numFmtId="58" fontId="3" fillId="33" borderId="9" applyAlignment="1" pivotButton="0" quotePrefix="0" xfId="0">
      <alignment horizontal="center" vertical="center"/>
    </xf>
    <xf numFmtId="0" fontId="3" fillId="35" borderId="9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4" fontId="2" fillId="34" borderId="9" applyAlignment="1" pivotButton="0" quotePrefix="0" xfId="0">
      <alignment horizontal="center" vertical="center"/>
    </xf>
    <xf numFmtId="164" fontId="3" fillId="35" borderId="9" applyAlignment="1" pivotButton="0" quotePrefix="0" xfId="0">
      <alignment horizontal="center" vertical="center"/>
    </xf>
    <xf numFmtId="0" fontId="3" fillId="33" borderId="9" applyAlignment="1" pivotButton="0" quotePrefix="1" xfId="0">
      <alignment horizontal="center"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33" borderId="0" applyAlignment="1" pivotButton="0" quotePrefix="0" xfId="0">
      <alignment horizontal="center" vertical="center"/>
    </xf>
    <xf numFmtId="164" fontId="2" fillId="34" borderId="9" applyAlignment="1" pivotButton="0" quotePrefix="0" xfId="0">
      <alignment horizontal="center" vertical="center"/>
    </xf>
    <xf numFmtId="164" fontId="3" fillId="35" borderId="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9">
    <dxf>
      <font>
        <color rgb="FF006100"/>
      </font>
      <fill>
        <patternFill patternType="solid">
          <bgColor rgb="FFC6EFCE"/>
        </patternFill>
      </fill>
      <border/>
    </dxf>
    <dxf>
      <font>
        <color rgb="FF9C0006"/>
      </font>
      <fill>
        <patternFill patternType="solid">
          <bgColor theme="5" tint="0.800000011920929"/>
        </patternFill>
      </fill>
      <border/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K2" authorId="0" shapeId="0">
      <text>
        <t>Administrator:
公式默认为“价格”列的值，如有不同，可手动输入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G:\&#31291;&#22771;&#19979;&#36733;\&#24037;&#20316;&#35745;&#21010;&#34920;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A1" workbookViewId="0">
      <selection activeCell="A1" sqref="A1:L5"/>
    </sheetView>
  </sheetViews>
  <sheetFormatPr baseColWidth="8" defaultColWidth="9.00390625" defaultRowHeight="13.5" outlineLevelRow="4"/>
  <sheetData>
    <row r="1" ht="15.75" customHeight="1" s="14">
      <c r="A1" s="1" t="inlineStr">
        <is>
          <t>Stock G</t>
        </is>
      </c>
      <c r="B1" s="1" t="inlineStr">
        <is>
          <t>Code:</t>
        </is>
      </c>
      <c r="C1" s="1" t="n">
        <v>532075</v>
      </c>
      <c r="D1" s="2" t="n"/>
      <c r="E1" s="2" t="n"/>
      <c r="F1" s="2" t="n"/>
      <c r="G1" s="2" t="n"/>
      <c r="H1" s="2" t="n"/>
      <c r="I1" s="2" t="n"/>
      <c r="J1" s="15" t="n"/>
      <c r="K1" s="2" t="n"/>
      <c r="L1" s="2" t="n"/>
    </row>
    <row r="2" ht="15.75" customHeight="1" s="14">
      <c r="A2" s="3" t="inlineStr">
        <is>
          <t>Serial Number</t>
        </is>
      </c>
      <c r="B2" s="3" t="inlineStr">
        <is>
          <t>Date</t>
        </is>
      </c>
      <c r="C2" s="3" t="inlineStr">
        <is>
          <t>Direction</t>
        </is>
      </c>
      <c r="D2" s="3" t="inlineStr">
        <is>
          <t>Price</t>
        </is>
      </c>
      <c r="E2" s="3" t="inlineStr">
        <is>
          <t>Number of shares</t>
        </is>
      </c>
      <c r="F2" s="3" t="inlineStr">
        <is>
          <t>Commission</t>
        </is>
      </c>
      <c r="G2" s="3" t="inlineStr">
        <is>
          <t>Total Amount</t>
        </is>
      </c>
      <c r="H2" s="3" t="inlineStr">
        <is>
          <t>Account Cost</t>
        </is>
      </c>
      <c r="I2" s="3" t="inlineStr">
        <is>
          <t>Account Shares</t>
        </is>
      </c>
      <c r="J2" s="16" t="inlineStr">
        <is>
          <t>Average cost per share</t>
        </is>
      </c>
      <c r="K2" s="3" t="inlineStr">
        <is>
          <t>Current Price</t>
        </is>
      </c>
      <c r="L2" s="3" t="inlineStr">
        <is>
          <t>Account Profit and Loss</t>
        </is>
      </c>
    </row>
    <row r="3" ht="15" customHeight="1" s="14">
      <c r="A3" s="10" t="inlineStr">
        <is>
          <t>01</t>
        </is>
      </c>
      <c r="B3" s="5" t="n">
        <v>44198</v>
      </c>
      <c r="C3" s="4" t="inlineStr">
        <is>
          <t>Buy</t>
        </is>
      </c>
      <c r="D3" s="4" t="n">
        <v>20</v>
      </c>
      <c r="E3" s="4" t="n">
        <v>2000</v>
      </c>
      <c r="F3" s="4" t="n">
        <v>35</v>
      </c>
      <c r="G3" s="6">
        <f>D3*E3+F3</f>
        <v/>
      </c>
      <c r="H3" s="6">
        <f>G3</f>
        <v/>
      </c>
      <c r="I3" s="6">
        <f>E3</f>
        <v/>
      </c>
      <c r="J3" s="17">
        <f>H3/I3</f>
        <v/>
      </c>
      <c r="K3" s="6">
        <f>D3</f>
        <v/>
      </c>
      <c r="L3" s="6">
        <f>I3*K3-H3</f>
        <v/>
      </c>
    </row>
    <row r="4" ht="15" customHeight="1" s="14">
      <c r="A4" s="10" t="inlineStr">
        <is>
          <t>02</t>
        </is>
      </c>
      <c r="B4" s="5" t="n">
        <v>44211</v>
      </c>
      <c r="C4" s="4" t="inlineStr">
        <is>
          <t>Buy</t>
        </is>
      </c>
      <c r="D4" s="4" t="n">
        <v>25</v>
      </c>
      <c r="E4" s="4" t="n">
        <v>1000</v>
      </c>
      <c r="F4" s="4" t="n">
        <v>20</v>
      </c>
      <c r="G4" s="6">
        <f>D4*E4+F4</f>
        <v/>
      </c>
      <c r="H4" s="6">
        <f>IF(C4="买入",H3+G4,H3-G4)</f>
        <v/>
      </c>
      <c r="I4" s="6">
        <f>IF(C4="买入",I3+E4,I3-E4)</f>
        <v/>
      </c>
      <c r="J4" s="17">
        <f>H4/I4</f>
        <v/>
      </c>
      <c r="K4" s="6">
        <f>D4</f>
        <v/>
      </c>
      <c r="L4" s="6">
        <f>I4*K4-H4</f>
        <v/>
      </c>
    </row>
    <row r="5" ht="15" customHeight="1" s="14">
      <c r="A5" s="10" t="inlineStr">
        <is>
          <t>03</t>
        </is>
      </c>
      <c r="B5" s="5" t="n">
        <v>44216</v>
      </c>
      <c r="C5" s="4" t="inlineStr">
        <is>
          <t>Sell</t>
        </is>
      </c>
      <c r="D5" s="4" t="n">
        <v>36.9</v>
      </c>
      <c r="E5" s="4" t="n">
        <v>1000</v>
      </c>
      <c r="F5" s="4" t="n">
        <v>20</v>
      </c>
      <c r="G5" s="6">
        <f>D5*E5+F5</f>
        <v/>
      </c>
      <c r="H5" s="6">
        <f>IF(C5="买入",H4+G5,H4-G5)</f>
        <v/>
      </c>
      <c r="I5" s="6">
        <f>IF(C5="买入",I4+E5,I4-E5)</f>
        <v/>
      </c>
      <c r="J5" s="17">
        <f>H5/I5</f>
        <v/>
      </c>
      <c r="K5" s="6">
        <f>D5</f>
        <v/>
      </c>
      <c r="L5" s="6">
        <f>I5*K5-H5</f>
        <v/>
      </c>
    </row>
  </sheetData>
  <conditionalFormatting sqref="L1 L3:L5">
    <cfRule type="cellIs" priority="2" operator="lessThan" dxfId="0">
      <formula>0</formula>
    </cfRule>
    <cfRule type="cellIs" priority="1" operator="greaterThan" dxfId="1">
      <formula>0</formula>
    </cfRule>
  </conditionalFormatting>
  <dataValidations count="1">
    <dataValidation sqref="C3:C5" showDropDown="0" showInputMessage="1" showErrorMessage="1" allowBlank="1" type="list">
      <formula1>"买入,卖出"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HUAWEI</dc:creator>
  <dcterms:created xsi:type="dcterms:W3CDTF">2024-02-06T14:59:12Z</dcterms:created>
  <dcterms:modified xsi:type="dcterms:W3CDTF">2025-07-08T01:05:35Z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8081AAB2823C4975A5BA2DFB71A0AD6D_13</vt:lpwstr>
  </property>
  <property name="KSOProductBuildVer" fmtid="{D5CDD505-2E9C-101B-9397-08002B2CF9AE}" pid="3">
    <vt:lpwstr>2052-12.1.0.16250</vt:lpwstr>
  </property>
</Properties>
</file>