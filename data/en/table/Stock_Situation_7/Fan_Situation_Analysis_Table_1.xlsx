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8800" windowHeight="12375" tabRatio="600" firstSheet="1" autoFilterDateGrouping="1"/>
  </bookViews>
  <sheets>
    <sheet name="Fan_Situation_Analysi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4">
    <font>
      <name val="Tahoma"/>
      <family val="2"/>
      <color theme="1"/>
      <sz val="11"/>
    </font>
    <font>
      <name val="Arial"/>
      <family val="2"/>
      <sz val="10"/>
    </font>
    <font>
      <name val="思源宋体 CN Heavy"/>
      <family val="2"/>
      <color theme="1"/>
      <sz val="11"/>
    </font>
    <font>
      <name val="思源宋体 CN Heavy"/>
      <family val="2"/>
      <sz val="20"/>
    </font>
    <font>
      <name val="思源宋体 CN Heavy"/>
      <family val="2"/>
      <sz val="16"/>
    </font>
    <font>
      <name val="思源宋体 CN Heavy"/>
      <family val="2"/>
      <b val="1"/>
      <color theme="0"/>
      <sz val="14"/>
    </font>
    <font>
      <name val="思源宋体 CN Heavy"/>
      <family val="2"/>
      <color theme="1"/>
      <sz val="14"/>
    </font>
    <font>
      <name val="宋体"/>
      <family val="2"/>
      <color theme="1"/>
      <sz val="11"/>
      <scheme val="minor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  <font>
      <name val="Tahoma"/>
      <family val="2"/>
      <color theme="0"/>
      <sz val="11"/>
    </font>
    <font>
      <name val="思源宋体 CN Heavy"/>
      <family val="2"/>
      <sz val="11"/>
    </font>
    <font>
      <name val="思源宋体 CN Heavy"/>
      <family val="2"/>
      <color theme="1" tint="0.35"/>
      <sz val="9"/>
    </font>
    <font>
      <name val="思源宋体 CN Heavy"/>
      <family val="2"/>
      <color theme="1" tint="0.25"/>
      <sz val="9"/>
    </font>
    <font>
      <name val="+mn-cs"/>
      <family val="2"/>
      <color theme="1" tint="0.35"/>
      <sz val="9"/>
    </font>
    <font>
      <name val="宋体"/>
      <family val="2"/>
      <color theme="1" tint="0.35"/>
      <sz val="9"/>
    </font>
    <font>
      <name val="Tahoma"/>
      <family val="2"/>
      <b val="1"/>
      <color theme="1"/>
      <sz val="11"/>
    </font>
    <font>
      <name val="Tahoma"/>
      <family val="2"/>
      <color rgb="FF0000FF"/>
      <sz val="11"/>
      <u val="single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theme="6"/>
      </left>
      <right style="thin">
        <color theme="6" tint="0.800000011920929"/>
      </right>
      <top/>
      <bottom style="thin">
        <color theme="6"/>
      </bottom>
    </border>
    <border>
      <left style="thin">
        <color theme="6" tint="0.800000011920929"/>
      </left>
      <right style="thin">
        <color theme="6" tint="0.800000011920929"/>
      </right>
      <top/>
      <bottom style="thin">
        <color theme="6"/>
      </bottom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</border>
    <border>
      <left style="thin">
        <color theme="6" tint="0.800000011920929"/>
      </left>
      <right style="thin">
        <color theme="6"/>
      </right>
      <top/>
      <bottom style="thin">
        <color theme="6"/>
      </bottom>
    </border>
  </borders>
  <cellStyleXfs count="55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7" fillId="0" borderId="0"/>
    <xf numFmtId="44" fontId="7" fillId="0" borderId="0"/>
    <xf numFmtId="9" fontId="7" fillId="0" borderId="0"/>
    <xf numFmtId="41" fontId="7" fillId="0" borderId="0"/>
    <xf numFmtId="42" fontId="7" fillId="0" borderId="0"/>
    <xf numFmtId="0" fontId="8" fillId="0" borderId="0"/>
    <xf numFmtId="0" fontId="9" fillId="0" borderId="0"/>
    <xf numFmtId="0" fontId="7" fillId="2" borderId="1"/>
    <xf numFmtId="0" fontId="10" fillId="0" borderId="0"/>
    <xf numFmtId="0" fontId="11" fillId="0" borderId="0"/>
    <xf numFmtId="0" fontId="12" fillId="0" borderId="0"/>
    <xf numFmtId="0" fontId="13" fillId="0" borderId="2"/>
    <xf numFmtId="0" fontId="14" fillId="0" borderId="2"/>
    <xf numFmtId="0" fontId="15" fillId="0" borderId="3"/>
    <xf numFmtId="0" fontId="15" fillId="0" borderId="0"/>
    <xf numFmtId="0" fontId="16" fillId="3" borderId="4"/>
    <xf numFmtId="0" fontId="17" fillId="4" borderId="5"/>
    <xf numFmtId="0" fontId="18" fillId="4" borderId="4"/>
    <xf numFmtId="0" fontId="19" fillId="5" borderId="6"/>
    <xf numFmtId="0" fontId="20" fillId="0" borderId="7"/>
    <xf numFmtId="0" fontId="21" fillId="0" borderId="8"/>
    <xf numFmtId="0" fontId="22" fillId="6" borderId="0"/>
    <xf numFmtId="0" fontId="23" fillId="7" borderId="0"/>
    <xf numFmtId="0" fontId="24" fillId="8" borderId="0"/>
    <xf numFmtId="0" fontId="25" fillId="9" borderId="0"/>
    <xf numFmtId="0" fontId="7" fillId="10" borderId="0"/>
    <xf numFmtId="0" fontId="7" fillId="11" borderId="0"/>
    <xf numFmtId="0" fontId="25" fillId="12" borderId="0"/>
    <xf numFmtId="0" fontId="25" fillId="13" borderId="0"/>
    <xf numFmtId="0" fontId="7" fillId="14" borderId="0"/>
    <xf numFmtId="0" fontId="7" fillId="15" borderId="0"/>
    <xf numFmtId="0" fontId="25" fillId="16" borderId="0"/>
    <xf numFmtId="0" fontId="25" fillId="33" borderId="0"/>
    <xf numFmtId="0" fontId="7" fillId="18" borderId="0"/>
    <xf numFmtId="0" fontId="7" fillId="19" borderId="0"/>
    <xf numFmtId="0" fontId="25" fillId="20" borderId="0"/>
    <xf numFmtId="0" fontId="25" fillId="21" borderId="0"/>
    <xf numFmtId="0" fontId="7" fillId="22" borderId="0"/>
    <xf numFmtId="0" fontId="7" fillId="23" borderId="0"/>
    <xf numFmtId="0" fontId="25" fillId="24" borderId="0"/>
    <xf numFmtId="0" fontId="26" fillId="25" borderId="0"/>
    <xf numFmtId="0" fontId="7" fillId="26" borderId="0"/>
    <xf numFmtId="0" fontId="7" fillId="27" borderId="0"/>
    <xf numFmtId="0" fontId="26" fillId="28" borderId="0"/>
    <xf numFmtId="0" fontId="25" fillId="29" borderId="0"/>
    <xf numFmtId="0" fontId="7" fillId="30" borderId="0"/>
    <xf numFmtId="0" fontId="7" fillId="31" borderId="0"/>
    <xf numFmtId="0" fontId="25" fillId="32" borderId="0"/>
    <xf numFmtId="0" fontId="33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60">
      <alignment horizontal="center" vertical="center"/>
    </xf>
    <xf numFmtId="0" fontId="4" fillId="0" borderId="0" applyAlignment="1" pivotButton="0" quotePrefix="0" xfId="60">
      <alignment vertical="center"/>
    </xf>
    <xf numFmtId="0" fontId="4" fillId="0" borderId="0" applyAlignment="1" pivotButton="0" quotePrefix="0" xfId="60">
      <alignment horizontal="left" vertical="center"/>
    </xf>
    <xf numFmtId="0" fontId="5" fillId="33" borderId="9" applyAlignment="1" pivotButton="0" quotePrefix="0" xfId="63">
      <alignment horizontal="center" vertical="center"/>
    </xf>
    <xf numFmtId="0" fontId="5" fillId="33" borderId="10" applyAlignment="1" pivotButton="0" quotePrefix="0" xfId="63">
      <alignment horizontal="center" vertical="center"/>
    </xf>
    <xf numFmtId="0" fontId="6" fillId="0" borderId="11" applyAlignment="1" pivotButton="0" quotePrefix="0" xfId="63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60">
      <alignment horizontal="center" vertical="center"/>
    </xf>
    <xf numFmtId="0" fontId="5" fillId="33" borderId="12" applyAlignment="1" pivotButton="0" quotePrefix="0" xfId="63">
      <alignment horizontal="center" vertical="center"/>
    </xf>
    <xf numFmtId="0" fontId="32" fillId="0" borderId="0" pivotButton="0" quotePrefix="0" xfId="0"/>
    <xf numFmtId="0" fontId="33" fillId="0" borderId="0" pivotButton="0" quotePrefix="0" xfId="68"/>
    <xf numFmtId="0" fontId="33" fillId="0" borderId="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vert="horz" anchor="ctr"/>
          <a:lstStyle/>
          <a:p>
            <a:pPr algn="ctr">
              <a:defRPr/>
            </a:pPr>
            <a:r>
              <a:rPr lang="en-US" sz="1600" b="0" i="0" baseline="0">
                <a:latin typeface="思源宋体 CN Heavy"/>
                <a:ea typeface="思源宋体 CN Heavy"/>
                <a:cs typeface="思源宋体 CN Heavy"/>
              </a:rPr>
              <a:t>各月粉丝增加量、取关量分析</a:t>
            </a:r>
          </a:p>
        </rich>
      </tx>
      <layout/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Fan_Situation_Analysis!$B$5</f>
              <strCache>
                <ptCount val="1"/>
                <pt idx="0">
                  <v>增加量</v>
                </pt>
              </strCache>
            </strRef>
          </tx>
          <spPr>
            <a:solidFill>
              <a:schemeClr val="accent3">
                <a:shade val="65000"/>
              </a:schemeClr>
            </a:solidFill>
            <a:ln>
              <a:noFill/>
              <a:prstDash val="solid"/>
            </a:ln>
          </spPr>
          <invertIfNegative val="0"/>
          <dLbls>
            <numFmt formatCode="General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Fan_Situation_Analysis!$C$4:$N$4</f>
              <strCache/>
            </strRef>
          </cat>
          <val>
            <numRef>
              <f>Fan_Situation_Analysis!$C$5:$N$5</f>
              <numCache/>
            </numRef>
          </val>
        </ser>
        <ser>
          <idx val="1"/>
          <order val="1"/>
          <tx>
            <strRef>
              <f>Fan_Situation_Analysis!$B$6</f>
              <strCache>
                <ptCount val="1"/>
                <pt idx="0">
                  <v>取关量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dLbls>
            <numFmt formatCode="General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Fan_Situation_Analysis!$C$4:$N$4</f>
              <strCache/>
            </strRef>
          </cat>
          <val>
            <numRef>
              <f>Fan_Situation_Analysis!$C$6:$N$6</f>
              <numCache/>
            </numRef>
          </val>
        </ser>
        <ser>
          <idx val="2"/>
          <order val="2"/>
          <tx>
            <strRef>
              <f>Fan_Situation_Analysis!$B$7</f>
              <strCache>
                <ptCount val="1"/>
                <pt idx="0">
                  <v>实际增加量</v>
                </pt>
              </strCache>
            </strRef>
          </tx>
          <spPr>
            <a:solidFill>
              <a:schemeClr val="accent3">
                <a:tint val="65000"/>
              </a:schemeClr>
            </a:solidFill>
            <a:ln>
              <a:noFill/>
              <a:prstDash val="solid"/>
            </a:ln>
          </spPr>
          <invertIfNegative val="0"/>
          <dLbls>
            <numFmt formatCode="General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Fan_Situation_Analysis!$C$4:$N$4</f>
              <strCache/>
            </strRef>
          </cat>
          <val>
            <numRef>
              <f>Fan_Situation_Analysis!$C$7:$N$7</f>
              <numCache/>
            </numRef>
          </val>
        </ser>
        <gapWidth val="219"/>
        <overlap val="-27"/>
        <axId val="55656277"/>
        <axId val="31144446"/>
      </barChart>
      <catAx>
        <axId val="5565627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/>
          <a:lstStyle/>
          <a:p>
            <a:pPr>
              <a:defRPr lang="en-US" sz="900" b="0" i="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 CN Heavy"/>
                <a:ea typeface="思源宋体 CN Heavy"/>
                <a:cs typeface="思源宋体 CN Heavy"/>
              </a:defRPr>
            </a:pPr>
            <a:r>
              <a:t/>
            </a:r>
          </a:p>
        </txPr>
        <crossAx val="31144446"/>
        <crosses val="autoZero"/>
        <auto val="1"/>
        <lblOffset val="100"/>
        <noMultiLvlLbl val="0"/>
      </catAx>
      <valAx>
        <axId val="31144446"/>
        <scaling>
          <orientation val="minMax"/>
          <max val="2600"/>
          <min val="0"/>
        </scaling>
        <delete val="0"/>
        <axPos val="l"/>
        <majorGridlines>
          <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/>
          <a:lstStyle/>
          <a:p>
            <a:pPr>
              <a:defRPr lang="en-US" sz="900" b="0" i="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 CN Heavy"/>
                <a:ea typeface="思源宋体 CN Heavy"/>
                <a:cs typeface="思源宋体 CN Heavy"/>
              </a:defRPr>
            </a:pPr>
            <a:r>
              <a:t/>
            </a:r>
          </a:p>
        </txPr>
        <crossAx val="55656277"/>
        <crosses val="autoZero"/>
        <crossBetween val="between"/>
        <dispUnits/>
      </valAx>
    </plotArea>
    <legend>
      <legendPos val="b"/>
      <layout/>
      <overlay val="0"/>
      <spPr>
        <a:noFill/>
        <a:ln>
          <a:noFill/>
          <a:prstDash val="solid"/>
        </a:ln>
      </spPr>
      <txPr>
        <a:bodyPr rot="0" vert="horz"/>
        <a:lstStyle/>
        <a:p>
          <a:pPr>
            <a:defRPr lang="en-US" sz="900" b="0" i="0" baseline="0">
              <a:solidFill>
                <a:schemeClr val="tx1">
                  <a:lumMod val="65000"/>
                  <a:lumOff val="35000"/>
                </a:schemeClr>
              </a:solidFill>
              <a:latin typeface="思源宋体 CN Heavy"/>
              <a:ea typeface="思源宋体 CN Heavy"/>
              <a:cs typeface="思源宋体 CN Heavy"/>
            </a:defRPr>
          </a:pPr>
          <a:r>
            <a:t/>
          </a:r>
        </a:p>
      </txPr>
    </legend>
    <plotVisOnly val="1"/>
    <dispBlanksAs val="gap"/>
  </chart>
  <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vert="horz" anchor="ctr"/>
          <a:lstStyle/>
          <a:p>
            <a:pPr algn="ctr">
              <a:defRPr/>
            </a:pPr>
            <a:r>
              <a:rPr lang="en-US" sz="1600" b="0" i="0" baseline="0">
                <a:latin typeface="思源宋体 CN Heavy"/>
                <a:ea typeface="思源宋体 CN Heavy"/>
                <a:cs typeface="思源宋体 CN Heavy"/>
              </a:rPr>
              <a:t>各月粉丝实际增加量分析</a:t>
            </a:r>
          </a:p>
        </rich>
      </tx>
      <layout/>
      <overlay val="0"/>
      <spPr>
        <a:noFill/>
        <a:ln>
          <a:noFill/>
          <a:prstDash val="solid"/>
        </a:ln>
      </spPr>
    </title>
    <plotArea>
      <layout/>
      <pieChart>
        <varyColors val="1"/>
        <ser>
          <idx val="0"/>
          <order val="0"/>
          <tx>
            <strRef>
              <f>Fan_Situation_Analysis!$B$7</f>
              <strCache>
                <ptCount val="1"/>
                <pt idx="0">
                  <v>实际增加量</v>
                </pt>
              </strCache>
            </strRef>
          </tx>
          <spPr>
            <a:ln>
              <a:prstDash val="solid"/>
            </a:ln>
          </spPr>
          <explosion val="17"/>
          <dPt>
            <idx val="0"/>
            <spPr>
              <a:solidFill>
                <a:schemeClr val="accent3">
                  <a:shade val="40769"/>
                </a:schemeClr>
              </a:solidFill>
              <a:ln w="19050">
                <a:solidFill>
                  <a:schemeClr val="bg1"/>
                </a:solidFill>
                <a:prstDash val="solid"/>
              </a:ln>
            </spPr>
          </dPt>
          <dPt>
            <idx val="1"/>
            <spPr>
              <a:solidFill>
                <a:schemeClr val="accent3">
                  <a:shade val="51538"/>
                </a:schemeClr>
              </a:solidFill>
              <a:ln w="19050">
                <a:solidFill>
                  <a:schemeClr val="bg1"/>
                </a:solidFill>
                <a:prstDash val="solid"/>
              </a:ln>
            </spPr>
          </dPt>
          <dPt>
            <idx val="2"/>
            <spPr>
              <a:solidFill>
                <a:schemeClr val="accent3">
                  <a:shade val="62308"/>
                </a:schemeClr>
              </a:solidFill>
              <a:ln w="19050">
                <a:solidFill>
                  <a:schemeClr val="bg1"/>
                </a:solidFill>
                <a:prstDash val="solid"/>
              </a:ln>
            </spPr>
          </dPt>
          <dPt>
            <idx val="3"/>
            <spPr>
              <a:solidFill>
                <a:schemeClr val="accent3">
                  <a:shade val="73077"/>
                </a:schemeClr>
              </a:solidFill>
              <a:ln w="19050">
                <a:solidFill>
                  <a:schemeClr val="bg1"/>
                </a:solidFill>
                <a:prstDash val="solid"/>
              </a:ln>
            </spPr>
          </dPt>
          <dPt>
            <idx val="4"/>
            <spPr>
              <a:solidFill>
                <a:schemeClr val="accent3">
                  <a:shade val="83846"/>
                </a:schemeClr>
              </a:solidFill>
              <a:ln w="19050">
                <a:solidFill>
                  <a:schemeClr val="bg1"/>
                </a:solidFill>
                <a:prstDash val="solid"/>
              </a:ln>
            </spPr>
          </dPt>
          <dPt>
            <idx val="5"/>
            <spPr>
              <a:solidFill>
                <a:schemeClr val="accent3">
                  <a:shade val="94615"/>
                </a:schemeClr>
              </a:solidFill>
              <a:ln w="19050">
                <a:solidFill>
                  <a:schemeClr val="bg1"/>
                </a:solidFill>
                <a:prstDash val="solid"/>
              </a:ln>
            </spPr>
          </dPt>
          <dPt>
            <idx val="6"/>
            <spPr>
              <a:solidFill>
                <a:schemeClr val="accent3">
                  <a:tint val="94615"/>
                </a:schemeClr>
              </a:solidFill>
              <a:ln w="19050">
                <a:solidFill>
                  <a:schemeClr val="bg1"/>
                </a:solidFill>
                <a:prstDash val="solid"/>
              </a:ln>
            </spPr>
          </dPt>
          <dPt>
            <idx val="7"/>
            <spPr>
              <a:solidFill>
                <a:schemeClr val="accent3">
                  <a:tint val="83846"/>
                </a:schemeClr>
              </a:solidFill>
              <a:ln w="19050">
                <a:solidFill>
                  <a:schemeClr val="bg1"/>
                </a:solidFill>
                <a:prstDash val="solid"/>
              </a:ln>
            </spPr>
          </dPt>
          <dPt>
            <idx val="8"/>
            <spPr>
              <a:solidFill>
                <a:schemeClr val="accent3">
                  <a:tint val="73077"/>
                </a:schemeClr>
              </a:solidFill>
              <a:ln w="19050">
                <a:solidFill>
                  <a:schemeClr val="bg1"/>
                </a:solidFill>
                <a:prstDash val="solid"/>
              </a:ln>
            </spPr>
          </dPt>
          <dPt>
            <idx val="9"/>
            <spPr>
              <a:solidFill>
                <a:schemeClr val="accent3">
                  <a:tint val="62308"/>
                </a:schemeClr>
              </a:solidFill>
              <a:ln w="19050">
                <a:solidFill>
                  <a:schemeClr val="bg1"/>
                </a:solidFill>
                <a:prstDash val="solid"/>
              </a:ln>
            </spPr>
          </dPt>
          <dPt>
            <idx val="10"/>
            <spPr>
              <a:solidFill>
                <a:schemeClr val="accent3">
                  <a:tint val="51538"/>
                </a:schemeClr>
              </a:solidFill>
              <a:ln w="19050">
                <a:solidFill>
                  <a:schemeClr val="bg1"/>
                </a:solidFill>
                <a:prstDash val="solid"/>
              </a:ln>
            </spPr>
          </dPt>
          <dPt>
            <idx val="11"/>
            <spPr>
              <a:solidFill>
                <a:schemeClr val="accent3">
                  <a:tint val="40769"/>
                </a:schemeClr>
              </a:solidFill>
              <a:ln w="19050">
                <a:solidFill>
                  <a:schemeClr val="bg1"/>
                </a:solidFill>
                <a:prstDash val="solid"/>
              </a:ln>
            </spPr>
          </dPt>
          <dLbls>
            <numFmt formatCode="General"/>
            <spPr>
              <a:noFill/>
              <a:ln>
                <a:noFill/>
                <a:prstDash val="solid"/>
              </a:ln>
            </spPr>
            <txPr>
              <a:bodyPr rot="0" vert="horz" anchor="ctr"/>
              <a:lstStyle/>
              <a:p>
                <a:pPr algn="ctr">
                  <a:defRPr lang="en-US" sz="900" b="0" i="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思源宋体 CN Heavy"/>
                    <a:ea typeface="思源宋体 CN Heavy"/>
                    <a:cs typeface="思源宋体 CN Heavy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Ref>
              <f>Fan_Situation_Analysis!$C$4:$N$4</f>
              <strCache/>
            </strRef>
          </cat>
          <val>
            <numRef>
              <f>Fan_Situation_Analysis!$C$7:$N$7</f>
              <numCache/>
            </numRef>
          </val>
        </ser>
        <firstSliceAng val="0"/>
      </pieChart>
    </plotArea>
    <legend>
      <legendPos val="r"/>
      <layout/>
      <overlay val="0"/>
      <spPr>
        <a:noFill/>
        <a:ln>
          <a:noFill/>
          <a:prstDash val="solid"/>
        </a:ln>
      </spPr>
      <txPr>
        <a:bodyPr rot="0" vert="horz"/>
        <a:lstStyle/>
        <a:p>
          <a:pPr>
            <a:defRPr lang="en-US" sz="900" b="0" i="0" baseline="0">
              <a:solidFill>
                <a:schemeClr val="tx1">
                  <a:lumMod val="65000"/>
                  <a:lumOff val="35000"/>
                </a:schemeClr>
              </a:solidFill>
              <a:latin typeface="思源宋体 CN Heavy"/>
              <a:ea typeface="思源宋体 CN Heavy"/>
              <a:cs typeface="思源宋体 CN Heavy"/>
            </a:defRPr>
          </a:pPr>
          <a:r>
            <a:t/>
          </a:r>
        </a:p>
      </txPr>
    </legend>
    <plotVisOnly val="1"/>
    <dispBlanksAs val="gap"/>
  </chart>
  <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vert="horz" anchor="ctr"/>
          <a:lstStyle/>
          <a:p>
            <a:pPr algn="ctr">
              <a:defRPr/>
            </a:pPr>
            <a:r>
              <a:rPr lang="en-US" sz="1600" b="0" i="0" baseline="0">
                <a:latin typeface="思源宋体 CN Heavy"/>
                <a:ea typeface="思源宋体 CN Heavy"/>
                <a:cs typeface="思源宋体 CN Heavy"/>
              </a:rPr>
              <a:t>各月粉丝累计增量分析</a:t>
            </a:r>
          </a:p>
        </rich>
      </tx>
      <layout/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1"/>
          <order val="0"/>
          <tx>
            <strRef>
              <f>Fan_Situation_Analysis!$B$8</f>
              <strCache>
                <ptCount val="1"/>
                <pt idx="0">
                  <v>累积总人数</v>
                </pt>
              </strCache>
            </strRef>
          </tx>
          <spPr>
            <a:solidFill>
              <a:schemeClr val="accent3">
                <a:tint val="76667"/>
              </a:schemeClr>
            </a:solidFill>
            <a:ln>
              <a:noFill/>
              <a:prstDash val="solid"/>
            </a:ln>
          </spPr>
          <invertIfNegative val="0"/>
          <dLbls>
            <numFmt formatCode="General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Fan_Situation_Analysis!$C$4:$N$4</f>
              <strCache/>
            </strRef>
          </cat>
          <val>
            <numRef>
              <f>Fan_Situation_Analysis!$C$8:$N$8</f>
              <numCache/>
            </numRef>
          </val>
        </ser>
        <gapWidth val="219"/>
        <overlap val="-27"/>
        <axId val="11864559"/>
        <axId val="39672168"/>
      </barChart>
      <lineChart>
        <grouping val="standard"/>
        <varyColors val="0"/>
        <ser>
          <idx val="2"/>
          <order val="1"/>
          <tx>
            <strRef>
              <f>Fan_Situation_Analysis!$B$7</f>
              <strCache>
                <ptCount val="1"/>
                <pt idx="0">
                  <v>实际增加量</v>
                </pt>
              </strCache>
            </strRef>
          </tx>
          <spPr>
            <a:ln w="28575" cap="rnd">
              <a:solidFill>
                <a:schemeClr val="accent3">
                  <a:shade val="76667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numFmt formatCode="General"/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Fan_Situation_Analysis!$C$4:$N$4</f>
              <strCache/>
            </strRef>
          </cat>
          <val>
            <numRef>
              <f>Fan_Situation_Analysis!$C$7:$N$7</f>
              <numCache/>
            </numRef>
          </val>
          <smooth val="0"/>
        </ser>
        <axId val="21505193"/>
        <axId val="59329010"/>
      </lineChart>
      <catAx>
        <axId val="1186455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/>
          <a:lstStyle/>
          <a:p>
            <a:pPr>
              <a:defRPr lang="en-US" sz="900" b="0" i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cs"/>
                <a:cs typeface="+mn-cs"/>
              </a:defRPr>
            </a:pPr>
            <a:r>
              <a:t/>
            </a:r>
          </a:p>
        </txPr>
        <crossAx val="39672168"/>
        <crosses val="autoZero"/>
        <auto val="1"/>
        <lblOffset val="100"/>
        <noMultiLvlLbl val="0"/>
      </catAx>
      <valAx>
        <axId val="39672168"/>
        <scaling>
          <orientation val="minMax"/>
          <max val="26000"/>
          <min val="0"/>
        </scaling>
        <delete val="0"/>
        <axPos val="l"/>
        <majorGridlines>
          <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/>
          <a:lstStyle/>
          <a:p>
            <a:pPr>
              <a:defRPr lang="en-US" sz="900" b="0" i="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 CN Heavy"/>
                <a:ea typeface="思源宋体 CN Heavy"/>
                <a:cs typeface="思源宋体 CN Heavy"/>
              </a:defRPr>
            </a:pPr>
            <a:r>
              <a:t/>
            </a:r>
          </a:p>
        </txPr>
        <crossAx val="11864559"/>
        <crosses val="autoZero"/>
        <crossBetween val="between"/>
        <dispUnits/>
      </valAx>
      <catAx>
        <axId val="21505193"/>
        <scaling>
          <orientation val="minMax"/>
        </scaling>
        <delete val="1"/>
        <axPos val="b"/>
        <majorTickMark val="out"/>
        <minorTickMark val="none"/>
        <tickLblPos val="nextTo"/>
        <txPr>
          <a:bodyPr/>
          <a:lstStyle/>
          <a:p>
            <a:pPr>
              <a:defRPr lang="en-US" sz="900" b="0" i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cs"/>
                <a:cs typeface="+mn-cs"/>
              </a:defRPr>
            </a:pPr>
            <a:r>
              <a:t/>
            </a:r>
          </a:p>
        </txPr>
        <crossAx val="59329010"/>
        <crosses val="autoZero"/>
        <auto val="1"/>
        <lblOffset val="100"/>
        <noMultiLvlLbl val="0"/>
      </catAx>
      <valAx>
        <axId val="59329010"/>
        <scaling>
          <orientation val="minMax"/>
        </scaling>
        <delete val="0"/>
        <axPos val="l"/>
        <numFmt formatCode="General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/>
          <a:lstStyle/>
          <a:p>
            <a:pPr>
              <a:defRPr lang="en-US" sz="900" b="0" i="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 CN Heavy"/>
                <a:ea typeface="思源宋体 CN Heavy"/>
                <a:cs typeface="思源宋体 CN Heavy"/>
              </a:defRPr>
            </a:pPr>
            <a:r>
              <a:t/>
            </a:r>
          </a:p>
        </txPr>
        <crossAx val="21505193"/>
        <crosses val="max"/>
        <crossBetween val="between"/>
        <dispUnits/>
      </valAx>
    </plotArea>
    <legend>
      <legendPos val="b"/>
      <layout/>
      <overlay val="0"/>
      <spPr>
        <a:noFill/>
        <a:ln>
          <a:noFill/>
          <a:prstDash val="solid"/>
        </a:ln>
      </spPr>
      <txPr>
        <a:bodyPr rot="0" vert="horz"/>
        <a:lstStyle/>
        <a:p>
          <a:pPr>
            <a:defRPr lang="en-US" sz="900" b="0" i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宋体"/>
              <a:cs typeface="宋体"/>
            </a:defRPr>
          </a:pPr>
          <a:r>
            <a:t/>
          </a:r>
        </a:p>
      </txPr>
    </legend>
    <plotVisOnly val="1"/>
    <dispBlanksAs val="gap"/>
  </chart>
  <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9525</colOff>
      <row>7</row>
      <rowOff>352425</rowOff>
    </from>
    <to>
      <col>13</col>
      <colOff>933450</colOff>
      <row>22</row>
      <rowOff>180975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9525</colOff>
      <row>22</row>
      <rowOff>180975</rowOff>
    </from>
    <to>
      <col>7</col>
      <colOff>19050</colOff>
      <row>43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7</col>
      <colOff>9525</colOff>
      <row>22</row>
      <rowOff>180975</rowOff>
    </from>
    <to>
      <col>14</col>
      <colOff>9525</colOff>
      <row>43</row>
      <rowOff>28575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9"/>
  <sheetViews>
    <sheetView showGridLines="0" topLeftCell="A1" zoomScale="70" zoomScaleNormal="70" workbookViewId="0">
      <selection activeCell="B2" sqref="B2:N2"/>
    </sheetView>
  </sheetViews>
  <sheetFormatPr baseColWidth="8" defaultColWidth="9.00390625" defaultRowHeight="14.25"/>
  <cols>
    <col width="9.00390625" customWidth="1" style="1" min="1" max="1"/>
    <col width="15.50390625" customWidth="1" style="1" min="2" max="2"/>
    <col width="12.375" customWidth="1" style="1" min="3" max="14"/>
    <col width="9.00390625" customWidth="1" style="1" min="15" max="16384"/>
  </cols>
  <sheetData>
    <row r="1" ht="14.25" customHeight="1"/>
    <row r="2" ht="25.5" customHeight="1">
      <c r="B2" s="2" t="inlineStr">
        <is>
          <t>20** Annual Weibo Fan Situation Analysis Table</t>
        </is>
      </c>
    </row>
    <row r="3" ht="20.25" customHeight="1">
      <c r="B3" s="3" t="inlineStr">
        <is>
          <t>Basic fan count:</t>
        </is>
      </c>
      <c r="C3" s="4" t="n">
        <v>8506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9" t="inlineStr">
        <is>
          <t>Unit: People</t>
        </is>
      </c>
    </row>
    <row r="4" ht="28.5" customHeight="1">
      <c r="B4" s="5" t="inlineStr">
        <is>
          <t>Project</t>
        </is>
      </c>
      <c r="C4" s="6" t="inlineStr">
        <is>
          <t>January</t>
        </is>
      </c>
      <c r="D4" s="6" t="inlineStr">
        <is>
          <t>February</t>
        </is>
      </c>
      <c r="E4" s="6" t="inlineStr">
        <is>
          <t>March</t>
        </is>
      </c>
      <c r="F4" s="6" t="inlineStr">
        <is>
          <t>April</t>
        </is>
      </c>
      <c r="G4" s="6" t="inlineStr">
        <is>
          <t>May</t>
        </is>
      </c>
      <c r="H4" s="6" t="inlineStr">
        <is>
          <t>June</t>
        </is>
      </c>
      <c r="I4" s="6" t="inlineStr">
        <is>
          <t>July</t>
        </is>
      </c>
      <c r="J4" s="6" t="inlineStr">
        <is>
          <t>August</t>
        </is>
      </c>
      <c r="K4" s="6" t="inlineStr">
        <is>
          <t>September</t>
        </is>
      </c>
      <c r="L4" s="6" t="inlineStr">
        <is>
          <t>October</t>
        </is>
      </c>
      <c r="M4" s="6" t="inlineStr">
        <is>
          <t>November</t>
        </is>
      </c>
      <c r="N4" s="10" t="inlineStr">
        <is>
          <t>December</t>
        </is>
      </c>
    </row>
    <row r="5" ht="27.75" customHeight="1">
      <c r="B5" s="7" t="inlineStr">
        <is>
          <t>Increase Volume</t>
        </is>
      </c>
      <c r="C5" s="7" t="n">
        <v>1800</v>
      </c>
      <c r="D5" s="7" t="n">
        <v>1800</v>
      </c>
      <c r="E5" s="7" t="n">
        <v>1600</v>
      </c>
      <c r="F5" s="7" t="n">
        <v>1200</v>
      </c>
      <c r="G5" s="7" t="n">
        <v>1500</v>
      </c>
      <c r="H5" s="7" t="n">
        <v>1200</v>
      </c>
      <c r="I5" s="7" t="n">
        <v>1850</v>
      </c>
      <c r="J5" s="7" t="n">
        <v>1987</v>
      </c>
      <c r="K5" s="7" t="n">
        <v>1140</v>
      </c>
      <c r="L5" s="7" t="n">
        <v>2500</v>
      </c>
      <c r="M5" s="7" t="n">
        <v>1250</v>
      </c>
      <c r="N5" s="7" t="n">
        <v>1562</v>
      </c>
    </row>
    <row r="6" ht="28.5" customHeight="1">
      <c r="B6" s="7" t="inlineStr">
        <is>
          <t>Unfollowed amount</t>
        </is>
      </c>
      <c r="C6" s="7" t="n">
        <v>260</v>
      </c>
      <c r="D6" s="7" t="n">
        <v>260</v>
      </c>
      <c r="E6" s="7" t="n">
        <v>270</v>
      </c>
      <c r="F6" s="7" t="n">
        <v>215</v>
      </c>
      <c r="G6" s="7" t="n">
        <v>225</v>
      </c>
      <c r="H6" s="7" t="n">
        <v>225</v>
      </c>
      <c r="I6" s="7" t="n">
        <v>221</v>
      </c>
      <c r="J6" s="7" t="n">
        <v>224</v>
      </c>
      <c r="K6" s="7" t="n">
        <v>225</v>
      </c>
      <c r="L6" s="7" t="n">
        <v>226</v>
      </c>
      <c r="M6" s="7" t="n">
        <v>228</v>
      </c>
      <c r="N6" s="7" t="n">
        <v>230</v>
      </c>
    </row>
    <row r="7" ht="28.5" customHeight="1">
      <c r="B7" s="7" t="inlineStr">
        <is>
          <t>Actual increase</t>
        </is>
      </c>
      <c r="C7" s="7">
        <f>C5-C6</f>
        <v/>
      </c>
      <c r="D7" s="7">
        <f>D5-D6</f>
        <v/>
      </c>
      <c r="E7" s="7">
        <f>E5-E6</f>
        <v/>
      </c>
      <c r="F7" s="7">
        <f>F5-F6</f>
        <v/>
      </c>
      <c r="G7" s="7">
        <f>G5-G6</f>
        <v/>
      </c>
      <c r="H7" s="7">
        <f>H5-H6</f>
        <v/>
      </c>
      <c r="I7" s="7">
        <f>I5-I6</f>
        <v/>
      </c>
      <c r="J7" s="7">
        <f>J5-J6</f>
        <v/>
      </c>
      <c r="K7" s="7">
        <f>K5-K6</f>
        <v/>
      </c>
      <c r="L7" s="7">
        <f>L5-L6</f>
        <v/>
      </c>
      <c r="M7" s="7">
        <f>M5-M6</f>
        <v/>
      </c>
      <c r="N7" s="7">
        <f>N5-N6</f>
        <v/>
      </c>
    </row>
    <row r="8" ht="28.5" customHeight="1">
      <c r="B8" s="7" t="inlineStr">
        <is>
          <t>Cumulative total number of people</t>
        </is>
      </c>
      <c r="C8" s="7">
        <f>C3+C7</f>
        <v/>
      </c>
      <c r="D8" s="7">
        <f>C8+D7</f>
        <v/>
      </c>
      <c r="E8" s="7">
        <f>D8+E7</f>
        <v/>
      </c>
      <c r="F8" s="7">
        <f>E8+F7</f>
        <v/>
      </c>
      <c r="G8" s="7">
        <f>F8+G7</f>
        <v/>
      </c>
      <c r="H8" s="7">
        <f>G8+H7</f>
        <v/>
      </c>
      <c r="I8" s="7">
        <f>H8+I7</f>
        <v/>
      </c>
      <c r="J8" s="7">
        <f>I8+J7</f>
        <v/>
      </c>
      <c r="K8" s="7">
        <f>J8+K7</f>
        <v/>
      </c>
      <c r="L8" s="7">
        <f>K8+L7</f>
        <v/>
      </c>
      <c r="M8" s="7">
        <f>L8+M7</f>
        <v/>
      </c>
      <c r="N8" s="7">
        <f>M8+N7</f>
        <v/>
      </c>
    </row>
    <row r="9" ht="15.75" customHeight="1"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</sheetData>
  <mergeCells count="2">
    <mergeCell ref="B2:N2"/>
    <mergeCell ref="M3:N3"/>
  </mergeCells>
  <pageMargins left="0.708333333333333" right="0.708333333333333" top="0.747916666666667" bottom="0.747916666666667" header="0.314583333333333" footer="0.314583333333333"/>
  <pageSetup orientation="landscape" paperSize="9" horizontalDpi="600" verticalDpi="6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2008-09-11T17:22:00Z</dcterms:created>
  <dcterms:modified xsi:type="dcterms:W3CDTF">2025-07-08T01:05:13Z</dcterms:modified>
  <cp:lastModifiedBy>UMBRA~</cp:lastModifiedBy>
  <cp:lastPrinted>2016-08-12T08:29:00Z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7D1207331C66409085DAEC94A1E45A91_11</vt:lpwstr>
  </property>
  <property name="KSOProductBuildVer" fmtid="{D5CDD505-2E9C-101B-9397-08002B2CF9AE}" pid="3">
    <vt:lpwstr>2052-12.1.0.16388</vt:lpwstr>
  </property>
  <property name="KSOTemplateUUID" fmtid="{D5CDD505-2E9C-101B-9397-08002B2CF9AE}" pid="4">
    <vt:lpwstr>v1.0_mb_2eE+BTs66o4HTdCC+bBYww==</vt:lpwstr>
  </property>
</Properties>
</file>