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3040" windowHeight="10500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4">
    <font>
      <name val="Calibri"/>
      <family val="2"/>
      <color theme="1"/>
      <sz val="11"/>
      <scheme val="minor"/>
    </font>
    <font>
      <name val="Arial"/>
      <family val="2"/>
      <sz val="10"/>
    </font>
    <font>
      <name val="楷体"/>
      <family val="3"/>
      <color theme="1"/>
      <sz val="12"/>
    </font>
    <font>
      <name val="楷体"/>
      <family val="3"/>
      <b val="1"/>
      <color theme="1"/>
      <sz val="26"/>
    </font>
    <font>
      <name val="楷体"/>
      <family val="3"/>
      <b val="1"/>
      <color theme="0"/>
      <sz val="12"/>
    </font>
    <font>
      <name val="楷体"/>
      <family val="3"/>
      <color theme="1"/>
      <sz val="10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theme="4" tint="-0.2499700039625168"/>
      </left>
      <right style="medium">
        <color theme="4" tint="-0.2499700039625168"/>
      </right>
      <top style="medium">
        <color theme="4" tint="-0.2499700039625168"/>
      </top>
      <bottom style="medium">
        <color theme="4" tint="-0.2499700039625168"/>
      </bottom>
    </border>
    <border>
      <left/>
      <right/>
      <top style="medium">
        <color theme="4" tint="-0.2499700039625168"/>
      </top>
      <bottom/>
      <diagonal/>
    </border>
    <border>
      <left/>
      <right style="medium">
        <color theme="4" tint="-0.2499700039625168"/>
      </right>
      <top style="medium">
        <color theme="4" tint="-0.2499700039625168"/>
      </top>
      <bottom/>
      <diagonal/>
    </border>
    <border>
      <left/>
      <right/>
      <top style="medium">
        <color theme="4" tint="-0.2499700039625168"/>
      </top>
      <bottom style="medium">
        <color theme="4" tint="-0.2499700039625168"/>
      </bottom>
      <diagonal/>
    </border>
    <border>
      <left/>
      <right style="medium">
        <color theme="4" tint="-0.2499700039625168"/>
      </right>
      <top style="medium">
        <color theme="4" tint="-0.2499700039625168"/>
      </top>
      <bottom style="medium">
        <color theme="4" tint="-0.2499700039625168"/>
      </bottom>
      <diagonal/>
    </border>
    <border>
      <left style="medium">
        <color theme="4" tint="-0.2499700039625168"/>
      </left>
      <right/>
      <top/>
      <bottom/>
      <diagonal/>
    </border>
    <border>
      <left style="medium">
        <color theme="4" tint="-0.2499700039625168"/>
      </left>
      <right style="medium">
        <color theme="4" tint="-0.2499700039625168"/>
      </right>
      <top/>
      <bottom/>
      <diagonal/>
    </border>
    <border>
      <left style="medium">
        <color theme="4" tint="-0.2499700039625168"/>
      </left>
      <right style="medium">
        <color theme="4" tint="-0.2499700039625168"/>
      </right>
      <top/>
      <bottom style="medium">
        <color theme="4" tint="-0.2499700039625168"/>
      </bottom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/>
    <xf numFmtId="0" fontId="7" fillId="0" borderId="0"/>
    <xf numFmtId="0" fontId="0" fillId="2" borderId="1"/>
    <xf numFmtId="0" fontId="8" fillId="0" borderId="0"/>
    <xf numFmtId="0" fontId="9" fillId="0" borderId="0"/>
    <xf numFmtId="0" fontId="10" fillId="0" borderId="0"/>
    <xf numFmtId="0" fontId="11" fillId="0" borderId="2"/>
    <xf numFmtId="0" fontId="12" fillId="0" borderId="2"/>
    <xf numFmtId="0" fontId="13" fillId="0" borderId="3"/>
    <xf numFmtId="0" fontId="13" fillId="0" borderId="0"/>
    <xf numFmtId="0" fontId="14" fillId="3" borderId="4"/>
    <xf numFmtId="0" fontId="15" fillId="4" borderId="5"/>
    <xf numFmtId="0" fontId="16" fillId="4" borderId="4"/>
    <xf numFmtId="0" fontId="17" fillId="5" borderId="6"/>
    <xf numFmtId="0" fontId="18" fillId="0" borderId="7"/>
    <xf numFmtId="0" fontId="19" fillId="0" borderId="8"/>
    <xf numFmtId="0" fontId="20" fillId="6" borderId="0"/>
    <xf numFmtId="0" fontId="21" fillId="7" borderId="0"/>
    <xf numFmtId="0" fontId="22" fillId="8" borderId="0"/>
    <xf numFmtId="0" fontId="23" fillId="9" borderId="0"/>
    <xf numFmtId="0" fontId="0" fillId="10" borderId="0"/>
    <xf numFmtId="0" fontId="0" fillId="11" borderId="0"/>
    <xf numFmtId="0" fontId="23" fillId="12" borderId="0"/>
    <xf numFmtId="0" fontId="23" fillId="13" borderId="0"/>
    <xf numFmtId="0" fontId="0" fillId="14" borderId="0"/>
    <xf numFmtId="0" fontId="0" fillId="15" borderId="0"/>
    <xf numFmtId="0" fontId="23" fillId="16" borderId="0"/>
    <xf numFmtId="0" fontId="23" fillId="17" borderId="0"/>
    <xf numFmtId="0" fontId="0" fillId="18" borderId="0"/>
    <xf numFmtId="0" fontId="0" fillId="19" borderId="0"/>
    <xf numFmtId="0" fontId="23" fillId="20" borderId="0"/>
    <xf numFmtId="0" fontId="23" fillId="21" borderId="0"/>
    <xf numFmtId="0" fontId="0" fillId="22" borderId="0"/>
    <xf numFmtId="0" fontId="0" fillId="23" borderId="0"/>
    <xf numFmtId="0" fontId="23" fillId="24" borderId="0"/>
    <xf numFmtId="0" fontId="23" fillId="25" borderId="0"/>
    <xf numFmtId="0" fontId="0" fillId="26" borderId="0"/>
    <xf numFmtId="0" fontId="0" fillId="27" borderId="0"/>
    <xf numFmtId="0" fontId="23" fillId="28" borderId="0"/>
    <xf numFmtId="0" fontId="23" fillId="29" borderId="0"/>
    <xf numFmtId="0" fontId="0" fillId="30" borderId="0"/>
    <xf numFmtId="0" fontId="0" fillId="31" borderId="0"/>
    <xf numFmtId="0" fontId="23" fillId="32" borderId="0"/>
    <xf numFmtId="0" fontId="6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horizontal="center" vertical="center"/>
    </xf>
    <xf numFmtId="0" fontId="2" fillId="33" borderId="0" applyAlignment="1" pivotButton="0" quotePrefix="0" xfId="0">
      <alignment vertical="center"/>
    </xf>
    <xf numFmtId="0" fontId="3" fillId="33" borderId="0" applyAlignment="1" pivotButton="0" quotePrefix="0" xfId="0">
      <alignment horizontal="center" vertical="center"/>
    </xf>
    <xf numFmtId="0" fontId="3" fillId="33" borderId="0" applyAlignment="1" pivotButton="0" quotePrefix="0" xfId="0">
      <alignment horizontal="center" vertical="center"/>
    </xf>
    <xf numFmtId="0" fontId="4" fillId="34" borderId="9" applyAlignment="1" pivotButton="0" quotePrefix="0" xfId="0">
      <alignment horizontal="center" vertical="center"/>
    </xf>
    <xf numFmtId="0" fontId="4" fillId="34" borderId="9" applyAlignment="1" pivotButton="0" quotePrefix="0" xfId="0">
      <alignment horizontal="center" vertical="center"/>
    </xf>
    <xf numFmtId="14" fontId="5" fillId="33" borderId="9" applyAlignment="1" pivotButton="0" quotePrefix="0" xfId="0">
      <alignment horizontal="center" vertical="center"/>
    </xf>
    <xf numFmtId="0" fontId="5" fillId="33" borderId="9" applyAlignment="1" pivotButton="0" quotePrefix="0" xfId="0">
      <alignment horizontal="center" vertical="center"/>
    </xf>
    <xf numFmtId="164" fontId="5" fillId="33" borderId="9" applyAlignment="1" pivotButton="0" quotePrefix="0" xfId="0">
      <alignment horizontal="center" vertical="center"/>
    </xf>
    <xf numFmtId="0" fontId="5" fillId="33" borderId="9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6" fillId="0" borderId="0" applyAlignment="1" pivotButton="0" quotePrefix="0" xfId="68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164" fontId="5" fillId="33" borderId="9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opLeftCell="A1" workbookViewId="0">
      <selection activeCell="L4" sqref="L4:L27"/>
    </sheetView>
  </sheetViews>
  <sheetFormatPr baseColWidth="8" defaultColWidth="8.7109375" defaultRowHeight="15"/>
  <cols>
    <col width="11.8515625" customWidth="1" style="1" min="1" max="1"/>
    <col width="19.00390625" customWidth="1" style="1" min="2" max="2"/>
    <col width="10.00390625" customWidth="1" style="1" min="3" max="10"/>
    <col width="14.7109375" customWidth="1" style="1" min="11" max="11"/>
    <col width="6.8515625" customWidth="1" style="1" min="12" max="12"/>
    <col width="8.7109375" customWidth="1" style="2" min="13" max="16384"/>
  </cols>
  <sheetData>
    <row r="1" ht="33" customHeight="1" s="14">
      <c r="A1" s="4" t="inlineStr">
        <is>
          <t>Financial Statement - Income and Expenditure Ledger</t>
        </is>
      </c>
    </row>
    <row r="2" ht="18.75" customHeight="1" s="14">
      <c r="A2" s="6" t="inlineStr">
        <is>
          <t>Time</t>
        </is>
      </c>
      <c r="B2" s="6" t="inlineStr">
        <is>
          <t>Income and Expenditure Details</t>
        </is>
      </c>
      <c r="C2" s="6" t="inlineStr">
        <is>
          <t>Income</t>
        </is>
      </c>
      <c r="D2" s="15" t="n"/>
      <c r="E2" s="15" t="n"/>
      <c r="F2" s="16" t="n"/>
      <c r="G2" s="6" t="inlineStr">
        <is>
          <t>Expenditure</t>
        </is>
      </c>
      <c r="H2" s="15" t="n"/>
      <c r="I2" s="15" t="n"/>
      <c r="J2" s="16" t="n"/>
      <c r="K2" s="6" t="inlineStr">
        <is>
          <t>Balance</t>
        </is>
      </c>
      <c r="L2" s="6" t="inlineStr">
        <is>
          <t>Notes</t>
        </is>
      </c>
    </row>
    <row r="3" ht="18.75" customHeight="1" s="14">
      <c r="A3" s="17" t="n"/>
      <c r="B3" s="17" t="n"/>
      <c r="C3" s="6" t="inlineStr">
        <is>
          <t>Cash</t>
        </is>
      </c>
      <c r="D3" s="6" t="inlineStr">
        <is>
          <t>WeChat</t>
        </is>
      </c>
      <c r="E3" s="6" t="inlineStr">
        <is>
          <t>Bank</t>
        </is>
      </c>
      <c r="F3" s="6" t="inlineStr">
        <is>
          <t>Alipay</t>
        </is>
      </c>
      <c r="G3" s="6" t="inlineStr">
        <is>
          <t>Cash</t>
        </is>
      </c>
      <c r="H3" s="6" t="inlineStr">
        <is>
          <t>WeChat</t>
        </is>
      </c>
      <c r="I3" s="6" t="inlineStr">
        <is>
          <t>Bank</t>
        </is>
      </c>
      <c r="J3" s="6" t="inlineStr">
        <is>
          <t>Alipay</t>
        </is>
      </c>
      <c r="K3" s="17" t="n"/>
      <c r="L3" s="17" t="n"/>
    </row>
    <row r="4" ht="15.75" customHeight="1" s="14">
      <c r="A4" s="7" t="n">
        <v>43770</v>
      </c>
      <c r="B4" s="10" t="inlineStr">
        <is>
          <t>Business Revenue</t>
        </is>
      </c>
      <c r="C4" s="18" t="n">
        <v>300</v>
      </c>
      <c r="D4" s="18" t="n">
        <v>5000</v>
      </c>
      <c r="E4" s="18" t="n"/>
      <c r="F4" s="18" t="n"/>
      <c r="G4" s="18" t="n"/>
      <c r="H4" s="18" t="n">
        <v>123</v>
      </c>
      <c r="I4" s="18" t="n"/>
      <c r="J4" s="18" t="n"/>
      <c r="K4" s="18">
        <f>C4+D4+E4+F4-G4-H4-I4-J4</f>
        <v/>
      </c>
      <c r="L4" s="10" t="n">
        <v>21</v>
      </c>
    </row>
    <row r="5" ht="15.75" customHeight="1" s="14">
      <c r="A5" s="7" t="n">
        <v>43771</v>
      </c>
      <c r="B5" s="10" t="inlineStr">
        <is>
          <t>Government Allocation</t>
        </is>
      </c>
      <c r="C5" s="18" t="n"/>
      <c r="D5" s="18" t="n"/>
      <c r="E5" s="18" t="n">
        <v>100000</v>
      </c>
      <c r="F5" s="18" t="n"/>
      <c r="G5" s="18" t="n">
        <v>100</v>
      </c>
      <c r="H5" s="18" t="n"/>
      <c r="I5" s="18" t="n">
        <v>563</v>
      </c>
      <c r="J5" s="18" t="n"/>
      <c r="K5" s="18">
        <f>K4+C5+D5+E5+F5-G5-H5-I5-J5</f>
        <v/>
      </c>
      <c r="L5" s="10" t="n">
        <v>22</v>
      </c>
    </row>
    <row r="6" ht="15.75" customHeight="1" s="14">
      <c r="A6" s="7" t="n">
        <v>43772</v>
      </c>
      <c r="B6" s="10" t="n"/>
      <c r="C6" s="18" t="n"/>
      <c r="D6" s="18" t="n"/>
      <c r="E6" s="18" t="n"/>
      <c r="F6" s="18" t="n"/>
      <c r="G6" s="18" t="n"/>
      <c r="H6" s="18" t="n"/>
      <c r="I6" s="18" t="n"/>
      <c r="J6" s="18" t="n">
        <v>233</v>
      </c>
      <c r="K6" s="18">
        <f>K5+C6+D6+E6+F6-G6-H6-I6-J6</f>
        <v/>
      </c>
      <c r="L6" s="10" t="n">
        <v>23</v>
      </c>
    </row>
    <row r="7" ht="15.75" customHeight="1" s="14">
      <c r="A7" s="7" t="n">
        <v>43773</v>
      </c>
      <c r="B7" s="10" t="inlineStr">
        <is>
          <t>Business Revenue</t>
        </is>
      </c>
      <c r="C7" s="18" t="n">
        <v>301</v>
      </c>
      <c r="D7" s="18" t="n">
        <v>5001</v>
      </c>
      <c r="E7" s="18" t="n"/>
      <c r="F7" s="18" t="n"/>
      <c r="G7" s="18" t="n"/>
      <c r="H7" s="18" t="n">
        <v>124</v>
      </c>
      <c r="I7" s="18" t="n"/>
      <c r="J7" s="18" t="n"/>
      <c r="K7" s="18">
        <f>K6+C7+D7+E7+F7-G7-H7-I7-J7</f>
        <v/>
      </c>
      <c r="L7" s="10" t="n">
        <v>24</v>
      </c>
    </row>
    <row r="8" ht="15.75" customHeight="1" s="14">
      <c r="A8" s="7" t="n">
        <v>43774</v>
      </c>
      <c r="B8" s="10" t="inlineStr">
        <is>
          <t>Government Allocation</t>
        </is>
      </c>
      <c r="C8" s="18" t="n"/>
      <c r="D8" s="18" t="n"/>
      <c r="E8" s="18" t="n">
        <v>100001</v>
      </c>
      <c r="F8" s="18" t="n"/>
      <c r="G8" s="18" t="n">
        <v>101</v>
      </c>
      <c r="H8" s="18" t="n"/>
      <c r="I8" s="18" t="n">
        <v>564</v>
      </c>
      <c r="J8" s="18" t="n"/>
      <c r="K8" s="18">
        <f>K7+C8+D8+E8+F8-G8-H8-I8-J8</f>
        <v/>
      </c>
      <c r="L8" s="10" t="n">
        <v>25</v>
      </c>
    </row>
    <row r="9" ht="15.75" customHeight="1" s="14">
      <c r="A9" s="7" t="n">
        <v>43775</v>
      </c>
      <c r="B9" s="10" t="n"/>
      <c r="C9" s="18" t="n"/>
      <c r="D9" s="18" t="n"/>
      <c r="E9" s="18" t="n"/>
      <c r="F9" s="18" t="n"/>
      <c r="G9" s="18" t="n"/>
      <c r="H9" s="18" t="n"/>
      <c r="I9" s="18" t="n"/>
      <c r="J9" s="18" t="n">
        <v>234</v>
      </c>
      <c r="K9" s="18">
        <f>K8+C9+D9+E9+F9-G9-H9-I9-J9</f>
        <v/>
      </c>
      <c r="L9" s="10" t="n">
        <v>26</v>
      </c>
    </row>
    <row r="10" ht="15.75" customHeight="1" s="14">
      <c r="A10" s="7" t="n">
        <v>43776</v>
      </c>
      <c r="B10" s="10" t="inlineStr">
        <is>
          <t>Business Revenue</t>
        </is>
      </c>
      <c r="C10" s="18" t="n">
        <v>302</v>
      </c>
      <c r="D10" s="18" t="n">
        <v>5002</v>
      </c>
      <c r="E10" s="18" t="n"/>
      <c r="F10" s="18" t="n"/>
      <c r="G10" s="18" t="n"/>
      <c r="H10" s="18" t="n">
        <v>125</v>
      </c>
      <c r="I10" s="18" t="n"/>
      <c r="J10" s="18" t="n"/>
      <c r="K10" s="18">
        <f>K9+C10+D10+E10+F10-G10-H10-I10-J10</f>
        <v/>
      </c>
      <c r="L10" s="10" t="n">
        <v>27</v>
      </c>
    </row>
    <row r="11" ht="15.75" customHeight="1" s="14">
      <c r="A11" s="7" t="n">
        <v>43777</v>
      </c>
      <c r="B11" s="10" t="inlineStr">
        <is>
          <t>Government Allocation</t>
        </is>
      </c>
      <c r="C11" s="18" t="n"/>
      <c r="D11" s="18" t="n"/>
      <c r="E11" s="18" t="n">
        <v>100002</v>
      </c>
      <c r="F11" s="18" t="n"/>
      <c r="G11" s="18" t="n">
        <v>102</v>
      </c>
      <c r="H11" s="18" t="n"/>
      <c r="I11" s="18" t="n">
        <v>565</v>
      </c>
      <c r="J11" s="18" t="n"/>
      <c r="K11" s="18">
        <f>K10+C11+D11+E11+F11-G11-H11-I11-J11</f>
        <v/>
      </c>
      <c r="L11" s="10" t="n">
        <v>28</v>
      </c>
    </row>
    <row r="12" ht="15.75" customHeight="1" s="14">
      <c r="A12" s="7" t="n">
        <v>43778</v>
      </c>
      <c r="B12" s="10" t="n"/>
      <c r="C12" s="18" t="n"/>
      <c r="D12" s="18" t="n"/>
      <c r="E12" s="18" t="n"/>
      <c r="F12" s="18" t="n"/>
      <c r="G12" s="18" t="n"/>
      <c r="H12" s="18" t="n"/>
      <c r="I12" s="18" t="n"/>
      <c r="J12" s="18" t="n">
        <v>235</v>
      </c>
      <c r="K12" s="18">
        <f>K11+C12+D12+E12+F12-G12-H12-I12-J12</f>
        <v/>
      </c>
      <c r="L12" s="10" t="n">
        <v>29</v>
      </c>
    </row>
    <row r="13" ht="15.75" customHeight="1" s="14">
      <c r="A13" s="7" t="n">
        <v>43779</v>
      </c>
      <c r="B13" s="10" t="inlineStr">
        <is>
          <t>Business Revenue</t>
        </is>
      </c>
      <c r="C13" s="18" t="n">
        <v>303</v>
      </c>
      <c r="D13" s="18" t="n">
        <v>5003</v>
      </c>
      <c r="E13" s="18" t="n"/>
      <c r="F13" s="18" t="n"/>
      <c r="G13" s="18" t="n"/>
      <c r="H13" s="18" t="n">
        <v>126</v>
      </c>
      <c r="I13" s="18" t="n"/>
      <c r="J13" s="18" t="n"/>
      <c r="K13" s="18">
        <f>K12+C13+D13+E13+F13-G13-H13-I13-J13</f>
        <v/>
      </c>
      <c r="L13" s="10" t="n">
        <v>30</v>
      </c>
    </row>
    <row r="14" ht="15.75" customHeight="1" s="14">
      <c r="A14" s="7" t="n">
        <v>43780</v>
      </c>
      <c r="B14" s="10" t="inlineStr">
        <is>
          <t>Government Allocation</t>
        </is>
      </c>
      <c r="C14" s="18" t="n"/>
      <c r="D14" s="18" t="n"/>
      <c r="E14" s="18" t="n">
        <v>100003</v>
      </c>
      <c r="F14" s="18" t="n"/>
      <c r="G14" s="18" t="n">
        <v>103</v>
      </c>
      <c r="H14" s="18" t="n"/>
      <c r="I14" s="18" t="n">
        <v>566</v>
      </c>
      <c r="J14" s="18" t="n"/>
      <c r="K14" s="18">
        <f>K13+C14+D14+E14+F14-G14-H14-I14-J14</f>
        <v/>
      </c>
      <c r="L14" s="10" t="n">
        <v>31</v>
      </c>
    </row>
    <row r="15" ht="15.75" customHeight="1" s="14">
      <c r="A15" s="7" t="n">
        <v>43781</v>
      </c>
      <c r="B15" s="10" t="n"/>
      <c r="C15" s="18" t="n"/>
      <c r="D15" s="18" t="n"/>
      <c r="E15" s="18" t="n"/>
      <c r="F15" s="18" t="n"/>
      <c r="G15" s="18" t="n"/>
      <c r="H15" s="18" t="n"/>
      <c r="I15" s="18" t="n"/>
      <c r="J15" s="18" t="n">
        <v>236</v>
      </c>
      <c r="K15" s="18">
        <f>K14+C15+D15+E15+F15-G15-H15-I15-J15</f>
        <v/>
      </c>
      <c r="L15" s="10" t="n">
        <v>32</v>
      </c>
    </row>
    <row r="16" ht="15.75" customHeight="1" s="14">
      <c r="A16" s="7" t="n">
        <v>43782</v>
      </c>
      <c r="B16" s="10" t="inlineStr">
        <is>
          <t>Business Revenue</t>
        </is>
      </c>
      <c r="C16" s="18" t="n">
        <v>304</v>
      </c>
      <c r="D16" s="18" t="n">
        <v>5004</v>
      </c>
      <c r="E16" s="18" t="n"/>
      <c r="F16" s="18" t="n"/>
      <c r="G16" s="18" t="n"/>
      <c r="H16" s="18" t="n">
        <v>127</v>
      </c>
      <c r="I16" s="18" t="n"/>
      <c r="J16" s="18" t="n"/>
      <c r="K16" s="18">
        <f>K15+C16+D16+E16+F16-G16-H16-I16-J16</f>
        <v/>
      </c>
      <c r="L16" s="10" t="n">
        <v>33</v>
      </c>
    </row>
    <row r="17" ht="15.75" customHeight="1" s="14">
      <c r="A17" s="7" t="n">
        <v>43783</v>
      </c>
      <c r="B17" s="10" t="inlineStr">
        <is>
          <t>Government Allocation</t>
        </is>
      </c>
      <c r="C17" s="18" t="n"/>
      <c r="D17" s="18" t="n"/>
      <c r="E17" s="18" t="n">
        <v>100004</v>
      </c>
      <c r="F17" s="18" t="n"/>
      <c r="G17" s="18" t="n">
        <v>104</v>
      </c>
      <c r="H17" s="18" t="n"/>
      <c r="I17" s="18" t="n">
        <v>567</v>
      </c>
      <c r="J17" s="18" t="n"/>
      <c r="K17" s="18">
        <f>K16+C17+D17+E17+F17-G17-H17-I17-J17</f>
        <v/>
      </c>
      <c r="L17" s="10" t="n">
        <v>34</v>
      </c>
    </row>
    <row r="18" ht="15.75" customHeight="1" s="14">
      <c r="A18" s="7" t="n">
        <v>43784</v>
      </c>
      <c r="B18" s="10" t="n"/>
      <c r="C18" s="18" t="n"/>
      <c r="D18" s="18" t="n"/>
      <c r="E18" s="18" t="n"/>
      <c r="F18" s="18" t="n"/>
      <c r="G18" s="18" t="n"/>
      <c r="H18" s="18" t="n"/>
      <c r="I18" s="18" t="n"/>
      <c r="J18" s="18" t="n">
        <v>237</v>
      </c>
      <c r="K18" s="18">
        <f>K17+C18+D18+E18+F18-G18-H18-I18-J18</f>
        <v/>
      </c>
      <c r="L18" s="10" t="n">
        <v>35</v>
      </c>
    </row>
    <row r="19" ht="15.75" customHeight="1" s="14">
      <c r="A19" s="7" t="n">
        <v>43785</v>
      </c>
      <c r="B19" s="10" t="inlineStr">
        <is>
          <t>Business Revenue</t>
        </is>
      </c>
      <c r="C19" s="18" t="n">
        <v>305</v>
      </c>
      <c r="D19" s="18" t="n">
        <v>5005</v>
      </c>
      <c r="E19" s="18" t="n"/>
      <c r="F19" s="18" t="n"/>
      <c r="G19" s="18" t="n"/>
      <c r="H19" s="18" t="n">
        <v>128</v>
      </c>
      <c r="I19" s="18" t="n"/>
      <c r="J19" s="18" t="n"/>
      <c r="K19" s="18">
        <f>K18+C19+D19+E19+F19-G19-H19-I19-J19</f>
        <v/>
      </c>
      <c r="L19" s="10" t="n">
        <v>36</v>
      </c>
    </row>
    <row r="20" ht="15.75" customHeight="1" s="14">
      <c r="A20" s="7" t="n">
        <v>43786</v>
      </c>
      <c r="B20" s="10" t="inlineStr">
        <is>
          <t>Government Allocation</t>
        </is>
      </c>
      <c r="C20" s="18" t="n"/>
      <c r="D20" s="18" t="n"/>
      <c r="E20" s="18" t="n">
        <v>100005</v>
      </c>
      <c r="F20" s="18" t="n"/>
      <c r="G20" s="18" t="n">
        <v>105</v>
      </c>
      <c r="H20" s="18" t="n"/>
      <c r="I20" s="18" t="n">
        <v>568</v>
      </c>
      <c r="J20" s="18" t="n"/>
      <c r="K20" s="18">
        <f>K19+C20+D20+E20+F20-G20-H20-I20-J20</f>
        <v/>
      </c>
      <c r="L20" s="10" t="n">
        <v>37</v>
      </c>
    </row>
    <row r="21" ht="15.75" customHeight="1" s="14">
      <c r="A21" s="7" t="n">
        <v>43787</v>
      </c>
      <c r="B21" s="10" t="n"/>
      <c r="C21" s="18" t="n"/>
      <c r="D21" s="18" t="n"/>
      <c r="E21" s="18" t="n"/>
      <c r="F21" s="18" t="n"/>
      <c r="G21" s="18" t="n"/>
      <c r="H21" s="18" t="n"/>
      <c r="I21" s="18" t="n"/>
      <c r="J21" s="18" t="n">
        <v>238</v>
      </c>
      <c r="K21" s="18">
        <f>K20+C21+D21+E21+F21-G21-H21-I21-J21</f>
        <v/>
      </c>
      <c r="L21" s="10" t="n">
        <v>38</v>
      </c>
    </row>
    <row r="22" ht="15.75" customHeight="1" s="14">
      <c r="A22" s="7" t="n">
        <v>43788</v>
      </c>
      <c r="B22" s="10" t="inlineStr">
        <is>
          <t>Business Revenue</t>
        </is>
      </c>
      <c r="C22" s="18" t="n">
        <v>306</v>
      </c>
      <c r="D22" s="18" t="n">
        <v>5006</v>
      </c>
      <c r="E22" s="18" t="n"/>
      <c r="F22" s="18" t="n"/>
      <c r="G22" s="18" t="n"/>
      <c r="H22" s="18" t="n">
        <v>129</v>
      </c>
      <c r="I22" s="18" t="n"/>
      <c r="J22" s="18" t="n"/>
      <c r="K22" s="18">
        <f>K21+C22+D22+E22+F22-G22-H22-I22-J22</f>
        <v/>
      </c>
      <c r="L22" s="10" t="n">
        <v>39</v>
      </c>
    </row>
    <row r="23" ht="15.75" customHeight="1" s="14">
      <c r="A23" s="7" t="n">
        <v>43789</v>
      </c>
      <c r="B23" s="10" t="inlineStr">
        <is>
          <t>Government Allocation</t>
        </is>
      </c>
      <c r="C23" s="18" t="n"/>
      <c r="D23" s="18" t="n"/>
      <c r="E23" s="18" t="n">
        <v>100006</v>
      </c>
      <c r="F23" s="18" t="n"/>
      <c r="G23" s="18" t="n">
        <v>106</v>
      </c>
      <c r="H23" s="18" t="n"/>
      <c r="I23" s="18" t="n">
        <v>569</v>
      </c>
      <c r="J23" s="18" t="n"/>
      <c r="K23" s="18">
        <f>K22+C23+D23+E23+F23-G23-H23-I23-J23</f>
        <v/>
      </c>
      <c r="L23" s="10" t="n">
        <v>40</v>
      </c>
    </row>
    <row r="24" ht="15.75" customHeight="1" s="14">
      <c r="A24" s="7" t="n">
        <v>43790</v>
      </c>
      <c r="B24" s="10" t="n"/>
      <c r="C24" s="18" t="n"/>
      <c r="D24" s="18" t="n"/>
      <c r="E24" s="18" t="n"/>
      <c r="F24" s="18" t="n"/>
      <c r="G24" s="18" t="n"/>
      <c r="H24" s="18" t="n"/>
      <c r="I24" s="18" t="n"/>
      <c r="J24" s="18" t="n">
        <v>239</v>
      </c>
      <c r="K24" s="18">
        <f>K23+C24+D24+E24+F24-G24-H24-I24-J24</f>
        <v/>
      </c>
      <c r="L24" s="10" t="n">
        <v>41</v>
      </c>
    </row>
    <row r="25" ht="15.75" customHeight="1" s="14">
      <c r="A25" s="7" t="n">
        <v>43791</v>
      </c>
      <c r="B25" s="10" t="inlineStr">
        <is>
          <t>Business Revenue</t>
        </is>
      </c>
      <c r="C25" s="18" t="n">
        <v>307</v>
      </c>
      <c r="D25" s="18" t="n">
        <v>5007</v>
      </c>
      <c r="E25" s="18" t="n"/>
      <c r="F25" s="18" t="n"/>
      <c r="G25" s="18" t="n"/>
      <c r="H25" s="18" t="n">
        <v>130</v>
      </c>
      <c r="I25" s="18" t="n"/>
      <c r="J25" s="18" t="n"/>
      <c r="K25" s="18">
        <f>K24+C25+D25+E25+F25-G25-H25-I25-J25</f>
        <v/>
      </c>
      <c r="L25" s="10" t="n">
        <v>42</v>
      </c>
    </row>
    <row r="26" ht="15.75" customHeight="1" s="14">
      <c r="A26" s="7" t="n">
        <v>43792</v>
      </c>
      <c r="B26" s="10" t="inlineStr">
        <is>
          <t>Government Allocation</t>
        </is>
      </c>
      <c r="C26" s="18" t="n"/>
      <c r="D26" s="18" t="n"/>
      <c r="E26" s="18" t="n">
        <v>100007</v>
      </c>
      <c r="F26" s="18" t="n"/>
      <c r="G26" s="18" t="n">
        <v>107</v>
      </c>
      <c r="H26" s="18" t="n"/>
      <c r="I26" s="18" t="n">
        <v>570</v>
      </c>
      <c r="J26" s="18" t="n"/>
      <c r="K26" s="18">
        <f>K25+C26+D26+E26+F26-G26-H26-I26-J26</f>
        <v/>
      </c>
      <c r="L26" s="10" t="n">
        <v>43</v>
      </c>
    </row>
    <row r="27" ht="15.75" customHeight="1" s="14">
      <c r="A27" s="7" t="n">
        <v>43793</v>
      </c>
      <c r="B27" s="10" t="n"/>
      <c r="C27" s="18" t="n"/>
      <c r="D27" s="18" t="n"/>
      <c r="E27" s="18" t="n"/>
      <c r="F27" s="18" t="n"/>
      <c r="G27" s="18" t="n"/>
      <c r="H27" s="18" t="n"/>
      <c r="I27" s="18" t="n"/>
      <c r="J27" s="18" t="n">
        <v>240</v>
      </c>
      <c r="K27" s="18">
        <f>K26+C27+D27+E27+F27-G27-H27-I27-J27</f>
        <v/>
      </c>
      <c r="L27" s="10" t="n">
        <v>44</v>
      </c>
    </row>
  </sheetData>
  <mergeCells count="7">
    <mergeCell ref="A1:L1"/>
    <mergeCell ref="G2:J2"/>
    <mergeCell ref="B2:B3"/>
    <mergeCell ref="A2:A3"/>
    <mergeCell ref="C2:F2"/>
    <mergeCell ref="K2:K3"/>
    <mergeCell ref="L2:L3"/>
  </mergeCells>
  <pageMargins left="0.75" right="0.75" top="1" bottom="1" header="0.5" footer="0.5"/>
  <pageSetup orientation="landscape" paperSize="9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Apple</dc:creator>
  <dcterms:created xsi:type="dcterms:W3CDTF">2019-10-24T01:37:35Z</dcterms:created>
  <dcterms:modified xsi:type="dcterms:W3CDTF">2025-07-08T21:46:12Z</dcterms:modified>
  <cp:lastModifiedBy>本新偬谢糙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61633E70CAD04B9BAF36E376725059E7_11</vt:lpwstr>
  </property>
  <property name="KSOProductBuildVer" fmtid="{D5CDD505-2E9C-101B-9397-08002B2CF9AE}" pid="3">
    <vt:lpwstr>2052-12.1.0.16120</vt:lpwstr>
  </property>
  <property name="KSOTemplateUUID" fmtid="{D5CDD505-2E9C-101B-9397-08002B2CF9AE}" pid="4">
    <vt:lpwstr>v1.0_mb_W1tO58f6qzXzS/JqF5OVzA==</vt:lpwstr>
  </property>
</Properties>
</file>