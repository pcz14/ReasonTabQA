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00" windowHeight="11925" tabRatio="600" firstSheet="3" autoFilterDateGrouping="1"/>
  </bookViews>
  <sheets>
    <sheet name="Payroll_Table" sheetId="1" state="visible" r:id="rId1"/>
    <sheet name="Sheet1" sheetId="2" state="hidden" r:id="rId2"/>
    <sheet name="No_bank_card" sheetId="3" state="hidden" r:id="rId3"/>
  </sheets>
  <externalReferences>
    <externalReference r:id="rId4"/>
    <externalReference r:id="rId5"/>
  </externalReferences>
  <definedNames>
    <definedName name="_xlnm.Print_Titles" localSheetId="0">'Payroll_Table'!$1:$3</definedName>
    <definedName name="_xlnm.Print_Area" localSheetId="0">'Payroll_Table'!$A$1:$X$15</definedName>
    <definedName name="_xlnm._FilterDatabase" localSheetId="2" hidden="1">'No_bank_card'!$A$4:$XFC$16</definedName>
    <definedName name="_xlnm.Print_Titles" localSheetId="2">'No_bank_card'!$1:$4</definedName>
    <definedName name="_xlnm.Print_Area" localSheetId="2">'No_bank_card'!$A$1:$BH$15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_ "/>
    <numFmt numFmtId="165" formatCode="yy/m/d;@"/>
    <numFmt numFmtId="166" formatCode="0_);[Red]\(0\)"/>
    <numFmt numFmtId="167" formatCode="0.0_);[Red]\(0.0\)"/>
    <numFmt numFmtId="168" formatCode="yyyy/m/d;@"/>
    <numFmt numFmtId="169" formatCode="_ * #,##0.00_ ;_ * \-#,##0.00_ ;_ * &quot;-&quot;??_ ;_ @_ "/>
    <numFmt numFmtId="170" formatCode="0.0_ "/>
    <numFmt numFmtId="171" formatCode="0.00_);[Red]\(0.00\)"/>
    <numFmt numFmtId="172" formatCode="0.00_ "/>
  </numFmts>
  <fonts count="40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10"/>
    </font>
    <font>
      <name val="宋体"/>
      <family val="2"/>
      <b val="1"/>
      <sz val="12"/>
    </font>
    <font>
      <name val="Arial Narrow"/>
      <family val="2"/>
      <sz val="10"/>
    </font>
    <font>
      <name val="Arial Narrow"/>
      <family val="2"/>
      <sz val="9"/>
    </font>
    <font>
      <name val="宋体"/>
      <family val="2"/>
      <sz val="9"/>
    </font>
    <font>
      <name val="宋体"/>
      <family val="2"/>
      <b val="1"/>
      <sz val="9"/>
    </font>
    <font>
      <name val="Arial Narrow"/>
      <family val="2"/>
      <b val="1"/>
      <sz val="10"/>
    </font>
    <font>
      <name val="Arial Narrow"/>
      <family val="2"/>
      <color theme="1"/>
      <sz val="10"/>
    </font>
    <font>
      <name val="Arial Narrow"/>
      <family val="2"/>
      <b val="1"/>
      <sz val="9"/>
    </font>
    <font>
      <name val="宋体"/>
      <family val="2"/>
      <color theme="1"/>
      <sz val="10"/>
    </font>
    <font>
      <name val="微软雅黑"/>
      <family val="2"/>
      <color theme="1"/>
      <sz val="11"/>
    </font>
    <font>
      <name val="微软雅黑"/>
      <family val="2"/>
      <b val="1"/>
      <color theme="1"/>
      <sz val="11"/>
    </font>
    <font>
      <name val="微软雅黑"/>
      <family val="2"/>
      <b val="1"/>
      <color theme="5" tint="-0.4999899864196777"/>
      <sz val="35"/>
    </font>
    <font>
      <name val="微软雅黑"/>
      <family val="2"/>
      <sz val="11"/>
    </font>
    <font>
      <name val="微软雅黑"/>
      <family val="2"/>
      <b val="1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等线"/>
      <family val="2"/>
      <color indexed="8"/>
      <sz val="11"/>
    </font>
    <font>
      <name val="Dotum"/>
      <family val="2"/>
      <sz val="10"/>
    </font>
    <font>
      <name val="宋体"/>
      <family val="2"/>
      <b val="1"/>
      <sz val="10"/>
    </font>
    <font>
      <name val="Calibri"/>
      <family val="2"/>
      <b val="1"/>
      <sz val="8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900013208389"/>
        <bgColor indexed="64"/>
      </patternFill>
    </fill>
    <fill>
      <patternFill patternType="solid">
        <fgColor theme="9" tint="0.4000000059604645"/>
        <bgColor indexed="64"/>
      </patternFill>
    </fill>
    <fill>
      <patternFill patternType="solid">
        <fgColor theme="5" tint="0.800000011920929"/>
        <bgColor indexed="64"/>
      </patternFill>
    </fill>
    <fill>
      <patternFill patternType="solid">
        <fgColor theme="5" tint="0.7999799847602844"/>
        <bgColor indexed="64"/>
      </patternFill>
    </fill>
  </fills>
  <borders count="3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hair"/>
      <top style="medium"/>
      <bottom style="hair"/>
    </border>
    <border>
      <left style="hair"/>
      <right style="hair"/>
      <top style="medium"/>
      <bottom style="hair"/>
    </border>
    <border>
      <left style="medium"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/>
      <bottom/>
    </border>
    <border>
      <left style="hair"/>
      <right/>
      <top style="medium"/>
      <bottom style="hair"/>
    </border>
    <border>
      <left style="hair"/>
      <right style="medium"/>
      <top style="medium"/>
      <bottom style="hair"/>
    </border>
    <border>
      <left style="hair"/>
      <right/>
      <top style="hair"/>
      <bottom style="hair"/>
    </border>
    <border>
      <left style="hair"/>
      <right style="medium"/>
      <top style="hair"/>
      <bottom style="hair"/>
    </border>
    <border>
      <left style="medium">
        <color theme="5"/>
      </left>
      <right style="thin">
        <color theme="5"/>
      </right>
      <top style="medium">
        <color theme="5"/>
      </top>
      <bottom style="thin">
        <color theme="5"/>
      </bottom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/>
      </bottom>
    </border>
    <border>
      <left style="medium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theme="5"/>
      </left>
      <right style="thin">
        <color theme="5"/>
      </right>
      <top style="thin">
        <color theme="5"/>
      </top>
      <bottom style="medium">
        <color theme="5"/>
      </bottom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</border>
    <border>
      <left style="thin">
        <color theme="5"/>
      </left>
      <right style="medium">
        <color theme="5"/>
      </right>
      <top style="medium">
        <color theme="5"/>
      </top>
      <bottom style="thin">
        <color theme="5"/>
      </bottom>
    </border>
    <border>
      <left style="thin">
        <color theme="5"/>
      </left>
      <right style="medium">
        <color theme="5"/>
      </right>
      <top style="thin">
        <color theme="5"/>
      </top>
      <bottom style="thin">
        <color theme="5"/>
      </bottom>
    </border>
    <border>
      <left style="thin">
        <color theme="5"/>
      </left>
      <right style="medium">
        <color theme="5"/>
      </right>
      <top style="thin">
        <color theme="5"/>
      </top>
      <bottom style="medium">
        <color theme="5"/>
      </bottom>
    </border>
    <border>
      <left/>
      <right/>
      <top style="medium">
        <color theme="5"/>
      </top>
      <bottom/>
      <diagonal/>
    </border>
    <border>
      <left/>
      <right style="thin">
        <color theme="5"/>
      </right>
      <top style="medium">
        <color theme="5"/>
      </top>
      <bottom/>
      <diagonal/>
    </border>
    <border>
      <left/>
      <right/>
      <top style="medium">
        <color theme="5"/>
      </top>
      <bottom style="thin">
        <color theme="5"/>
      </bottom>
      <diagonal/>
    </border>
    <border>
      <left/>
      <right style="thin">
        <color theme="5"/>
      </right>
      <top style="medium">
        <color theme="5"/>
      </top>
      <bottom style="thin">
        <color theme="5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 style="thin">
        <color theme="5"/>
      </right>
      <top/>
      <bottom/>
      <diagonal/>
    </border>
    <border>
      <left style="medium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medium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 style="thin">
        <color theme="5"/>
      </bottom>
      <diagonal/>
    </border>
  </borders>
  <cellStyleXfs count="5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8" fillId="0" borderId="0"/>
    <xf numFmtId="0" fontId="19" fillId="0" borderId="0"/>
    <xf numFmtId="0" fontId="0" fillId="2" borderId="1"/>
    <xf numFmtId="0" fontId="20" fillId="0" borderId="0"/>
    <xf numFmtId="0" fontId="21" fillId="0" borderId="0"/>
    <xf numFmtId="0" fontId="22" fillId="0" borderId="0"/>
    <xf numFmtId="0" fontId="23" fillId="0" borderId="2"/>
    <xf numFmtId="0" fontId="24" fillId="0" borderId="2"/>
    <xf numFmtId="0" fontId="25" fillId="0" borderId="3"/>
    <xf numFmtId="0" fontId="25" fillId="0" borderId="0"/>
    <xf numFmtId="0" fontId="26" fillId="3" borderId="4"/>
    <xf numFmtId="0" fontId="27" fillId="4" borderId="5"/>
    <xf numFmtId="0" fontId="28" fillId="4" borderId="4"/>
    <xf numFmtId="0" fontId="29" fillId="5" borderId="6"/>
    <xf numFmtId="0" fontId="30" fillId="0" borderId="7"/>
    <xf numFmtId="0" fontId="31" fillId="0" borderId="8"/>
    <xf numFmtId="0" fontId="32" fillId="6" borderId="0"/>
    <xf numFmtId="0" fontId="33" fillId="7" borderId="0"/>
    <xf numFmtId="0" fontId="34" fillId="8" borderId="0"/>
    <xf numFmtId="0" fontId="35" fillId="9" borderId="0"/>
    <xf numFmtId="0" fontId="0" fillId="10" borderId="0"/>
    <xf numFmtId="0" fontId="0" fillId="11" borderId="0"/>
    <xf numFmtId="0" fontId="35" fillId="12" borderId="0"/>
    <xf numFmtId="0" fontId="35" fillId="13" borderId="0"/>
    <xf numFmtId="0" fontId="0" fillId="37" borderId="0"/>
    <xf numFmtId="0" fontId="0" fillId="15" borderId="0"/>
    <xf numFmtId="0" fontId="35" fillId="16" borderId="0"/>
    <xf numFmtId="0" fontId="35" fillId="17" borderId="0"/>
    <xf numFmtId="0" fontId="0" fillId="18" borderId="0"/>
    <xf numFmtId="0" fontId="0" fillId="19" borderId="0"/>
    <xf numFmtId="0" fontId="35" fillId="20" borderId="0"/>
    <xf numFmtId="0" fontId="35" fillId="21" borderId="0"/>
    <xf numFmtId="0" fontId="0" fillId="22" borderId="0"/>
    <xf numFmtId="0" fontId="0" fillId="23" borderId="0"/>
    <xf numFmtId="0" fontId="35" fillId="24" borderId="0"/>
    <xf numFmtId="0" fontId="35" fillId="25" borderId="0"/>
    <xf numFmtId="0" fontId="0" fillId="26" borderId="0"/>
    <xf numFmtId="0" fontId="0" fillId="27" borderId="0"/>
    <xf numFmtId="0" fontId="35" fillId="28" borderId="0"/>
    <xf numFmtId="0" fontId="35" fillId="29" borderId="0"/>
    <xf numFmtId="0" fontId="0" fillId="30" borderId="0"/>
    <xf numFmtId="0" fontId="0" fillId="31" borderId="0"/>
    <xf numFmtId="0" fontId="35" fillId="32" borderId="0"/>
    <xf numFmtId="0" fontId="36" fillId="0" borderId="0"/>
    <xf numFmtId="0" fontId="2" fillId="0" borderId="0" applyAlignment="1">
      <alignment vertical="center"/>
    </xf>
    <xf numFmtId="0" fontId="18" fillId="0" borderId="0"/>
  </cellStyleXfs>
  <cellXfs count="240">
    <xf numFmtId="0" fontId="0" fillId="0" borderId="0" pivotButton="0" quotePrefix="0" xfId="0"/>
    <xf numFmtId="0" fontId="0" fillId="0" borderId="0" pivotButton="0" quotePrefix="0" xfId="0"/>
    <xf numFmtId="0" fontId="0" fillId="33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33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4" fillId="0" borderId="0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center" wrapText="1"/>
    </xf>
    <xf numFmtId="0" fontId="7" fillId="33" borderId="12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5" fillId="0" borderId="13" applyAlignment="1" pivotButton="0" quotePrefix="0" xfId="0">
      <alignment horizontal="center"/>
    </xf>
    <xf numFmtId="0" fontId="6" fillId="0" borderId="12" applyAlignment="1" pivotButton="0" quotePrefix="0" xfId="0">
      <alignment horizontal="center" wrapText="1"/>
    </xf>
    <xf numFmtId="0" fontId="6" fillId="33" borderId="12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/>
    </xf>
    <xf numFmtId="165" fontId="4" fillId="0" borderId="0" pivotButton="0" quotePrefix="0" xfId="0"/>
    <xf numFmtId="166" fontId="3" fillId="0" borderId="0" applyAlignment="1" pivotButton="0" quotePrefix="0" xfId="0">
      <alignment vertical="center"/>
    </xf>
    <xf numFmtId="165" fontId="5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167" fontId="6" fillId="0" borderId="10" applyAlignment="1" pivotButton="0" quotePrefix="0" xfId="0">
      <alignment horizontal="center" vertical="center" wrapText="1"/>
    </xf>
    <xf numFmtId="168" fontId="6" fillId="0" borderId="12" applyAlignment="1" pivotButton="0" quotePrefix="0" xfId="0">
      <alignment horizontal="center"/>
    </xf>
    <xf numFmtId="168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wrapText="1"/>
    </xf>
    <xf numFmtId="168" fontId="11" fillId="0" borderId="12" applyAlignment="1" pivotButton="0" quotePrefix="0" xfId="0">
      <alignment horizontal="center"/>
    </xf>
    <xf numFmtId="168" fontId="9" fillId="0" borderId="12" applyAlignment="1" pivotButton="0" quotePrefix="0" xfId="0">
      <alignment horizontal="center"/>
    </xf>
    <xf numFmtId="0" fontId="6" fillId="33" borderId="12" applyAlignment="1" pivotButton="0" quotePrefix="0" xfId="0">
      <alignment horizontal="center" wrapText="1"/>
    </xf>
    <xf numFmtId="168" fontId="6" fillId="33" borderId="12" applyAlignment="1" pivotButton="0" quotePrefix="0" xfId="0">
      <alignment horizontal="center"/>
    </xf>
    <xf numFmtId="168" fontId="5" fillId="33" borderId="12" applyAlignment="1" pivotButton="0" quotePrefix="0" xfId="0">
      <alignment horizontal="center"/>
    </xf>
    <xf numFmtId="0" fontId="9" fillId="0" borderId="12" applyAlignment="1" pivotButton="0" quotePrefix="0" xfId="0">
      <alignment horizontal="center" vertical="center" wrapText="1"/>
    </xf>
    <xf numFmtId="169" fontId="0" fillId="0" borderId="0" applyAlignment="1" pivotButton="0" quotePrefix="0" xfId="20">
      <alignment horizontal="center"/>
    </xf>
    <xf numFmtId="0" fontId="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10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6" fontId="6" fillId="0" borderId="12" applyAlignment="1" pivotButton="0" quotePrefix="0" xfId="0">
      <alignment horizontal="center"/>
    </xf>
    <xf numFmtId="164" fontId="6" fillId="0" borderId="12" applyAlignment="1" pivotButton="0" quotePrefix="0" xfId="0">
      <alignment horizontal="center"/>
    </xf>
    <xf numFmtId="0" fontId="5" fillId="33" borderId="12" applyAlignment="1" pivotButton="0" quotePrefix="0" xfId="0">
      <alignment horizontal="center" vertical="center" wrapText="1"/>
    </xf>
    <xf numFmtId="166" fontId="6" fillId="33" borderId="12" applyAlignment="1" pivotButton="0" quotePrefix="0" xfId="0">
      <alignment horizontal="center"/>
    </xf>
    <xf numFmtId="164" fontId="6" fillId="33" borderId="12" applyAlignment="1" pivotButton="0" quotePrefix="0" xfId="0">
      <alignment horizontal="center"/>
    </xf>
    <xf numFmtId="166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70" fontId="12" fillId="0" borderId="0" applyAlignment="1" pivotButton="0" quotePrefix="0" xfId="0">
      <alignment vertical="center"/>
    </xf>
    <xf numFmtId="166" fontId="10" fillId="0" borderId="10" applyAlignment="1" pivotButton="0" quotePrefix="0" xfId="0">
      <alignment horizontal="center" vertical="center" wrapText="1"/>
    </xf>
    <xf numFmtId="171" fontId="5" fillId="0" borderId="12" applyAlignment="1" pivotButton="0" quotePrefix="0" xfId="0">
      <alignment horizontal="center"/>
    </xf>
    <xf numFmtId="164" fontId="5" fillId="0" borderId="12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/>
    </xf>
    <xf numFmtId="171" fontId="5" fillId="33" borderId="12" applyAlignment="1" pivotButton="0" quotePrefix="0" xfId="0">
      <alignment horizontal="center"/>
    </xf>
    <xf numFmtId="0" fontId="1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164" fontId="12" fillId="34" borderId="10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/>
    </xf>
    <xf numFmtId="164" fontId="6" fillId="0" borderId="12" applyAlignment="1" pivotButton="0" quotePrefix="0" xfId="0">
      <alignment horizontal="center" wrapText="1"/>
    </xf>
    <xf numFmtId="1" fontId="6" fillId="33" borderId="12" applyAlignment="1" pivotButton="0" quotePrefix="0" xfId="0">
      <alignment horizontal="center"/>
    </xf>
    <xf numFmtId="164" fontId="11" fillId="0" borderId="12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12" fillId="35" borderId="10" applyAlignment="1" pivotButton="0" quotePrefix="0" xfId="0">
      <alignment horizontal="center" vertical="center" wrapText="1"/>
    </xf>
    <xf numFmtId="0" fontId="12" fillId="35" borderId="10" applyAlignment="1" pivotButton="0" quotePrefix="0" xfId="0">
      <alignment horizontal="center" vertical="center" wrapText="1"/>
    </xf>
    <xf numFmtId="0" fontId="12" fillId="34" borderId="1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4" fontId="12" fillId="0" borderId="10" applyAlignment="1" pivotButton="0" quotePrefix="0" xfId="0">
      <alignment horizontal="center" vertical="center" wrapText="1"/>
    </xf>
    <xf numFmtId="164" fontId="5" fillId="0" borderId="10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164" fontId="7" fillId="33" borderId="10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horizontal="center" vertical="center" wrapText="1"/>
    </xf>
    <xf numFmtId="164" fontId="6" fillId="33" borderId="12" applyAlignment="1" pivotButton="0" quotePrefix="0" xfId="0">
      <alignment horizontal="center" wrapText="1"/>
    </xf>
    <xf numFmtId="164" fontId="9" fillId="0" borderId="12" applyAlignment="1" pivotButton="0" quotePrefix="0" xfId="0">
      <alignment horizontal="center" vertical="center" wrapText="1"/>
    </xf>
    <xf numFmtId="164" fontId="9" fillId="33" borderId="12" applyAlignment="1" pivotButton="0" quotePrefix="0" xfId="0">
      <alignment horizontal="center" vertical="center" wrapText="1"/>
    </xf>
    <xf numFmtId="0" fontId="7" fillId="33" borderId="0" applyAlignment="1" pivotButton="0" quotePrefix="0" xfId="0">
      <alignment horizontal="left" vertical="center"/>
    </xf>
    <xf numFmtId="0" fontId="3" fillId="33" borderId="0" applyAlignment="1" pivotButton="0" quotePrefix="0" xfId="0">
      <alignment vertical="center"/>
    </xf>
    <xf numFmtId="164" fontId="5" fillId="33" borderId="10" applyAlignment="1" pivotButton="0" quotePrefix="0" xfId="0">
      <alignment horizontal="center" vertical="center" wrapText="1"/>
    </xf>
    <xf numFmtId="164" fontId="5" fillId="33" borderId="14" applyAlignment="1" pivotButton="0" quotePrefix="0" xfId="0">
      <alignment horizontal="center" vertical="center" wrapText="1"/>
    </xf>
    <xf numFmtId="0" fontId="5" fillId="33" borderId="15" applyAlignment="1" pivotButton="0" quotePrefix="0" xfId="0">
      <alignment horizontal="center" vertical="center" wrapText="1"/>
    </xf>
    <xf numFmtId="164" fontId="6" fillId="33" borderId="16" applyAlignment="1" pivotButton="0" quotePrefix="0" xfId="0">
      <alignment horizontal="center"/>
    </xf>
    <xf numFmtId="0" fontId="9" fillId="33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9" fillId="33" borderId="12" applyAlignment="1" pivotButton="0" quotePrefix="0" xfId="0">
      <alignment horizontal="center" vertical="center" wrapText="1"/>
    </xf>
    <xf numFmtId="172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164" fontId="1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wrapText="1"/>
    </xf>
    <xf numFmtId="57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vertical="center"/>
    </xf>
    <xf numFmtId="0" fontId="14" fillId="36" borderId="18" applyAlignment="1" pivotButton="0" quotePrefix="0" xfId="0">
      <alignment horizontal="center" vertical="center" wrapText="1"/>
    </xf>
    <xf numFmtId="0" fontId="14" fillId="36" borderId="19" applyAlignment="1" pivotButton="0" quotePrefix="0" xfId="0">
      <alignment horizontal="center" vertical="center" wrapText="1"/>
    </xf>
    <xf numFmtId="167" fontId="14" fillId="36" borderId="19" applyAlignment="1" pivotButton="0" quotePrefix="0" xfId="0">
      <alignment horizontal="center" vertical="center" wrapText="1"/>
    </xf>
    <xf numFmtId="0" fontId="14" fillId="36" borderId="20" applyAlignment="1" pivotButton="0" quotePrefix="0" xfId="0">
      <alignment horizontal="center" vertical="center" wrapText="1"/>
    </xf>
    <xf numFmtId="0" fontId="14" fillId="36" borderId="21" applyAlignment="1" pivotButton="0" quotePrefix="0" xfId="0">
      <alignment horizontal="center" vertical="center" wrapText="1"/>
    </xf>
    <xf numFmtId="0" fontId="13" fillId="36" borderId="21" applyAlignment="1" pivotButton="0" quotePrefix="0" xfId="0">
      <alignment horizontal="center" vertical="center" wrapText="1"/>
    </xf>
    <xf numFmtId="167" fontId="13" fillId="36" borderId="21" applyAlignment="1" pivotButton="0" quotePrefix="0" xfId="0">
      <alignment horizontal="center" vertical="center" wrapText="1"/>
    </xf>
    <xf numFmtId="167" fontId="14" fillId="36" borderId="21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3" fillId="0" borderId="21" applyAlignment="1" pivotButton="0" quotePrefix="0" xfId="0">
      <alignment horizontal="center" wrapText="1"/>
    </xf>
    <xf numFmtId="0" fontId="13" fillId="0" borderId="21" applyAlignment="1" pivotButton="0" quotePrefix="0" xfId="0">
      <alignment horizontal="center" vertical="center" wrapText="1"/>
    </xf>
    <xf numFmtId="166" fontId="13" fillId="0" borderId="21" applyAlignment="1" pivotButton="0" quotePrefix="0" xfId="0">
      <alignment horizontal="center"/>
    </xf>
    <xf numFmtId="0" fontId="13" fillId="37" borderId="20" applyAlignment="1" pivotButton="0" quotePrefix="0" xfId="0">
      <alignment horizontal="center"/>
    </xf>
    <xf numFmtId="0" fontId="13" fillId="37" borderId="21" applyAlignment="1" pivotButton="0" quotePrefix="0" xfId="0">
      <alignment horizontal="center"/>
    </xf>
    <xf numFmtId="0" fontId="13" fillId="37" borderId="21" applyAlignment="1" pivotButton="0" quotePrefix="0" xfId="0">
      <alignment horizontal="center" wrapText="1"/>
    </xf>
    <xf numFmtId="0" fontId="13" fillId="37" borderId="21" applyAlignment="1" pivotButton="0" quotePrefix="0" xfId="0">
      <alignment horizontal="center" vertical="center" wrapText="1"/>
    </xf>
    <xf numFmtId="166" fontId="13" fillId="37" borderId="21" applyAlignment="1" pivotButton="0" quotePrefix="0" xfId="0">
      <alignment horizontal="center"/>
    </xf>
    <xf numFmtId="0" fontId="13" fillId="37" borderId="22" applyAlignment="1" pivotButton="0" quotePrefix="0" xfId="0">
      <alignment horizontal="center"/>
    </xf>
    <xf numFmtId="0" fontId="13" fillId="37" borderId="23" applyAlignment="1" pivotButton="0" quotePrefix="0" xfId="0">
      <alignment horizontal="center"/>
    </xf>
    <xf numFmtId="0" fontId="13" fillId="37" borderId="23" applyAlignment="1" pivotButton="0" quotePrefix="0" xfId="0">
      <alignment horizontal="center" wrapText="1"/>
    </xf>
    <xf numFmtId="0" fontId="13" fillId="37" borderId="23" applyAlignment="1" pivotButton="0" quotePrefix="0" xfId="0">
      <alignment horizontal="center" vertical="center" wrapText="1"/>
    </xf>
    <xf numFmtId="0" fontId="13" fillId="37" borderId="23" applyAlignment="1" pivotButton="0" quotePrefix="0" xfId="0">
      <alignment horizontal="center" vertical="center" shrinkToFit="1"/>
    </xf>
    <xf numFmtId="169" fontId="13" fillId="0" borderId="0" applyAlignment="1" pivotButton="0" quotePrefix="0" xfId="2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 wrapText="1"/>
    </xf>
    <xf numFmtId="166" fontId="14" fillId="36" borderId="19" applyAlignment="1" pivotButton="0" quotePrefix="0" xfId="0">
      <alignment horizontal="center" vertical="center" wrapText="1"/>
    </xf>
    <xf numFmtId="166" fontId="14" fillId="36" borderId="21" applyAlignment="1" pivotButton="0" quotePrefix="0" xfId="0">
      <alignment horizontal="center" vertical="center" wrapText="1"/>
    </xf>
    <xf numFmtId="164" fontId="13" fillId="36" borderId="21" applyAlignment="1" pivotButton="0" quotePrefix="0" xfId="0">
      <alignment horizontal="center" vertical="center" wrapText="1"/>
    </xf>
    <xf numFmtId="166" fontId="13" fillId="36" borderId="21" applyAlignment="1" pivotButton="0" quotePrefix="0" xfId="0">
      <alignment horizontal="center" vertical="center" wrapText="1"/>
    </xf>
    <xf numFmtId="164" fontId="13" fillId="0" borderId="21" applyAlignment="1" pivotButton="0" quotePrefix="0" xfId="0">
      <alignment horizontal="center"/>
    </xf>
    <xf numFmtId="171" fontId="13" fillId="0" borderId="21" applyAlignment="1" pivotButton="0" quotePrefix="0" xfId="0">
      <alignment horizontal="center"/>
    </xf>
    <xf numFmtId="164" fontId="13" fillId="37" borderId="21" applyAlignment="1" pivotButton="0" quotePrefix="0" xfId="0">
      <alignment horizontal="center"/>
    </xf>
    <xf numFmtId="171" fontId="13" fillId="37" borderId="21" applyAlignment="1" pivotButton="0" quotePrefix="0" xfId="0">
      <alignment horizontal="center"/>
    </xf>
    <xf numFmtId="164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4" fillId="36" borderId="19" applyAlignment="1" pivotButton="0" quotePrefix="0" xfId="0">
      <alignment horizontal="center" vertical="center" wrapText="1"/>
    </xf>
    <xf numFmtId="164" fontId="14" fillId="36" borderId="19" applyAlignment="1" pivotButton="0" quotePrefix="0" xfId="0">
      <alignment horizontal="center" vertical="center" wrapText="1"/>
    </xf>
    <xf numFmtId="0" fontId="14" fillId="36" borderId="24" applyAlignment="1" pivotButton="0" quotePrefix="0" xfId="0">
      <alignment horizontal="center" vertical="center" wrapText="1"/>
    </xf>
    <xf numFmtId="0" fontId="13" fillId="36" borderId="21" applyAlignment="1" pivotButton="0" quotePrefix="0" xfId="0">
      <alignment horizontal="center" vertical="center" wrapText="1"/>
    </xf>
    <xf numFmtId="164" fontId="14" fillId="36" borderId="21" applyAlignment="1" pivotButton="0" quotePrefix="0" xfId="0">
      <alignment horizontal="center" vertical="center" wrapText="1"/>
    </xf>
    <xf numFmtId="0" fontId="14" fillId="36" borderId="25" applyAlignment="1" pivotButton="0" quotePrefix="0" xfId="0">
      <alignment horizontal="center" vertical="center" wrapText="1"/>
    </xf>
    <xf numFmtId="164" fontId="13" fillId="0" borderId="21" applyAlignment="1" pivotButton="0" quotePrefix="0" xfId="0">
      <alignment horizontal="center" wrapText="1"/>
    </xf>
    <xf numFmtId="0" fontId="13" fillId="0" borderId="25" applyAlignment="1" pivotButton="0" quotePrefix="0" xfId="0">
      <alignment horizontal="center" vertical="center" wrapText="1"/>
    </xf>
    <xf numFmtId="164" fontId="13" fillId="37" borderId="21" applyAlignment="1" pivotButton="0" quotePrefix="0" xfId="0">
      <alignment horizontal="center" wrapText="1"/>
    </xf>
    <xf numFmtId="0" fontId="13" fillId="37" borderId="25" applyAlignment="1" pivotButton="0" quotePrefix="0" xfId="0">
      <alignment horizontal="center" vertical="center" wrapText="1"/>
    </xf>
    <xf numFmtId="0" fontId="13" fillId="37" borderId="26" applyAlignment="1" pivotButton="0" quotePrefix="0" xfId="0">
      <alignment horizontal="center" vertical="center" wrapText="1"/>
    </xf>
    <xf numFmtId="0" fontId="31" fillId="0" borderId="0" pivotButton="0" quotePrefix="0" xfId="0"/>
    <xf numFmtId="0" fontId="18" fillId="0" borderId="0" pivotButton="0" quotePrefix="0" xfId="70"/>
    <xf numFmtId="0" fontId="18" fillId="0" borderId="0" pivotButton="0" quotePrefix="0" xfId="0"/>
    <xf numFmtId="164" fontId="13" fillId="0" borderId="0" pivotButton="0" quotePrefix="0" xfId="0"/>
    <xf numFmtId="166" fontId="16" fillId="0" borderId="0" applyAlignment="1" pivotButton="0" quotePrefix="0" xfId="0">
      <alignment vertical="center"/>
    </xf>
    <xf numFmtId="164" fontId="13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167" fontId="14" fillId="36" borderId="19" applyAlignment="1" pivotButton="0" quotePrefix="0" xfId="0">
      <alignment horizontal="center" vertical="center" wrapText="1"/>
    </xf>
    <xf numFmtId="166" fontId="14" fillId="36" borderId="19" applyAlignment="1" pivotButton="0" quotePrefix="0" xfId="0">
      <alignment horizontal="center" vertical="center" wrapText="1"/>
    </xf>
    <xf numFmtId="164" fontId="14" fillId="36" borderId="19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6" pivotButton="0" quotePrefix="0" xfId="0"/>
    <xf numFmtId="167" fontId="13" fillId="36" borderId="21" applyAlignment="1" pivotButton="0" quotePrefix="0" xfId="0">
      <alignment horizontal="center" vertical="center" wrapText="1"/>
    </xf>
    <xf numFmtId="164" fontId="13" fillId="36" borderId="21" applyAlignment="1" pivotButton="0" quotePrefix="0" xfId="0">
      <alignment horizontal="center" vertical="center" wrapText="1"/>
    </xf>
    <xf numFmtId="166" fontId="13" fillId="36" borderId="21" applyAlignment="1" pivotButton="0" quotePrefix="0" xfId="0">
      <alignment horizontal="center" vertical="center" wrapText="1"/>
    </xf>
    <xf numFmtId="0" fontId="0" fillId="0" borderId="38" pivotButton="0" quotePrefix="0" xfId="0"/>
    <xf numFmtId="166" fontId="13" fillId="0" borderId="21" applyAlignment="1" pivotButton="0" quotePrefix="0" xfId="0">
      <alignment horizontal="center"/>
    </xf>
    <xf numFmtId="164" fontId="13" fillId="0" borderId="21" applyAlignment="1" pivotButton="0" quotePrefix="0" xfId="0">
      <alignment horizontal="center"/>
    </xf>
    <xf numFmtId="171" fontId="13" fillId="0" borderId="21" applyAlignment="1" pivotButton="0" quotePrefix="0" xfId="0">
      <alignment horizontal="center"/>
    </xf>
    <xf numFmtId="164" fontId="13" fillId="0" borderId="21" applyAlignment="1" pivotButton="0" quotePrefix="0" xfId="0">
      <alignment horizontal="center" wrapText="1"/>
    </xf>
    <xf numFmtId="166" fontId="13" fillId="37" borderId="21" applyAlignment="1" pivotButton="0" quotePrefix="0" xfId="0">
      <alignment horizontal="center"/>
    </xf>
    <xf numFmtId="164" fontId="13" fillId="37" borderId="21" applyAlignment="1" pivotButton="0" quotePrefix="0" xfId="0">
      <alignment horizontal="center"/>
    </xf>
    <xf numFmtId="171" fontId="13" fillId="37" borderId="21" applyAlignment="1" pivotButton="0" quotePrefix="0" xfId="0">
      <alignment horizontal="center"/>
    </xf>
    <xf numFmtId="164" fontId="13" fillId="37" borderId="21" applyAlignment="1" pivotButton="0" quotePrefix="0" xfId="0">
      <alignment horizontal="center" wrapText="1"/>
    </xf>
    <xf numFmtId="169" fontId="13" fillId="0" borderId="0" applyAlignment="1" pivotButton="0" quotePrefix="0" xfId="20">
      <alignment horizontal="center"/>
    </xf>
    <xf numFmtId="164" fontId="0" fillId="0" borderId="0" pivotButton="0" quotePrefix="0" xfId="0"/>
    <xf numFmtId="164" fontId="0" fillId="33" borderId="0" pivotButton="0" quotePrefix="0" xfId="0"/>
    <xf numFmtId="164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center"/>
    </xf>
    <xf numFmtId="165" fontId="4" fillId="0" borderId="0" pivotButton="0" quotePrefix="0" xfId="0"/>
    <xf numFmtId="166" fontId="3" fillId="0" borderId="0" applyAlignment="1" pivotButton="0" quotePrefix="0" xfId="0">
      <alignment vertical="center"/>
    </xf>
    <xf numFmtId="166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70" fontId="12" fillId="0" borderId="0" applyAlignment="1" pivotButton="0" quotePrefix="0" xfId="0">
      <alignment vertical="center"/>
    </xf>
    <xf numFmtId="165" fontId="5" fillId="0" borderId="10" applyAlignment="1" pivotButton="0" quotePrefix="0" xfId="0">
      <alignment horizontal="center" vertical="center" wrapText="1"/>
    </xf>
    <xf numFmtId="167" fontId="6" fillId="0" borderId="10" applyAlignment="1" pivotButton="0" quotePrefix="0" xfId="0">
      <alignment horizontal="center" vertical="center" wrapText="1"/>
    </xf>
    <xf numFmtId="164" fontId="10" fillId="0" borderId="10" applyAlignment="1" pivotButton="0" quotePrefix="0" xfId="0">
      <alignment horizontal="center" vertical="center" wrapText="1"/>
    </xf>
    <xf numFmtId="166" fontId="10" fillId="0" borderId="10" applyAlignment="1" pivotButton="0" quotePrefix="0" xfId="0">
      <alignment horizontal="center" vertical="center" wrapText="1"/>
    </xf>
    <xf numFmtId="164" fontId="12" fillId="34" borderId="10" applyAlignment="1" pivotButton="0" quotePrefix="0" xfId="0">
      <alignment horizontal="center" vertical="center" wrapText="1"/>
    </xf>
    <xf numFmtId="164" fontId="12" fillId="35" borderId="10" applyAlignment="1" pivotButton="0" quotePrefix="0" xfId="0">
      <alignment horizontal="center" vertical="center" wrapText="1"/>
    </xf>
    <xf numFmtId="164" fontId="12" fillId="0" borderId="10" applyAlignment="1" pivotButton="0" quotePrefix="0" xfId="0">
      <alignment horizontal="center" vertical="center" wrapText="1"/>
    </xf>
    <xf numFmtId="164" fontId="5" fillId="0" borderId="10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164" fontId="7" fillId="33" borderId="10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horizontal="center" vertical="center" wrapText="1"/>
    </xf>
    <xf numFmtId="164" fontId="5" fillId="33" borderId="10" applyAlignment="1" pivotButton="0" quotePrefix="0" xfId="0">
      <alignment horizontal="center" vertical="center" wrapText="1"/>
    </xf>
    <xf numFmtId="164" fontId="5" fillId="33" borderId="14" applyAlignment="1" pivotButton="0" quotePrefix="0" xfId="0">
      <alignment horizontal="center" vertical="center" wrapText="1"/>
    </xf>
    <xf numFmtId="168" fontId="6" fillId="0" borderId="12" applyAlignment="1" pivotButton="0" quotePrefix="0" xfId="0">
      <alignment horizontal="center"/>
    </xf>
    <xf numFmtId="168" fontId="5" fillId="0" borderId="12" applyAlignment="1" pivotButton="0" quotePrefix="0" xfId="0">
      <alignment horizontal="center"/>
    </xf>
    <xf numFmtId="166" fontId="6" fillId="0" borderId="12" applyAlignment="1" pivotButton="0" quotePrefix="0" xfId="0">
      <alignment horizontal="center"/>
    </xf>
    <xf numFmtId="164" fontId="6" fillId="0" borderId="12" applyAlignment="1" pivotButton="0" quotePrefix="0" xfId="0">
      <alignment horizontal="center"/>
    </xf>
    <xf numFmtId="171" fontId="5" fillId="0" borderId="12" applyAlignment="1" pivotButton="0" quotePrefix="0" xfId="0">
      <alignment horizontal="center"/>
    </xf>
    <xf numFmtId="164" fontId="6" fillId="0" borderId="12" applyAlignment="1" pivotButton="0" quotePrefix="0" xfId="0">
      <alignment horizontal="center" wrapText="1"/>
    </xf>
    <xf numFmtId="164" fontId="6" fillId="33" borderId="12" applyAlignment="1" pivotButton="0" quotePrefix="0" xfId="0">
      <alignment horizontal="center" wrapText="1"/>
    </xf>
    <xf numFmtId="164" fontId="6" fillId="33" borderId="12" applyAlignment="1" pivotButton="0" quotePrefix="0" xfId="0">
      <alignment horizontal="center"/>
    </xf>
    <xf numFmtId="164" fontId="6" fillId="33" borderId="16" applyAlignment="1" pivotButton="0" quotePrefix="0" xfId="0">
      <alignment horizontal="center"/>
    </xf>
    <xf numFmtId="172" fontId="0" fillId="0" borderId="0" pivotButton="0" quotePrefix="0" xfId="0"/>
    <xf numFmtId="168" fontId="11" fillId="0" borderId="12" applyAlignment="1" pivotButton="0" quotePrefix="0" xfId="0">
      <alignment horizontal="center"/>
    </xf>
    <xf numFmtId="168" fontId="9" fillId="0" borderId="12" applyAlignment="1" pivotButton="0" quotePrefix="0" xfId="0">
      <alignment horizontal="center"/>
    </xf>
    <xf numFmtId="164" fontId="5" fillId="0" borderId="12" applyAlignment="1" pivotButton="0" quotePrefix="0" xfId="0">
      <alignment horizontal="center" vertical="center" wrapText="1"/>
    </xf>
    <xf numFmtId="168" fontId="6" fillId="33" borderId="12" applyAlignment="1" pivotButton="0" quotePrefix="0" xfId="0">
      <alignment horizontal="center"/>
    </xf>
    <xf numFmtId="168" fontId="5" fillId="33" borderId="12" applyAlignment="1" pivotButton="0" quotePrefix="0" xfId="0">
      <alignment horizontal="center"/>
    </xf>
    <xf numFmtId="166" fontId="6" fillId="33" borderId="12" applyAlignment="1" pivotButton="0" quotePrefix="0" xfId="0">
      <alignment horizontal="center"/>
    </xf>
    <xf numFmtId="171" fontId="5" fillId="33" borderId="12" applyAlignment="1" pivotButton="0" quotePrefix="0" xfId="0">
      <alignment horizontal="center"/>
    </xf>
    <xf numFmtId="164" fontId="11" fillId="0" borderId="12" applyAlignment="1" pivotButton="0" quotePrefix="0" xfId="0">
      <alignment horizontal="center"/>
    </xf>
    <xf numFmtId="164" fontId="9" fillId="0" borderId="12" applyAlignment="1" pivotButton="0" quotePrefix="0" xfId="0">
      <alignment horizontal="center" vertical="center" wrapText="1"/>
    </xf>
    <xf numFmtId="164" fontId="9" fillId="33" borderId="12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/>
    </xf>
    <xf numFmtId="169" fontId="0" fillId="0" borderId="0" applyAlignment="1" pivotButton="0" quotePrefix="0" xfId="20">
      <alignment horizontal="center"/>
    </xf>
  </cellXfs>
  <cellStyles count="57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Sheet1" xfId="54"/>
    <cellStyle name="常规 2_抛光报表格式" xfId="55"/>
    <cellStyle name="Hyperlink" xfId="56"/>
  </cellStyles>
  <dxfs count="2">
    <dxf>
      <fill>
        <patternFill patternType="solid">
          <bgColor rgb="FFFF9900"/>
        </patternFill>
      </fill>
      <border/>
    </dxf>
    <dxf>
      <fill>
        <patternFill patternType="solid">
          <fgColor indexed="10"/>
          <bgColor indexed="52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nbc-cwb02</author>
    <author>nbc-cw04</author>
  </authors>
  <commentList>
    <comment ref="Y4" authorId="0" shapeId="0">
      <text>
        <t>nbc-cwb02:
涂色部分不参与绩效考核</t>
      </text>
    </comment>
    <comment ref="AE4" authorId="1" shapeId="0">
      <text>
        <t>nbc:
星期六，272元分配给每个星期六上午。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38100</colOff>
      <row>0</row>
      <rowOff>28575</rowOff>
    </from>
    <to>
      <col>6</col>
      <colOff>-2147483648</colOff>
      <row>2</row>
      <rowOff>19050</rowOff>
    </to>
    <pic>
      <nvPicPr>
        <cNvPr id="2" name="Picture 1" descr="东莞市纳百川电子科技有限公司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38100" y="28575"/>
          <a:ext cx="657225" cy="43815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\&#20869;&#37096;&#25991;&#20214;\&#36130;&#21153;\&#24037;&#36164;\&#24037;&#36164;\2019\&#24037;&#36164;\2019-9\2019-10-23\2019&#24180;10&#26376;&#65288;&#30452;&#24037;&#65289;&#20195;&#21457;&#24037;&#36164;&#26126;&#32454;10-23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0869;&#37096;&#25991;&#20214;\&#36130;&#21153;\&#24037;&#36164;\&#24037;&#36164;\2019\&#24037;&#36164;\2019-9\2019-10-23\NBC-2019&#24180;9&#26376;&#30452;&#24037;&#24037;&#36164;&#34920;2019-10-24--&#33714;&#22992;&#30830;&#35748;&#24037;&#36164;&#34920;&#21076;&#38500;&#31163;&#3284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日薪 -全部卡号"/>
      <sheetName val="日薪"/>
    </sheetNames>
    <sheetDataSet>
      <sheetData sheetId="0"/>
      <sheetData sheetId="1">
        <row r="2">
          <cell r="E2" t="str">
            <v>唐庆峰</v>
          </cell>
          <cell r="G2">
            <v>5634</v>
          </cell>
        </row>
        <row r="3">
          <cell r="E3" t="str">
            <v>柳盛炭</v>
          </cell>
          <cell r="G3">
            <v>5522</v>
          </cell>
        </row>
        <row r="4">
          <cell r="E4" t="str">
            <v>覃彭欢</v>
          </cell>
          <cell r="G4">
            <v>5260</v>
          </cell>
        </row>
        <row r="5">
          <cell r="E5" t="str">
            <v>韦银海</v>
          </cell>
          <cell r="G5">
            <v>4783</v>
          </cell>
        </row>
        <row r="6">
          <cell r="E6" t="str">
            <v>毛小燕</v>
          </cell>
          <cell r="G6">
            <v>4996</v>
          </cell>
        </row>
        <row r="7">
          <cell r="E7" t="str">
            <v>葛庆文</v>
          </cell>
          <cell r="G7">
            <v>4618</v>
          </cell>
        </row>
        <row r="8">
          <cell r="E8" t="str">
            <v>石丙生</v>
          </cell>
          <cell r="G8">
            <v>5203</v>
          </cell>
        </row>
        <row r="9">
          <cell r="E9" t="str">
            <v>吴琳</v>
          </cell>
          <cell r="G9">
            <v>5328</v>
          </cell>
        </row>
        <row r="10">
          <cell r="E10" t="str">
            <v>康美华</v>
          </cell>
          <cell r="G10">
            <v>2233</v>
          </cell>
        </row>
        <row r="11">
          <cell r="E11" t="str">
            <v>欧明军</v>
          </cell>
          <cell r="G11">
            <v>7809</v>
          </cell>
        </row>
        <row r="12">
          <cell r="E12" t="str">
            <v>覃小英</v>
          </cell>
          <cell r="G12">
            <v>4113</v>
          </cell>
        </row>
        <row r="13">
          <cell r="E13" t="str">
            <v>陈永东</v>
          </cell>
          <cell r="G13">
            <v>0</v>
          </cell>
        </row>
        <row r="14">
          <cell r="E14" t="str">
            <v>苏正田</v>
          </cell>
          <cell r="G14">
            <v>4483</v>
          </cell>
        </row>
        <row r="15">
          <cell r="E15" t="str">
            <v>刘目兰</v>
          </cell>
          <cell r="G15">
            <v>4701</v>
          </cell>
        </row>
        <row r="16">
          <cell r="E16" t="str">
            <v>赵爱群</v>
          </cell>
          <cell r="G16">
            <v>109</v>
          </cell>
        </row>
        <row r="17">
          <cell r="E17" t="str">
            <v>王丽红</v>
          </cell>
          <cell r="G17">
            <v>4156</v>
          </cell>
        </row>
        <row r="18">
          <cell r="E18" t="str">
            <v>陈云云</v>
          </cell>
          <cell r="G18">
            <v>5269</v>
          </cell>
        </row>
        <row r="19">
          <cell r="E19" t="str">
            <v>罗芬</v>
          </cell>
          <cell r="G19">
            <v>5276</v>
          </cell>
        </row>
        <row r="20">
          <cell r="E20" t="str">
            <v>陆晓蝶</v>
          </cell>
          <cell r="G20">
            <v>4168</v>
          </cell>
        </row>
        <row r="21">
          <cell r="E21" t="str">
            <v>甘宇宏</v>
          </cell>
          <cell r="G21">
            <v>5518</v>
          </cell>
        </row>
        <row r="22">
          <cell r="E22" t="str">
            <v>张娅</v>
          </cell>
          <cell r="G22">
            <v>4335</v>
          </cell>
        </row>
        <row r="23">
          <cell r="E23" t="str">
            <v>陈锦梅</v>
          </cell>
          <cell r="G23">
            <v>4903</v>
          </cell>
        </row>
        <row r="24">
          <cell r="E24" t="str">
            <v>潘志林</v>
          </cell>
          <cell r="G24">
            <v>5030</v>
          </cell>
        </row>
        <row r="25">
          <cell r="E25" t="str">
            <v>秦一梅</v>
          </cell>
          <cell r="G25">
            <v>4721</v>
          </cell>
        </row>
        <row r="26">
          <cell r="E26" t="str">
            <v>赵满林</v>
          </cell>
          <cell r="G26">
            <v>4412</v>
          </cell>
        </row>
        <row r="27">
          <cell r="E27" t="str">
            <v>卓俊俊</v>
          </cell>
          <cell r="G27">
            <v>2844</v>
          </cell>
        </row>
        <row r="28">
          <cell r="E28" t="str">
            <v>曾红梅</v>
          </cell>
          <cell r="G28">
            <v>4882</v>
          </cell>
        </row>
        <row r="29">
          <cell r="E29" t="str">
            <v>何时才</v>
          </cell>
          <cell r="G29">
            <v>0</v>
          </cell>
        </row>
        <row r="30">
          <cell r="E30" t="str">
            <v>李雪</v>
          </cell>
          <cell r="G30">
            <v>5208</v>
          </cell>
        </row>
        <row r="31">
          <cell r="E31" t="str">
            <v>田婷莉</v>
          </cell>
          <cell r="G31">
            <v>5495</v>
          </cell>
        </row>
        <row r="32">
          <cell r="E32" t="str">
            <v>林树</v>
          </cell>
          <cell r="G32">
            <v>5399</v>
          </cell>
        </row>
        <row r="33">
          <cell r="E33" t="str">
            <v>伍顺华</v>
          </cell>
          <cell r="G33">
            <v>5539</v>
          </cell>
        </row>
        <row r="34">
          <cell r="E34" t="str">
            <v>涂晓红</v>
          </cell>
          <cell r="G34">
            <v>4512</v>
          </cell>
        </row>
        <row r="35">
          <cell r="E35" t="str">
            <v>唐兴祥</v>
          </cell>
          <cell r="G35">
            <v>4926</v>
          </cell>
        </row>
        <row r="36">
          <cell r="E36" t="str">
            <v>杨小琴</v>
          </cell>
          <cell r="G36">
            <v>3828</v>
          </cell>
        </row>
        <row r="37">
          <cell r="E37" t="str">
            <v>杨小静</v>
          </cell>
          <cell r="G37">
            <v>3776</v>
          </cell>
        </row>
        <row r="38">
          <cell r="E38" t="str">
            <v>杨海林</v>
          </cell>
          <cell r="G38">
            <v>0</v>
          </cell>
        </row>
        <row r="39">
          <cell r="E39" t="str">
            <v>吴永山</v>
          </cell>
          <cell r="G39">
            <v>5332</v>
          </cell>
        </row>
        <row r="40">
          <cell r="E40" t="str">
            <v>李建华</v>
          </cell>
          <cell r="G40">
            <v>6515</v>
          </cell>
        </row>
        <row r="41">
          <cell r="E41" t="str">
            <v>周小平</v>
          </cell>
          <cell r="G41">
            <v>5275</v>
          </cell>
        </row>
        <row r="42">
          <cell r="E42" t="str">
            <v>姜立桂</v>
          </cell>
          <cell r="G42">
            <v>3123</v>
          </cell>
        </row>
        <row r="43">
          <cell r="E43" t="str">
            <v>何妹明</v>
          </cell>
          <cell r="G43">
            <v>2359</v>
          </cell>
        </row>
        <row r="44">
          <cell r="E44" t="str">
            <v>涂晓林</v>
          </cell>
          <cell r="G44">
            <v>4739</v>
          </cell>
        </row>
        <row r="45">
          <cell r="E45" t="str">
            <v>潘红兵</v>
          </cell>
          <cell r="G45">
            <v>5286</v>
          </cell>
        </row>
        <row r="46">
          <cell r="E46" t="str">
            <v>杨秀云</v>
          </cell>
          <cell r="G46">
            <v>6191</v>
          </cell>
        </row>
        <row r="47">
          <cell r="E47" t="str">
            <v>李桂花</v>
          </cell>
          <cell r="G47">
            <v>4520</v>
          </cell>
        </row>
        <row r="48">
          <cell r="E48" t="str">
            <v>段小娟</v>
          </cell>
          <cell r="G48">
            <v>4350</v>
          </cell>
        </row>
        <row r="49">
          <cell r="E49" t="str">
            <v>马安鸣</v>
          </cell>
          <cell r="G49">
            <v>3230</v>
          </cell>
        </row>
        <row r="50">
          <cell r="E50" t="str">
            <v>陈联云</v>
          </cell>
          <cell r="G50">
            <v>4602</v>
          </cell>
        </row>
        <row r="51">
          <cell r="E51" t="str">
            <v>张丹丹</v>
          </cell>
          <cell r="G51">
            <v>4422</v>
          </cell>
        </row>
        <row r="52">
          <cell r="E52" t="str">
            <v>王建雲</v>
          </cell>
          <cell r="G52">
            <v>4552</v>
          </cell>
        </row>
        <row r="53">
          <cell r="E53" t="str">
            <v>刘昌英</v>
          </cell>
          <cell r="G53">
            <v>4656</v>
          </cell>
        </row>
        <row r="54">
          <cell r="E54" t="str">
            <v>裴启乾</v>
          </cell>
          <cell r="G54">
            <v>5493</v>
          </cell>
        </row>
        <row r="55">
          <cell r="E55" t="str">
            <v>吴贵香</v>
          </cell>
          <cell r="G55">
            <v>5137</v>
          </cell>
        </row>
        <row r="56">
          <cell r="E56" t="str">
            <v>李秀梅</v>
          </cell>
          <cell r="G56">
            <v>5708</v>
          </cell>
        </row>
        <row r="57">
          <cell r="E57" t="str">
            <v>张小军</v>
          </cell>
          <cell r="G57">
            <v>5610</v>
          </cell>
        </row>
        <row r="58">
          <cell r="E58" t="str">
            <v>李小飞</v>
          </cell>
          <cell r="G58">
            <v>4503</v>
          </cell>
        </row>
        <row r="59">
          <cell r="E59" t="str">
            <v>陆继兵</v>
          </cell>
          <cell r="G59">
            <v>4150</v>
          </cell>
        </row>
        <row r="60">
          <cell r="E60" t="str">
            <v>苏怀映</v>
          </cell>
          <cell r="G60">
            <v>4636</v>
          </cell>
        </row>
        <row r="61">
          <cell r="E61" t="str">
            <v>陈国文</v>
          </cell>
          <cell r="G61">
            <v>4750</v>
          </cell>
        </row>
        <row r="62">
          <cell r="E62" t="str">
            <v>蓝崇规</v>
          </cell>
          <cell r="G62">
            <v>4912</v>
          </cell>
        </row>
        <row r="63">
          <cell r="E63" t="str">
            <v>粟明元</v>
          </cell>
          <cell r="G63">
            <v>4466</v>
          </cell>
        </row>
        <row r="64">
          <cell r="E64" t="str">
            <v>杨李杰</v>
          </cell>
          <cell r="G64">
            <v>6202</v>
          </cell>
        </row>
        <row r="65">
          <cell r="E65" t="str">
            <v>何多兰</v>
          </cell>
          <cell r="G65">
            <v>4602</v>
          </cell>
        </row>
        <row r="66">
          <cell r="E66" t="str">
            <v>梁明新</v>
          </cell>
          <cell r="G66">
            <v>5066</v>
          </cell>
        </row>
        <row r="67">
          <cell r="E67" t="str">
            <v>沈永松</v>
          </cell>
          <cell r="G67">
            <v>5133</v>
          </cell>
        </row>
        <row r="68">
          <cell r="E68" t="str">
            <v>赵翠武</v>
          </cell>
          <cell r="G68">
            <v>4602</v>
          </cell>
        </row>
        <row r="69">
          <cell r="E69" t="str">
            <v>汪近</v>
          </cell>
          <cell r="G69">
            <v>4587</v>
          </cell>
        </row>
        <row r="70">
          <cell r="E70" t="str">
            <v>张国群</v>
          </cell>
          <cell r="G70">
            <v>4736</v>
          </cell>
        </row>
        <row r="71">
          <cell r="E71" t="str">
            <v>舒芳玲</v>
          </cell>
          <cell r="G71">
            <v>4946</v>
          </cell>
        </row>
        <row r="72">
          <cell r="E72" t="str">
            <v>黄文武</v>
          </cell>
          <cell r="G72">
            <v>4651</v>
          </cell>
        </row>
        <row r="73">
          <cell r="E73" t="str">
            <v>卢生戛</v>
          </cell>
          <cell r="G73">
            <v>3462</v>
          </cell>
        </row>
        <row r="74">
          <cell r="E74" t="str">
            <v>陈均</v>
          </cell>
          <cell r="G74">
            <v>3659</v>
          </cell>
        </row>
        <row r="75">
          <cell r="E75" t="str">
            <v>刘昌平</v>
          </cell>
          <cell r="G75">
            <v>5177</v>
          </cell>
        </row>
        <row r="76">
          <cell r="E76" t="str">
            <v>冯济良</v>
          </cell>
          <cell r="G76">
            <v>5085</v>
          </cell>
        </row>
        <row r="77">
          <cell r="E77" t="str">
            <v>陈紫媚</v>
          </cell>
          <cell r="G77">
            <v>4060</v>
          </cell>
        </row>
        <row r="78">
          <cell r="E78" t="str">
            <v>黄宗业</v>
          </cell>
          <cell r="G78">
            <v>3869</v>
          </cell>
        </row>
        <row r="79">
          <cell r="E79" t="str">
            <v>李梦茹</v>
          </cell>
          <cell r="G79">
            <v>4174</v>
          </cell>
        </row>
        <row r="80">
          <cell r="E80" t="str">
            <v>冯泽亮</v>
          </cell>
          <cell r="G80">
            <v>4468</v>
          </cell>
        </row>
        <row r="81">
          <cell r="E81" t="str">
            <v>赵先先</v>
          </cell>
          <cell r="G81">
            <v>4325</v>
          </cell>
        </row>
        <row r="82">
          <cell r="E82" t="str">
            <v>蒋军秀</v>
          </cell>
          <cell r="G82">
            <v>4508</v>
          </cell>
        </row>
        <row r="83">
          <cell r="E83" t="str">
            <v>王珍风</v>
          </cell>
          <cell r="G83">
            <v>103</v>
          </cell>
        </row>
        <row r="84">
          <cell r="E84" t="str">
            <v>谭少年</v>
          </cell>
          <cell r="G84">
            <v>5323</v>
          </cell>
        </row>
        <row r="85">
          <cell r="E85" t="str">
            <v>陈香玲</v>
          </cell>
          <cell r="G85">
            <v>4040</v>
          </cell>
        </row>
        <row r="86">
          <cell r="E86" t="str">
            <v>何中全</v>
          </cell>
          <cell r="G86">
            <v>8604</v>
          </cell>
        </row>
        <row r="87">
          <cell r="E87" t="str">
            <v>段昌述</v>
          </cell>
          <cell r="G87">
            <v>5031</v>
          </cell>
        </row>
        <row r="88">
          <cell r="E88" t="str">
            <v>姜方松</v>
          </cell>
          <cell r="G88">
            <v>4966</v>
          </cell>
        </row>
        <row r="89">
          <cell r="E89" t="str">
            <v>凌明孟</v>
          </cell>
          <cell r="G89">
            <v>4976</v>
          </cell>
        </row>
        <row r="90">
          <cell r="E90" t="str">
            <v>廖勇</v>
          </cell>
          <cell r="G90">
            <v>4473</v>
          </cell>
        </row>
        <row r="91">
          <cell r="E91" t="str">
            <v>杨云圣</v>
          </cell>
          <cell r="G91">
            <v>5097</v>
          </cell>
        </row>
        <row r="92">
          <cell r="E92" t="str">
            <v>谢宝</v>
          </cell>
          <cell r="G92">
            <v>4988</v>
          </cell>
        </row>
        <row r="93">
          <cell r="E93" t="str">
            <v>万森宝</v>
          </cell>
          <cell r="G93">
            <v>4887</v>
          </cell>
        </row>
        <row r="94">
          <cell r="E94" t="str">
            <v>王超</v>
          </cell>
          <cell r="G94">
            <v>4873</v>
          </cell>
        </row>
        <row r="95">
          <cell r="E95" t="str">
            <v>廖志杰</v>
          </cell>
          <cell r="G95">
            <v>4658</v>
          </cell>
        </row>
        <row r="96">
          <cell r="E96" t="str">
            <v>黄家有</v>
          </cell>
          <cell r="G96">
            <v>3087</v>
          </cell>
        </row>
        <row r="97">
          <cell r="E97" t="str">
            <v>赵娇娇</v>
          </cell>
          <cell r="G97">
            <v>0</v>
          </cell>
        </row>
        <row r="98">
          <cell r="E98" t="str">
            <v>马珍</v>
          </cell>
          <cell r="G98">
            <v>4420</v>
          </cell>
        </row>
        <row r="99">
          <cell r="E99" t="str">
            <v>陈作活</v>
          </cell>
          <cell r="G99">
            <v>4563</v>
          </cell>
        </row>
        <row r="100">
          <cell r="E100" t="str">
            <v>周祖运</v>
          </cell>
          <cell r="G100">
            <v>5112</v>
          </cell>
        </row>
        <row r="101">
          <cell r="E101" t="str">
            <v>钟文娟</v>
          </cell>
          <cell r="G101">
            <v>3605</v>
          </cell>
        </row>
        <row r="102">
          <cell r="E102" t="str">
            <v>刘青梅</v>
          </cell>
          <cell r="G102">
            <v>4602</v>
          </cell>
        </row>
        <row r="103">
          <cell r="E103" t="str">
            <v>万金炎</v>
          </cell>
          <cell r="G103">
            <v>2428</v>
          </cell>
        </row>
        <row r="104">
          <cell r="E104" t="str">
            <v>陈丽</v>
          </cell>
          <cell r="G104">
            <v>4562</v>
          </cell>
        </row>
        <row r="105">
          <cell r="E105" t="str">
            <v>李小雨</v>
          </cell>
          <cell r="G105">
            <v>4493</v>
          </cell>
        </row>
        <row r="106">
          <cell r="E106" t="str">
            <v>粟艺强</v>
          </cell>
          <cell r="G106">
            <v>4758</v>
          </cell>
        </row>
        <row r="107">
          <cell r="E107" t="str">
            <v>叶祖祯</v>
          </cell>
          <cell r="G107">
            <v>4648</v>
          </cell>
        </row>
        <row r="108">
          <cell r="E108" t="str">
            <v>张凤燕</v>
          </cell>
          <cell r="G108">
            <v>4821</v>
          </cell>
        </row>
        <row r="109">
          <cell r="E109" t="str">
            <v>廖锋</v>
          </cell>
          <cell r="G109">
            <v>4193</v>
          </cell>
        </row>
        <row r="110">
          <cell r="E110" t="str">
            <v>梁少霞</v>
          </cell>
          <cell r="G110">
            <v>4917</v>
          </cell>
        </row>
        <row r="111">
          <cell r="E111" t="str">
            <v>左永红</v>
          </cell>
          <cell r="G111">
            <v>5313</v>
          </cell>
        </row>
        <row r="112">
          <cell r="E112" t="str">
            <v>何小莲</v>
          </cell>
          <cell r="G112">
            <v>3829</v>
          </cell>
        </row>
        <row r="113">
          <cell r="E113" t="str">
            <v>刘盛</v>
          </cell>
          <cell r="G113">
            <v>4253</v>
          </cell>
        </row>
        <row r="114">
          <cell r="E114" t="str">
            <v>覃金茂</v>
          </cell>
          <cell r="G114">
            <v>5170</v>
          </cell>
        </row>
        <row r="115">
          <cell r="E115" t="str">
            <v>朱志雪</v>
          </cell>
          <cell r="G115">
            <v>3918</v>
          </cell>
        </row>
        <row r="116">
          <cell r="E116" t="str">
            <v>朱志聪</v>
          </cell>
          <cell r="G116">
            <v>3925</v>
          </cell>
        </row>
        <row r="117">
          <cell r="E117" t="str">
            <v>蔡天杰</v>
          </cell>
          <cell r="G117">
            <v>4041</v>
          </cell>
        </row>
        <row r="118">
          <cell r="E118" t="str">
            <v>蔡天明</v>
          </cell>
          <cell r="G118">
            <v>4055</v>
          </cell>
        </row>
        <row r="119">
          <cell r="E119" t="str">
            <v>王可艳</v>
          </cell>
          <cell r="G119">
            <v>5024</v>
          </cell>
        </row>
        <row r="120">
          <cell r="E120" t="str">
            <v>杨金枝</v>
          </cell>
          <cell r="G120">
            <v>5060</v>
          </cell>
        </row>
        <row r="121">
          <cell r="E121" t="str">
            <v>潘军</v>
          </cell>
          <cell r="G121">
            <v>4877</v>
          </cell>
        </row>
        <row r="122">
          <cell r="E122" t="str">
            <v>甘立成</v>
          </cell>
          <cell r="G122">
            <v>5121</v>
          </cell>
        </row>
        <row r="123">
          <cell r="E123" t="str">
            <v>覃茂</v>
          </cell>
          <cell r="G123">
            <v>4627</v>
          </cell>
        </row>
        <row r="124">
          <cell r="E124" t="str">
            <v>莫思海</v>
          </cell>
          <cell r="G124">
            <v>4780</v>
          </cell>
        </row>
        <row r="125">
          <cell r="E125" t="str">
            <v>陈豪</v>
          </cell>
          <cell r="G125">
            <v>4915</v>
          </cell>
        </row>
        <row r="126">
          <cell r="E126" t="str">
            <v>刘金周</v>
          </cell>
          <cell r="G126">
            <v>4728</v>
          </cell>
        </row>
        <row r="127">
          <cell r="E127" t="str">
            <v>尹月兰</v>
          </cell>
          <cell r="G127">
            <v>5021</v>
          </cell>
        </row>
        <row r="128">
          <cell r="E128" t="str">
            <v>唐旭</v>
          </cell>
          <cell r="G128">
            <v>5065</v>
          </cell>
        </row>
        <row r="129">
          <cell r="E129" t="str">
            <v>郑仕神</v>
          </cell>
          <cell r="G129">
            <v>5296</v>
          </cell>
        </row>
        <row r="130">
          <cell r="E130" t="str">
            <v>黎银美</v>
          </cell>
          <cell r="G130">
            <v>4820</v>
          </cell>
        </row>
        <row r="131">
          <cell r="E131" t="str">
            <v>李爱香</v>
          </cell>
          <cell r="G131">
            <v>5167</v>
          </cell>
        </row>
        <row r="132">
          <cell r="E132" t="str">
            <v>汪海祝</v>
          </cell>
          <cell r="G132">
            <v>5084</v>
          </cell>
        </row>
        <row r="133">
          <cell r="E133" t="str">
            <v>张双凤</v>
          </cell>
          <cell r="G133">
            <v>3793</v>
          </cell>
        </row>
        <row r="134">
          <cell r="E134" t="str">
            <v>付福木</v>
          </cell>
          <cell r="G134">
            <v>4779</v>
          </cell>
        </row>
        <row r="135">
          <cell r="E135" t="str">
            <v>吴秋明</v>
          </cell>
          <cell r="G135">
            <v>5016</v>
          </cell>
        </row>
        <row r="136">
          <cell r="E136" t="str">
            <v>浓绍福</v>
          </cell>
          <cell r="G136">
            <v>4457</v>
          </cell>
        </row>
        <row r="137">
          <cell r="E137" t="str">
            <v>郑爱珠</v>
          </cell>
          <cell r="G137">
            <v>4603</v>
          </cell>
        </row>
        <row r="138">
          <cell r="E138" t="str">
            <v>胡桥英</v>
          </cell>
          <cell r="G138">
            <v>4623</v>
          </cell>
        </row>
        <row r="139">
          <cell r="E139" t="str">
            <v>覃美珍</v>
          </cell>
          <cell r="G139">
            <v>5039</v>
          </cell>
        </row>
        <row r="140">
          <cell r="E140" t="str">
            <v>潘运军</v>
          </cell>
          <cell r="G140">
            <v>5404</v>
          </cell>
        </row>
        <row r="141">
          <cell r="E141" t="str">
            <v>李鸿金</v>
          </cell>
          <cell r="G141">
            <v>7441</v>
          </cell>
        </row>
        <row r="142">
          <cell r="E142" t="str">
            <v>唐佳郴</v>
          </cell>
          <cell r="G142">
            <v>6338</v>
          </cell>
        </row>
        <row r="143">
          <cell r="E143" t="str">
            <v>肖爱勇</v>
          </cell>
          <cell r="G143">
            <v>7394</v>
          </cell>
        </row>
        <row r="144">
          <cell r="E144" t="str">
            <v>李育道</v>
          </cell>
          <cell r="G144">
            <v>9332</v>
          </cell>
        </row>
        <row r="145">
          <cell r="E145" t="str">
            <v>李亚焦</v>
          </cell>
          <cell r="G145">
            <v>6852</v>
          </cell>
        </row>
        <row r="146">
          <cell r="E146" t="str">
            <v>李文明</v>
          </cell>
          <cell r="G146">
            <v>11339</v>
          </cell>
        </row>
        <row r="147">
          <cell r="E147" t="str">
            <v>冉令文</v>
          </cell>
          <cell r="G147">
            <v>10437</v>
          </cell>
        </row>
        <row r="148">
          <cell r="E148" t="str">
            <v>李威勇</v>
          </cell>
          <cell r="G148">
            <v>11247</v>
          </cell>
        </row>
        <row r="149">
          <cell r="E149" t="str">
            <v>谭术均</v>
          </cell>
          <cell r="G149">
            <v>11197</v>
          </cell>
        </row>
        <row r="150">
          <cell r="E150" t="str">
            <v>齐上英</v>
          </cell>
          <cell r="G150">
            <v>5833</v>
          </cell>
        </row>
        <row r="151">
          <cell r="E151" t="str">
            <v>李斌</v>
          </cell>
          <cell r="G151">
            <v>10468</v>
          </cell>
        </row>
        <row r="152">
          <cell r="E152" t="str">
            <v>任大慈</v>
          </cell>
          <cell r="G152">
            <v>4551</v>
          </cell>
        </row>
        <row r="153">
          <cell r="E153" t="str">
            <v>黄贝宣</v>
          </cell>
          <cell r="G153">
            <v>4439</v>
          </cell>
        </row>
        <row r="154">
          <cell r="E154" t="str">
            <v>赖越联</v>
          </cell>
          <cell r="G154">
            <v>4584</v>
          </cell>
        </row>
        <row r="155">
          <cell r="E155" t="str">
            <v>劳晓婵</v>
          </cell>
          <cell r="G155">
            <v>3649</v>
          </cell>
        </row>
        <row r="156">
          <cell r="E156" t="str">
            <v>邬传强</v>
          </cell>
          <cell r="G156">
            <v>2877</v>
          </cell>
        </row>
        <row r="157">
          <cell r="E157" t="str">
            <v>陈长林</v>
          </cell>
          <cell r="G157">
            <v>4240</v>
          </cell>
        </row>
        <row r="158">
          <cell r="E158" t="str">
            <v>刘亮艳</v>
          </cell>
          <cell r="G158">
            <v>5093</v>
          </cell>
        </row>
        <row r="159">
          <cell r="E159" t="str">
            <v>吴冬日</v>
          </cell>
          <cell r="G159">
            <v>5291</v>
          </cell>
        </row>
        <row r="160">
          <cell r="E160" t="str">
            <v>林燕凤</v>
          </cell>
          <cell r="G160">
            <v>4896</v>
          </cell>
        </row>
        <row r="161">
          <cell r="E161" t="str">
            <v>石秋霞</v>
          </cell>
          <cell r="G161">
            <v>4552</v>
          </cell>
        </row>
        <row r="162">
          <cell r="E162" t="str">
            <v>黄裕兰</v>
          </cell>
          <cell r="G162">
            <v>4600</v>
          </cell>
        </row>
        <row r="163">
          <cell r="E163" t="str">
            <v>马平发</v>
          </cell>
          <cell r="G163">
            <v>4413</v>
          </cell>
        </row>
        <row r="164">
          <cell r="E164" t="str">
            <v>苏伟</v>
          </cell>
          <cell r="G164">
            <v>3743</v>
          </cell>
        </row>
        <row r="165">
          <cell r="E165" t="str">
            <v>周清</v>
          </cell>
          <cell r="G165">
            <v>4685</v>
          </cell>
        </row>
        <row r="166">
          <cell r="E166" t="str">
            <v>张杰</v>
          </cell>
          <cell r="G166">
            <v>3981</v>
          </cell>
        </row>
        <row r="167">
          <cell r="E167" t="str">
            <v>李柏业</v>
          </cell>
          <cell r="G167">
            <v>4481</v>
          </cell>
        </row>
        <row r="168">
          <cell r="E168" t="str">
            <v>黄漫</v>
          </cell>
          <cell r="G168">
            <v>4721</v>
          </cell>
        </row>
        <row r="169">
          <cell r="E169" t="str">
            <v>黄露妃</v>
          </cell>
          <cell r="G169">
            <v>4937</v>
          </cell>
        </row>
        <row r="170">
          <cell r="E170" t="str">
            <v>黄清</v>
          </cell>
          <cell r="G170">
            <v>4862</v>
          </cell>
        </row>
        <row r="171">
          <cell r="E171" t="str">
            <v>蔡石间</v>
          </cell>
          <cell r="G171">
            <v>5004</v>
          </cell>
        </row>
        <row r="172">
          <cell r="E172" t="str">
            <v>李赞</v>
          </cell>
          <cell r="G172">
            <v>4166</v>
          </cell>
        </row>
        <row r="173">
          <cell r="E173" t="str">
            <v>何春叶</v>
          </cell>
          <cell r="G173">
            <v>4952</v>
          </cell>
        </row>
        <row r="174">
          <cell r="E174" t="str">
            <v>罗成德</v>
          </cell>
          <cell r="G174">
            <v>4097</v>
          </cell>
        </row>
        <row r="175">
          <cell r="E175" t="str">
            <v>罗田保</v>
          </cell>
          <cell r="G175">
            <v>3783</v>
          </cell>
        </row>
        <row r="176">
          <cell r="E176" t="str">
            <v>罗海戈</v>
          </cell>
          <cell r="G176">
            <v>4452</v>
          </cell>
        </row>
        <row r="177">
          <cell r="E177" t="str">
            <v>覃妙红</v>
          </cell>
          <cell r="G177">
            <v>5071</v>
          </cell>
        </row>
        <row r="178">
          <cell r="E178" t="str">
            <v>黄海满</v>
          </cell>
          <cell r="G178">
            <v>5401</v>
          </cell>
        </row>
        <row r="179">
          <cell r="E179" t="str">
            <v>陈小明</v>
          </cell>
          <cell r="G179">
            <v>10415</v>
          </cell>
        </row>
        <row r="180">
          <cell r="E180" t="str">
            <v>冉应伍</v>
          </cell>
          <cell r="G180">
            <v>7890</v>
          </cell>
        </row>
        <row r="181">
          <cell r="E181" t="str">
            <v>邢定</v>
          </cell>
          <cell r="G181">
            <v>8425</v>
          </cell>
        </row>
        <row r="182">
          <cell r="E182" t="str">
            <v>伍应平</v>
          </cell>
          <cell r="G182">
            <v>9607</v>
          </cell>
        </row>
        <row r="183">
          <cell r="E183" t="str">
            <v>李留成</v>
          </cell>
          <cell r="G183">
            <v>5815</v>
          </cell>
        </row>
        <row r="184">
          <cell r="E184" t="str">
            <v>毕强</v>
          </cell>
          <cell r="G184">
            <v>9643</v>
          </cell>
        </row>
        <row r="185">
          <cell r="E185" t="str">
            <v>郭成发</v>
          </cell>
          <cell r="G185">
            <v>4593</v>
          </cell>
        </row>
        <row r="186">
          <cell r="E186" t="str">
            <v>廖志伟</v>
          </cell>
          <cell r="G186">
            <v>4643</v>
          </cell>
        </row>
        <row r="187">
          <cell r="E187" t="str">
            <v>刘宜芳</v>
          </cell>
          <cell r="G187">
            <v>5030</v>
          </cell>
        </row>
        <row r="188">
          <cell r="E188" t="str">
            <v>韦大叶</v>
          </cell>
          <cell r="G188">
            <v>4829</v>
          </cell>
        </row>
        <row r="189">
          <cell r="E189" t="str">
            <v>黄玲</v>
          </cell>
          <cell r="G189">
            <v>4963</v>
          </cell>
        </row>
        <row r="190">
          <cell r="E190" t="str">
            <v>陈期娘</v>
          </cell>
          <cell r="G190">
            <v>3659</v>
          </cell>
        </row>
        <row r="191">
          <cell r="E191" t="str">
            <v>管丁梅</v>
          </cell>
          <cell r="G191">
            <v>4053</v>
          </cell>
        </row>
        <row r="192">
          <cell r="E192" t="str">
            <v>秦红平</v>
          </cell>
          <cell r="G192">
            <v>2512</v>
          </cell>
        </row>
        <row r="193">
          <cell r="E193" t="str">
            <v>李干呼</v>
          </cell>
          <cell r="G193">
            <v>4710</v>
          </cell>
        </row>
        <row r="194">
          <cell r="E194" t="str">
            <v>陈举发</v>
          </cell>
          <cell r="G194">
            <v>4470</v>
          </cell>
        </row>
        <row r="195">
          <cell r="E195" t="str">
            <v>马贵发</v>
          </cell>
          <cell r="G195">
            <v>4829</v>
          </cell>
        </row>
        <row r="196">
          <cell r="E196" t="str">
            <v>梁金元</v>
          </cell>
          <cell r="G196">
            <v>4121</v>
          </cell>
        </row>
        <row r="197">
          <cell r="E197" t="str">
            <v>明显高</v>
          </cell>
          <cell r="G197">
            <v>4328</v>
          </cell>
        </row>
        <row r="198">
          <cell r="E198" t="str">
            <v>布华忠</v>
          </cell>
          <cell r="G198">
            <v>0</v>
          </cell>
        </row>
        <row r="199">
          <cell r="E199" t="str">
            <v>冯小龙</v>
          </cell>
          <cell r="G199">
            <v>3348</v>
          </cell>
        </row>
        <row r="200">
          <cell r="E200" t="str">
            <v>苏斌</v>
          </cell>
          <cell r="G200">
            <v>3696</v>
          </cell>
        </row>
        <row r="201">
          <cell r="E201" t="str">
            <v>刘环</v>
          </cell>
          <cell r="G201">
            <v>3848</v>
          </cell>
        </row>
        <row r="202">
          <cell r="E202" t="str">
            <v>岑志华</v>
          </cell>
          <cell r="G202">
            <v>4183</v>
          </cell>
        </row>
        <row r="203">
          <cell r="E203" t="str">
            <v>岑炳伦</v>
          </cell>
          <cell r="G203">
            <v>4820</v>
          </cell>
        </row>
        <row r="204">
          <cell r="E204" t="str">
            <v>邓张</v>
          </cell>
          <cell r="G204">
            <v>4858</v>
          </cell>
        </row>
        <row r="205">
          <cell r="E205" t="str">
            <v>梁广彬</v>
          </cell>
          <cell r="G205">
            <v>4136</v>
          </cell>
        </row>
        <row r="206">
          <cell r="E206" t="str">
            <v>李海玲</v>
          </cell>
          <cell r="G206">
            <v>4952</v>
          </cell>
        </row>
        <row r="207">
          <cell r="E207" t="str">
            <v>梁秀锋</v>
          </cell>
          <cell r="G207">
            <v>3195</v>
          </cell>
        </row>
        <row r="208">
          <cell r="E208" t="str">
            <v>郭斗发</v>
          </cell>
          <cell r="G208">
            <v>4737</v>
          </cell>
        </row>
        <row r="209">
          <cell r="E209" t="str">
            <v>杨宏剑</v>
          </cell>
          <cell r="G209">
            <v>4932</v>
          </cell>
        </row>
        <row r="210">
          <cell r="E210" t="str">
            <v>杨春琳</v>
          </cell>
          <cell r="G210">
            <v>3384</v>
          </cell>
        </row>
        <row r="211">
          <cell r="E211" t="str">
            <v>周妹</v>
          </cell>
          <cell r="G211">
            <v>4293</v>
          </cell>
        </row>
        <row r="212">
          <cell r="E212" t="str">
            <v>谭玉娟</v>
          </cell>
          <cell r="G212">
            <v>3486</v>
          </cell>
        </row>
        <row r="213">
          <cell r="E213" t="str">
            <v>余鸿福</v>
          </cell>
          <cell r="G213">
            <v>4125</v>
          </cell>
        </row>
        <row r="214">
          <cell r="E214" t="str">
            <v>马周发</v>
          </cell>
          <cell r="G214">
            <v>4457</v>
          </cell>
        </row>
        <row r="215">
          <cell r="E215" t="str">
            <v>谢能宁</v>
          </cell>
          <cell r="G215">
            <v>4252</v>
          </cell>
        </row>
        <row r="216">
          <cell r="E216" t="str">
            <v>袁光周</v>
          </cell>
          <cell r="G216">
            <v>4932</v>
          </cell>
        </row>
        <row r="217">
          <cell r="E217" t="str">
            <v>黄琛</v>
          </cell>
          <cell r="G217">
            <v>3010</v>
          </cell>
        </row>
        <row r="218">
          <cell r="E218" t="str">
            <v>陆进保</v>
          </cell>
          <cell r="G218">
            <v>3631</v>
          </cell>
        </row>
        <row r="219">
          <cell r="E219" t="str">
            <v>刘杰</v>
          </cell>
          <cell r="G219">
            <v>5328</v>
          </cell>
        </row>
        <row r="220">
          <cell r="E220" t="str">
            <v>卢杰</v>
          </cell>
          <cell r="G220">
            <v>1704</v>
          </cell>
        </row>
        <row r="221">
          <cell r="E221" t="str">
            <v>莫少平</v>
          </cell>
          <cell r="G221">
            <v>833</v>
          </cell>
        </row>
        <row r="222">
          <cell r="E222" t="str">
            <v>李剑</v>
          </cell>
          <cell r="G222">
            <v>1669</v>
          </cell>
        </row>
        <row r="223">
          <cell r="E223" t="str">
            <v>杨金华</v>
          </cell>
          <cell r="G223">
            <v>1694</v>
          </cell>
        </row>
        <row r="224">
          <cell r="E224" t="str">
            <v>朱成功</v>
          </cell>
          <cell r="G224">
            <v>3995</v>
          </cell>
        </row>
        <row r="225">
          <cell r="E225" t="str">
            <v>杨外</v>
          </cell>
          <cell r="G225">
            <v>1659</v>
          </cell>
        </row>
        <row r="226">
          <cell r="E226" t="str">
            <v>王赞美</v>
          </cell>
          <cell r="G226">
            <v>1380</v>
          </cell>
        </row>
        <row r="227">
          <cell r="E227" t="str">
            <v>高建元</v>
          </cell>
          <cell r="G227">
            <v>4053</v>
          </cell>
        </row>
        <row r="228">
          <cell r="E228" t="str">
            <v>王南</v>
          </cell>
          <cell r="G228">
            <v>3968</v>
          </cell>
        </row>
        <row r="229">
          <cell r="E229" t="str">
            <v>徐琴</v>
          </cell>
          <cell r="G229">
            <v>1888</v>
          </cell>
        </row>
        <row r="230">
          <cell r="E230" t="str">
            <v>张鹏飞</v>
          </cell>
          <cell r="G230">
            <v>4344</v>
          </cell>
        </row>
        <row r="231">
          <cell r="E231" t="str">
            <v>黄和金</v>
          </cell>
          <cell r="G231">
            <v>2298</v>
          </cell>
        </row>
        <row r="232">
          <cell r="E232" t="str">
            <v>李克福</v>
          </cell>
          <cell r="G232">
            <v>4237</v>
          </cell>
        </row>
        <row r="233">
          <cell r="E233" t="str">
            <v>党付林</v>
          </cell>
          <cell r="G233">
            <v>4966</v>
          </cell>
        </row>
        <row r="234">
          <cell r="E234" t="str">
            <v>黄芳</v>
          </cell>
          <cell r="G234">
            <v>4368</v>
          </cell>
        </row>
        <row r="235">
          <cell r="E235" t="str">
            <v>利国东</v>
          </cell>
          <cell r="G235">
            <v>4084</v>
          </cell>
        </row>
        <row r="236">
          <cell r="E236" t="str">
            <v>林田</v>
          </cell>
          <cell r="G236">
            <v>4273</v>
          </cell>
        </row>
        <row r="237">
          <cell r="E237" t="str">
            <v>涂华荣</v>
          </cell>
          <cell r="G237">
            <v>4663</v>
          </cell>
        </row>
        <row r="238">
          <cell r="E238" t="str">
            <v>曾小珍</v>
          </cell>
          <cell r="G238">
            <v>4639</v>
          </cell>
        </row>
        <row r="239">
          <cell r="E239" t="str">
            <v>庞春梅</v>
          </cell>
          <cell r="G239">
            <v>4660</v>
          </cell>
        </row>
        <row r="240">
          <cell r="E240" t="str">
            <v>莫千軍</v>
          </cell>
          <cell r="G240">
            <v>4382</v>
          </cell>
        </row>
        <row r="241">
          <cell r="E241" t="str">
            <v>匡萍萍</v>
          </cell>
          <cell r="G241">
            <v>1834</v>
          </cell>
        </row>
        <row r="242">
          <cell r="E242" t="str">
            <v>徐小红</v>
          </cell>
          <cell r="G242">
            <v>1878</v>
          </cell>
        </row>
        <row r="243">
          <cell r="E243" t="str">
            <v>黎心珍</v>
          </cell>
          <cell r="G243">
            <v>2893</v>
          </cell>
        </row>
        <row r="244">
          <cell r="E244" t="str">
            <v>黄炳荣</v>
          </cell>
          <cell r="G244">
            <v>2443</v>
          </cell>
        </row>
        <row r="245">
          <cell r="E245" t="str">
            <v>李再祥</v>
          </cell>
          <cell r="G245">
            <v>2254</v>
          </cell>
        </row>
        <row r="246">
          <cell r="E246" t="str">
            <v>邓有元</v>
          </cell>
          <cell r="G246">
            <v>2329</v>
          </cell>
        </row>
        <row r="247">
          <cell r="E247" t="str">
            <v>谢林峰</v>
          </cell>
          <cell r="G247">
            <v>2091</v>
          </cell>
        </row>
        <row r="248">
          <cell r="E248" t="str">
            <v>白顺福</v>
          </cell>
          <cell r="G248">
            <v>4584</v>
          </cell>
        </row>
        <row r="249">
          <cell r="E249" t="str">
            <v>贺曼青</v>
          </cell>
          <cell r="G249">
            <v>4883</v>
          </cell>
        </row>
        <row r="250">
          <cell r="E250" t="str">
            <v>粟发军</v>
          </cell>
          <cell r="G250">
            <v>3467</v>
          </cell>
        </row>
        <row r="251">
          <cell r="E251" t="str">
            <v>韦锦云</v>
          </cell>
          <cell r="G251">
            <v>4467</v>
          </cell>
        </row>
        <row r="252">
          <cell r="E252" t="str">
            <v>余玉玺</v>
          </cell>
          <cell r="G252">
            <v>3816</v>
          </cell>
        </row>
        <row r="253">
          <cell r="E253" t="str">
            <v>潘秋梅</v>
          </cell>
          <cell r="G253">
            <v>4868</v>
          </cell>
        </row>
        <row r="254">
          <cell r="E254" t="str">
            <v>王旭丽</v>
          </cell>
          <cell r="G254">
            <v>4621</v>
          </cell>
        </row>
        <row r="255">
          <cell r="E255" t="str">
            <v>谢丽华</v>
          </cell>
          <cell r="G255">
            <v>4175</v>
          </cell>
        </row>
        <row r="256">
          <cell r="E256" t="str">
            <v>黄庭明</v>
          </cell>
          <cell r="G256">
            <v>3696</v>
          </cell>
        </row>
        <row r="257">
          <cell r="E257" t="str">
            <v>陆小英</v>
          </cell>
          <cell r="G257">
            <v>4606</v>
          </cell>
        </row>
        <row r="258">
          <cell r="E258" t="str">
            <v>雷强</v>
          </cell>
          <cell r="G258">
            <v>4772</v>
          </cell>
        </row>
        <row r="259">
          <cell r="E259" t="str">
            <v>陈佩华</v>
          </cell>
          <cell r="G259">
            <v>4560</v>
          </cell>
        </row>
        <row r="260">
          <cell r="E260" t="str">
            <v>谢政栋</v>
          </cell>
          <cell r="G260">
            <v>3614</v>
          </cell>
        </row>
        <row r="261">
          <cell r="E261" t="str">
            <v>吴洪群</v>
          </cell>
          <cell r="G261">
            <v>4045</v>
          </cell>
        </row>
        <row r="262">
          <cell r="E262" t="str">
            <v>潘亚文</v>
          </cell>
          <cell r="G262">
            <v>4632</v>
          </cell>
        </row>
        <row r="263">
          <cell r="E263" t="str">
            <v>吴文珍</v>
          </cell>
          <cell r="G263">
            <v>5532</v>
          </cell>
        </row>
        <row r="264">
          <cell r="E264" t="str">
            <v>黎祖英</v>
          </cell>
          <cell r="G264">
            <v>4350</v>
          </cell>
        </row>
        <row r="265">
          <cell r="E265" t="str">
            <v>张楚澄</v>
          </cell>
          <cell r="G265">
            <v>4516</v>
          </cell>
        </row>
        <row r="266">
          <cell r="E266" t="str">
            <v>叶春梅</v>
          </cell>
          <cell r="G266">
            <v>4823</v>
          </cell>
        </row>
        <row r="267">
          <cell r="E267" t="str">
            <v>梁晓</v>
          </cell>
          <cell r="G267">
            <v>4534</v>
          </cell>
        </row>
        <row r="268">
          <cell r="E268" t="str">
            <v>张东梅</v>
          </cell>
          <cell r="G268">
            <v>4783</v>
          </cell>
        </row>
        <row r="269">
          <cell r="E269" t="str">
            <v>罗方武</v>
          </cell>
          <cell r="G269">
            <v>4873</v>
          </cell>
        </row>
        <row r="270">
          <cell r="E270" t="str">
            <v>杜明友</v>
          </cell>
          <cell r="G270">
            <v>4851</v>
          </cell>
        </row>
        <row r="271">
          <cell r="E271" t="str">
            <v>邓德兵</v>
          </cell>
          <cell r="G271">
            <v>2549</v>
          </cell>
        </row>
        <row r="272">
          <cell r="E272" t="str">
            <v>雷登华</v>
          </cell>
          <cell r="G272">
            <v>3038</v>
          </cell>
        </row>
        <row r="273">
          <cell r="E273" t="str">
            <v>李明志</v>
          </cell>
          <cell r="G273">
            <v>3045</v>
          </cell>
        </row>
        <row r="274">
          <cell r="E274" t="str">
            <v>杨清强</v>
          </cell>
          <cell r="G274">
            <v>2935</v>
          </cell>
        </row>
        <row r="275">
          <cell r="E275" t="str">
            <v>李日增</v>
          </cell>
          <cell r="G275">
            <v>2286</v>
          </cell>
        </row>
        <row r="276">
          <cell r="E276" t="str">
            <v>肖遥</v>
          </cell>
          <cell r="G276">
            <v>7276</v>
          </cell>
        </row>
        <row r="277">
          <cell r="E277" t="str">
            <v>熊珍文</v>
          </cell>
          <cell r="G277">
            <v>2991</v>
          </cell>
        </row>
        <row r="278">
          <cell r="E278" t="str">
            <v>袁振浪</v>
          </cell>
          <cell r="G278">
            <v>3001</v>
          </cell>
        </row>
        <row r="279">
          <cell r="E279" t="str">
            <v>覃光平</v>
          </cell>
          <cell r="G279">
            <v>3690</v>
          </cell>
        </row>
        <row r="280">
          <cell r="E280" t="str">
            <v>刘洋</v>
          </cell>
          <cell r="G280">
            <v>4924</v>
          </cell>
        </row>
        <row r="281">
          <cell r="E281" t="str">
            <v>黄开发</v>
          </cell>
          <cell r="G281">
            <v>454</v>
          </cell>
        </row>
        <row r="282">
          <cell r="E282" t="str">
            <v>丁富元</v>
          </cell>
          <cell r="G282">
            <v>314</v>
          </cell>
        </row>
        <row r="283">
          <cell r="E283" t="str">
            <v>龙小芳</v>
          </cell>
          <cell r="G283">
            <v>4490</v>
          </cell>
        </row>
        <row r="284">
          <cell r="E284" t="str">
            <v>陈兰超</v>
          </cell>
          <cell r="G284">
            <v>2844</v>
          </cell>
        </row>
        <row r="285">
          <cell r="E285" t="str">
            <v>唐辉师</v>
          </cell>
          <cell r="G285">
            <v>4631</v>
          </cell>
        </row>
        <row r="286">
          <cell r="E286" t="str">
            <v>颜平佳</v>
          </cell>
          <cell r="G286">
            <v>0</v>
          </cell>
        </row>
        <row r="287">
          <cell r="E287" t="str">
            <v>魏顺贵</v>
          </cell>
          <cell r="G287">
            <v>0</v>
          </cell>
        </row>
        <row r="288">
          <cell r="E288" t="str">
            <v>袁志国</v>
          </cell>
          <cell r="G288">
            <v>0</v>
          </cell>
        </row>
        <row r="289">
          <cell r="E289" t="str">
            <v>袁望</v>
          </cell>
          <cell r="G289">
            <v>0</v>
          </cell>
        </row>
        <row r="290">
          <cell r="E290" t="str">
            <v>刘文</v>
          </cell>
          <cell r="G290">
            <v>0</v>
          </cell>
        </row>
        <row r="291">
          <cell r="E291" t="str">
            <v>叶培进</v>
          </cell>
          <cell r="G291">
            <v>0</v>
          </cell>
        </row>
        <row r="292">
          <cell r="E292" t="str">
            <v>袁中良</v>
          </cell>
          <cell r="G292">
            <v>0</v>
          </cell>
        </row>
        <row r="293">
          <cell r="E293" t="str">
            <v>何华珍</v>
          </cell>
          <cell r="G293">
            <v>0</v>
          </cell>
        </row>
        <row r="294">
          <cell r="E294" t="str">
            <v>陶锦林</v>
          </cell>
          <cell r="G294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直工（银行代发）"/>
      <sheetName val="加班日薪"/>
      <sheetName val="工资条"/>
      <sheetName val="Sheet1"/>
      <sheetName val="没有银行卡"/>
      <sheetName val="直工全员"/>
      <sheetName val="抛光计件人员做满一年"/>
      <sheetName val="水电"/>
      <sheetName val="2019-6原始表"/>
    </sheetNames>
    <sheetDataSet>
      <sheetData sheetId="0">
        <row r="2">
          <cell r="M2" t="str">
            <v xml:space="preserve">   东莞市纳百川电子科技有限公司</v>
          </cell>
        </row>
        <row r="3">
          <cell r="M3" t="str">
            <v xml:space="preserve">   2019年9月工资</v>
          </cell>
        </row>
        <row r="4">
          <cell r="D4" t="str">
            <v>姓名</v>
          </cell>
          <cell r="E4" t="str">
            <v>性别</v>
          </cell>
          <cell r="F4" t="str">
            <v>身份证号码</v>
          </cell>
          <cell r="G4" t="str">
            <v>工职类别</v>
          </cell>
          <cell r="H4" t="str">
            <v>部门</v>
          </cell>
          <cell r="I4" t="str">
            <v>现任职称</v>
          </cell>
          <cell r="J4" t="str">
            <v>进厂日期</v>
          </cell>
          <cell r="K4" t="str">
            <v>离职日期</v>
          </cell>
          <cell r="L4" t="str">
            <v>等级</v>
          </cell>
          <cell r="M4" t="str">
            <v>全勤天数</v>
          </cell>
          <cell r="N4" t="str">
            <v>出勤天数</v>
          </cell>
          <cell r="O4" t="str">
            <v>平时加班小时</v>
          </cell>
          <cell r="P4" t="str">
            <v>假日加班小时</v>
          </cell>
          <cell r="Q4" t="str">
            <v>法定假加班小时</v>
          </cell>
          <cell r="R4" t="str">
            <v>固定加班小时</v>
          </cell>
          <cell r="S4" t="str">
            <v>薪资总额</v>
          </cell>
          <cell r="T4" t="str">
            <v>本薪</v>
          </cell>
          <cell r="U4" t="str">
            <v>本薪工资</v>
          </cell>
          <cell r="V4" t="str">
            <v>职务津贴</v>
          </cell>
          <cell r="W4" t="str">
            <v>职务实发</v>
          </cell>
          <cell r="X4" t="str">
            <v>绩效奖金</v>
          </cell>
          <cell r="Y4" t="str">
            <v>实发绩效</v>
          </cell>
          <cell r="Z4" t="str">
            <v>平时加班率</v>
          </cell>
          <cell r="AA4" t="str">
            <v>平时加班费</v>
          </cell>
          <cell r="AB4" t="str">
            <v>假日加班率</v>
          </cell>
          <cell r="AC4" t="str">
            <v>假日加班费</v>
          </cell>
          <cell r="AD4" t="str">
            <v>法定假加班费</v>
          </cell>
          <cell r="AE4" t="str">
            <v>固定加班费</v>
          </cell>
          <cell r="AF4" t="str">
            <v>计件工资</v>
          </cell>
          <cell r="AG4" t="str">
            <v>全勤津贴</v>
          </cell>
          <cell r="AH4" t="str">
            <v>工龄奖</v>
          </cell>
          <cell r="AI4" t="str">
            <v>补助合计</v>
          </cell>
          <cell r="AJ4" t="str">
            <v>年终奖</v>
          </cell>
          <cell r="AK4" t="str">
            <v>应发薪资</v>
          </cell>
          <cell r="AL4" t="str">
            <v>代扣社保</v>
          </cell>
          <cell r="AM4" t="str">
            <v>住房公积金</v>
          </cell>
          <cell r="AN4" t="str">
            <v>上月累计收入额</v>
          </cell>
          <cell r="AO4" t="str">
            <v>上月累计减除费用</v>
          </cell>
          <cell r="AP4" t="str">
            <v>上月专项累计减除费用</v>
          </cell>
          <cell r="AQ4" t="str">
            <v>子女教育</v>
          </cell>
          <cell r="AR4" t="str">
            <v>赡养老人</v>
          </cell>
          <cell r="AS4" t="str">
            <v>住房贷款</v>
          </cell>
          <cell r="AT4" t="str">
            <v>租金</v>
          </cell>
          <cell r="AU4" t="str">
            <v>本年专项扣除累计</v>
          </cell>
          <cell r="AV4" t="str">
            <v>本年累计收入额</v>
          </cell>
          <cell r="AW4" t="str">
            <v>税前扣除总额</v>
          </cell>
          <cell r="AX4" t="str">
            <v>应纳税额</v>
          </cell>
          <cell r="AY4" t="str">
            <v>本年已扣税金</v>
          </cell>
          <cell r="AZ4" t="str">
            <v>扣个税</v>
          </cell>
          <cell r="BA4" t="str">
            <v>电费</v>
          </cell>
          <cell r="BB4" t="str">
            <v>奖罚</v>
          </cell>
          <cell r="BC4" t="str">
            <v>补上月</v>
          </cell>
          <cell r="BD4" t="str">
            <v>扣款合计</v>
          </cell>
          <cell r="BE4" t="str">
            <v>实发工资</v>
          </cell>
          <cell r="BF4" t="str">
            <v>银行代发</v>
          </cell>
          <cell r="BG4" t="str">
            <v>现金发放</v>
          </cell>
          <cell r="BH4" t="str">
            <v>员工签名</v>
          </cell>
          <cell r="BI4" t="str">
            <v>卡号</v>
          </cell>
          <cell r="BK4" t="str">
            <v>1-3月税金</v>
          </cell>
          <cell r="BL4" t="str">
            <v>4月税金</v>
          </cell>
          <cell r="BM4" t="str">
            <v>5月税金</v>
          </cell>
          <cell r="BN4" t="str">
            <v>6月税金</v>
          </cell>
          <cell r="BO4" t="str">
            <v>7月税金</v>
          </cell>
          <cell r="BP4" t="str">
            <v>8月税金</v>
          </cell>
          <cell r="BQ4" t="str">
            <v>9月税金</v>
          </cell>
          <cell r="BR4" t="str">
            <v>10月税金</v>
          </cell>
          <cell r="BS4" t="str">
            <v>11月税金</v>
          </cell>
          <cell r="BT4" t="str">
            <v>12月税金</v>
          </cell>
          <cell r="BU4" t="str">
            <v>已扣税金合计</v>
          </cell>
        </row>
        <row r="5">
          <cell r="D5" t="str">
            <v>唐庆峰</v>
          </cell>
          <cell r="E5" t="str">
            <v>男</v>
          </cell>
          <cell r="F5" t="str">
            <v>422432197510163550</v>
          </cell>
          <cell r="G5" t="str">
            <v>直工</v>
          </cell>
          <cell r="H5" t="str">
            <v>一楼</v>
          </cell>
          <cell r="I5" t="str">
            <v>资深技术员</v>
          </cell>
          <cell r="J5">
            <v>40527</v>
          </cell>
          <cell r="M5">
            <v>21</v>
          </cell>
          <cell r="N5">
            <v>21</v>
          </cell>
          <cell r="O5">
            <v>54.5</v>
          </cell>
          <cell r="P5">
            <v>87</v>
          </cell>
          <cell r="S5">
            <v>2876</v>
          </cell>
          <cell r="T5">
            <v>1720</v>
          </cell>
          <cell r="U5">
            <v>1720</v>
          </cell>
          <cell r="V5">
            <v>1076</v>
          </cell>
          <cell r="W5">
            <v>1076</v>
          </cell>
          <cell r="Y5">
            <v>0</v>
          </cell>
          <cell r="Z5">
            <v>14.83</v>
          </cell>
          <cell r="AA5">
            <v>808</v>
          </cell>
          <cell r="AB5">
            <v>19.77</v>
          </cell>
          <cell r="AC5">
            <v>1720</v>
          </cell>
          <cell r="AG5">
            <v>80</v>
          </cell>
          <cell r="AH5">
            <v>250</v>
          </cell>
          <cell r="AI5">
            <v>0</v>
          </cell>
          <cell r="AK5">
            <v>5654</v>
          </cell>
          <cell r="AL5">
            <v>0</v>
          </cell>
          <cell r="AN5">
            <v>48363</v>
          </cell>
          <cell r="AO5">
            <v>45000</v>
          </cell>
          <cell r="AP5">
            <v>0</v>
          </cell>
          <cell r="AQ5">
            <v>0</v>
          </cell>
          <cell r="AR5">
            <v>0</v>
          </cell>
          <cell r="AU5">
            <v>0</v>
          </cell>
          <cell r="AV5">
            <v>54017</v>
          </cell>
          <cell r="AW5">
            <v>50000</v>
          </cell>
          <cell r="AX5">
            <v>4017</v>
          </cell>
          <cell r="AY5">
            <v>100.89</v>
          </cell>
          <cell r="AZ5">
            <v>-19.62</v>
          </cell>
          <cell r="BA5">
            <v>0</v>
          </cell>
          <cell r="BB5">
            <v>0</v>
          </cell>
          <cell r="BD5">
            <v>-20</v>
          </cell>
          <cell r="BE5">
            <v>5634</v>
          </cell>
          <cell r="BF5">
            <v>5634</v>
          </cell>
          <cell r="BG5">
            <v>0</v>
          </cell>
          <cell r="BI5" t="str">
            <v>6214391880018526098</v>
          </cell>
          <cell r="BK5">
            <v>37.02</v>
          </cell>
          <cell r="BL5">
            <v>25.17</v>
          </cell>
          <cell r="BM5">
            <v>72.9</v>
          </cell>
          <cell r="BN5">
            <v>16.74</v>
          </cell>
          <cell r="BO5">
            <v>-47.22</v>
          </cell>
          <cell r="BP5">
            <v>-3.72</v>
          </cell>
          <cell r="BU5">
            <v>100.89</v>
          </cell>
        </row>
        <row r="6">
          <cell r="D6" t="str">
            <v>柳盛炭</v>
          </cell>
          <cell r="E6" t="str">
            <v>男</v>
          </cell>
          <cell r="F6" t="str">
            <v>452123196805040417</v>
          </cell>
          <cell r="G6" t="str">
            <v>直工</v>
          </cell>
          <cell r="H6" t="str">
            <v>一楼</v>
          </cell>
          <cell r="I6" t="str">
            <v>技术员</v>
          </cell>
          <cell r="J6">
            <v>42296</v>
          </cell>
          <cell r="M6">
            <v>21</v>
          </cell>
          <cell r="N6">
            <v>21</v>
          </cell>
          <cell r="O6">
            <v>48.5</v>
          </cell>
          <cell r="P6">
            <v>78</v>
          </cell>
          <cell r="S6">
            <v>2621</v>
          </cell>
          <cell r="T6">
            <v>1720</v>
          </cell>
          <cell r="U6">
            <v>1720</v>
          </cell>
          <cell r="V6">
            <v>601</v>
          </cell>
          <cell r="W6">
            <v>601</v>
          </cell>
          <cell r="X6">
            <v>220</v>
          </cell>
          <cell r="Y6">
            <v>220</v>
          </cell>
          <cell r="Z6">
            <v>14.83</v>
          </cell>
          <cell r="AA6">
            <v>719</v>
          </cell>
          <cell r="AB6">
            <v>19.77</v>
          </cell>
          <cell r="AC6">
            <v>1542</v>
          </cell>
          <cell r="AG6">
            <v>80</v>
          </cell>
          <cell r="AH6">
            <v>150</v>
          </cell>
          <cell r="AI6">
            <v>0</v>
          </cell>
          <cell r="AK6">
            <v>5032</v>
          </cell>
          <cell r="AL6">
            <v>0</v>
          </cell>
          <cell r="AN6">
            <v>39847</v>
          </cell>
          <cell r="AO6">
            <v>45000</v>
          </cell>
          <cell r="AP6">
            <v>0</v>
          </cell>
          <cell r="AQ6">
            <v>0</v>
          </cell>
          <cell r="AR6">
            <v>0</v>
          </cell>
          <cell r="AU6">
            <v>0</v>
          </cell>
          <cell r="AV6">
            <v>45369</v>
          </cell>
          <cell r="AW6">
            <v>50000</v>
          </cell>
          <cell r="AX6">
            <v>-4631</v>
          </cell>
          <cell r="AY6">
            <v>0</v>
          </cell>
          <cell r="AZ6">
            <v>0</v>
          </cell>
          <cell r="BA6">
            <v>0</v>
          </cell>
          <cell r="BB6">
            <v>490</v>
          </cell>
          <cell r="BD6">
            <v>490</v>
          </cell>
          <cell r="BE6">
            <v>5522</v>
          </cell>
          <cell r="BF6">
            <v>5522</v>
          </cell>
          <cell r="BG6">
            <v>0</v>
          </cell>
          <cell r="BI6" t="str">
            <v>6214391880018526114</v>
          </cell>
          <cell r="BK6">
            <v>23.4</v>
          </cell>
          <cell r="BL6">
            <v>8.46</v>
          </cell>
          <cell r="BM6">
            <v>57.3</v>
          </cell>
          <cell r="BN6">
            <v>0</v>
          </cell>
          <cell r="BO6">
            <v>-89.16</v>
          </cell>
          <cell r="BP6">
            <v>0</v>
          </cell>
          <cell r="BU6">
            <v>0</v>
          </cell>
        </row>
        <row r="7">
          <cell r="D7" t="str">
            <v>韦银海</v>
          </cell>
          <cell r="E7" t="str">
            <v>女</v>
          </cell>
          <cell r="F7" t="str">
            <v>452723197501153225</v>
          </cell>
          <cell r="G7" t="str">
            <v>直工</v>
          </cell>
          <cell r="H7" t="str">
            <v>一楼</v>
          </cell>
          <cell r="I7" t="str">
            <v>冲压员</v>
          </cell>
          <cell r="J7">
            <v>42779</v>
          </cell>
          <cell r="M7">
            <v>21</v>
          </cell>
          <cell r="N7">
            <v>21</v>
          </cell>
          <cell r="O7">
            <v>54</v>
          </cell>
          <cell r="P7">
            <v>80</v>
          </cell>
          <cell r="S7">
            <v>2300</v>
          </cell>
          <cell r="T7">
            <v>1720</v>
          </cell>
          <cell r="U7">
            <v>1720</v>
          </cell>
          <cell r="V7">
            <v>500</v>
          </cell>
          <cell r="W7">
            <v>500</v>
          </cell>
          <cell r="Z7">
            <v>14.83</v>
          </cell>
          <cell r="AA7">
            <v>801</v>
          </cell>
          <cell r="AB7">
            <v>19.77</v>
          </cell>
          <cell r="AC7">
            <v>1582</v>
          </cell>
          <cell r="AG7">
            <v>80</v>
          </cell>
          <cell r="AH7">
            <v>100</v>
          </cell>
          <cell r="AI7">
            <v>0</v>
          </cell>
          <cell r="AK7">
            <v>4783</v>
          </cell>
          <cell r="AL7">
            <v>0</v>
          </cell>
          <cell r="AN7">
            <v>33619</v>
          </cell>
          <cell r="AO7">
            <v>45000</v>
          </cell>
          <cell r="AP7">
            <v>0</v>
          </cell>
          <cell r="AQ7">
            <v>0</v>
          </cell>
          <cell r="AR7">
            <v>0</v>
          </cell>
          <cell r="AU7">
            <v>0</v>
          </cell>
          <cell r="AV7">
            <v>38402</v>
          </cell>
          <cell r="AW7">
            <v>50000</v>
          </cell>
          <cell r="AX7">
            <v>-11598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D7">
            <v>0</v>
          </cell>
          <cell r="BE7">
            <v>4783</v>
          </cell>
          <cell r="BF7">
            <v>4783</v>
          </cell>
          <cell r="BG7">
            <v>0</v>
          </cell>
          <cell r="BI7" t="str">
            <v>6214391880018591928</v>
          </cell>
          <cell r="BK7">
            <v>31.62</v>
          </cell>
          <cell r="BL7">
            <v>0</v>
          </cell>
          <cell r="BM7">
            <v>4.98</v>
          </cell>
          <cell r="BN7">
            <v>0</v>
          </cell>
          <cell r="BO7">
            <v>-36.6</v>
          </cell>
          <cell r="BP7">
            <v>0</v>
          </cell>
          <cell r="BU7">
            <v>0</v>
          </cell>
        </row>
        <row r="8">
          <cell r="D8" t="str">
            <v>覃小英</v>
          </cell>
          <cell r="E8" t="str">
            <v>男</v>
          </cell>
          <cell r="F8" t="str">
            <v>452702198608213702</v>
          </cell>
          <cell r="G8" t="str">
            <v>直工</v>
          </cell>
          <cell r="H8" t="str">
            <v>一楼</v>
          </cell>
          <cell r="I8" t="str">
            <v>冲压员</v>
          </cell>
          <cell r="J8">
            <v>42935</v>
          </cell>
          <cell r="M8">
            <v>21</v>
          </cell>
          <cell r="N8">
            <v>19</v>
          </cell>
          <cell r="O8">
            <v>46</v>
          </cell>
          <cell r="P8">
            <v>72</v>
          </cell>
          <cell r="S8">
            <v>2200</v>
          </cell>
          <cell r="T8">
            <v>1720</v>
          </cell>
          <cell r="U8">
            <v>1556</v>
          </cell>
          <cell r="V8">
            <v>400</v>
          </cell>
          <cell r="W8">
            <v>362</v>
          </cell>
          <cell r="Z8">
            <v>14.83</v>
          </cell>
          <cell r="AA8">
            <v>682</v>
          </cell>
          <cell r="AB8">
            <v>19.77</v>
          </cell>
          <cell r="AC8">
            <v>1423</v>
          </cell>
          <cell r="AH8">
            <v>90</v>
          </cell>
          <cell r="AI8">
            <v>0</v>
          </cell>
          <cell r="AK8">
            <v>4113</v>
          </cell>
          <cell r="AL8">
            <v>0</v>
          </cell>
          <cell r="AN8">
            <v>29039</v>
          </cell>
          <cell r="AO8">
            <v>45000</v>
          </cell>
          <cell r="AP8">
            <v>0</v>
          </cell>
          <cell r="AQ8">
            <v>0</v>
          </cell>
          <cell r="AR8">
            <v>0</v>
          </cell>
          <cell r="AU8">
            <v>0</v>
          </cell>
          <cell r="AV8">
            <v>33152</v>
          </cell>
          <cell r="AW8">
            <v>50000</v>
          </cell>
          <cell r="AX8">
            <v>-16848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D8">
            <v>0</v>
          </cell>
          <cell r="BE8">
            <v>4113</v>
          </cell>
          <cell r="BF8">
            <v>4113</v>
          </cell>
          <cell r="BG8">
            <v>0</v>
          </cell>
          <cell r="BI8" t="str">
            <v>6214391880019418055</v>
          </cell>
          <cell r="BK8">
            <v>7.89</v>
          </cell>
          <cell r="BL8">
            <v>0</v>
          </cell>
          <cell r="BM8">
            <v>0</v>
          </cell>
          <cell r="BN8">
            <v>0</v>
          </cell>
          <cell r="BO8">
            <v>-7.89</v>
          </cell>
          <cell r="BP8">
            <v>0</v>
          </cell>
          <cell r="BU8">
            <v>0</v>
          </cell>
        </row>
        <row r="9">
          <cell r="D9" t="str">
            <v>葛庆文</v>
          </cell>
          <cell r="E9" t="str">
            <v>男</v>
          </cell>
          <cell r="F9" t="str">
            <v>440981197905025431</v>
          </cell>
          <cell r="G9" t="str">
            <v>直工</v>
          </cell>
          <cell r="H9" t="str">
            <v>一楼</v>
          </cell>
          <cell r="I9" t="str">
            <v>冲压员</v>
          </cell>
          <cell r="J9">
            <v>42975</v>
          </cell>
          <cell r="M9">
            <v>21</v>
          </cell>
          <cell r="N9">
            <v>20.9</v>
          </cell>
          <cell r="O9">
            <v>56</v>
          </cell>
          <cell r="P9">
            <v>91</v>
          </cell>
          <cell r="S9">
            <v>2200</v>
          </cell>
          <cell r="T9">
            <v>1720</v>
          </cell>
          <cell r="U9">
            <v>1712</v>
          </cell>
          <cell r="V9">
            <v>400</v>
          </cell>
          <cell r="W9">
            <v>398</v>
          </cell>
          <cell r="Z9">
            <v>14.83</v>
          </cell>
          <cell r="AA9">
            <v>830</v>
          </cell>
          <cell r="AB9">
            <v>19.77</v>
          </cell>
          <cell r="AC9">
            <v>1799</v>
          </cell>
          <cell r="AG9">
            <v>80</v>
          </cell>
          <cell r="AH9">
            <v>100</v>
          </cell>
          <cell r="AI9">
            <v>0</v>
          </cell>
          <cell r="AK9">
            <v>4919</v>
          </cell>
          <cell r="AL9">
            <v>-301</v>
          </cell>
          <cell r="AN9">
            <v>38216</v>
          </cell>
          <cell r="AO9">
            <v>45000</v>
          </cell>
          <cell r="AP9">
            <v>1980.4</v>
          </cell>
          <cell r="AQ9">
            <v>0</v>
          </cell>
          <cell r="AR9">
            <v>0</v>
          </cell>
          <cell r="AU9">
            <v>2281.4</v>
          </cell>
          <cell r="AV9">
            <v>43135</v>
          </cell>
          <cell r="AW9">
            <v>52281.4</v>
          </cell>
          <cell r="AX9">
            <v>-9146.4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D9">
            <v>-301</v>
          </cell>
          <cell r="BE9">
            <v>4618</v>
          </cell>
          <cell r="BF9">
            <v>4618</v>
          </cell>
          <cell r="BG9">
            <v>0</v>
          </cell>
          <cell r="BI9" t="str">
            <v>6214391880020218841</v>
          </cell>
          <cell r="BK9">
            <v>3.96</v>
          </cell>
          <cell r="BL9">
            <v>0</v>
          </cell>
          <cell r="BM9">
            <v>0</v>
          </cell>
          <cell r="BN9">
            <v>0</v>
          </cell>
          <cell r="BO9">
            <v>-3.96</v>
          </cell>
          <cell r="BP9">
            <v>0</v>
          </cell>
          <cell r="BU9">
            <v>0</v>
          </cell>
        </row>
        <row r="10">
          <cell r="D10" t="str">
            <v>林树</v>
          </cell>
          <cell r="E10" t="str">
            <v>男</v>
          </cell>
          <cell r="F10" t="str">
            <v>450921199410143318</v>
          </cell>
          <cell r="G10" t="str">
            <v>直工</v>
          </cell>
          <cell r="H10" t="str">
            <v>一楼</v>
          </cell>
          <cell r="I10" t="str">
            <v>冲压员</v>
          </cell>
          <cell r="J10">
            <v>43234</v>
          </cell>
          <cell r="M10">
            <v>21</v>
          </cell>
          <cell r="N10">
            <v>20.5</v>
          </cell>
          <cell r="O10">
            <v>64.5</v>
          </cell>
          <cell r="P10">
            <v>93</v>
          </cell>
          <cell r="S10">
            <v>2450</v>
          </cell>
          <cell r="T10">
            <v>1720</v>
          </cell>
          <cell r="U10">
            <v>1679</v>
          </cell>
          <cell r="V10">
            <v>650</v>
          </cell>
          <cell r="W10">
            <v>635</v>
          </cell>
          <cell r="Z10">
            <v>14.83</v>
          </cell>
          <cell r="AA10">
            <v>957</v>
          </cell>
          <cell r="AB10">
            <v>19.77</v>
          </cell>
          <cell r="AC10">
            <v>1839</v>
          </cell>
          <cell r="AG10">
            <v>40</v>
          </cell>
          <cell r="AH10">
            <v>49</v>
          </cell>
          <cell r="AI10">
            <v>200</v>
          </cell>
          <cell r="AK10">
            <v>5399</v>
          </cell>
          <cell r="AL10">
            <v>0</v>
          </cell>
          <cell r="AN10">
            <v>38906</v>
          </cell>
          <cell r="AO10">
            <v>45000</v>
          </cell>
          <cell r="AP10">
            <v>0</v>
          </cell>
          <cell r="AQ10">
            <v>0</v>
          </cell>
          <cell r="AR10">
            <v>0</v>
          </cell>
          <cell r="AU10">
            <v>0</v>
          </cell>
          <cell r="AV10">
            <v>44305</v>
          </cell>
          <cell r="AW10">
            <v>50000</v>
          </cell>
          <cell r="AX10">
            <v>-5695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D10">
            <v>0</v>
          </cell>
          <cell r="BE10">
            <v>5399</v>
          </cell>
          <cell r="BF10">
            <v>5399</v>
          </cell>
          <cell r="BG10">
            <v>0</v>
          </cell>
          <cell r="BI10" t="str">
            <v>6214391880026642341</v>
          </cell>
          <cell r="BK10">
            <v>7.89</v>
          </cell>
          <cell r="BL10">
            <v>0</v>
          </cell>
          <cell r="BM10">
            <v>0</v>
          </cell>
          <cell r="BN10">
            <v>0</v>
          </cell>
          <cell r="BO10">
            <v>-7.89</v>
          </cell>
          <cell r="BP10">
            <v>0</v>
          </cell>
          <cell r="BU10">
            <v>0</v>
          </cell>
        </row>
        <row r="11">
          <cell r="D11" t="str">
            <v>伍顺华</v>
          </cell>
          <cell r="E11" t="str">
            <v>男</v>
          </cell>
          <cell r="F11" t="str">
            <v>432627197706072273</v>
          </cell>
          <cell r="G11" t="str">
            <v>直工</v>
          </cell>
          <cell r="H11" t="str">
            <v>一楼</v>
          </cell>
          <cell r="I11" t="str">
            <v>冲压员</v>
          </cell>
          <cell r="J11">
            <v>43236</v>
          </cell>
          <cell r="M11">
            <v>21</v>
          </cell>
          <cell r="N11">
            <v>21</v>
          </cell>
          <cell r="O11">
            <v>79</v>
          </cell>
          <cell r="P11">
            <v>99.5</v>
          </cell>
          <cell r="S11">
            <v>2150</v>
          </cell>
          <cell r="T11">
            <v>1720</v>
          </cell>
          <cell r="U11">
            <v>1720</v>
          </cell>
          <cell r="V11">
            <v>350</v>
          </cell>
          <cell r="W11">
            <v>350</v>
          </cell>
          <cell r="Z11">
            <v>14.83</v>
          </cell>
          <cell r="AA11">
            <v>1172</v>
          </cell>
          <cell r="AB11">
            <v>19.77</v>
          </cell>
          <cell r="AC11">
            <v>1967</v>
          </cell>
          <cell r="AG11">
            <v>80</v>
          </cell>
          <cell r="AH11">
            <v>50</v>
          </cell>
          <cell r="AI11">
            <v>200</v>
          </cell>
          <cell r="AK11">
            <v>5539</v>
          </cell>
          <cell r="AL11">
            <v>0</v>
          </cell>
          <cell r="AN11">
            <v>40431</v>
          </cell>
          <cell r="AO11">
            <v>45000</v>
          </cell>
          <cell r="AP11">
            <v>0</v>
          </cell>
          <cell r="AQ11">
            <v>0</v>
          </cell>
          <cell r="AR11">
            <v>0</v>
          </cell>
          <cell r="AU11">
            <v>0</v>
          </cell>
          <cell r="AV11">
            <v>45970</v>
          </cell>
          <cell r="AW11">
            <v>50000</v>
          </cell>
          <cell r="AX11">
            <v>-4030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D11">
            <v>0</v>
          </cell>
          <cell r="BE11">
            <v>5539</v>
          </cell>
          <cell r="BF11">
            <v>5539</v>
          </cell>
          <cell r="BG11">
            <v>0</v>
          </cell>
          <cell r="BI11" t="str">
            <v>6214391880026642697</v>
          </cell>
          <cell r="BK11">
            <v>16.2</v>
          </cell>
          <cell r="BL11">
            <v>0</v>
          </cell>
          <cell r="BM11">
            <v>0</v>
          </cell>
          <cell r="BN11">
            <v>0</v>
          </cell>
          <cell r="BO11">
            <v>-16.2</v>
          </cell>
          <cell r="BP11">
            <v>0</v>
          </cell>
          <cell r="BU11">
            <v>0</v>
          </cell>
        </row>
        <row r="12">
          <cell r="D12" t="str">
            <v>唐兴祥</v>
          </cell>
          <cell r="E12" t="str">
            <v>男</v>
          </cell>
          <cell r="F12" t="str">
            <v>51302319710510333X</v>
          </cell>
          <cell r="G12" t="str">
            <v>直工</v>
          </cell>
          <cell r="H12" t="str">
            <v>一楼</v>
          </cell>
          <cell r="I12" t="str">
            <v>冲压员</v>
          </cell>
          <cell r="J12">
            <v>43291</v>
          </cell>
          <cell r="M12">
            <v>21</v>
          </cell>
          <cell r="N12">
            <v>21</v>
          </cell>
          <cell r="O12">
            <v>76</v>
          </cell>
          <cell r="P12">
            <v>86</v>
          </cell>
          <cell r="S12">
            <v>2150</v>
          </cell>
          <cell r="T12">
            <v>1720</v>
          </cell>
          <cell r="U12">
            <v>1720</v>
          </cell>
          <cell r="V12">
            <v>350</v>
          </cell>
          <cell r="W12">
            <v>350</v>
          </cell>
          <cell r="Z12">
            <v>14.83</v>
          </cell>
          <cell r="AA12">
            <v>1127</v>
          </cell>
          <cell r="AB12">
            <v>19.77</v>
          </cell>
          <cell r="AC12">
            <v>1700</v>
          </cell>
          <cell r="AG12">
            <v>80</v>
          </cell>
          <cell r="AH12">
            <v>50</v>
          </cell>
          <cell r="AI12">
            <v>200</v>
          </cell>
          <cell r="AK12">
            <v>5227</v>
          </cell>
          <cell r="AL12">
            <v>-301</v>
          </cell>
          <cell r="AN12">
            <v>39778</v>
          </cell>
          <cell r="AO12">
            <v>45000</v>
          </cell>
          <cell r="AP12">
            <v>2256.48</v>
          </cell>
          <cell r="AQ12">
            <v>0</v>
          </cell>
          <cell r="AR12">
            <v>0</v>
          </cell>
          <cell r="AU12">
            <v>2557.48</v>
          </cell>
          <cell r="AV12">
            <v>45005</v>
          </cell>
          <cell r="AW12">
            <v>52557.48</v>
          </cell>
          <cell r="AX12">
            <v>-7552.48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D12">
            <v>-301</v>
          </cell>
          <cell r="BE12">
            <v>4926</v>
          </cell>
          <cell r="BF12">
            <v>4926</v>
          </cell>
          <cell r="BG12">
            <v>0</v>
          </cell>
          <cell r="BI12" t="str">
            <v>6214391880026642168</v>
          </cell>
          <cell r="BK12">
            <v>7.92</v>
          </cell>
          <cell r="BL12">
            <v>0</v>
          </cell>
          <cell r="BM12">
            <v>0</v>
          </cell>
          <cell r="BN12">
            <v>0</v>
          </cell>
          <cell r="BO12">
            <v>-7.92</v>
          </cell>
          <cell r="BP12">
            <v>0</v>
          </cell>
          <cell r="BU12">
            <v>0</v>
          </cell>
        </row>
        <row r="13">
          <cell r="D13" t="str">
            <v>黄贝宣</v>
          </cell>
          <cell r="E13" t="str">
            <v>男</v>
          </cell>
          <cell r="F13" t="str">
            <v>450121199810201210</v>
          </cell>
          <cell r="G13" t="str">
            <v>直工</v>
          </cell>
          <cell r="H13" t="str">
            <v>一楼</v>
          </cell>
          <cell r="I13" t="str">
            <v>冲压员</v>
          </cell>
          <cell r="J13">
            <v>43384</v>
          </cell>
          <cell r="M13">
            <v>21</v>
          </cell>
          <cell r="N13">
            <v>20.5</v>
          </cell>
          <cell r="O13">
            <v>57</v>
          </cell>
          <cell r="P13">
            <v>80</v>
          </cell>
          <cell r="S13">
            <v>2100</v>
          </cell>
          <cell r="T13">
            <v>1720</v>
          </cell>
          <cell r="U13">
            <v>1679</v>
          </cell>
          <cell r="V13">
            <v>300</v>
          </cell>
          <cell r="W13">
            <v>293</v>
          </cell>
          <cell r="Z13">
            <v>14.83</v>
          </cell>
          <cell r="AA13">
            <v>845</v>
          </cell>
          <cell r="AB13">
            <v>19.77</v>
          </cell>
          <cell r="AC13">
            <v>1582</v>
          </cell>
          <cell r="AG13">
            <v>40</v>
          </cell>
          <cell r="AI13">
            <v>0</v>
          </cell>
          <cell r="AK13">
            <v>4439</v>
          </cell>
          <cell r="AL13">
            <v>0</v>
          </cell>
          <cell r="AN13">
            <v>32613</v>
          </cell>
          <cell r="AO13">
            <v>45000</v>
          </cell>
          <cell r="AP13">
            <v>0</v>
          </cell>
          <cell r="AQ13">
            <v>0</v>
          </cell>
          <cell r="AR13">
            <v>0</v>
          </cell>
          <cell r="AU13">
            <v>0</v>
          </cell>
          <cell r="AV13">
            <v>37052</v>
          </cell>
          <cell r="AW13">
            <v>50000</v>
          </cell>
          <cell r="AX13">
            <v>-12948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D13">
            <v>0</v>
          </cell>
          <cell r="BE13">
            <v>4439</v>
          </cell>
          <cell r="BF13">
            <v>4439</v>
          </cell>
          <cell r="BG13">
            <v>0</v>
          </cell>
          <cell r="BI13" t="str">
            <v>621 4391 8800 3063 6792</v>
          </cell>
          <cell r="BK13">
            <v>1.95</v>
          </cell>
          <cell r="BL13">
            <v>0</v>
          </cell>
          <cell r="BM13">
            <v>0</v>
          </cell>
          <cell r="BN13">
            <v>0</v>
          </cell>
          <cell r="BO13">
            <v>-1.95</v>
          </cell>
          <cell r="BP13">
            <v>0</v>
          </cell>
          <cell r="BU13">
            <v>0</v>
          </cell>
        </row>
        <row r="14">
          <cell r="D14" t="str">
            <v>张小军</v>
          </cell>
          <cell r="E14" t="str">
            <v>男</v>
          </cell>
          <cell r="F14" t="str">
            <v>513030197308224610</v>
          </cell>
          <cell r="G14" t="str">
            <v>直工</v>
          </cell>
          <cell r="H14" t="str">
            <v>一楼</v>
          </cell>
          <cell r="I14" t="str">
            <v>冲压员</v>
          </cell>
          <cell r="J14">
            <v>43511</v>
          </cell>
          <cell r="M14">
            <v>21</v>
          </cell>
          <cell r="N14">
            <v>21</v>
          </cell>
          <cell r="O14">
            <v>81</v>
          </cell>
          <cell r="P14">
            <v>91.5</v>
          </cell>
          <cell r="S14">
            <v>2400</v>
          </cell>
          <cell r="T14">
            <v>1720</v>
          </cell>
          <cell r="U14">
            <v>1720</v>
          </cell>
          <cell r="V14">
            <v>300</v>
          </cell>
          <cell r="W14">
            <v>300</v>
          </cell>
          <cell r="X14">
            <v>300</v>
          </cell>
          <cell r="Y14">
            <v>300</v>
          </cell>
          <cell r="Z14">
            <v>14.83</v>
          </cell>
          <cell r="AA14">
            <v>1201</v>
          </cell>
          <cell r="AB14">
            <v>19.77</v>
          </cell>
          <cell r="AC14">
            <v>1809</v>
          </cell>
          <cell r="AG14">
            <v>80</v>
          </cell>
          <cell r="AI14">
            <v>200</v>
          </cell>
          <cell r="AK14">
            <v>5610</v>
          </cell>
          <cell r="AL14">
            <v>0</v>
          </cell>
          <cell r="AN14">
            <v>36503</v>
          </cell>
          <cell r="AO14">
            <v>45000</v>
          </cell>
          <cell r="AP14">
            <v>0</v>
          </cell>
          <cell r="AQ14">
            <v>0</v>
          </cell>
          <cell r="AR14">
            <v>0</v>
          </cell>
          <cell r="AU14">
            <v>0</v>
          </cell>
          <cell r="AV14">
            <v>42113</v>
          </cell>
          <cell r="AW14">
            <v>50000</v>
          </cell>
          <cell r="AX14">
            <v>-7887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D14">
            <v>0</v>
          </cell>
          <cell r="BE14">
            <v>5610</v>
          </cell>
          <cell r="BF14">
            <v>5610</v>
          </cell>
          <cell r="BG14">
            <v>0</v>
          </cell>
          <cell r="BI14" t="str">
            <v>6214391880028862079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U14">
            <v>0</v>
          </cell>
        </row>
        <row r="15">
          <cell r="D15" t="str">
            <v>李小飞</v>
          </cell>
          <cell r="E15" t="str">
            <v>男</v>
          </cell>
          <cell r="F15" t="str">
            <v>513022196907232570</v>
          </cell>
          <cell r="G15" t="str">
            <v>直工</v>
          </cell>
          <cell r="H15" t="str">
            <v>一楼</v>
          </cell>
          <cell r="I15" t="str">
            <v>冲压员</v>
          </cell>
          <cell r="J15">
            <v>43514</v>
          </cell>
          <cell r="M15">
            <v>21</v>
          </cell>
          <cell r="N15">
            <v>20.5</v>
          </cell>
          <cell r="O15">
            <v>56</v>
          </cell>
          <cell r="P15">
            <v>84</v>
          </cell>
          <cell r="S15">
            <v>2100</v>
          </cell>
          <cell r="T15">
            <v>1720</v>
          </cell>
          <cell r="U15">
            <v>1679</v>
          </cell>
          <cell r="V15">
            <v>300</v>
          </cell>
          <cell r="W15">
            <v>293</v>
          </cell>
          <cell r="Z15">
            <v>14.83</v>
          </cell>
          <cell r="AA15">
            <v>830</v>
          </cell>
          <cell r="AB15">
            <v>19.77</v>
          </cell>
          <cell r="AC15">
            <v>1661</v>
          </cell>
          <cell r="AG15">
            <v>40</v>
          </cell>
          <cell r="AI15">
            <v>0</v>
          </cell>
          <cell r="AK15">
            <v>4503</v>
          </cell>
          <cell r="AL15">
            <v>0</v>
          </cell>
          <cell r="AN15">
            <v>26890</v>
          </cell>
          <cell r="AO15">
            <v>40000</v>
          </cell>
          <cell r="AP15">
            <v>0</v>
          </cell>
          <cell r="AQ15">
            <v>0</v>
          </cell>
          <cell r="AR15">
            <v>0</v>
          </cell>
          <cell r="AU15">
            <v>0</v>
          </cell>
          <cell r="AV15">
            <v>31393</v>
          </cell>
          <cell r="AW15">
            <v>45000</v>
          </cell>
          <cell r="AX15">
            <v>-13607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D15">
            <v>0</v>
          </cell>
          <cell r="BE15">
            <v>4503</v>
          </cell>
          <cell r="BF15">
            <v>4503</v>
          </cell>
          <cell r="BG15">
            <v>0</v>
          </cell>
          <cell r="BI15" t="str">
            <v>6214391880015428009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U15">
            <v>0</v>
          </cell>
        </row>
        <row r="16">
          <cell r="D16" t="str">
            <v>陆继兵</v>
          </cell>
          <cell r="E16" t="str">
            <v>男</v>
          </cell>
          <cell r="F16" t="str">
            <v>432524196807243212</v>
          </cell>
          <cell r="G16" t="str">
            <v>直工</v>
          </cell>
          <cell r="H16" t="str">
            <v>一楼</v>
          </cell>
          <cell r="I16" t="str">
            <v>冲压员</v>
          </cell>
          <cell r="J16">
            <v>43514</v>
          </cell>
          <cell r="M16">
            <v>21</v>
          </cell>
          <cell r="N16">
            <v>19</v>
          </cell>
          <cell r="O16">
            <v>51</v>
          </cell>
          <cell r="P16">
            <v>83</v>
          </cell>
          <cell r="S16">
            <v>2100</v>
          </cell>
          <cell r="T16">
            <v>1720</v>
          </cell>
          <cell r="U16">
            <v>1556</v>
          </cell>
          <cell r="V16">
            <v>300</v>
          </cell>
          <cell r="W16">
            <v>271</v>
          </cell>
          <cell r="Z16">
            <v>14.83</v>
          </cell>
          <cell r="AA16">
            <v>756</v>
          </cell>
          <cell r="AB16">
            <v>19.77</v>
          </cell>
          <cell r="AC16">
            <v>1641</v>
          </cell>
          <cell r="AI16">
            <v>0</v>
          </cell>
          <cell r="AK16">
            <v>4224</v>
          </cell>
          <cell r="AL16">
            <v>0</v>
          </cell>
          <cell r="AN16">
            <v>26502.34</v>
          </cell>
          <cell r="AO16">
            <v>40000</v>
          </cell>
          <cell r="AP16">
            <v>0</v>
          </cell>
          <cell r="AQ16">
            <v>0</v>
          </cell>
          <cell r="AR16">
            <v>0</v>
          </cell>
          <cell r="AU16">
            <v>0</v>
          </cell>
          <cell r="AV16">
            <v>30652.11</v>
          </cell>
          <cell r="AW16">
            <v>45000</v>
          </cell>
          <cell r="AX16">
            <v>-14347.89</v>
          </cell>
          <cell r="AY16">
            <v>0</v>
          </cell>
          <cell r="AZ16">
            <v>0</v>
          </cell>
          <cell r="BA16">
            <v>-74.23</v>
          </cell>
          <cell r="BB16">
            <v>0</v>
          </cell>
          <cell r="BD16">
            <v>-74</v>
          </cell>
          <cell r="BE16">
            <v>4150</v>
          </cell>
          <cell r="BF16">
            <v>4150</v>
          </cell>
          <cell r="BG16">
            <v>0</v>
          </cell>
          <cell r="BI16" t="str">
            <v>6214391880028862129</v>
          </cell>
          <cell r="BK16">
            <v>0</v>
          </cell>
          <cell r="BL16">
            <v>0</v>
          </cell>
          <cell r="BM16">
            <v>2.73</v>
          </cell>
          <cell r="BN16">
            <v>0</v>
          </cell>
          <cell r="BO16">
            <v>-2.73</v>
          </cell>
          <cell r="BP16">
            <v>0</v>
          </cell>
          <cell r="BU16">
            <v>0</v>
          </cell>
        </row>
        <row r="17">
          <cell r="D17" t="str">
            <v>苏怀映</v>
          </cell>
          <cell r="E17" t="str">
            <v>男</v>
          </cell>
          <cell r="F17" t="str">
            <v>513030197106118211</v>
          </cell>
          <cell r="G17" t="str">
            <v>直工</v>
          </cell>
          <cell r="H17" t="str">
            <v>一楼</v>
          </cell>
          <cell r="I17" t="str">
            <v>冲压员</v>
          </cell>
          <cell r="J17">
            <v>43515</v>
          </cell>
          <cell r="M17">
            <v>21</v>
          </cell>
          <cell r="N17">
            <v>21</v>
          </cell>
          <cell r="O17">
            <v>55</v>
          </cell>
          <cell r="P17">
            <v>87</v>
          </cell>
          <cell r="S17">
            <v>2100</v>
          </cell>
          <cell r="T17">
            <v>1720</v>
          </cell>
          <cell r="U17">
            <v>1720</v>
          </cell>
          <cell r="V17">
            <v>300</v>
          </cell>
          <cell r="W17">
            <v>300</v>
          </cell>
          <cell r="Z17">
            <v>14.83</v>
          </cell>
          <cell r="AA17">
            <v>816</v>
          </cell>
          <cell r="AB17">
            <v>19.77</v>
          </cell>
          <cell r="AC17">
            <v>1720</v>
          </cell>
          <cell r="AG17">
            <v>80</v>
          </cell>
          <cell r="AI17">
            <v>0</v>
          </cell>
          <cell r="AK17">
            <v>4636</v>
          </cell>
          <cell r="AL17">
            <v>0</v>
          </cell>
          <cell r="AN17">
            <v>26233</v>
          </cell>
          <cell r="AO17">
            <v>40000</v>
          </cell>
          <cell r="AP17">
            <v>0</v>
          </cell>
          <cell r="AQ17">
            <v>0</v>
          </cell>
          <cell r="AR17">
            <v>0</v>
          </cell>
          <cell r="AU17">
            <v>0</v>
          </cell>
          <cell r="AV17">
            <v>30869</v>
          </cell>
          <cell r="AW17">
            <v>45000</v>
          </cell>
          <cell r="AX17">
            <v>-14131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D17">
            <v>0</v>
          </cell>
          <cell r="BE17">
            <v>4636</v>
          </cell>
          <cell r="BF17">
            <v>4636</v>
          </cell>
          <cell r="BG17">
            <v>0</v>
          </cell>
          <cell r="BI17" t="str">
            <v>6214391880028862103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U17">
            <v>0</v>
          </cell>
        </row>
        <row r="18">
          <cell r="D18" t="str">
            <v>黄文武</v>
          </cell>
          <cell r="E18" t="str">
            <v>男</v>
          </cell>
          <cell r="F18" t="str">
            <v>362330197801110139</v>
          </cell>
          <cell r="G18" t="str">
            <v>直工</v>
          </cell>
          <cell r="H18" t="str">
            <v>一楼</v>
          </cell>
          <cell r="I18" t="str">
            <v>冲压员</v>
          </cell>
          <cell r="J18">
            <v>43515</v>
          </cell>
          <cell r="M18">
            <v>21</v>
          </cell>
          <cell r="N18">
            <v>21</v>
          </cell>
          <cell r="O18">
            <v>60</v>
          </cell>
          <cell r="P18">
            <v>84</v>
          </cell>
          <cell r="S18">
            <v>2100</v>
          </cell>
          <cell r="T18">
            <v>1720</v>
          </cell>
          <cell r="U18">
            <v>1720</v>
          </cell>
          <cell r="V18">
            <v>300</v>
          </cell>
          <cell r="W18">
            <v>300</v>
          </cell>
          <cell r="Z18">
            <v>14.83</v>
          </cell>
          <cell r="AA18">
            <v>890</v>
          </cell>
          <cell r="AB18">
            <v>19.77</v>
          </cell>
          <cell r="AC18">
            <v>1661</v>
          </cell>
          <cell r="AG18">
            <v>80</v>
          </cell>
          <cell r="AI18">
            <v>0</v>
          </cell>
          <cell r="AK18">
            <v>4651</v>
          </cell>
          <cell r="AL18">
            <v>0</v>
          </cell>
          <cell r="AN18">
            <v>26962</v>
          </cell>
          <cell r="AO18">
            <v>40000</v>
          </cell>
          <cell r="AP18">
            <v>0</v>
          </cell>
          <cell r="AQ18">
            <v>0</v>
          </cell>
          <cell r="AR18">
            <v>0</v>
          </cell>
          <cell r="AU18">
            <v>0</v>
          </cell>
          <cell r="AV18">
            <v>31613</v>
          </cell>
          <cell r="AW18">
            <v>45000</v>
          </cell>
          <cell r="AX18">
            <v>-13387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4651</v>
          </cell>
          <cell r="BF18">
            <v>4651</v>
          </cell>
          <cell r="BG18">
            <v>0</v>
          </cell>
          <cell r="BI18" t="str">
            <v>621 4391 8800 2021 9393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U18">
            <v>0</v>
          </cell>
        </row>
        <row r="19">
          <cell r="D19" t="str">
            <v>卢生戛</v>
          </cell>
          <cell r="E19" t="str">
            <v>男</v>
          </cell>
          <cell r="F19" t="str">
            <v>532528198007040511</v>
          </cell>
          <cell r="G19" t="str">
            <v>直工</v>
          </cell>
          <cell r="H19" t="str">
            <v>一楼</v>
          </cell>
          <cell r="I19" t="str">
            <v>冲压员</v>
          </cell>
          <cell r="J19">
            <v>43517</v>
          </cell>
          <cell r="M19">
            <v>21</v>
          </cell>
          <cell r="N19">
            <v>19.8</v>
          </cell>
          <cell r="O19">
            <v>39</v>
          </cell>
          <cell r="P19">
            <v>50</v>
          </cell>
          <cell r="S19">
            <v>2100</v>
          </cell>
          <cell r="T19">
            <v>1720</v>
          </cell>
          <cell r="U19">
            <v>1622</v>
          </cell>
          <cell r="V19">
            <v>300</v>
          </cell>
          <cell r="W19">
            <v>283</v>
          </cell>
          <cell r="Z19">
            <v>14.83</v>
          </cell>
          <cell r="AA19">
            <v>578</v>
          </cell>
          <cell r="AB19">
            <v>19.77</v>
          </cell>
          <cell r="AC19">
            <v>989</v>
          </cell>
          <cell r="AI19">
            <v>0</v>
          </cell>
          <cell r="AK19">
            <v>3472</v>
          </cell>
          <cell r="AL19">
            <v>0</v>
          </cell>
          <cell r="AN19">
            <v>24052</v>
          </cell>
          <cell r="AO19">
            <v>40000</v>
          </cell>
          <cell r="AP19">
            <v>0</v>
          </cell>
          <cell r="AQ19">
            <v>0</v>
          </cell>
          <cell r="AR19">
            <v>0</v>
          </cell>
          <cell r="AU19">
            <v>0</v>
          </cell>
          <cell r="AV19">
            <v>27514</v>
          </cell>
          <cell r="AW19">
            <v>45000</v>
          </cell>
          <cell r="AX19">
            <v>-17486</v>
          </cell>
          <cell r="AY19">
            <v>0</v>
          </cell>
          <cell r="AZ19">
            <v>0</v>
          </cell>
          <cell r="BA19">
            <v>0</v>
          </cell>
          <cell r="BB19">
            <v>-10</v>
          </cell>
          <cell r="BD19">
            <v>-10</v>
          </cell>
          <cell r="BE19">
            <v>3462</v>
          </cell>
          <cell r="BF19">
            <v>3462</v>
          </cell>
          <cell r="BG19">
            <v>0</v>
          </cell>
          <cell r="BI19" t="str">
            <v>621 4391 8800 2905 5772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U19">
            <v>0</v>
          </cell>
        </row>
        <row r="20">
          <cell r="D20" t="str">
            <v>梁明新</v>
          </cell>
          <cell r="E20" t="str">
            <v>男</v>
          </cell>
          <cell r="F20" t="str">
            <v>450924198805104115</v>
          </cell>
          <cell r="G20" t="str">
            <v>直工</v>
          </cell>
          <cell r="H20" t="str">
            <v>一楼</v>
          </cell>
          <cell r="I20" t="str">
            <v>冲压员</v>
          </cell>
          <cell r="J20">
            <v>43518</v>
          </cell>
          <cell r="M20">
            <v>21</v>
          </cell>
          <cell r="N20">
            <v>21</v>
          </cell>
          <cell r="O20">
            <v>47.5</v>
          </cell>
          <cell r="P20">
            <v>79</v>
          </cell>
          <cell r="S20">
            <v>2100</v>
          </cell>
          <cell r="T20">
            <v>1720</v>
          </cell>
          <cell r="U20">
            <v>1720</v>
          </cell>
          <cell r="V20">
            <v>300</v>
          </cell>
          <cell r="W20">
            <v>300</v>
          </cell>
          <cell r="Z20">
            <v>14.83</v>
          </cell>
          <cell r="AA20">
            <v>704</v>
          </cell>
          <cell r="AB20">
            <v>19.77</v>
          </cell>
          <cell r="AC20">
            <v>1562</v>
          </cell>
          <cell r="AG20">
            <v>80</v>
          </cell>
          <cell r="AI20">
            <v>700</v>
          </cell>
          <cell r="AK20">
            <v>5066</v>
          </cell>
          <cell r="AL20">
            <v>0</v>
          </cell>
          <cell r="AN20">
            <v>27290</v>
          </cell>
          <cell r="AO20">
            <v>40000</v>
          </cell>
          <cell r="AP20">
            <v>0</v>
          </cell>
          <cell r="AQ20">
            <v>0</v>
          </cell>
          <cell r="AR20">
            <v>0</v>
          </cell>
          <cell r="AU20">
            <v>0</v>
          </cell>
          <cell r="AV20">
            <v>32356</v>
          </cell>
          <cell r="AW20">
            <v>45000</v>
          </cell>
          <cell r="AX20">
            <v>-12644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D20">
            <v>0</v>
          </cell>
          <cell r="BE20">
            <v>5066</v>
          </cell>
          <cell r="BF20">
            <v>5066</v>
          </cell>
          <cell r="BG20">
            <v>0</v>
          </cell>
          <cell r="BI20" t="str">
            <v>6214391880029055731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U20">
            <v>0</v>
          </cell>
        </row>
        <row r="21">
          <cell r="D21" t="str">
            <v>陈国文</v>
          </cell>
          <cell r="E21" t="str">
            <v>男</v>
          </cell>
          <cell r="F21" t="str">
            <v>440981198607165414</v>
          </cell>
          <cell r="G21" t="str">
            <v>直工</v>
          </cell>
          <cell r="H21" t="str">
            <v>一楼</v>
          </cell>
          <cell r="I21" t="str">
            <v>冲压员</v>
          </cell>
          <cell r="J21">
            <v>43524</v>
          </cell>
          <cell r="M21">
            <v>21</v>
          </cell>
          <cell r="N21">
            <v>20</v>
          </cell>
          <cell r="O21">
            <v>51.5</v>
          </cell>
          <cell r="P21">
            <v>81</v>
          </cell>
          <cell r="S21">
            <v>2400</v>
          </cell>
          <cell r="T21">
            <v>1720</v>
          </cell>
          <cell r="U21">
            <v>1638</v>
          </cell>
          <cell r="V21">
            <v>300</v>
          </cell>
          <cell r="W21">
            <v>286</v>
          </cell>
          <cell r="X21">
            <v>300</v>
          </cell>
          <cell r="Y21">
            <v>286</v>
          </cell>
          <cell r="Z21">
            <v>14.83</v>
          </cell>
          <cell r="AA21">
            <v>764</v>
          </cell>
          <cell r="AB21">
            <v>19.77</v>
          </cell>
          <cell r="AC21">
            <v>1601</v>
          </cell>
          <cell r="AI21">
            <v>175</v>
          </cell>
          <cell r="AK21">
            <v>4750</v>
          </cell>
          <cell r="AL21">
            <v>0</v>
          </cell>
          <cell r="AN21">
            <v>26078</v>
          </cell>
          <cell r="AO21">
            <v>40000</v>
          </cell>
          <cell r="AP21">
            <v>0</v>
          </cell>
          <cell r="AQ21">
            <v>0</v>
          </cell>
          <cell r="AR21">
            <v>0</v>
          </cell>
          <cell r="AU21">
            <v>0</v>
          </cell>
          <cell r="AV21">
            <v>30828</v>
          </cell>
          <cell r="AW21">
            <v>45000</v>
          </cell>
          <cell r="AX21">
            <v>-14172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E21">
            <v>4750</v>
          </cell>
          <cell r="BF21">
            <v>4750</v>
          </cell>
          <cell r="BG21">
            <v>0</v>
          </cell>
          <cell r="BI21" t="str">
            <v>6223330832395759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U21">
            <v>0</v>
          </cell>
        </row>
        <row r="22">
          <cell r="D22" t="str">
            <v>段昌述</v>
          </cell>
          <cell r="E22" t="str">
            <v>男</v>
          </cell>
          <cell r="F22" t="str">
            <v>513030197209180413</v>
          </cell>
          <cell r="G22" t="str">
            <v>直工</v>
          </cell>
          <cell r="H22" t="str">
            <v>一楼</v>
          </cell>
          <cell r="I22" t="str">
            <v>冲压员</v>
          </cell>
          <cell r="J22">
            <v>43544</v>
          </cell>
          <cell r="M22">
            <v>21</v>
          </cell>
          <cell r="N22">
            <v>21</v>
          </cell>
          <cell r="O22">
            <v>71</v>
          </cell>
          <cell r="P22">
            <v>95</v>
          </cell>
          <cell r="S22">
            <v>2100</v>
          </cell>
          <cell r="T22">
            <v>1720</v>
          </cell>
          <cell r="U22">
            <v>1720</v>
          </cell>
          <cell r="V22">
            <v>300</v>
          </cell>
          <cell r="W22">
            <v>300</v>
          </cell>
          <cell r="Z22">
            <v>14.83</v>
          </cell>
          <cell r="AA22">
            <v>1053</v>
          </cell>
          <cell r="AB22">
            <v>19.77</v>
          </cell>
          <cell r="AC22">
            <v>1878</v>
          </cell>
          <cell r="AG22">
            <v>80</v>
          </cell>
          <cell r="AI22">
            <v>0</v>
          </cell>
          <cell r="AK22">
            <v>5031</v>
          </cell>
          <cell r="AL22">
            <v>0</v>
          </cell>
          <cell r="AN22">
            <v>23842</v>
          </cell>
          <cell r="AO22">
            <v>40000</v>
          </cell>
          <cell r="AP22">
            <v>0</v>
          </cell>
          <cell r="AQ22">
            <v>0</v>
          </cell>
          <cell r="AR22">
            <v>0</v>
          </cell>
          <cell r="AU22">
            <v>0</v>
          </cell>
          <cell r="AV22">
            <v>28873</v>
          </cell>
          <cell r="AW22">
            <v>45000</v>
          </cell>
          <cell r="AX22">
            <v>-16127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D22">
            <v>0</v>
          </cell>
          <cell r="BE22">
            <v>5031</v>
          </cell>
          <cell r="BF22">
            <v>5031</v>
          </cell>
          <cell r="BG22">
            <v>0</v>
          </cell>
          <cell r="BI22" t="str">
            <v>621 4391 8800 2954 2266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U22">
            <v>0</v>
          </cell>
        </row>
        <row r="23">
          <cell r="D23" t="str">
            <v>姜方松</v>
          </cell>
          <cell r="E23" t="str">
            <v>男</v>
          </cell>
          <cell r="F23" t="str">
            <v>432623196806075279</v>
          </cell>
          <cell r="G23" t="str">
            <v>直工</v>
          </cell>
          <cell r="H23" t="str">
            <v>一楼</v>
          </cell>
          <cell r="I23" t="str">
            <v>冲压员</v>
          </cell>
          <cell r="J23">
            <v>43533</v>
          </cell>
          <cell r="M23">
            <v>21</v>
          </cell>
          <cell r="N23">
            <v>21</v>
          </cell>
          <cell r="O23">
            <v>68</v>
          </cell>
          <cell r="P23">
            <v>94</v>
          </cell>
          <cell r="S23">
            <v>2100</v>
          </cell>
          <cell r="T23">
            <v>1720</v>
          </cell>
          <cell r="U23">
            <v>1720</v>
          </cell>
          <cell r="V23">
            <v>300</v>
          </cell>
          <cell r="W23">
            <v>300</v>
          </cell>
          <cell r="Z23">
            <v>14.83</v>
          </cell>
          <cell r="AA23">
            <v>1008</v>
          </cell>
          <cell r="AB23">
            <v>19.77</v>
          </cell>
          <cell r="AC23">
            <v>1858</v>
          </cell>
          <cell r="AG23">
            <v>80</v>
          </cell>
          <cell r="AI23">
            <v>0</v>
          </cell>
          <cell r="AK23">
            <v>4966</v>
          </cell>
          <cell r="AL23">
            <v>0</v>
          </cell>
          <cell r="AN23">
            <v>25710</v>
          </cell>
          <cell r="AO23">
            <v>40000</v>
          </cell>
          <cell r="AP23">
            <v>0</v>
          </cell>
          <cell r="AQ23">
            <v>0</v>
          </cell>
          <cell r="AR23">
            <v>0</v>
          </cell>
          <cell r="AU23">
            <v>0</v>
          </cell>
          <cell r="AV23">
            <v>30676</v>
          </cell>
          <cell r="AW23">
            <v>45000</v>
          </cell>
          <cell r="AX23">
            <v>-14324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D23">
            <v>0</v>
          </cell>
          <cell r="BE23">
            <v>4966</v>
          </cell>
          <cell r="BF23">
            <v>4966</v>
          </cell>
          <cell r="BG23">
            <v>0</v>
          </cell>
          <cell r="BI23" t="str">
            <v>621 4391 8800 3036 3926</v>
          </cell>
          <cell r="BK23">
            <v>0</v>
          </cell>
          <cell r="BL23">
            <v>0</v>
          </cell>
          <cell r="BM23">
            <v>4.17</v>
          </cell>
          <cell r="BN23">
            <v>0</v>
          </cell>
          <cell r="BO23">
            <v>-4.17</v>
          </cell>
          <cell r="BP23">
            <v>0</v>
          </cell>
          <cell r="BU23">
            <v>0</v>
          </cell>
        </row>
        <row r="24">
          <cell r="D24" t="str">
            <v>凌明孟</v>
          </cell>
          <cell r="E24" t="str">
            <v>男</v>
          </cell>
          <cell r="F24" t="str">
            <v>452623198404182111</v>
          </cell>
          <cell r="G24" t="str">
            <v>直工</v>
          </cell>
          <cell r="H24" t="str">
            <v>一楼</v>
          </cell>
          <cell r="I24" t="str">
            <v>冲压员</v>
          </cell>
          <cell r="J24">
            <v>43531</v>
          </cell>
          <cell r="M24">
            <v>21</v>
          </cell>
          <cell r="N24">
            <v>21</v>
          </cell>
          <cell r="O24">
            <v>49</v>
          </cell>
          <cell r="P24">
            <v>69.5</v>
          </cell>
          <cell r="S24">
            <v>2400</v>
          </cell>
          <cell r="T24">
            <v>1720</v>
          </cell>
          <cell r="U24">
            <v>1720</v>
          </cell>
          <cell r="V24">
            <v>300</v>
          </cell>
          <cell r="W24">
            <v>300</v>
          </cell>
          <cell r="X24">
            <v>300</v>
          </cell>
          <cell r="Y24">
            <v>300</v>
          </cell>
          <cell r="Z24">
            <v>14.83</v>
          </cell>
          <cell r="AA24">
            <v>727</v>
          </cell>
          <cell r="AB24">
            <v>19.77</v>
          </cell>
          <cell r="AC24">
            <v>1374</v>
          </cell>
          <cell r="AG24">
            <v>80</v>
          </cell>
          <cell r="AI24">
            <v>475</v>
          </cell>
          <cell r="AK24">
            <v>4976</v>
          </cell>
          <cell r="AL24">
            <v>0</v>
          </cell>
          <cell r="AN24">
            <v>24318</v>
          </cell>
          <cell r="AO24">
            <v>40000</v>
          </cell>
          <cell r="AP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29294</v>
          </cell>
          <cell r="AW24">
            <v>45000</v>
          </cell>
          <cell r="AX24">
            <v>-15706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D24">
            <v>0</v>
          </cell>
          <cell r="BE24">
            <v>4976</v>
          </cell>
          <cell r="BF24">
            <v>4976</v>
          </cell>
          <cell r="BG24">
            <v>0</v>
          </cell>
          <cell r="BI24" t="str">
            <v>621 4391 8800 3036 3942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U24">
            <v>0</v>
          </cell>
        </row>
        <row r="25">
          <cell r="D25" t="str">
            <v>廖勇</v>
          </cell>
          <cell r="E25" t="str">
            <v>男</v>
          </cell>
          <cell r="F25" t="str">
            <v>441424200109125774</v>
          </cell>
          <cell r="G25" t="str">
            <v>直工</v>
          </cell>
          <cell r="H25" t="str">
            <v>一楼</v>
          </cell>
          <cell r="I25" t="str">
            <v>冲压员</v>
          </cell>
          <cell r="J25">
            <v>43530</v>
          </cell>
          <cell r="M25">
            <v>21</v>
          </cell>
          <cell r="N25">
            <v>21</v>
          </cell>
          <cell r="O25">
            <v>43</v>
          </cell>
          <cell r="P25">
            <v>65</v>
          </cell>
          <cell r="S25">
            <v>2400</v>
          </cell>
          <cell r="T25">
            <v>1720</v>
          </cell>
          <cell r="U25">
            <v>1720</v>
          </cell>
          <cell r="V25">
            <v>600</v>
          </cell>
          <cell r="W25">
            <v>600</v>
          </cell>
          <cell r="Z25">
            <v>14.83</v>
          </cell>
          <cell r="AA25">
            <v>638</v>
          </cell>
          <cell r="AB25">
            <v>19.77</v>
          </cell>
          <cell r="AC25">
            <v>1285</v>
          </cell>
          <cell r="AG25">
            <v>80</v>
          </cell>
          <cell r="AI25">
            <v>150</v>
          </cell>
          <cell r="AK25">
            <v>4473</v>
          </cell>
          <cell r="AL25">
            <v>0</v>
          </cell>
          <cell r="AN25">
            <v>26429</v>
          </cell>
          <cell r="AO25">
            <v>40000</v>
          </cell>
          <cell r="AP25">
            <v>0</v>
          </cell>
          <cell r="AQ25">
            <v>0</v>
          </cell>
          <cell r="AR25">
            <v>0</v>
          </cell>
          <cell r="AU25">
            <v>0</v>
          </cell>
          <cell r="AV25">
            <v>30902</v>
          </cell>
          <cell r="AW25">
            <v>45000</v>
          </cell>
          <cell r="AX25">
            <v>-14098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D25">
            <v>0</v>
          </cell>
          <cell r="BE25">
            <v>4473</v>
          </cell>
          <cell r="BF25">
            <v>4473</v>
          </cell>
          <cell r="BG25">
            <v>0</v>
          </cell>
          <cell r="BI25" t="str">
            <v>621 4391 8800 2886 2061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U25">
            <v>0</v>
          </cell>
        </row>
        <row r="26">
          <cell r="D26" t="str">
            <v>郭成发</v>
          </cell>
          <cell r="E26" t="str">
            <v>男</v>
          </cell>
          <cell r="F26" t="str">
            <v>53252919970513185x</v>
          </cell>
          <cell r="G26" t="str">
            <v>直工</v>
          </cell>
          <cell r="H26" t="str">
            <v>一楼</v>
          </cell>
          <cell r="I26" t="str">
            <v>冲压员</v>
          </cell>
          <cell r="J26">
            <v>43617</v>
          </cell>
          <cell r="M26">
            <v>21</v>
          </cell>
          <cell r="N26">
            <v>19</v>
          </cell>
          <cell r="O26">
            <v>53</v>
          </cell>
          <cell r="P26">
            <v>91</v>
          </cell>
          <cell r="S26">
            <v>2300</v>
          </cell>
          <cell r="T26">
            <v>1720</v>
          </cell>
          <cell r="U26">
            <v>1556</v>
          </cell>
          <cell r="V26">
            <v>300</v>
          </cell>
          <cell r="W26">
            <v>271</v>
          </cell>
          <cell r="X26">
            <v>200</v>
          </cell>
          <cell r="Y26">
            <v>181</v>
          </cell>
          <cell r="Z26">
            <v>14.83</v>
          </cell>
          <cell r="AA26">
            <v>786</v>
          </cell>
          <cell r="AB26">
            <v>19.77</v>
          </cell>
          <cell r="AC26">
            <v>1799</v>
          </cell>
          <cell r="AI26">
            <v>0</v>
          </cell>
          <cell r="AK26">
            <v>4593</v>
          </cell>
          <cell r="AL26">
            <v>0</v>
          </cell>
          <cell r="AN26">
            <v>12611</v>
          </cell>
          <cell r="AO26">
            <v>20000</v>
          </cell>
          <cell r="AP26">
            <v>0</v>
          </cell>
          <cell r="AQ26">
            <v>0</v>
          </cell>
          <cell r="AR26">
            <v>0</v>
          </cell>
          <cell r="AU26">
            <v>0</v>
          </cell>
          <cell r="AV26">
            <v>17204</v>
          </cell>
          <cell r="AW26">
            <v>25000</v>
          </cell>
          <cell r="AX26">
            <v>-7796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D26">
            <v>0</v>
          </cell>
          <cell r="BE26">
            <v>4593</v>
          </cell>
          <cell r="BF26">
            <v>4593</v>
          </cell>
          <cell r="BG26">
            <v>0</v>
          </cell>
          <cell r="BI26" t="str">
            <v>6214391880016522214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U26">
            <v>0</v>
          </cell>
        </row>
        <row r="27">
          <cell r="D27" t="str">
            <v>杨云圣</v>
          </cell>
          <cell r="E27" t="str">
            <v>男</v>
          </cell>
          <cell r="F27" t="str">
            <v>445381199906024036</v>
          </cell>
          <cell r="G27" t="str">
            <v>直工</v>
          </cell>
          <cell r="H27" t="str">
            <v>一楼</v>
          </cell>
          <cell r="I27" t="str">
            <v>CNC</v>
          </cell>
          <cell r="J27">
            <v>43532</v>
          </cell>
          <cell r="M27">
            <v>21</v>
          </cell>
          <cell r="N27">
            <v>21</v>
          </cell>
          <cell r="O27">
            <v>47.5</v>
          </cell>
          <cell r="P27">
            <v>75.5</v>
          </cell>
          <cell r="S27">
            <v>2400</v>
          </cell>
          <cell r="T27">
            <v>1720</v>
          </cell>
          <cell r="U27">
            <v>1720</v>
          </cell>
          <cell r="V27">
            <v>600</v>
          </cell>
          <cell r="W27">
            <v>600</v>
          </cell>
          <cell r="Z27">
            <v>14.83</v>
          </cell>
          <cell r="AA27">
            <v>704</v>
          </cell>
          <cell r="AB27">
            <v>19.77</v>
          </cell>
          <cell r="AC27">
            <v>1493</v>
          </cell>
          <cell r="AG27">
            <v>80</v>
          </cell>
          <cell r="AI27">
            <v>500</v>
          </cell>
          <cell r="AK27">
            <v>5097</v>
          </cell>
          <cell r="AL27">
            <v>0</v>
          </cell>
          <cell r="AN27">
            <v>26924</v>
          </cell>
          <cell r="AO27">
            <v>35000</v>
          </cell>
          <cell r="AP27">
            <v>0</v>
          </cell>
          <cell r="AQ27">
            <v>0</v>
          </cell>
          <cell r="AR27">
            <v>0</v>
          </cell>
          <cell r="AU27">
            <v>0</v>
          </cell>
          <cell r="AV27">
            <v>32021</v>
          </cell>
          <cell r="AW27">
            <v>40000</v>
          </cell>
          <cell r="AX27">
            <v>-7979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D27">
            <v>0</v>
          </cell>
          <cell r="BE27">
            <v>5097</v>
          </cell>
          <cell r="BF27">
            <v>5097</v>
          </cell>
          <cell r="BG27">
            <v>0</v>
          </cell>
          <cell r="BI27" t="str">
            <v>621 4391 8800 3036 1771</v>
          </cell>
          <cell r="BK27">
            <v>0</v>
          </cell>
          <cell r="BL27">
            <v>0</v>
          </cell>
          <cell r="BM27">
            <v>3.12</v>
          </cell>
          <cell r="BN27">
            <v>0</v>
          </cell>
          <cell r="BO27">
            <v>-3.12</v>
          </cell>
          <cell r="BP27">
            <v>0</v>
          </cell>
          <cell r="BU27">
            <v>0</v>
          </cell>
        </row>
        <row r="28">
          <cell r="D28" t="str">
            <v>赖越联</v>
          </cell>
          <cell r="E28" t="str">
            <v>男</v>
          </cell>
          <cell r="F28" t="str">
            <v>452502197802105814</v>
          </cell>
          <cell r="G28" t="str">
            <v>直工</v>
          </cell>
          <cell r="H28" t="str">
            <v>一楼</v>
          </cell>
          <cell r="I28" t="str">
            <v>CNC</v>
          </cell>
          <cell r="J28">
            <v>43538</v>
          </cell>
          <cell r="M28">
            <v>21</v>
          </cell>
          <cell r="N28">
            <v>20</v>
          </cell>
          <cell r="O28">
            <v>47</v>
          </cell>
          <cell r="P28">
            <v>80.5</v>
          </cell>
          <cell r="S28">
            <v>2400</v>
          </cell>
          <cell r="T28">
            <v>1720</v>
          </cell>
          <cell r="U28">
            <v>1638</v>
          </cell>
          <cell r="V28">
            <v>600</v>
          </cell>
          <cell r="W28">
            <v>571</v>
          </cell>
          <cell r="Z28">
            <v>14.83</v>
          </cell>
          <cell r="AA28">
            <v>697</v>
          </cell>
          <cell r="AB28">
            <v>19.77</v>
          </cell>
          <cell r="AC28">
            <v>1591</v>
          </cell>
          <cell r="AI28">
            <v>300</v>
          </cell>
          <cell r="AK28">
            <v>4797</v>
          </cell>
          <cell r="AL28">
            <v>0</v>
          </cell>
          <cell r="AN28">
            <v>25594</v>
          </cell>
          <cell r="AO28">
            <v>40000</v>
          </cell>
          <cell r="AP28">
            <v>0</v>
          </cell>
          <cell r="AQ28">
            <v>0</v>
          </cell>
          <cell r="AR28">
            <v>0</v>
          </cell>
          <cell r="AU28">
            <v>0</v>
          </cell>
          <cell r="AV28">
            <v>30177.53</v>
          </cell>
          <cell r="AW28">
            <v>45000</v>
          </cell>
          <cell r="AX28">
            <v>-14822.47</v>
          </cell>
          <cell r="AY28">
            <v>0</v>
          </cell>
          <cell r="AZ28">
            <v>0</v>
          </cell>
          <cell r="BA28">
            <v>-213.47</v>
          </cell>
          <cell r="BB28">
            <v>0</v>
          </cell>
          <cell r="BD28">
            <v>-213</v>
          </cell>
          <cell r="BE28">
            <v>4584</v>
          </cell>
          <cell r="BF28">
            <v>4584</v>
          </cell>
          <cell r="BG28">
            <v>0</v>
          </cell>
          <cell r="BI28" t="str">
            <v>621 4391 8800 3054 5605</v>
          </cell>
          <cell r="BK28">
            <v>0</v>
          </cell>
          <cell r="BL28">
            <v>6.39</v>
          </cell>
          <cell r="BM28">
            <v>16.92</v>
          </cell>
          <cell r="BN28">
            <v>0</v>
          </cell>
          <cell r="BO28">
            <v>-23.31</v>
          </cell>
          <cell r="BP28">
            <v>0</v>
          </cell>
          <cell r="BU28">
            <v>0</v>
          </cell>
        </row>
        <row r="29">
          <cell r="D29" t="str">
            <v>谢宝</v>
          </cell>
          <cell r="E29" t="str">
            <v>男</v>
          </cell>
          <cell r="F29" t="str">
            <v>440981198307087215</v>
          </cell>
          <cell r="G29" t="str">
            <v>直工</v>
          </cell>
          <cell r="H29" t="str">
            <v>一楼</v>
          </cell>
          <cell r="I29" t="str">
            <v>CNC</v>
          </cell>
          <cell r="J29">
            <v>43552</v>
          </cell>
          <cell r="M29">
            <v>21</v>
          </cell>
          <cell r="N29">
            <v>21</v>
          </cell>
          <cell r="O29">
            <v>47</v>
          </cell>
          <cell r="P29">
            <v>80.5</v>
          </cell>
          <cell r="S29">
            <v>2400</v>
          </cell>
          <cell r="T29">
            <v>1720</v>
          </cell>
          <cell r="U29">
            <v>1720</v>
          </cell>
          <cell r="V29">
            <v>600</v>
          </cell>
          <cell r="W29">
            <v>600</v>
          </cell>
          <cell r="Z29">
            <v>14.83</v>
          </cell>
          <cell r="AA29">
            <v>697</v>
          </cell>
          <cell r="AB29">
            <v>19.77</v>
          </cell>
          <cell r="AC29">
            <v>1591</v>
          </cell>
          <cell r="AG29">
            <v>80</v>
          </cell>
          <cell r="AI29">
            <v>300</v>
          </cell>
          <cell r="AK29">
            <v>4988</v>
          </cell>
          <cell r="AL29">
            <v>0</v>
          </cell>
          <cell r="AN29">
            <v>24311</v>
          </cell>
          <cell r="AO29">
            <v>35000</v>
          </cell>
          <cell r="AP29">
            <v>0</v>
          </cell>
          <cell r="AQ29">
            <v>0</v>
          </cell>
          <cell r="AR29">
            <v>0</v>
          </cell>
          <cell r="AU29">
            <v>0</v>
          </cell>
          <cell r="AV29">
            <v>29299</v>
          </cell>
          <cell r="AW29">
            <v>40000</v>
          </cell>
          <cell r="AX29">
            <v>-10701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D29">
            <v>0</v>
          </cell>
          <cell r="BE29">
            <v>4988</v>
          </cell>
          <cell r="BF29">
            <v>4988</v>
          </cell>
          <cell r="BG29">
            <v>0</v>
          </cell>
          <cell r="BI29" t="str">
            <v>621 4391 8800 3000 8075</v>
          </cell>
          <cell r="BK29">
            <v>0</v>
          </cell>
          <cell r="BL29">
            <v>6.3</v>
          </cell>
          <cell r="BM29">
            <v>8.07</v>
          </cell>
          <cell r="BN29">
            <v>0</v>
          </cell>
          <cell r="BO29">
            <v>-14.37</v>
          </cell>
          <cell r="BP29">
            <v>0</v>
          </cell>
          <cell r="BU29">
            <v>0</v>
          </cell>
        </row>
        <row r="30">
          <cell r="D30" t="str">
            <v>万森宝</v>
          </cell>
          <cell r="E30" t="str">
            <v>男</v>
          </cell>
          <cell r="F30" t="str">
            <v>362229199710061018</v>
          </cell>
          <cell r="G30" t="str">
            <v>直工</v>
          </cell>
          <cell r="H30" t="str">
            <v>一楼</v>
          </cell>
          <cell r="I30" t="str">
            <v>CNC</v>
          </cell>
          <cell r="J30">
            <v>43566</v>
          </cell>
          <cell r="M30">
            <v>21</v>
          </cell>
          <cell r="N30">
            <v>21</v>
          </cell>
          <cell r="O30">
            <v>51</v>
          </cell>
          <cell r="P30">
            <v>84</v>
          </cell>
          <cell r="S30">
            <v>2400</v>
          </cell>
          <cell r="T30">
            <v>1720</v>
          </cell>
          <cell r="U30">
            <v>1720</v>
          </cell>
          <cell r="V30">
            <v>600</v>
          </cell>
          <cell r="W30">
            <v>600</v>
          </cell>
          <cell r="Z30">
            <v>14.83</v>
          </cell>
          <cell r="AA30">
            <v>756</v>
          </cell>
          <cell r="AB30">
            <v>19.77</v>
          </cell>
          <cell r="AC30">
            <v>1661</v>
          </cell>
          <cell r="AG30">
            <v>80</v>
          </cell>
          <cell r="AI30">
            <v>175</v>
          </cell>
          <cell r="AK30">
            <v>4992</v>
          </cell>
          <cell r="AL30">
            <v>0</v>
          </cell>
          <cell r="AN30">
            <v>22957.97</v>
          </cell>
          <cell r="AO30">
            <v>30000</v>
          </cell>
          <cell r="AP30">
            <v>0</v>
          </cell>
          <cell r="AQ30">
            <v>0</v>
          </cell>
          <cell r="AR30">
            <v>0</v>
          </cell>
          <cell r="AU30">
            <v>0</v>
          </cell>
          <cell r="AV30">
            <v>27844.67</v>
          </cell>
          <cell r="AW30">
            <v>35000</v>
          </cell>
          <cell r="AX30">
            <v>-7155.33</v>
          </cell>
          <cell r="AY30">
            <v>0</v>
          </cell>
          <cell r="AZ30">
            <v>0</v>
          </cell>
          <cell r="BA30">
            <v>-105.3</v>
          </cell>
          <cell r="BB30">
            <v>0</v>
          </cell>
          <cell r="BD30">
            <v>-105</v>
          </cell>
          <cell r="BE30">
            <v>4887</v>
          </cell>
          <cell r="BF30">
            <v>4887</v>
          </cell>
          <cell r="BG30">
            <v>0</v>
          </cell>
          <cell r="BI30" t="str">
            <v>621 4391 8800 3036 2100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U30">
            <v>0</v>
          </cell>
        </row>
        <row r="31">
          <cell r="D31" t="str">
            <v>冯济良</v>
          </cell>
          <cell r="E31" t="str">
            <v>男</v>
          </cell>
          <cell r="F31" t="str">
            <v>43302119710809187X</v>
          </cell>
          <cell r="G31" t="str">
            <v>直工</v>
          </cell>
          <cell r="H31" t="str">
            <v>一楼</v>
          </cell>
          <cell r="I31" t="str">
            <v>CNC</v>
          </cell>
          <cell r="J31">
            <v>43566</v>
          </cell>
          <cell r="M31">
            <v>21</v>
          </cell>
          <cell r="N31">
            <v>21</v>
          </cell>
          <cell r="O31">
            <v>48.5</v>
          </cell>
          <cell r="P31">
            <v>80.5</v>
          </cell>
          <cell r="S31">
            <v>2400</v>
          </cell>
          <cell r="T31">
            <v>1720</v>
          </cell>
          <cell r="U31">
            <v>1720</v>
          </cell>
          <cell r="V31">
            <v>600</v>
          </cell>
          <cell r="W31">
            <v>600</v>
          </cell>
          <cell r="Z31">
            <v>14.83</v>
          </cell>
          <cell r="AA31">
            <v>719</v>
          </cell>
          <cell r="AB31">
            <v>19.77</v>
          </cell>
          <cell r="AC31">
            <v>1591</v>
          </cell>
          <cell r="AG31">
            <v>80</v>
          </cell>
          <cell r="AI31">
            <v>375</v>
          </cell>
          <cell r="AK31">
            <v>5085</v>
          </cell>
          <cell r="AL31">
            <v>0</v>
          </cell>
          <cell r="AN31">
            <v>20671</v>
          </cell>
          <cell r="AO31">
            <v>30000</v>
          </cell>
          <cell r="AP31">
            <v>0</v>
          </cell>
          <cell r="AQ31">
            <v>0</v>
          </cell>
          <cell r="AR31">
            <v>0</v>
          </cell>
          <cell r="AU31">
            <v>0</v>
          </cell>
          <cell r="AV31">
            <v>25756</v>
          </cell>
          <cell r="AW31">
            <v>35000</v>
          </cell>
          <cell r="AX31">
            <v>-9244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D31">
            <v>0</v>
          </cell>
          <cell r="BE31">
            <v>5085</v>
          </cell>
          <cell r="BF31">
            <v>5085</v>
          </cell>
          <cell r="BG31">
            <v>0</v>
          </cell>
          <cell r="BI31" t="str">
            <v>621 4391 8800 2954 2423</v>
          </cell>
          <cell r="BK31">
            <v>0</v>
          </cell>
          <cell r="BL31">
            <v>0</v>
          </cell>
          <cell r="BM31">
            <v>0</v>
          </cell>
          <cell r="BN31">
            <v>5.16</v>
          </cell>
          <cell r="BO31">
            <v>-5.16</v>
          </cell>
          <cell r="BP31">
            <v>0</v>
          </cell>
          <cell r="BU31">
            <v>0</v>
          </cell>
        </row>
        <row r="32">
          <cell r="D32" t="str">
            <v>王超</v>
          </cell>
          <cell r="E32" t="str">
            <v>男</v>
          </cell>
          <cell r="F32" t="str">
            <v>362229199808231230</v>
          </cell>
          <cell r="G32" t="str">
            <v>直工</v>
          </cell>
          <cell r="H32" t="str">
            <v>一楼</v>
          </cell>
          <cell r="I32" t="str">
            <v>CNC</v>
          </cell>
          <cell r="J32">
            <v>43566</v>
          </cell>
          <cell r="M32">
            <v>21</v>
          </cell>
          <cell r="N32">
            <v>21</v>
          </cell>
          <cell r="O32">
            <v>50</v>
          </cell>
          <cell r="P32">
            <v>84</v>
          </cell>
          <cell r="S32">
            <v>2400</v>
          </cell>
          <cell r="T32">
            <v>1720</v>
          </cell>
          <cell r="U32">
            <v>1720</v>
          </cell>
          <cell r="V32">
            <v>600</v>
          </cell>
          <cell r="W32">
            <v>600</v>
          </cell>
          <cell r="Z32">
            <v>14.83</v>
          </cell>
          <cell r="AA32">
            <v>742</v>
          </cell>
          <cell r="AB32">
            <v>19.77</v>
          </cell>
          <cell r="AC32">
            <v>1661</v>
          </cell>
          <cell r="AG32">
            <v>80</v>
          </cell>
          <cell r="AI32">
            <v>175</v>
          </cell>
          <cell r="AK32">
            <v>4978</v>
          </cell>
          <cell r="AL32">
            <v>0</v>
          </cell>
          <cell r="AN32">
            <v>21316.9701657459</v>
          </cell>
          <cell r="AO32">
            <v>30000</v>
          </cell>
          <cell r="AP32">
            <v>0</v>
          </cell>
          <cell r="AQ32">
            <v>0</v>
          </cell>
          <cell r="AR32">
            <v>0</v>
          </cell>
          <cell r="AU32">
            <v>0</v>
          </cell>
          <cell r="AV32">
            <v>26189.6701657459</v>
          </cell>
          <cell r="AW32">
            <v>35000</v>
          </cell>
          <cell r="AX32">
            <v>-8810.3298342541</v>
          </cell>
          <cell r="AY32">
            <v>0</v>
          </cell>
          <cell r="AZ32">
            <v>0</v>
          </cell>
          <cell r="BA32">
            <v>-105.3</v>
          </cell>
          <cell r="BB32">
            <v>0</v>
          </cell>
          <cell r="BD32">
            <v>-105</v>
          </cell>
          <cell r="BE32">
            <v>4873</v>
          </cell>
          <cell r="BF32">
            <v>4873</v>
          </cell>
          <cell r="BG32">
            <v>0</v>
          </cell>
          <cell r="BI32" t="str">
            <v>621 4391 8800 3036 2118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U32">
            <v>0</v>
          </cell>
        </row>
        <row r="33">
          <cell r="D33" t="str">
            <v>沈永松</v>
          </cell>
          <cell r="E33" t="str">
            <v>男</v>
          </cell>
          <cell r="F33" t="str">
            <v>412827198011017595</v>
          </cell>
          <cell r="G33" t="str">
            <v>直工</v>
          </cell>
          <cell r="H33" t="str">
            <v>一楼</v>
          </cell>
          <cell r="I33" t="str">
            <v>线割</v>
          </cell>
          <cell r="J33">
            <v>43523</v>
          </cell>
          <cell r="M33">
            <v>21</v>
          </cell>
          <cell r="N33">
            <v>21</v>
          </cell>
          <cell r="O33">
            <v>63</v>
          </cell>
          <cell r="P33">
            <v>91</v>
          </cell>
          <cell r="S33">
            <v>2400</v>
          </cell>
          <cell r="T33">
            <v>1720</v>
          </cell>
          <cell r="U33">
            <v>1720</v>
          </cell>
          <cell r="V33">
            <v>600</v>
          </cell>
          <cell r="W33">
            <v>600</v>
          </cell>
          <cell r="Z33">
            <v>14.83</v>
          </cell>
          <cell r="AA33">
            <v>934</v>
          </cell>
          <cell r="AB33">
            <v>19.77</v>
          </cell>
          <cell r="AC33">
            <v>1799</v>
          </cell>
          <cell r="AG33">
            <v>80</v>
          </cell>
          <cell r="AI33">
            <v>0</v>
          </cell>
          <cell r="AK33">
            <v>5133</v>
          </cell>
          <cell r="AL33">
            <v>0</v>
          </cell>
          <cell r="AN33">
            <v>28498</v>
          </cell>
          <cell r="AO33">
            <v>40000</v>
          </cell>
          <cell r="AP33">
            <v>0</v>
          </cell>
          <cell r="AQ33">
            <v>0</v>
          </cell>
          <cell r="AR33">
            <v>0</v>
          </cell>
          <cell r="AU33">
            <v>0</v>
          </cell>
          <cell r="AV33">
            <v>33631</v>
          </cell>
          <cell r="AW33">
            <v>45000</v>
          </cell>
          <cell r="AX33">
            <v>-11369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D33">
            <v>0</v>
          </cell>
          <cell r="BE33">
            <v>5133</v>
          </cell>
          <cell r="BF33">
            <v>5133</v>
          </cell>
          <cell r="BG33">
            <v>0</v>
          </cell>
          <cell r="BI33" t="str">
            <v>621 4391 8800 1852 6205</v>
          </cell>
          <cell r="BK33">
            <v>1.05</v>
          </cell>
          <cell r="BL33">
            <v>7.92</v>
          </cell>
          <cell r="BM33">
            <v>0</v>
          </cell>
          <cell r="BN33">
            <v>0</v>
          </cell>
          <cell r="BO33">
            <v>-8.97</v>
          </cell>
          <cell r="BP33">
            <v>0</v>
          </cell>
          <cell r="BU33">
            <v>0</v>
          </cell>
        </row>
        <row r="34">
          <cell r="D34" t="str">
            <v>廖志杰</v>
          </cell>
          <cell r="E34" t="str">
            <v>男</v>
          </cell>
          <cell r="F34" t="str">
            <v>441424199906215777</v>
          </cell>
          <cell r="G34" t="str">
            <v>直工</v>
          </cell>
          <cell r="H34" t="str">
            <v>一楼</v>
          </cell>
          <cell r="I34" t="str">
            <v>线割</v>
          </cell>
          <cell r="J34">
            <v>43559</v>
          </cell>
          <cell r="M34">
            <v>21</v>
          </cell>
          <cell r="N34">
            <v>20</v>
          </cell>
          <cell r="O34">
            <v>57.5</v>
          </cell>
          <cell r="P34">
            <v>79.5</v>
          </cell>
          <cell r="S34">
            <v>2400</v>
          </cell>
          <cell r="T34">
            <v>1720</v>
          </cell>
          <cell r="U34">
            <v>1638</v>
          </cell>
          <cell r="V34">
            <v>600</v>
          </cell>
          <cell r="W34">
            <v>571</v>
          </cell>
          <cell r="Z34">
            <v>14.83</v>
          </cell>
          <cell r="AA34">
            <v>853</v>
          </cell>
          <cell r="AB34">
            <v>19.77</v>
          </cell>
          <cell r="AC34">
            <v>1572</v>
          </cell>
          <cell r="AI34">
            <v>100</v>
          </cell>
          <cell r="AK34">
            <v>4734</v>
          </cell>
          <cell r="AL34">
            <v>0</v>
          </cell>
          <cell r="AN34">
            <v>22422.7166666667</v>
          </cell>
          <cell r="AO34">
            <v>30000</v>
          </cell>
          <cell r="AP34">
            <v>0</v>
          </cell>
          <cell r="AQ34">
            <v>0</v>
          </cell>
          <cell r="AR34">
            <v>0</v>
          </cell>
          <cell r="AU34">
            <v>0</v>
          </cell>
          <cell r="AV34">
            <v>27080.8066666667</v>
          </cell>
          <cell r="AW34">
            <v>35000</v>
          </cell>
          <cell r="AX34">
            <v>-7919.1933333333</v>
          </cell>
          <cell r="AY34">
            <v>0</v>
          </cell>
          <cell r="AZ34">
            <v>0</v>
          </cell>
          <cell r="BA34">
            <v>-75.91</v>
          </cell>
          <cell r="BB34">
            <v>0</v>
          </cell>
          <cell r="BD34">
            <v>-76</v>
          </cell>
          <cell r="BE34">
            <v>4658</v>
          </cell>
          <cell r="BF34">
            <v>4658</v>
          </cell>
          <cell r="BG34">
            <v>0</v>
          </cell>
          <cell r="BI34" t="str">
            <v>621 4391 8800 3036 4072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U34">
            <v>0</v>
          </cell>
        </row>
        <row r="35">
          <cell r="D35" t="str">
            <v>廖志伟</v>
          </cell>
          <cell r="E35" t="str">
            <v>男</v>
          </cell>
          <cell r="F35" t="str">
            <v>441424200108265775</v>
          </cell>
          <cell r="G35" t="str">
            <v>直工</v>
          </cell>
          <cell r="H35" t="str">
            <v>一楼</v>
          </cell>
          <cell r="I35" t="str">
            <v>线割</v>
          </cell>
          <cell r="J35">
            <v>43641</v>
          </cell>
          <cell r="M35">
            <v>21</v>
          </cell>
          <cell r="N35">
            <v>21</v>
          </cell>
          <cell r="O35">
            <v>42</v>
          </cell>
          <cell r="P35">
            <v>82</v>
          </cell>
          <cell r="S35">
            <v>2400</v>
          </cell>
          <cell r="T35">
            <v>1720</v>
          </cell>
          <cell r="U35">
            <v>1720</v>
          </cell>
          <cell r="V35">
            <v>600</v>
          </cell>
          <cell r="W35">
            <v>600</v>
          </cell>
          <cell r="Z35">
            <v>14.83</v>
          </cell>
          <cell r="AA35">
            <v>623</v>
          </cell>
          <cell r="AB35">
            <v>19.77</v>
          </cell>
          <cell r="AC35">
            <v>1621</v>
          </cell>
          <cell r="AG35">
            <v>80</v>
          </cell>
          <cell r="AI35">
            <v>75</v>
          </cell>
          <cell r="AK35">
            <v>4719</v>
          </cell>
          <cell r="AL35">
            <v>0</v>
          </cell>
          <cell r="AN35">
            <v>10121.72</v>
          </cell>
          <cell r="AO35">
            <v>20000</v>
          </cell>
          <cell r="AP35">
            <v>0</v>
          </cell>
          <cell r="AQ35">
            <v>0</v>
          </cell>
          <cell r="AR35">
            <v>0</v>
          </cell>
          <cell r="AU35">
            <v>0</v>
          </cell>
          <cell r="AV35">
            <v>14764.81</v>
          </cell>
          <cell r="AW35">
            <v>25000</v>
          </cell>
          <cell r="AX35">
            <v>-10235.19</v>
          </cell>
          <cell r="AY35">
            <v>0</v>
          </cell>
          <cell r="AZ35">
            <v>0</v>
          </cell>
          <cell r="BA35">
            <v>-75.91</v>
          </cell>
          <cell r="BB35">
            <v>0</v>
          </cell>
          <cell r="BD35">
            <v>-76</v>
          </cell>
          <cell r="BE35">
            <v>4643</v>
          </cell>
          <cell r="BF35">
            <v>4643</v>
          </cell>
          <cell r="BG35">
            <v>0</v>
          </cell>
          <cell r="BI35" t="str">
            <v>6214391880031239315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U35">
            <v>0</v>
          </cell>
        </row>
        <row r="36">
          <cell r="D36" t="str">
            <v>明显高</v>
          </cell>
          <cell r="E36" t="str">
            <v>男</v>
          </cell>
          <cell r="F36" t="str">
            <v>450422199907250572</v>
          </cell>
          <cell r="G36" t="str">
            <v>直工</v>
          </cell>
          <cell r="H36" t="str">
            <v>一楼</v>
          </cell>
          <cell r="M36">
            <v>21</v>
          </cell>
          <cell r="N36">
            <v>18.5</v>
          </cell>
          <cell r="O36">
            <v>37.5</v>
          </cell>
          <cell r="P36">
            <v>73.5</v>
          </cell>
          <cell r="S36">
            <v>2400</v>
          </cell>
          <cell r="T36">
            <v>1720</v>
          </cell>
          <cell r="U36">
            <v>1515</v>
          </cell>
          <cell r="V36">
            <v>600</v>
          </cell>
          <cell r="W36">
            <v>529</v>
          </cell>
          <cell r="Z36">
            <v>14.83</v>
          </cell>
          <cell r="AA36">
            <v>556</v>
          </cell>
          <cell r="AB36">
            <v>19.77</v>
          </cell>
          <cell r="AC36">
            <v>1453</v>
          </cell>
          <cell r="AI36">
            <v>275</v>
          </cell>
          <cell r="AK36">
            <v>4328</v>
          </cell>
          <cell r="AL36">
            <v>0</v>
          </cell>
          <cell r="AN36">
            <v>8448</v>
          </cell>
          <cell r="AO36">
            <v>10000</v>
          </cell>
          <cell r="AP36">
            <v>0</v>
          </cell>
          <cell r="AQ36">
            <v>0</v>
          </cell>
          <cell r="AR36">
            <v>0</v>
          </cell>
          <cell r="AU36">
            <v>0</v>
          </cell>
          <cell r="AV36">
            <v>12776</v>
          </cell>
          <cell r="AW36">
            <v>15000</v>
          </cell>
          <cell r="AX36">
            <v>-2224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D36">
            <v>0</v>
          </cell>
          <cell r="BE36">
            <v>4328</v>
          </cell>
          <cell r="BF36">
            <v>4328</v>
          </cell>
          <cell r="BG36">
            <v>0</v>
          </cell>
          <cell r="BI36" t="str">
            <v>6214391880031699948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U36">
            <v>0</v>
          </cell>
        </row>
        <row r="37">
          <cell r="D37" t="str">
            <v>刘宜芳</v>
          </cell>
          <cell r="E37" t="str">
            <v>男</v>
          </cell>
          <cell r="F37" t="str">
            <v>362229199704091616</v>
          </cell>
          <cell r="G37" t="str">
            <v>直工</v>
          </cell>
          <cell r="H37" t="str">
            <v>一楼</v>
          </cell>
          <cell r="M37">
            <v>21</v>
          </cell>
          <cell r="N37">
            <v>21</v>
          </cell>
          <cell r="O37">
            <v>48.5</v>
          </cell>
          <cell r="P37">
            <v>83</v>
          </cell>
          <cell r="S37">
            <v>2400</v>
          </cell>
          <cell r="T37">
            <v>1720</v>
          </cell>
          <cell r="U37">
            <v>1720</v>
          </cell>
          <cell r="V37">
            <v>600</v>
          </cell>
          <cell r="W37">
            <v>600</v>
          </cell>
          <cell r="Z37">
            <v>14.83</v>
          </cell>
          <cell r="AA37">
            <v>719</v>
          </cell>
          <cell r="AB37">
            <v>19.77</v>
          </cell>
          <cell r="AC37">
            <v>1641</v>
          </cell>
          <cell r="AG37">
            <v>80</v>
          </cell>
          <cell r="AI37">
            <v>375</v>
          </cell>
          <cell r="AK37">
            <v>5135</v>
          </cell>
          <cell r="AL37">
            <v>0</v>
          </cell>
          <cell r="AN37">
            <v>8480.74917127072</v>
          </cell>
          <cell r="AO37">
            <v>10000</v>
          </cell>
          <cell r="AP37">
            <v>0</v>
          </cell>
          <cell r="AQ37">
            <v>0</v>
          </cell>
          <cell r="AR37">
            <v>0</v>
          </cell>
          <cell r="AU37">
            <v>0</v>
          </cell>
          <cell r="AV37">
            <v>13510.4491712707</v>
          </cell>
          <cell r="AW37">
            <v>15000</v>
          </cell>
          <cell r="AX37">
            <v>-1489.55082872928</v>
          </cell>
          <cell r="AY37">
            <v>0</v>
          </cell>
          <cell r="AZ37">
            <v>0</v>
          </cell>
          <cell r="BA37">
            <v>-105.3</v>
          </cell>
          <cell r="BB37">
            <v>0</v>
          </cell>
          <cell r="BD37">
            <v>-105</v>
          </cell>
          <cell r="BE37">
            <v>5030</v>
          </cell>
          <cell r="BF37">
            <v>5030</v>
          </cell>
          <cell r="BG37">
            <v>0</v>
          </cell>
          <cell r="BI37" t="str">
            <v>6214391880031240263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U37">
            <v>0</v>
          </cell>
        </row>
        <row r="38">
          <cell r="D38" t="str">
            <v>袁光周</v>
          </cell>
          <cell r="E38" t="str">
            <v>男</v>
          </cell>
          <cell r="F38" t="str">
            <v>532923199709102371</v>
          </cell>
          <cell r="G38" t="str">
            <v>直工</v>
          </cell>
          <cell r="H38" t="str">
            <v>一楼</v>
          </cell>
          <cell r="M38">
            <v>21</v>
          </cell>
          <cell r="N38">
            <v>20.5</v>
          </cell>
          <cell r="O38">
            <v>53.5</v>
          </cell>
          <cell r="P38">
            <v>89</v>
          </cell>
          <cell r="S38">
            <v>2400</v>
          </cell>
          <cell r="T38">
            <v>1720</v>
          </cell>
          <cell r="U38">
            <v>1679</v>
          </cell>
          <cell r="V38">
            <v>600</v>
          </cell>
          <cell r="W38">
            <v>586</v>
          </cell>
          <cell r="Z38">
            <v>14.83</v>
          </cell>
          <cell r="AA38">
            <v>793</v>
          </cell>
          <cell r="AB38">
            <v>19.77</v>
          </cell>
          <cell r="AC38">
            <v>1760</v>
          </cell>
          <cell r="AG38">
            <v>40</v>
          </cell>
          <cell r="AI38">
            <v>200</v>
          </cell>
          <cell r="AK38">
            <v>5058</v>
          </cell>
          <cell r="AL38">
            <v>0</v>
          </cell>
          <cell r="AN38">
            <v>6649</v>
          </cell>
          <cell r="AO38">
            <v>10000</v>
          </cell>
          <cell r="AP38">
            <v>0</v>
          </cell>
          <cell r="AQ38">
            <v>0</v>
          </cell>
          <cell r="AR38">
            <v>0</v>
          </cell>
          <cell r="AU38">
            <v>0</v>
          </cell>
          <cell r="AV38">
            <v>11581.09</v>
          </cell>
          <cell r="AW38">
            <v>15000</v>
          </cell>
          <cell r="AX38">
            <v>-3418.91</v>
          </cell>
          <cell r="AY38">
            <v>0</v>
          </cell>
          <cell r="AZ38">
            <v>0</v>
          </cell>
          <cell r="BA38">
            <v>-75.91</v>
          </cell>
          <cell r="BB38">
            <v>-50</v>
          </cell>
          <cell r="BD38">
            <v>-126</v>
          </cell>
          <cell r="BE38">
            <v>4932</v>
          </cell>
          <cell r="BF38">
            <v>4932</v>
          </cell>
          <cell r="BG38">
            <v>0</v>
          </cell>
          <cell r="BI38" t="str">
            <v>621 4391 8800 3274 5088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U38">
            <v>0</v>
          </cell>
        </row>
        <row r="39">
          <cell r="D39" t="str">
            <v>黄琛</v>
          </cell>
          <cell r="E39" t="str">
            <v>男</v>
          </cell>
          <cell r="F39" t="str">
            <v>440981199704024618</v>
          </cell>
          <cell r="G39" t="str">
            <v>直工</v>
          </cell>
          <cell r="H39" t="str">
            <v>一楼</v>
          </cell>
          <cell r="M39">
            <v>21</v>
          </cell>
          <cell r="N39">
            <v>18.5</v>
          </cell>
          <cell r="O39">
            <v>35</v>
          </cell>
          <cell r="P39">
            <v>36</v>
          </cell>
          <cell r="S39">
            <v>2100</v>
          </cell>
          <cell r="T39">
            <v>1720</v>
          </cell>
          <cell r="U39">
            <v>1515</v>
          </cell>
          <cell r="V39">
            <v>300</v>
          </cell>
          <cell r="W39">
            <v>264</v>
          </cell>
          <cell r="Z39">
            <v>14.83</v>
          </cell>
          <cell r="AA39">
            <v>519</v>
          </cell>
          <cell r="AB39">
            <v>19.77</v>
          </cell>
          <cell r="AC39">
            <v>712</v>
          </cell>
          <cell r="AI39">
            <v>0</v>
          </cell>
          <cell r="AK39">
            <v>3010</v>
          </cell>
          <cell r="AL39">
            <v>0</v>
          </cell>
          <cell r="AN39">
            <v>4638</v>
          </cell>
          <cell r="AO39">
            <v>10000</v>
          </cell>
          <cell r="AP39">
            <v>0</v>
          </cell>
          <cell r="AQ39">
            <v>0</v>
          </cell>
          <cell r="AR39">
            <v>0</v>
          </cell>
          <cell r="AU39">
            <v>0</v>
          </cell>
          <cell r="AV39">
            <v>7648</v>
          </cell>
          <cell r="AW39">
            <v>15000</v>
          </cell>
          <cell r="AX39">
            <v>-7352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D39">
            <v>0</v>
          </cell>
          <cell r="BE39">
            <v>3010</v>
          </cell>
          <cell r="BF39">
            <v>3010</v>
          </cell>
          <cell r="BG39">
            <v>0</v>
          </cell>
          <cell r="BI39" t="str">
            <v>621 4391 8800 3274 2408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U39">
            <v>0</v>
          </cell>
        </row>
        <row r="40">
          <cell r="D40" t="str">
            <v>陆进保</v>
          </cell>
          <cell r="E40" t="str">
            <v>男</v>
          </cell>
          <cell r="F40" t="str">
            <v>532531199712071017</v>
          </cell>
          <cell r="G40" t="str">
            <v>直工</v>
          </cell>
          <cell r="H40" t="str">
            <v>一楼</v>
          </cell>
          <cell r="M40">
            <v>21</v>
          </cell>
          <cell r="N40">
            <v>19</v>
          </cell>
          <cell r="O40">
            <v>49</v>
          </cell>
          <cell r="P40">
            <v>54.5</v>
          </cell>
          <cell r="S40">
            <v>2100</v>
          </cell>
          <cell r="T40">
            <v>1720</v>
          </cell>
          <cell r="U40">
            <v>1556</v>
          </cell>
          <cell r="V40">
            <v>300</v>
          </cell>
          <cell r="W40">
            <v>271</v>
          </cell>
          <cell r="Z40">
            <v>14.83</v>
          </cell>
          <cell r="AA40">
            <v>727</v>
          </cell>
          <cell r="AB40">
            <v>19.77</v>
          </cell>
          <cell r="AC40">
            <v>1077</v>
          </cell>
          <cell r="AI40">
            <v>0</v>
          </cell>
          <cell r="AK40">
            <v>3631</v>
          </cell>
          <cell r="AL40">
            <v>0</v>
          </cell>
          <cell r="AN40">
            <v>5254</v>
          </cell>
          <cell r="AO40">
            <v>10000</v>
          </cell>
          <cell r="AP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8885</v>
          </cell>
          <cell r="AW40">
            <v>15000</v>
          </cell>
          <cell r="AX40">
            <v>-6115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D40">
            <v>0</v>
          </cell>
          <cell r="BE40">
            <v>3631</v>
          </cell>
          <cell r="BF40">
            <v>3631</v>
          </cell>
          <cell r="BG40">
            <v>0</v>
          </cell>
          <cell r="BI40" t="str">
            <v>621 4391 8800 3274 2879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U40">
            <v>0</v>
          </cell>
        </row>
        <row r="41">
          <cell r="D41" t="str">
            <v>韦大叶</v>
          </cell>
          <cell r="E41" t="str">
            <v>男</v>
          </cell>
          <cell r="F41" t="str">
            <v>452122198002275493</v>
          </cell>
          <cell r="G41" t="str">
            <v>直工</v>
          </cell>
          <cell r="H41" t="str">
            <v>一楼</v>
          </cell>
          <cell r="M41">
            <v>21</v>
          </cell>
          <cell r="N41">
            <v>21</v>
          </cell>
          <cell r="O41">
            <v>60</v>
          </cell>
          <cell r="P41">
            <v>93</v>
          </cell>
          <cell r="S41">
            <v>2100</v>
          </cell>
          <cell r="T41">
            <v>1720</v>
          </cell>
          <cell r="U41">
            <v>1720</v>
          </cell>
          <cell r="V41">
            <v>300</v>
          </cell>
          <cell r="W41">
            <v>300</v>
          </cell>
          <cell r="Z41">
            <v>14.83</v>
          </cell>
          <cell r="AA41">
            <v>890</v>
          </cell>
          <cell r="AB41">
            <v>19.77</v>
          </cell>
          <cell r="AC41">
            <v>1839</v>
          </cell>
          <cell r="AG41">
            <v>80</v>
          </cell>
          <cell r="AI41">
            <v>0</v>
          </cell>
          <cell r="AK41">
            <v>4829</v>
          </cell>
          <cell r="AL41">
            <v>0</v>
          </cell>
          <cell r="AN41">
            <v>8019</v>
          </cell>
          <cell r="AO41">
            <v>10000</v>
          </cell>
          <cell r="AP41">
            <v>0</v>
          </cell>
          <cell r="AQ41">
            <v>0</v>
          </cell>
          <cell r="AR41">
            <v>0</v>
          </cell>
          <cell r="AU41">
            <v>0</v>
          </cell>
          <cell r="AV41">
            <v>12848</v>
          </cell>
          <cell r="AW41">
            <v>15000</v>
          </cell>
          <cell r="AX41">
            <v>-2152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D41">
            <v>0</v>
          </cell>
          <cell r="BE41">
            <v>4829</v>
          </cell>
          <cell r="BF41">
            <v>4829</v>
          </cell>
          <cell r="BG41">
            <v>0</v>
          </cell>
          <cell r="BI41" t="str">
            <v>6214391880017017867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U41">
            <v>0</v>
          </cell>
        </row>
        <row r="42">
          <cell r="D42" t="str">
            <v>黄玲</v>
          </cell>
          <cell r="E42" t="str">
            <v>女</v>
          </cell>
          <cell r="F42" t="str">
            <v>452122198401234824</v>
          </cell>
          <cell r="G42" t="str">
            <v>直工</v>
          </cell>
          <cell r="H42" t="str">
            <v>一楼</v>
          </cell>
          <cell r="M42">
            <v>21</v>
          </cell>
          <cell r="N42">
            <v>21</v>
          </cell>
          <cell r="O42">
            <v>50</v>
          </cell>
          <cell r="P42">
            <v>82</v>
          </cell>
          <cell r="S42">
            <v>2100</v>
          </cell>
          <cell r="T42">
            <v>1720</v>
          </cell>
          <cell r="U42">
            <v>1720</v>
          </cell>
          <cell r="V42">
            <v>300</v>
          </cell>
          <cell r="W42">
            <v>300</v>
          </cell>
          <cell r="Z42">
            <v>14.83</v>
          </cell>
          <cell r="AA42">
            <v>742</v>
          </cell>
          <cell r="AB42">
            <v>19.77</v>
          </cell>
          <cell r="AC42">
            <v>1621</v>
          </cell>
          <cell r="AG42">
            <v>80</v>
          </cell>
          <cell r="AI42">
            <v>500</v>
          </cell>
          <cell r="AK42">
            <v>4963</v>
          </cell>
          <cell r="AL42">
            <v>0</v>
          </cell>
          <cell r="AN42">
            <v>7616</v>
          </cell>
          <cell r="AO42">
            <v>10000</v>
          </cell>
          <cell r="AP42">
            <v>0</v>
          </cell>
          <cell r="AQ42">
            <v>0</v>
          </cell>
          <cell r="AR42">
            <v>0</v>
          </cell>
          <cell r="AU42">
            <v>0</v>
          </cell>
          <cell r="AV42">
            <v>12579</v>
          </cell>
          <cell r="AW42">
            <v>15000</v>
          </cell>
          <cell r="AX42">
            <v>-2421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D42">
            <v>0</v>
          </cell>
          <cell r="BE42">
            <v>4963</v>
          </cell>
          <cell r="BF42">
            <v>4963</v>
          </cell>
          <cell r="BG42">
            <v>0</v>
          </cell>
          <cell r="BI42" t="str">
            <v>6214391880017017875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U42">
            <v>0</v>
          </cell>
        </row>
        <row r="43">
          <cell r="D43" t="str">
            <v>刘杰</v>
          </cell>
          <cell r="E43" t="str">
            <v>男</v>
          </cell>
          <cell r="F43" t="str">
            <v>430525199210177417</v>
          </cell>
          <cell r="G43" t="str">
            <v>直工</v>
          </cell>
          <cell r="H43" t="str">
            <v>一楼</v>
          </cell>
          <cell r="M43">
            <v>21</v>
          </cell>
          <cell r="N43">
            <v>21</v>
          </cell>
          <cell r="O43">
            <v>62</v>
          </cell>
          <cell r="P43">
            <v>91.5</v>
          </cell>
          <cell r="S43">
            <v>2600</v>
          </cell>
          <cell r="T43">
            <v>1720</v>
          </cell>
          <cell r="U43">
            <v>1720</v>
          </cell>
          <cell r="V43">
            <v>800</v>
          </cell>
          <cell r="W43">
            <v>800</v>
          </cell>
          <cell r="Z43">
            <v>14.83</v>
          </cell>
          <cell r="AA43">
            <v>919</v>
          </cell>
          <cell r="AB43">
            <v>19.77</v>
          </cell>
          <cell r="AC43">
            <v>1809</v>
          </cell>
          <cell r="AG43">
            <v>80</v>
          </cell>
          <cell r="AI43">
            <v>0</v>
          </cell>
          <cell r="AK43">
            <v>5328</v>
          </cell>
          <cell r="AL43">
            <v>0</v>
          </cell>
          <cell r="AN43">
            <v>5641</v>
          </cell>
          <cell r="AO43">
            <v>10000</v>
          </cell>
          <cell r="AP43">
            <v>0</v>
          </cell>
          <cell r="AQ43">
            <v>0</v>
          </cell>
          <cell r="AR43">
            <v>0</v>
          </cell>
          <cell r="AU43">
            <v>0</v>
          </cell>
          <cell r="AV43">
            <v>10969</v>
          </cell>
          <cell r="AW43">
            <v>15000</v>
          </cell>
          <cell r="AX43">
            <v>-4031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D43">
            <v>0</v>
          </cell>
          <cell r="BE43">
            <v>5328</v>
          </cell>
          <cell r="BF43">
            <v>5328</v>
          </cell>
          <cell r="BG43">
            <v>0</v>
          </cell>
          <cell r="BI43" t="str">
            <v>621 4391 8800 3274 2812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U43">
            <v>0</v>
          </cell>
        </row>
        <row r="44">
          <cell r="D44" t="str">
            <v>卢杰</v>
          </cell>
          <cell r="E44" t="str">
            <v>男</v>
          </cell>
          <cell r="F44" t="str">
            <v>532528199605060517</v>
          </cell>
          <cell r="G44" t="str">
            <v>直工</v>
          </cell>
          <cell r="H44" t="str">
            <v>一楼</v>
          </cell>
          <cell r="M44">
            <v>21</v>
          </cell>
          <cell r="N44">
            <v>6</v>
          </cell>
          <cell r="O44">
            <v>18</v>
          </cell>
          <cell r="P44">
            <v>43.5</v>
          </cell>
          <cell r="S44">
            <v>2100</v>
          </cell>
          <cell r="T44">
            <v>1720</v>
          </cell>
          <cell r="U44">
            <v>491</v>
          </cell>
          <cell r="V44">
            <v>300</v>
          </cell>
          <cell r="W44">
            <v>86</v>
          </cell>
          <cell r="Z44">
            <v>14.83</v>
          </cell>
          <cell r="AA44">
            <v>267</v>
          </cell>
          <cell r="AB44">
            <v>19.77</v>
          </cell>
          <cell r="AC44">
            <v>860</v>
          </cell>
          <cell r="AI44">
            <v>0</v>
          </cell>
          <cell r="AK44">
            <v>1704</v>
          </cell>
          <cell r="AL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U44">
            <v>0</v>
          </cell>
          <cell r="AV44">
            <v>1704</v>
          </cell>
          <cell r="AW44">
            <v>5000</v>
          </cell>
          <cell r="AX44">
            <v>-3296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D44">
            <v>0</v>
          </cell>
          <cell r="BE44">
            <v>1704</v>
          </cell>
          <cell r="BF44">
            <v>1704</v>
          </cell>
          <cell r="BG44">
            <v>0</v>
          </cell>
          <cell r="BI44" t="str">
            <v>621 4391 8800 3274 2473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U44">
            <v>0</v>
          </cell>
        </row>
        <row r="45">
          <cell r="D45" t="str">
            <v>莫少平</v>
          </cell>
          <cell r="E45" t="str">
            <v>女</v>
          </cell>
          <cell r="F45" t="str">
            <v>441224198107034026</v>
          </cell>
          <cell r="G45" t="str">
            <v>直工</v>
          </cell>
          <cell r="H45" t="str">
            <v>一楼</v>
          </cell>
          <cell r="M45">
            <v>21</v>
          </cell>
          <cell r="N45">
            <v>3</v>
          </cell>
          <cell r="O45">
            <v>6</v>
          </cell>
          <cell r="P45">
            <v>23</v>
          </cell>
          <cell r="S45">
            <v>2100</v>
          </cell>
          <cell r="T45">
            <v>1720</v>
          </cell>
          <cell r="U45">
            <v>246</v>
          </cell>
          <cell r="V45">
            <v>300</v>
          </cell>
          <cell r="W45">
            <v>43</v>
          </cell>
          <cell r="Z45">
            <v>14.83</v>
          </cell>
          <cell r="AA45">
            <v>89</v>
          </cell>
          <cell r="AB45">
            <v>19.77</v>
          </cell>
          <cell r="AC45">
            <v>455</v>
          </cell>
          <cell r="AI45">
            <v>0</v>
          </cell>
          <cell r="AK45">
            <v>833</v>
          </cell>
          <cell r="AL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U45">
            <v>0</v>
          </cell>
          <cell r="AV45">
            <v>833</v>
          </cell>
          <cell r="AW45">
            <v>5000</v>
          </cell>
          <cell r="AX45">
            <v>-4167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D45">
            <v>0</v>
          </cell>
          <cell r="BE45">
            <v>833</v>
          </cell>
          <cell r="BF45">
            <v>833</v>
          </cell>
          <cell r="BG45">
            <v>0</v>
          </cell>
          <cell r="BI45" t="str">
            <v>621 4391 8800 3274 2457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U45">
            <v>0</v>
          </cell>
        </row>
        <row r="46">
          <cell r="D46" t="str">
            <v>李剑</v>
          </cell>
          <cell r="E46" t="str">
            <v>男</v>
          </cell>
          <cell r="F46" t="str">
            <v>53252819930521051X</v>
          </cell>
          <cell r="G46" t="str">
            <v>直工</v>
          </cell>
          <cell r="H46" t="str">
            <v>一楼</v>
          </cell>
          <cell r="M46">
            <v>21</v>
          </cell>
          <cell r="N46">
            <v>6</v>
          </cell>
          <cell r="O46">
            <v>15</v>
          </cell>
          <cell r="P46">
            <v>44</v>
          </cell>
          <cell r="S46">
            <v>2100</v>
          </cell>
          <cell r="T46">
            <v>1720</v>
          </cell>
          <cell r="U46">
            <v>491</v>
          </cell>
          <cell r="V46">
            <v>300</v>
          </cell>
          <cell r="W46">
            <v>86</v>
          </cell>
          <cell r="Z46">
            <v>14.83</v>
          </cell>
          <cell r="AA46">
            <v>222</v>
          </cell>
          <cell r="AB46">
            <v>19.77</v>
          </cell>
          <cell r="AC46">
            <v>870</v>
          </cell>
          <cell r="AI46">
            <v>0</v>
          </cell>
          <cell r="AK46">
            <v>1669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U46">
            <v>0</v>
          </cell>
          <cell r="AV46">
            <v>1669</v>
          </cell>
          <cell r="AW46">
            <v>5000</v>
          </cell>
          <cell r="AX46">
            <v>-3331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D46">
            <v>0</v>
          </cell>
          <cell r="BE46">
            <v>1669</v>
          </cell>
          <cell r="BF46">
            <v>1669</v>
          </cell>
          <cell r="BG46">
            <v>0</v>
          </cell>
          <cell r="BI46" t="str">
            <v>621 4391 8800 3274 2853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U46">
            <v>0</v>
          </cell>
        </row>
        <row r="47">
          <cell r="D47" t="str">
            <v>杨金华</v>
          </cell>
          <cell r="E47" t="str">
            <v>男</v>
          </cell>
          <cell r="F47" t="str">
            <v>532528199302090575</v>
          </cell>
          <cell r="G47" t="str">
            <v>直工</v>
          </cell>
          <cell r="H47" t="str">
            <v>一楼</v>
          </cell>
          <cell r="M47">
            <v>21</v>
          </cell>
          <cell r="N47">
            <v>6</v>
          </cell>
          <cell r="O47">
            <v>18</v>
          </cell>
          <cell r="P47">
            <v>43.5</v>
          </cell>
          <cell r="S47">
            <v>2100</v>
          </cell>
          <cell r="T47">
            <v>1720</v>
          </cell>
          <cell r="U47">
            <v>491</v>
          </cell>
          <cell r="V47">
            <v>300</v>
          </cell>
          <cell r="W47">
            <v>86</v>
          </cell>
          <cell r="Z47">
            <v>14.83</v>
          </cell>
          <cell r="AA47">
            <v>267</v>
          </cell>
          <cell r="AB47">
            <v>19.77</v>
          </cell>
          <cell r="AC47">
            <v>860</v>
          </cell>
          <cell r="AI47">
            <v>0</v>
          </cell>
          <cell r="AK47">
            <v>1704</v>
          </cell>
          <cell r="AL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U47">
            <v>0</v>
          </cell>
          <cell r="AV47">
            <v>1694</v>
          </cell>
          <cell r="AW47">
            <v>5000</v>
          </cell>
          <cell r="AX47">
            <v>-3306</v>
          </cell>
          <cell r="AY47">
            <v>0</v>
          </cell>
          <cell r="AZ47">
            <v>0</v>
          </cell>
          <cell r="BA47">
            <v>0</v>
          </cell>
          <cell r="BB47">
            <v>-10</v>
          </cell>
          <cell r="BD47">
            <v>-10</v>
          </cell>
          <cell r="BE47">
            <v>1694</v>
          </cell>
          <cell r="BF47">
            <v>1694</v>
          </cell>
          <cell r="BG47">
            <v>0</v>
          </cell>
          <cell r="BI47" t="str">
            <v>621 4391 8800 3274 2465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U47">
            <v>0</v>
          </cell>
        </row>
        <row r="48">
          <cell r="D48" t="str">
            <v>朱成功</v>
          </cell>
          <cell r="E48" t="str">
            <v>男</v>
          </cell>
          <cell r="F48" t="str">
            <v>532531200004101057</v>
          </cell>
          <cell r="G48" t="str">
            <v>直工</v>
          </cell>
          <cell r="H48" t="str">
            <v>一楼</v>
          </cell>
          <cell r="M48">
            <v>21</v>
          </cell>
          <cell r="N48">
            <v>20</v>
          </cell>
          <cell r="O48">
            <v>55</v>
          </cell>
          <cell r="P48">
            <v>63.5</v>
          </cell>
          <cell r="S48">
            <v>2100</v>
          </cell>
          <cell r="T48">
            <v>1720</v>
          </cell>
          <cell r="U48">
            <v>1638</v>
          </cell>
          <cell r="V48">
            <v>300</v>
          </cell>
          <cell r="W48">
            <v>286</v>
          </cell>
          <cell r="Z48">
            <v>14.83</v>
          </cell>
          <cell r="AA48">
            <v>816</v>
          </cell>
          <cell r="AB48">
            <v>19.77</v>
          </cell>
          <cell r="AC48">
            <v>1255</v>
          </cell>
          <cell r="AI48">
            <v>0</v>
          </cell>
          <cell r="AK48">
            <v>3995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U48">
            <v>0</v>
          </cell>
          <cell r="AV48">
            <v>3995</v>
          </cell>
          <cell r="AW48">
            <v>5000</v>
          </cell>
          <cell r="AX48">
            <v>-1005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D48">
            <v>0</v>
          </cell>
          <cell r="BE48">
            <v>3995</v>
          </cell>
          <cell r="BF48">
            <v>3995</v>
          </cell>
          <cell r="BG48">
            <v>0</v>
          </cell>
          <cell r="BI48" t="str">
            <v>621 4391 8800 3274 2887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U48">
            <v>0</v>
          </cell>
        </row>
        <row r="49">
          <cell r="D49" t="str">
            <v>杨外</v>
          </cell>
          <cell r="E49" t="str">
            <v>男</v>
          </cell>
          <cell r="F49" t="str">
            <v>532528200006200552</v>
          </cell>
          <cell r="G49" t="str">
            <v>直工</v>
          </cell>
          <cell r="H49" t="str">
            <v>一楼</v>
          </cell>
          <cell r="M49">
            <v>21</v>
          </cell>
          <cell r="N49">
            <v>6</v>
          </cell>
          <cell r="O49">
            <v>17</v>
          </cell>
          <cell r="P49">
            <v>42</v>
          </cell>
          <cell r="S49">
            <v>2100</v>
          </cell>
          <cell r="T49">
            <v>1720</v>
          </cell>
          <cell r="U49">
            <v>491</v>
          </cell>
          <cell r="V49">
            <v>300</v>
          </cell>
          <cell r="W49">
            <v>86</v>
          </cell>
          <cell r="Z49">
            <v>14.83</v>
          </cell>
          <cell r="AA49">
            <v>252</v>
          </cell>
          <cell r="AB49">
            <v>19.77</v>
          </cell>
          <cell r="AC49">
            <v>830</v>
          </cell>
          <cell r="AI49">
            <v>0</v>
          </cell>
          <cell r="AK49">
            <v>1659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U49">
            <v>0</v>
          </cell>
          <cell r="AV49">
            <v>1659</v>
          </cell>
          <cell r="AW49">
            <v>5000</v>
          </cell>
          <cell r="AX49">
            <v>-3341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D49">
            <v>0</v>
          </cell>
          <cell r="BE49">
            <v>1659</v>
          </cell>
          <cell r="BF49">
            <v>1659</v>
          </cell>
          <cell r="BG49">
            <v>0</v>
          </cell>
          <cell r="BI49" t="str">
            <v>621 4391 8800 3274 2762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U49">
            <v>0</v>
          </cell>
        </row>
        <row r="50">
          <cell r="D50" t="str">
            <v>覃光平</v>
          </cell>
          <cell r="G50" t="str">
            <v>直工</v>
          </cell>
          <cell r="H50" t="str">
            <v>一楼</v>
          </cell>
          <cell r="M50">
            <v>21</v>
          </cell>
          <cell r="N50">
            <v>19</v>
          </cell>
          <cell r="O50">
            <v>51</v>
          </cell>
          <cell r="P50">
            <v>56</v>
          </cell>
          <cell r="S50">
            <v>2100</v>
          </cell>
          <cell r="T50">
            <v>1720</v>
          </cell>
          <cell r="U50">
            <v>1556</v>
          </cell>
          <cell r="V50">
            <v>300</v>
          </cell>
          <cell r="W50">
            <v>271</v>
          </cell>
          <cell r="Z50">
            <v>14.83</v>
          </cell>
          <cell r="AA50">
            <v>756</v>
          </cell>
          <cell r="AB50">
            <v>19.77</v>
          </cell>
          <cell r="AC50">
            <v>1107</v>
          </cell>
          <cell r="AI50">
            <v>0</v>
          </cell>
          <cell r="AK50">
            <v>3690</v>
          </cell>
          <cell r="AN50">
            <v>5829</v>
          </cell>
          <cell r="AO50">
            <v>10000</v>
          </cell>
          <cell r="AP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9519</v>
          </cell>
          <cell r="AW50">
            <v>15000</v>
          </cell>
          <cell r="AX50">
            <v>-5481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D50">
            <v>0</v>
          </cell>
          <cell r="BE50">
            <v>3690</v>
          </cell>
          <cell r="BF50">
            <v>3690</v>
          </cell>
          <cell r="BG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U50">
            <v>0</v>
          </cell>
        </row>
        <row r="51">
          <cell r="D51" t="str">
            <v>刘洋</v>
          </cell>
          <cell r="G51" t="str">
            <v>直工</v>
          </cell>
          <cell r="H51" t="str">
            <v>一楼</v>
          </cell>
          <cell r="M51">
            <v>21</v>
          </cell>
          <cell r="N51">
            <v>21</v>
          </cell>
          <cell r="O51">
            <v>50</v>
          </cell>
          <cell r="P51">
            <v>80</v>
          </cell>
          <cell r="S51">
            <v>2100</v>
          </cell>
          <cell r="T51">
            <v>1720</v>
          </cell>
          <cell r="U51">
            <v>1720</v>
          </cell>
          <cell r="V51">
            <v>300</v>
          </cell>
          <cell r="W51">
            <v>300</v>
          </cell>
          <cell r="Z51">
            <v>14.83</v>
          </cell>
          <cell r="AA51">
            <v>742</v>
          </cell>
          <cell r="AB51">
            <v>19.77</v>
          </cell>
          <cell r="AC51">
            <v>1582</v>
          </cell>
          <cell r="AG51">
            <v>80</v>
          </cell>
          <cell r="AI51">
            <v>500</v>
          </cell>
          <cell r="AK51">
            <v>4924</v>
          </cell>
          <cell r="AN51">
            <v>4917</v>
          </cell>
          <cell r="AO51">
            <v>10000</v>
          </cell>
          <cell r="AP51">
            <v>0</v>
          </cell>
          <cell r="AQ51">
            <v>0</v>
          </cell>
          <cell r="AR51">
            <v>0</v>
          </cell>
          <cell r="AU51">
            <v>0</v>
          </cell>
          <cell r="AV51">
            <v>9841</v>
          </cell>
          <cell r="AW51">
            <v>15000</v>
          </cell>
          <cell r="AX51">
            <v>-5159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D51">
            <v>0</v>
          </cell>
          <cell r="BE51">
            <v>4924</v>
          </cell>
          <cell r="BF51">
            <v>4924</v>
          </cell>
          <cell r="BG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U51">
            <v>0</v>
          </cell>
        </row>
        <row r="52">
          <cell r="D52" t="str">
            <v>黄开发</v>
          </cell>
          <cell r="G52" t="str">
            <v>直工</v>
          </cell>
          <cell r="H52" t="str">
            <v>一楼</v>
          </cell>
          <cell r="M52">
            <v>21</v>
          </cell>
          <cell r="N52">
            <v>0</v>
          </cell>
          <cell r="O52">
            <v>0</v>
          </cell>
          <cell r="P52">
            <v>21.5</v>
          </cell>
          <cell r="S52">
            <v>2400</v>
          </cell>
          <cell r="T52">
            <v>1720</v>
          </cell>
          <cell r="U52">
            <v>0</v>
          </cell>
          <cell r="V52">
            <v>600</v>
          </cell>
          <cell r="W52">
            <v>0</v>
          </cell>
          <cell r="Z52">
            <v>14.83</v>
          </cell>
          <cell r="AA52">
            <v>0</v>
          </cell>
          <cell r="AB52">
            <v>19.77</v>
          </cell>
          <cell r="AC52">
            <v>425</v>
          </cell>
          <cell r="AI52">
            <v>50</v>
          </cell>
          <cell r="AK52">
            <v>475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U52">
            <v>0</v>
          </cell>
          <cell r="AV52">
            <v>453.65</v>
          </cell>
          <cell r="AW52">
            <v>5000</v>
          </cell>
          <cell r="AX52">
            <v>-4546.35</v>
          </cell>
          <cell r="AY52">
            <v>0</v>
          </cell>
          <cell r="AZ52">
            <v>0</v>
          </cell>
          <cell r="BA52">
            <v>-21.35</v>
          </cell>
          <cell r="BB52">
            <v>0</v>
          </cell>
          <cell r="BD52">
            <v>-21</v>
          </cell>
          <cell r="BE52">
            <v>454</v>
          </cell>
          <cell r="BF52">
            <v>454</v>
          </cell>
          <cell r="BG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U52">
            <v>0</v>
          </cell>
        </row>
        <row r="53">
          <cell r="D53" t="str">
            <v>丁富元</v>
          </cell>
          <cell r="G53" t="str">
            <v>直工</v>
          </cell>
          <cell r="H53" t="str">
            <v>一楼</v>
          </cell>
          <cell r="M53">
            <v>21</v>
          </cell>
          <cell r="N53">
            <v>1</v>
          </cell>
          <cell r="O53">
            <v>0</v>
          </cell>
          <cell r="P53">
            <v>11</v>
          </cell>
          <cell r="S53">
            <v>2400</v>
          </cell>
          <cell r="T53">
            <v>1720</v>
          </cell>
          <cell r="U53">
            <v>82</v>
          </cell>
          <cell r="V53">
            <v>600</v>
          </cell>
          <cell r="W53">
            <v>29</v>
          </cell>
          <cell r="Z53">
            <v>14.83</v>
          </cell>
          <cell r="AA53">
            <v>0</v>
          </cell>
          <cell r="AB53">
            <v>19.77</v>
          </cell>
          <cell r="AC53">
            <v>217</v>
          </cell>
          <cell r="AI53">
            <v>0</v>
          </cell>
          <cell r="AK53">
            <v>328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U53">
            <v>0</v>
          </cell>
          <cell r="AV53">
            <v>313.77</v>
          </cell>
          <cell r="AW53">
            <v>5000</v>
          </cell>
          <cell r="AX53">
            <v>-4686.23</v>
          </cell>
          <cell r="AY53">
            <v>0</v>
          </cell>
          <cell r="AZ53">
            <v>0</v>
          </cell>
          <cell r="BA53">
            <v>-14.23</v>
          </cell>
          <cell r="BB53">
            <v>0</v>
          </cell>
          <cell r="BD53">
            <v>-14</v>
          </cell>
          <cell r="BE53">
            <v>314</v>
          </cell>
          <cell r="BF53">
            <v>314</v>
          </cell>
          <cell r="BG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U53">
            <v>0</v>
          </cell>
        </row>
        <row r="54">
          <cell r="D54" t="str">
            <v>部门合计</v>
          </cell>
          <cell r="M54">
            <v>21</v>
          </cell>
          <cell r="O54">
            <v>2339.5</v>
          </cell>
          <cell r="P54">
            <v>3588.5</v>
          </cell>
          <cell r="Q54">
            <v>0</v>
          </cell>
          <cell r="R54">
            <v>0</v>
          </cell>
          <cell r="U54">
            <v>72704</v>
          </cell>
          <cell r="W54">
            <v>18934</v>
          </cell>
          <cell r="Y54">
            <v>1287</v>
          </cell>
          <cell r="AA54">
            <v>34693</v>
          </cell>
          <cell r="AC54">
            <v>70945</v>
          </cell>
          <cell r="AD54">
            <v>0</v>
          </cell>
          <cell r="AE54">
            <v>0</v>
          </cell>
          <cell r="AF54">
            <v>0</v>
          </cell>
          <cell r="AG54">
            <v>2240</v>
          </cell>
          <cell r="AH54">
            <v>839</v>
          </cell>
          <cell r="AI54">
            <v>6200</v>
          </cell>
          <cell r="AJ54">
            <v>0</v>
          </cell>
          <cell r="AK54">
            <v>207842</v>
          </cell>
          <cell r="AL54">
            <v>-602</v>
          </cell>
          <cell r="AM54">
            <v>0</v>
          </cell>
          <cell r="AN54">
            <v>942541.466003683</v>
          </cell>
          <cell r="AO54">
            <v>1300000</v>
          </cell>
          <cell r="AP54">
            <v>4236.88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4838.88</v>
          </cell>
          <cell r="AV54">
            <v>1149936.55600368</v>
          </cell>
          <cell r="AW54">
            <v>1549838.88</v>
          </cell>
          <cell r="AX54">
            <v>-399902.323996317</v>
          </cell>
          <cell r="AY54">
            <v>100.89</v>
          </cell>
          <cell r="AZ54">
            <v>-19.62</v>
          </cell>
          <cell r="BA54">
            <v>-866.91</v>
          </cell>
          <cell r="BB54">
            <v>420</v>
          </cell>
          <cell r="BC54">
            <v>0</v>
          </cell>
          <cell r="BD54">
            <v>-1067</v>
          </cell>
          <cell r="BE54">
            <v>206775</v>
          </cell>
          <cell r="BF54">
            <v>206775</v>
          </cell>
          <cell r="BG54">
            <v>0</v>
          </cell>
          <cell r="BI54" t="e">
            <v>#N/A</v>
          </cell>
          <cell r="BU54">
            <v>0</v>
          </cell>
        </row>
        <row r="55">
          <cell r="D55" t="str">
            <v>赵满林</v>
          </cell>
          <cell r="E55" t="str">
            <v>男</v>
          </cell>
          <cell r="F55" t="str">
            <v>450332199008012412</v>
          </cell>
          <cell r="G55" t="str">
            <v>直工</v>
          </cell>
          <cell r="H55" t="str">
            <v>注塑</v>
          </cell>
          <cell r="I55" t="str">
            <v>作业员</v>
          </cell>
          <cell r="J55">
            <v>43182</v>
          </cell>
          <cell r="M55">
            <v>21</v>
          </cell>
          <cell r="N55">
            <v>21</v>
          </cell>
          <cell r="O55">
            <v>73</v>
          </cell>
          <cell r="P55">
            <v>46.5</v>
          </cell>
          <cell r="S55">
            <v>2400</v>
          </cell>
          <cell r="T55">
            <v>1720</v>
          </cell>
          <cell r="U55">
            <v>1720</v>
          </cell>
          <cell r="V55">
            <v>600</v>
          </cell>
          <cell r="W55">
            <v>600</v>
          </cell>
          <cell r="Z55">
            <v>14.83</v>
          </cell>
          <cell r="AA55">
            <v>1083</v>
          </cell>
          <cell r="AB55">
            <v>19.77</v>
          </cell>
          <cell r="AC55">
            <v>919</v>
          </cell>
          <cell r="AG55">
            <v>80</v>
          </cell>
          <cell r="AH55">
            <v>50</v>
          </cell>
          <cell r="AI55">
            <v>0</v>
          </cell>
          <cell r="AK55">
            <v>4452</v>
          </cell>
          <cell r="AL55">
            <v>0</v>
          </cell>
          <cell r="AN55">
            <v>34797</v>
          </cell>
          <cell r="AO55">
            <v>45000</v>
          </cell>
          <cell r="AP55">
            <v>0</v>
          </cell>
          <cell r="AQ55">
            <v>0</v>
          </cell>
          <cell r="AR55">
            <v>0</v>
          </cell>
          <cell r="AU55">
            <v>0</v>
          </cell>
          <cell r="AV55">
            <v>39209</v>
          </cell>
          <cell r="AW55">
            <v>50000</v>
          </cell>
          <cell r="AX55">
            <v>-10791</v>
          </cell>
          <cell r="AY55">
            <v>0</v>
          </cell>
          <cell r="AZ55">
            <v>0</v>
          </cell>
          <cell r="BA55">
            <v>0</v>
          </cell>
          <cell r="BB55">
            <v>-40</v>
          </cell>
          <cell r="BD55">
            <v>-40</v>
          </cell>
          <cell r="BE55">
            <v>4412</v>
          </cell>
          <cell r="BF55">
            <v>4412</v>
          </cell>
          <cell r="BG55">
            <v>0</v>
          </cell>
          <cell r="BI55" t="str">
            <v>6214391880023261061</v>
          </cell>
          <cell r="BK55">
            <v>0</v>
          </cell>
          <cell r="BL55">
            <v>0</v>
          </cell>
          <cell r="BM55">
            <v>0</v>
          </cell>
          <cell r="BN55">
            <v>1.74</v>
          </cell>
          <cell r="BO55">
            <v>-1.74</v>
          </cell>
          <cell r="BP55">
            <v>0</v>
          </cell>
          <cell r="BU55">
            <v>0</v>
          </cell>
        </row>
        <row r="56">
          <cell r="D56" t="str">
            <v>张国群</v>
          </cell>
          <cell r="E56" t="str">
            <v>女</v>
          </cell>
          <cell r="F56" t="str">
            <v>522224197002151265</v>
          </cell>
          <cell r="G56" t="str">
            <v>直工</v>
          </cell>
          <cell r="H56" t="str">
            <v>注塑</v>
          </cell>
          <cell r="I56" t="str">
            <v>作业员</v>
          </cell>
          <cell r="J56">
            <v>43516</v>
          </cell>
          <cell r="M56">
            <v>21</v>
          </cell>
          <cell r="N56">
            <v>21</v>
          </cell>
          <cell r="O56">
            <v>68.5</v>
          </cell>
          <cell r="P56">
            <v>67.5</v>
          </cell>
          <cell r="S56">
            <v>2100</v>
          </cell>
          <cell r="T56">
            <v>1720</v>
          </cell>
          <cell r="U56">
            <v>1720</v>
          </cell>
          <cell r="V56">
            <v>300</v>
          </cell>
          <cell r="W56">
            <v>300</v>
          </cell>
          <cell r="Z56">
            <v>14.83</v>
          </cell>
          <cell r="AA56">
            <v>1016</v>
          </cell>
          <cell r="AB56">
            <v>19.77</v>
          </cell>
          <cell r="AC56">
            <v>1334</v>
          </cell>
          <cell r="AG56">
            <v>80</v>
          </cell>
          <cell r="AI56">
            <v>306</v>
          </cell>
          <cell r="AK56">
            <v>4756</v>
          </cell>
          <cell r="AL56">
            <v>0</v>
          </cell>
          <cell r="AN56">
            <v>33774</v>
          </cell>
          <cell r="AO56">
            <v>45000</v>
          </cell>
          <cell r="AP56">
            <v>0</v>
          </cell>
          <cell r="AQ56">
            <v>0</v>
          </cell>
          <cell r="AR56">
            <v>0</v>
          </cell>
          <cell r="AU56">
            <v>0</v>
          </cell>
          <cell r="AV56">
            <v>38510</v>
          </cell>
          <cell r="AW56">
            <v>50000</v>
          </cell>
          <cell r="AX56">
            <v>-11490</v>
          </cell>
          <cell r="AY56">
            <v>0</v>
          </cell>
          <cell r="AZ56">
            <v>0</v>
          </cell>
          <cell r="BA56">
            <v>0</v>
          </cell>
          <cell r="BB56">
            <v>-20</v>
          </cell>
          <cell r="BD56">
            <v>-20</v>
          </cell>
          <cell r="BE56">
            <v>4736</v>
          </cell>
          <cell r="BF56">
            <v>4736</v>
          </cell>
          <cell r="BG56">
            <v>0</v>
          </cell>
          <cell r="BI56" t="str">
            <v>621 4391 8800 2326 1236</v>
          </cell>
          <cell r="BK56">
            <v>0</v>
          </cell>
          <cell r="BL56">
            <v>4.72</v>
          </cell>
          <cell r="BM56">
            <v>0</v>
          </cell>
          <cell r="BN56">
            <v>0</v>
          </cell>
          <cell r="BO56">
            <v>-4.72</v>
          </cell>
          <cell r="BP56">
            <v>0</v>
          </cell>
          <cell r="BU56">
            <v>0</v>
          </cell>
        </row>
        <row r="57">
          <cell r="D57" t="str">
            <v>王赞美</v>
          </cell>
          <cell r="E57" t="str">
            <v>男</v>
          </cell>
          <cell r="F57" t="str">
            <v>411528198808152793</v>
          </cell>
          <cell r="G57" t="str">
            <v>直工</v>
          </cell>
          <cell r="H57" t="str">
            <v>注塑</v>
          </cell>
          <cell r="M57">
            <v>21</v>
          </cell>
          <cell r="N57">
            <v>7</v>
          </cell>
          <cell r="O57">
            <v>19</v>
          </cell>
          <cell r="P57">
            <v>22</v>
          </cell>
          <cell r="S57">
            <v>2100</v>
          </cell>
          <cell r="T57">
            <v>1720</v>
          </cell>
          <cell r="U57">
            <v>573</v>
          </cell>
          <cell r="V57">
            <v>300</v>
          </cell>
          <cell r="W57">
            <v>100</v>
          </cell>
          <cell r="Z57">
            <v>14.83</v>
          </cell>
          <cell r="AA57">
            <v>282</v>
          </cell>
          <cell r="AB57">
            <v>19.77</v>
          </cell>
          <cell r="AC57">
            <v>435</v>
          </cell>
          <cell r="AI57">
            <v>0</v>
          </cell>
          <cell r="AK57">
            <v>1390</v>
          </cell>
          <cell r="AL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U57">
            <v>0</v>
          </cell>
          <cell r="AV57">
            <v>1380</v>
          </cell>
          <cell r="AW57">
            <v>5000</v>
          </cell>
          <cell r="AX57">
            <v>-3620</v>
          </cell>
          <cell r="AY57">
            <v>0</v>
          </cell>
          <cell r="AZ57">
            <v>0</v>
          </cell>
          <cell r="BA57">
            <v>0</v>
          </cell>
          <cell r="BB57">
            <v>-10</v>
          </cell>
          <cell r="BD57">
            <v>-10</v>
          </cell>
          <cell r="BE57">
            <v>1380</v>
          </cell>
          <cell r="BF57">
            <v>1380</v>
          </cell>
          <cell r="BG57">
            <v>0</v>
          </cell>
          <cell r="BI57" t="str">
            <v>621 4391 8800 3274 2994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U57">
            <v>0</v>
          </cell>
        </row>
        <row r="58">
          <cell r="D58" t="str">
            <v>部门合计</v>
          </cell>
          <cell r="M58">
            <v>21</v>
          </cell>
          <cell r="O58">
            <v>160.5</v>
          </cell>
          <cell r="P58">
            <v>136</v>
          </cell>
          <cell r="Q58">
            <v>0</v>
          </cell>
          <cell r="R58">
            <v>0</v>
          </cell>
          <cell r="U58">
            <v>4013</v>
          </cell>
          <cell r="W58">
            <v>1000</v>
          </cell>
          <cell r="Y58">
            <v>0</v>
          </cell>
          <cell r="AA58">
            <v>2381</v>
          </cell>
          <cell r="AC58">
            <v>2688</v>
          </cell>
          <cell r="AD58">
            <v>0</v>
          </cell>
          <cell r="AE58">
            <v>0</v>
          </cell>
          <cell r="AF58">
            <v>0</v>
          </cell>
          <cell r="AG58">
            <v>160</v>
          </cell>
          <cell r="AH58">
            <v>50</v>
          </cell>
          <cell r="AI58">
            <v>306</v>
          </cell>
          <cell r="AJ58">
            <v>0</v>
          </cell>
          <cell r="AK58">
            <v>10598</v>
          </cell>
          <cell r="AL58">
            <v>0</v>
          </cell>
          <cell r="AM58">
            <v>0</v>
          </cell>
          <cell r="AN58">
            <v>68571</v>
          </cell>
          <cell r="AO58">
            <v>90000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79099</v>
          </cell>
          <cell r="AW58">
            <v>105000</v>
          </cell>
          <cell r="AX58">
            <v>-25901</v>
          </cell>
          <cell r="AY58">
            <v>0</v>
          </cell>
          <cell r="AZ58">
            <v>0</v>
          </cell>
          <cell r="BA58">
            <v>0</v>
          </cell>
          <cell r="BB58">
            <v>-70</v>
          </cell>
          <cell r="BC58">
            <v>0</v>
          </cell>
          <cell r="BD58">
            <v>-70</v>
          </cell>
          <cell r="BE58">
            <v>10528</v>
          </cell>
          <cell r="BF58">
            <v>10528</v>
          </cell>
          <cell r="BG58">
            <v>0</v>
          </cell>
          <cell r="BI58" t="e">
            <v>#N/A</v>
          </cell>
          <cell r="BU58">
            <v>0</v>
          </cell>
        </row>
        <row r="59">
          <cell r="D59" t="str">
            <v>赵爱群</v>
          </cell>
          <cell r="E59" t="str">
            <v>女</v>
          </cell>
          <cell r="F59" t="str">
            <v>362430196909244228</v>
          </cell>
          <cell r="G59" t="str">
            <v>直工</v>
          </cell>
          <cell r="H59" t="str">
            <v>连接器二楼</v>
          </cell>
          <cell r="I59" t="str">
            <v>作业员</v>
          </cell>
          <cell r="J59">
            <v>42068</v>
          </cell>
          <cell r="M59">
            <v>21</v>
          </cell>
          <cell r="N59">
            <v>1</v>
          </cell>
          <cell r="O59">
            <v>0</v>
          </cell>
          <cell r="P59">
            <v>0</v>
          </cell>
          <cell r="S59">
            <v>2151</v>
          </cell>
          <cell r="T59">
            <v>1720</v>
          </cell>
          <cell r="U59">
            <v>82</v>
          </cell>
          <cell r="V59">
            <v>351</v>
          </cell>
          <cell r="W59">
            <v>17</v>
          </cell>
          <cell r="Z59">
            <v>14.83</v>
          </cell>
          <cell r="AA59">
            <v>0</v>
          </cell>
          <cell r="AB59">
            <v>19.77</v>
          </cell>
          <cell r="AC59">
            <v>0</v>
          </cell>
          <cell r="AH59">
            <v>7</v>
          </cell>
          <cell r="AI59">
            <v>0</v>
          </cell>
          <cell r="AK59">
            <v>106</v>
          </cell>
          <cell r="AL59">
            <v>0</v>
          </cell>
          <cell r="AN59">
            <v>31036</v>
          </cell>
          <cell r="AO59">
            <v>45000</v>
          </cell>
          <cell r="AP59">
            <v>1656.48</v>
          </cell>
          <cell r="AQ59">
            <v>0</v>
          </cell>
          <cell r="AR59">
            <v>0</v>
          </cell>
          <cell r="AU59">
            <v>1656.48</v>
          </cell>
          <cell r="AV59">
            <v>31142</v>
          </cell>
          <cell r="AW59">
            <v>51656.48</v>
          </cell>
          <cell r="AX59">
            <v>-20514.48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D59">
            <v>0</v>
          </cell>
          <cell r="BE59">
            <v>106</v>
          </cell>
          <cell r="BF59">
            <v>106</v>
          </cell>
          <cell r="BG59">
            <v>0</v>
          </cell>
          <cell r="BI59" t="e">
            <v>#N/A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U59">
            <v>0</v>
          </cell>
        </row>
        <row r="60">
          <cell r="D60" t="str">
            <v>王丽红</v>
          </cell>
          <cell r="E60" t="str">
            <v>女</v>
          </cell>
          <cell r="F60" t="str">
            <v>431024197910283649</v>
          </cell>
          <cell r="G60" t="str">
            <v>直工</v>
          </cell>
          <cell r="H60" t="str">
            <v>连接器二楼</v>
          </cell>
          <cell r="I60" t="str">
            <v>作业员</v>
          </cell>
          <cell r="J60">
            <v>42649</v>
          </cell>
          <cell r="M60">
            <v>21</v>
          </cell>
          <cell r="N60">
            <v>21</v>
          </cell>
          <cell r="O60">
            <v>52</v>
          </cell>
          <cell r="P60">
            <v>64</v>
          </cell>
          <cell r="S60">
            <v>2020</v>
          </cell>
          <cell r="T60">
            <v>1720</v>
          </cell>
          <cell r="U60">
            <v>1720</v>
          </cell>
          <cell r="V60">
            <v>220</v>
          </cell>
          <cell r="W60">
            <v>220</v>
          </cell>
          <cell r="Z60">
            <v>14.83</v>
          </cell>
          <cell r="AA60">
            <v>771</v>
          </cell>
          <cell r="AB60">
            <v>19.77</v>
          </cell>
          <cell r="AC60">
            <v>1265</v>
          </cell>
          <cell r="AG60">
            <v>80</v>
          </cell>
          <cell r="AH60">
            <v>100</v>
          </cell>
          <cell r="AI60">
            <v>0</v>
          </cell>
          <cell r="AK60">
            <v>4156</v>
          </cell>
          <cell r="AL60">
            <v>0</v>
          </cell>
          <cell r="AN60">
            <v>32755</v>
          </cell>
          <cell r="AO60">
            <v>45000</v>
          </cell>
          <cell r="AP60">
            <v>0</v>
          </cell>
          <cell r="AQ60">
            <v>0</v>
          </cell>
          <cell r="AR60">
            <v>0</v>
          </cell>
          <cell r="AU60">
            <v>0</v>
          </cell>
          <cell r="AV60">
            <v>36911</v>
          </cell>
          <cell r="AW60">
            <v>50000</v>
          </cell>
          <cell r="AX60">
            <v>-13089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D60">
            <v>0</v>
          </cell>
          <cell r="BE60">
            <v>4156</v>
          </cell>
          <cell r="BF60">
            <v>4156</v>
          </cell>
          <cell r="BG60">
            <v>0</v>
          </cell>
          <cell r="BI60" t="str">
            <v>6214391880021063931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U60">
            <v>0</v>
          </cell>
        </row>
        <row r="61">
          <cell r="D61" t="str">
            <v>曾红梅</v>
          </cell>
          <cell r="E61" t="str">
            <v>女</v>
          </cell>
          <cell r="F61" t="str">
            <v>430525198805167467</v>
          </cell>
          <cell r="G61" t="str">
            <v>直工</v>
          </cell>
          <cell r="H61" t="str">
            <v>连接器二楼</v>
          </cell>
          <cell r="I61" t="str">
            <v>作业员</v>
          </cell>
          <cell r="J61">
            <v>43166</v>
          </cell>
          <cell r="M61">
            <v>21</v>
          </cell>
          <cell r="N61">
            <v>21</v>
          </cell>
          <cell r="O61">
            <v>71.5</v>
          </cell>
          <cell r="P61">
            <v>77</v>
          </cell>
          <cell r="S61">
            <v>2250</v>
          </cell>
          <cell r="T61">
            <v>1720</v>
          </cell>
          <cell r="U61">
            <v>1720</v>
          </cell>
          <cell r="V61">
            <v>450</v>
          </cell>
          <cell r="W61">
            <v>450</v>
          </cell>
          <cell r="Z61">
            <v>14.83</v>
          </cell>
          <cell r="AA61">
            <v>1060</v>
          </cell>
          <cell r="AB61">
            <v>19.77</v>
          </cell>
          <cell r="AC61">
            <v>1522</v>
          </cell>
          <cell r="AG61">
            <v>80</v>
          </cell>
          <cell r="AH61">
            <v>50</v>
          </cell>
          <cell r="AI61">
            <v>0</v>
          </cell>
          <cell r="AK61">
            <v>4882</v>
          </cell>
          <cell r="AL61">
            <v>0</v>
          </cell>
          <cell r="AN61">
            <v>34378</v>
          </cell>
          <cell r="AO61">
            <v>45000</v>
          </cell>
          <cell r="AP61">
            <v>0</v>
          </cell>
          <cell r="AQ61">
            <v>0</v>
          </cell>
          <cell r="AR61">
            <v>0</v>
          </cell>
          <cell r="AU61">
            <v>0</v>
          </cell>
          <cell r="AV61">
            <v>39260</v>
          </cell>
          <cell r="AW61">
            <v>50000</v>
          </cell>
          <cell r="AX61">
            <v>-10740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D61">
            <v>0</v>
          </cell>
          <cell r="BE61">
            <v>4882</v>
          </cell>
          <cell r="BF61">
            <v>4882</v>
          </cell>
          <cell r="BG61">
            <v>0</v>
          </cell>
          <cell r="BI61" t="str">
            <v>6214391880023261376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U61">
            <v>0</v>
          </cell>
        </row>
        <row r="62">
          <cell r="D62" t="str">
            <v>杨小琴</v>
          </cell>
          <cell r="E62" t="str">
            <v>女</v>
          </cell>
          <cell r="F62" t="str">
            <v>500235199008211823</v>
          </cell>
          <cell r="G62" t="str">
            <v>直工</v>
          </cell>
          <cell r="H62" t="str">
            <v>连接器二楼</v>
          </cell>
          <cell r="I62" t="str">
            <v>作业员</v>
          </cell>
          <cell r="J62">
            <v>43349</v>
          </cell>
          <cell r="M62">
            <v>21</v>
          </cell>
          <cell r="N62">
            <v>21</v>
          </cell>
          <cell r="O62">
            <v>52</v>
          </cell>
          <cell r="P62">
            <v>56</v>
          </cell>
          <cell r="S62">
            <v>1950</v>
          </cell>
          <cell r="T62">
            <v>1720</v>
          </cell>
          <cell r="U62">
            <v>1720</v>
          </cell>
          <cell r="V62">
            <v>150</v>
          </cell>
          <cell r="W62">
            <v>150</v>
          </cell>
          <cell r="Z62">
            <v>14.83</v>
          </cell>
          <cell r="AA62">
            <v>771</v>
          </cell>
          <cell r="AB62">
            <v>19.77</v>
          </cell>
          <cell r="AC62">
            <v>1107</v>
          </cell>
          <cell r="AG62">
            <v>80</v>
          </cell>
          <cell r="AI62">
            <v>0</v>
          </cell>
          <cell r="AK62">
            <v>3828</v>
          </cell>
          <cell r="AL62">
            <v>0</v>
          </cell>
          <cell r="AN62">
            <v>27113</v>
          </cell>
          <cell r="AO62">
            <v>45000</v>
          </cell>
          <cell r="AP62">
            <v>0</v>
          </cell>
          <cell r="AQ62">
            <v>0</v>
          </cell>
          <cell r="AR62">
            <v>0</v>
          </cell>
          <cell r="AU62">
            <v>0</v>
          </cell>
          <cell r="AV62">
            <v>30941</v>
          </cell>
          <cell r="AW62">
            <v>50000</v>
          </cell>
          <cell r="AX62">
            <v>-19059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D62">
            <v>0</v>
          </cell>
          <cell r="BE62">
            <v>3828</v>
          </cell>
          <cell r="BF62">
            <v>3828</v>
          </cell>
          <cell r="BG62">
            <v>0</v>
          </cell>
          <cell r="BI62" t="str">
            <v>6214391880026642796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U62">
            <v>0</v>
          </cell>
        </row>
        <row r="63">
          <cell r="D63" t="str">
            <v>杨小静</v>
          </cell>
          <cell r="E63" t="str">
            <v>女</v>
          </cell>
          <cell r="F63" t="str">
            <v>500235199107081825</v>
          </cell>
          <cell r="G63" t="str">
            <v>直工</v>
          </cell>
          <cell r="H63" t="str">
            <v>连接器二楼</v>
          </cell>
          <cell r="I63" t="str">
            <v>作业员</v>
          </cell>
          <cell r="J63">
            <v>43349</v>
          </cell>
          <cell r="M63">
            <v>21</v>
          </cell>
          <cell r="N63">
            <v>21</v>
          </cell>
          <cell r="O63">
            <v>48.5</v>
          </cell>
          <cell r="P63">
            <v>56</v>
          </cell>
          <cell r="S63">
            <v>1950</v>
          </cell>
          <cell r="T63">
            <v>1720</v>
          </cell>
          <cell r="U63">
            <v>1720</v>
          </cell>
          <cell r="V63">
            <v>150</v>
          </cell>
          <cell r="W63">
            <v>150</v>
          </cell>
          <cell r="Z63">
            <v>14.83</v>
          </cell>
          <cell r="AA63">
            <v>719</v>
          </cell>
          <cell r="AB63">
            <v>19.77</v>
          </cell>
          <cell r="AC63">
            <v>1107</v>
          </cell>
          <cell r="AG63">
            <v>80</v>
          </cell>
          <cell r="AI63">
            <v>0</v>
          </cell>
          <cell r="AK63">
            <v>3776</v>
          </cell>
          <cell r="AL63">
            <v>0</v>
          </cell>
          <cell r="AN63">
            <v>30151</v>
          </cell>
          <cell r="AO63">
            <v>45000</v>
          </cell>
          <cell r="AP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33927</v>
          </cell>
          <cell r="AW63">
            <v>50000</v>
          </cell>
          <cell r="AX63">
            <v>-16073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D63">
            <v>0</v>
          </cell>
          <cell r="BE63">
            <v>3776</v>
          </cell>
          <cell r="BF63">
            <v>3776</v>
          </cell>
          <cell r="BG63">
            <v>0</v>
          </cell>
          <cell r="BI63" t="str">
            <v>6214391880026642283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U63">
            <v>0</v>
          </cell>
        </row>
        <row r="64">
          <cell r="D64" t="str">
            <v>何妹明</v>
          </cell>
          <cell r="E64" t="str">
            <v>女</v>
          </cell>
          <cell r="F64" t="str">
            <v>45072119850809634X</v>
          </cell>
          <cell r="G64" t="str">
            <v>直工</v>
          </cell>
          <cell r="H64" t="str">
            <v>连接器二楼</v>
          </cell>
          <cell r="I64" t="str">
            <v>作业员</v>
          </cell>
          <cell r="J64">
            <v>43383</v>
          </cell>
          <cell r="M64">
            <v>21</v>
          </cell>
          <cell r="N64">
            <v>12</v>
          </cell>
          <cell r="O64">
            <v>31</v>
          </cell>
          <cell r="P64">
            <v>42</v>
          </cell>
          <cell r="S64">
            <v>1950</v>
          </cell>
          <cell r="T64">
            <v>1720</v>
          </cell>
          <cell r="U64">
            <v>983</v>
          </cell>
          <cell r="V64">
            <v>150</v>
          </cell>
          <cell r="W64">
            <v>86</v>
          </cell>
          <cell r="Z64">
            <v>14.83</v>
          </cell>
          <cell r="AA64">
            <v>460</v>
          </cell>
          <cell r="AB64">
            <v>19.77</v>
          </cell>
          <cell r="AC64">
            <v>830</v>
          </cell>
          <cell r="AI64">
            <v>0</v>
          </cell>
          <cell r="AK64">
            <v>2359</v>
          </cell>
          <cell r="AL64">
            <v>0</v>
          </cell>
          <cell r="AN64">
            <v>29413</v>
          </cell>
          <cell r="AO64">
            <v>45000</v>
          </cell>
          <cell r="AP64">
            <v>0</v>
          </cell>
          <cell r="AQ64">
            <v>0</v>
          </cell>
          <cell r="AR64">
            <v>0</v>
          </cell>
          <cell r="AU64">
            <v>0</v>
          </cell>
          <cell r="AV64">
            <v>31772</v>
          </cell>
          <cell r="AW64">
            <v>50000</v>
          </cell>
          <cell r="AX64">
            <v>-18228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D64">
            <v>0</v>
          </cell>
          <cell r="BE64">
            <v>2359</v>
          </cell>
          <cell r="BF64">
            <v>2359</v>
          </cell>
          <cell r="BG64">
            <v>0</v>
          </cell>
          <cell r="BI64" t="str">
            <v>6214391880026642234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U64">
            <v>0</v>
          </cell>
        </row>
        <row r="65">
          <cell r="D65" t="str">
            <v>陈紫媚</v>
          </cell>
          <cell r="E65" t="str">
            <v>女</v>
          </cell>
          <cell r="F65" t="str">
            <v>450721198512034109</v>
          </cell>
          <cell r="G65" t="str">
            <v>直工</v>
          </cell>
          <cell r="H65" t="str">
            <v>连接器二楼</v>
          </cell>
          <cell r="I65" t="str">
            <v>作业员</v>
          </cell>
          <cell r="J65">
            <v>43528</v>
          </cell>
          <cell r="M65">
            <v>21</v>
          </cell>
          <cell r="N65">
            <v>21</v>
          </cell>
          <cell r="O65">
            <v>57</v>
          </cell>
          <cell r="P65">
            <v>64</v>
          </cell>
          <cell r="S65">
            <v>1950</v>
          </cell>
          <cell r="T65">
            <v>1720</v>
          </cell>
          <cell r="U65">
            <v>1720</v>
          </cell>
          <cell r="V65">
            <v>150</v>
          </cell>
          <cell r="W65">
            <v>150</v>
          </cell>
          <cell r="Z65">
            <v>14.83</v>
          </cell>
          <cell r="AA65">
            <v>845</v>
          </cell>
          <cell r="AB65">
            <v>19.77</v>
          </cell>
          <cell r="AC65">
            <v>1265</v>
          </cell>
          <cell r="AG65">
            <v>80</v>
          </cell>
          <cell r="AI65">
            <v>0</v>
          </cell>
          <cell r="AK65">
            <v>4060</v>
          </cell>
          <cell r="AL65">
            <v>0</v>
          </cell>
          <cell r="AN65">
            <v>21633</v>
          </cell>
          <cell r="AO65">
            <v>40000</v>
          </cell>
          <cell r="AP65">
            <v>0</v>
          </cell>
          <cell r="AQ65">
            <v>0</v>
          </cell>
          <cell r="AR65">
            <v>0</v>
          </cell>
          <cell r="AU65">
            <v>0</v>
          </cell>
          <cell r="AV65">
            <v>25693</v>
          </cell>
          <cell r="AW65">
            <v>45000</v>
          </cell>
          <cell r="AX65">
            <v>-19307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D65">
            <v>0</v>
          </cell>
          <cell r="BE65">
            <v>4060</v>
          </cell>
          <cell r="BF65">
            <v>4060</v>
          </cell>
          <cell r="BG65">
            <v>0</v>
          </cell>
          <cell r="BI65" t="str">
            <v>621 4391 8800 2954 2217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U65">
            <v>0</v>
          </cell>
        </row>
        <row r="66">
          <cell r="D66" t="str">
            <v>黄宗业</v>
          </cell>
          <cell r="E66" t="str">
            <v>男</v>
          </cell>
          <cell r="F66" t="str">
            <v>452523198105111713</v>
          </cell>
          <cell r="G66" t="str">
            <v>直工</v>
          </cell>
          <cell r="H66" t="str">
            <v>连接器二楼</v>
          </cell>
          <cell r="I66" t="str">
            <v>作业员</v>
          </cell>
          <cell r="J66">
            <v>43528</v>
          </cell>
          <cell r="M66">
            <v>21</v>
          </cell>
          <cell r="N66">
            <v>20</v>
          </cell>
          <cell r="O66">
            <v>55.5</v>
          </cell>
          <cell r="P66">
            <v>64</v>
          </cell>
          <cell r="S66">
            <v>1950</v>
          </cell>
          <cell r="T66">
            <v>1720</v>
          </cell>
          <cell r="U66">
            <v>1638</v>
          </cell>
          <cell r="V66">
            <v>150</v>
          </cell>
          <cell r="W66">
            <v>143</v>
          </cell>
          <cell r="Z66">
            <v>14.83</v>
          </cell>
          <cell r="AA66">
            <v>823</v>
          </cell>
          <cell r="AB66">
            <v>19.77</v>
          </cell>
          <cell r="AC66">
            <v>1265</v>
          </cell>
          <cell r="AI66">
            <v>0</v>
          </cell>
          <cell r="AK66">
            <v>3869</v>
          </cell>
          <cell r="AL66">
            <v>0</v>
          </cell>
          <cell r="AN66">
            <v>21122</v>
          </cell>
          <cell r="AO66">
            <v>40000</v>
          </cell>
          <cell r="AP66">
            <v>0</v>
          </cell>
          <cell r="AQ66">
            <v>0</v>
          </cell>
          <cell r="AR66">
            <v>0</v>
          </cell>
          <cell r="AU66">
            <v>0</v>
          </cell>
          <cell r="AV66">
            <v>24991</v>
          </cell>
          <cell r="AW66">
            <v>45000</v>
          </cell>
          <cell r="AX66">
            <v>-20009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D66">
            <v>0</v>
          </cell>
          <cell r="BE66">
            <v>3869</v>
          </cell>
          <cell r="BF66">
            <v>3869</v>
          </cell>
          <cell r="BG66">
            <v>0</v>
          </cell>
          <cell r="BI66" t="str">
            <v>621 4391 8800 2954 2209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U66">
            <v>0</v>
          </cell>
        </row>
        <row r="67">
          <cell r="D67" t="str">
            <v>李梦茹</v>
          </cell>
          <cell r="E67" t="str">
            <v>女</v>
          </cell>
          <cell r="F67" t="str">
            <v>41282819980318246X</v>
          </cell>
          <cell r="G67" t="str">
            <v>直工</v>
          </cell>
          <cell r="H67" t="str">
            <v>连接器二楼</v>
          </cell>
          <cell r="I67" t="str">
            <v>作业员</v>
          </cell>
          <cell r="J67">
            <v>43530</v>
          </cell>
          <cell r="M67">
            <v>21</v>
          </cell>
          <cell r="N67">
            <v>21</v>
          </cell>
          <cell r="O67">
            <v>54</v>
          </cell>
          <cell r="P67">
            <v>72</v>
          </cell>
          <cell r="S67">
            <v>1950</v>
          </cell>
          <cell r="T67">
            <v>1720</v>
          </cell>
          <cell r="U67">
            <v>1720</v>
          </cell>
          <cell r="V67">
            <v>150</v>
          </cell>
          <cell r="W67">
            <v>150</v>
          </cell>
          <cell r="Z67">
            <v>14.83</v>
          </cell>
          <cell r="AA67">
            <v>801</v>
          </cell>
          <cell r="AB67">
            <v>19.77</v>
          </cell>
          <cell r="AC67">
            <v>1423</v>
          </cell>
          <cell r="AG67">
            <v>80</v>
          </cell>
          <cell r="AI67">
            <v>0</v>
          </cell>
          <cell r="AK67">
            <v>4174</v>
          </cell>
          <cell r="AL67">
            <v>0</v>
          </cell>
          <cell r="AN67">
            <v>16210</v>
          </cell>
          <cell r="AO67">
            <v>40000</v>
          </cell>
          <cell r="AP67">
            <v>0</v>
          </cell>
          <cell r="AQ67">
            <v>0</v>
          </cell>
          <cell r="AR67">
            <v>0</v>
          </cell>
          <cell r="AU67">
            <v>0</v>
          </cell>
          <cell r="AV67">
            <v>20384</v>
          </cell>
          <cell r="AW67">
            <v>45000</v>
          </cell>
          <cell r="AX67">
            <v>-24616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D67">
            <v>0</v>
          </cell>
          <cell r="BE67">
            <v>4174</v>
          </cell>
          <cell r="BF67">
            <v>4174</v>
          </cell>
          <cell r="BG67">
            <v>0</v>
          </cell>
          <cell r="BI67" t="str">
            <v>621 4391 8800 2954 2308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U67">
            <v>0</v>
          </cell>
        </row>
        <row r="68">
          <cell r="D68" t="str">
            <v>冯泽亮</v>
          </cell>
          <cell r="E68" t="str">
            <v>男</v>
          </cell>
          <cell r="F68" t="str">
            <v>522124199403170831</v>
          </cell>
          <cell r="G68" t="str">
            <v>直工</v>
          </cell>
          <cell r="H68" t="str">
            <v>连接器二楼</v>
          </cell>
          <cell r="I68" t="str">
            <v>作业员</v>
          </cell>
          <cell r="J68">
            <v>43531</v>
          </cell>
          <cell r="M68">
            <v>21</v>
          </cell>
          <cell r="N68">
            <v>21</v>
          </cell>
          <cell r="O68">
            <v>49.5</v>
          </cell>
          <cell r="P68">
            <v>67.5</v>
          </cell>
          <cell r="S68">
            <v>2400</v>
          </cell>
          <cell r="T68">
            <v>1720</v>
          </cell>
          <cell r="U68">
            <v>1720</v>
          </cell>
          <cell r="V68">
            <v>600</v>
          </cell>
          <cell r="W68">
            <v>600</v>
          </cell>
          <cell r="Z68">
            <v>14.83</v>
          </cell>
          <cell r="AA68">
            <v>734</v>
          </cell>
          <cell r="AB68">
            <v>19.77</v>
          </cell>
          <cell r="AC68">
            <v>1334</v>
          </cell>
          <cell r="AG68">
            <v>80</v>
          </cell>
          <cell r="AI68">
            <v>0</v>
          </cell>
          <cell r="AK68">
            <v>4468</v>
          </cell>
          <cell r="AL68">
            <v>0</v>
          </cell>
          <cell r="AN68">
            <v>29402</v>
          </cell>
          <cell r="AO68">
            <v>35000</v>
          </cell>
          <cell r="AP68">
            <v>0</v>
          </cell>
          <cell r="AQ68">
            <v>0</v>
          </cell>
          <cell r="AR68">
            <v>0</v>
          </cell>
          <cell r="AU68">
            <v>0</v>
          </cell>
          <cell r="AV68">
            <v>33870</v>
          </cell>
          <cell r="AW68">
            <v>40000</v>
          </cell>
          <cell r="AX68">
            <v>-6130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D68">
            <v>0</v>
          </cell>
          <cell r="BE68">
            <v>4468</v>
          </cell>
          <cell r="BF68">
            <v>4468</v>
          </cell>
          <cell r="BG68">
            <v>0</v>
          </cell>
          <cell r="BI68" t="str">
            <v>621 4391 8800 2326 1368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U68">
            <v>0</v>
          </cell>
        </row>
        <row r="69">
          <cell r="D69" t="str">
            <v>黄家有</v>
          </cell>
          <cell r="E69" t="str">
            <v>男</v>
          </cell>
          <cell r="F69" t="str">
            <v>532501199908202818</v>
          </cell>
          <cell r="G69" t="str">
            <v>直工</v>
          </cell>
          <cell r="H69" t="str">
            <v>连接器二楼</v>
          </cell>
          <cell r="I69" t="str">
            <v>作业员</v>
          </cell>
          <cell r="J69">
            <v>43613</v>
          </cell>
          <cell r="M69">
            <v>21</v>
          </cell>
          <cell r="N69">
            <v>15.9</v>
          </cell>
          <cell r="O69">
            <v>38</v>
          </cell>
          <cell r="P69">
            <v>56</v>
          </cell>
          <cell r="S69">
            <v>1950</v>
          </cell>
          <cell r="T69">
            <v>1720</v>
          </cell>
          <cell r="U69">
            <v>1302</v>
          </cell>
          <cell r="V69">
            <v>150</v>
          </cell>
          <cell r="W69">
            <v>114</v>
          </cell>
          <cell r="Z69">
            <v>14.83</v>
          </cell>
          <cell r="AA69">
            <v>564</v>
          </cell>
          <cell r="AB69">
            <v>19.77</v>
          </cell>
          <cell r="AC69">
            <v>1107</v>
          </cell>
          <cell r="AI69">
            <v>0</v>
          </cell>
          <cell r="AK69">
            <v>3087</v>
          </cell>
          <cell r="AL69">
            <v>0</v>
          </cell>
          <cell r="AN69">
            <v>9071</v>
          </cell>
          <cell r="AO69">
            <v>25000</v>
          </cell>
          <cell r="AP69">
            <v>0</v>
          </cell>
          <cell r="AQ69">
            <v>0</v>
          </cell>
          <cell r="AR69">
            <v>0</v>
          </cell>
          <cell r="AU69">
            <v>0</v>
          </cell>
          <cell r="AV69">
            <v>12158</v>
          </cell>
          <cell r="AW69">
            <v>30000</v>
          </cell>
          <cell r="AX69">
            <v>-17842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D69">
            <v>0</v>
          </cell>
          <cell r="BE69">
            <v>3087</v>
          </cell>
          <cell r="BF69">
            <v>3087</v>
          </cell>
          <cell r="BG69">
            <v>0</v>
          </cell>
          <cell r="BI69" t="str">
            <v>621 4391 8800 3054 6470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U69">
            <v>0</v>
          </cell>
        </row>
        <row r="70">
          <cell r="D70" t="str">
            <v>冯小龙</v>
          </cell>
          <cell r="E70" t="str">
            <v>男</v>
          </cell>
          <cell r="F70" t="str">
            <v>44088120000908597X</v>
          </cell>
          <cell r="G70" t="str">
            <v>直工</v>
          </cell>
          <cell r="H70" t="str">
            <v>连接器二楼</v>
          </cell>
          <cell r="M70">
            <v>21</v>
          </cell>
          <cell r="N70">
            <v>20</v>
          </cell>
          <cell r="O70">
            <v>51</v>
          </cell>
          <cell r="P70">
            <v>41</v>
          </cell>
          <cell r="S70">
            <v>1950</v>
          </cell>
          <cell r="T70">
            <v>1720</v>
          </cell>
          <cell r="U70">
            <v>1638</v>
          </cell>
          <cell r="V70">
            <v>150</v>
          </cell>
          <cell r="W70">
            <v>143</v>
          </cell>
          <cell r="Z70">
            <v>14.83</v>
          </cell>
          <cell r="AA70">
            <v>756</v>
          </cell>
          <cell r="AB70">
            <v>19.77</v>
          </cell>
          <cell r="AC70">
            <v>811</v>
          </cell>
          <cell r="AI70">
            <v>0</v>
          </cell>
          <cell r="AK70">
            <v>3348</v>
          </cell>
          <cell r="AL70">
            <v>0</v>
          </cell>
          <cell r="AN70">
            <v>3869</v>
          </cell>
          <cell r="AO70">
            <v>10000</v>
          </cell>
          <cell r="AP70">
            <v>0</v>
          </cell>
          <cell r="AQ70">
            <v>0</v>
          </cell>
          <cell r="AR70">
            <v>0</v>
          </cell>
          <cell r="AU70">
            <v>0</v>
          </cell>
          <cell r="AV70">
            <v>7217</v>
          </cell>
          <cell r="AW70">
            <v>15000</v>
          </cell>
          <cell r="AX70">
            <v>-7783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D70">
            <v>0</v>
          </cell>
          <cell r="BE70">
            <v>3348</v>
          </cell>
          <cell r="BF70">
            <v>3348</v>
          </cell>
          <cell r="BG70">
            <v>0</v>
          </cell>
          <cell r="BI70" t="str">
            <v>6214391880019412132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U70">
            <v>0</v>
          </cell>
        </row>
        <row r="71">
          <cell r="D71" t="str">
            <v>陈期娘</v>
          </cell>
          <cell r="E71" t="str">
            <v>男</v>
          </cell>
          <cell r="F71" t="str">
            <v>532529198804211818</v>
          </cell>
          <cell r="G71" t="str">
            <v>直工</v>
          </cell>
          <cell r="H71" t="str">
            <v>连接器二楼</v>
          </cell>
          <cell r="M71">
            <v>21</v>
          </cell>
          <cell r="N71">
            <v>20</v>
          </cell>
          <cell r="O71">
            <v>52</v>
          </cell>
          <cell r="P71">
            <v>56</v>
          </cell>
          <cell r="S71">
            <v>1950</v>
          </cell>
          <cell r="T71">
            <v>1720</v>
          </cell>
          <cell r="U71">
            <v>1638</v>
          </cell>
          <cell r="V71">
            <v>150</v>
          </cell>
          <cell r="W71">
            <v>143</v>
          </cell>
          <cell r="Z71">
            <v>14.83</v>
          </cell>
          <cell r="AA71">
            <v>771</v>
          </cell>
          <cell r="AB71">
            <v>19.77</v>
          </cell>
          <cell r="AC71">
            <v>1107</v>
          </cell>
          <cell r="AI71">
            <v>0</v>
          </cell>
          <cell r="AK71">
            <v>3659</v>
          </cell>
          <cell r="AL71">
            <v>0</v>
          </cell>
          <cell r="AN71">
            <v>7245.3</v>
          </cell>
          <cell r="AO71">
            <v>10000</v>
          </cell>
          <cell r="AP71">
            <v>0</v>
          </cell>
          <cell r="AQ71">
            <v>0</v>
          </cell>
          <cell r="AR71">
            <v>0</v>
          </cell>
          <cell r="AU71">
            <v>0</v>
          </cell>
          <cell r="AV71">
            <v>10904.3</v>
          </cell>
          <cell r="AW71">
            <v>15000</v>
          </cell>
          <cell r="AX71">
            <v>-4095.7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D71">
            <v>0</v>
          </cell>
          <cell r="BE71">
            <v>3659</v>
          </cell>
          <cell r="BF71">
            <v>3659</v>
          </cell>
          <cell r="BG71">
            <v>0</v>
          </cell>
          <cell r="BI71" t="str">
            <v>6214391880031237723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U71">
            <v>0</v>
          </cell>
        </row>
        <row r="72">
          <cell r="D72" t="str">
            <v>管丁梅</v>
          </cell>
          <cell r="E72" t="str">
            <v>女</v>
          </cell>
          <cell r="F72" t="str">
            <v>469022199902092446</v>
          </cell>
          <cell r="G72" t="str">
            <v>直工</v>
          </cell>
          <cell r="H72" t="str">
            <v>连接器二楼</v>
          </cell>
          <cell r="M72">
            <v>21</v>
          </cell>
          <cell r="N72">
            <v>21</v>
          </cell>
          <cell r="O72">
            <v>56.5</v>
          </cell>
          <cell r="P72">
            <v>64</v>
          </cell>
          <cell r="S72">
            <v>1950</v>
          </cell>
          <cell r="T72">
            <v>1720</v>
          </cell>
          <cell r="U72">
            <v>1720</v>
          </cell>
          <cell r="V72">
            <v>150</v>
          </cell>
          <cell r="W72">
            <v>150</v>
          </cell>
          <cell r="Z72">
            <v>14.83</v>
          </cell>
          <cell r="AA72">
            <v>838</v>
          </cell>
          <cell r="AB72">
            <v>19.77</v>
          </cell>
          <cell r="AC72">
            <v>1265</v>
          </cell>
          <cell r="AG72">
            <v>80</v>
          </cell>
          <cell r="AI72">
            <v>0</v>
          </cell>
          <cell r="AK72">
            <v>4053</v>
          </cell>
          <cell r="AL72">
            <v>0</v>
          </cell>
          <cell r="AN72">
            <v>6924</v>
          </cell>
          <cell r="AO72">
            <v>10000</v>
          </cell>
          <cell r="AP72">
            <v>0</v>
          </cell>
          <cell r="AQ72">
            <v>0</v>
          </cell>
          <cell r="AR72">
            <v>0</v>
          </cell>
          <cell r="AU72">
            <v>0</v>
          </cell>
          <cell r="AV72">
            <v>10977</v>
          </cell>
          <cell r="AW72">
            <v>15000</v>
          </cell>
          <cell r="AX72">
            <v>-4023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D72">
            <v>0</v>
          </cell>
          <cell r="BE72">
            <v>4053</v>
          </cell>
          <cell r="BF72">
            <v>4053</v>
          </cell>
          <cell r="BG72">
            <v>0</v>
          </cell>
          <cell r="BI72" t="str">
            <v>6214391880031511192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U72">
            <v>0</v>
          </cell>
        </row>
        <row r="73">
          <cell r="D73" t="str">
            <v>秦红平</v>
          </cell>
          <cell r="E73" t="str">
            <v>男</v>
          </cell>
          <cell r="F73" t="str">
            <v>532501200206072815</v>
          </cell>
          <cell r="G73" t="str">
            <v>直工</v>
          </cell>
          <cell r="H73" t="str">
            <v>连接器二楼</v>
          </cell>
          <cell r="M73">
            <v>21</v>
          </cell>
          <cell r="N73">
            <v>15</v>
          </cell>
          <cell r="O73">
            <v>36</v>
          </cell>
          <cell r="P73">
            <v>33</v>
          </cell>
          <cell r="S73">
            <v>1950</v>
          </cell>
          <cell r="T73">
            <v>1720</v>
          </cell>
          <cell r="U73">
            <v>1229</v>
          </cell>
          <cell r="V73">
            <v>150</v>
          </cell>
          <cell r="W73">
            <v>107</v>
          </cell>
          <cell r="Z73">
            <v>14.83</v>
          </cell>
          <cell r="AA73">
            <v>534</v>
          </cell>
          <cell r="AB73">
            <v>19.77</v>
          </cell>
          <cell r="AC73">
            <v>652</v>
          </cell>
          <cell r="AI73">
            <v>0</v>
          </cell>
          <cell r="AK73">
            <v>2522</v>
          </cell>
          <cell r="AL73">
            <v>0</v>
          </cell>
          <cell r="AN73">
            <v>5498</v>
          </cell>
          <cell r="AO73">
            <v>10000</v>
          </cell>
          <cell r="AP73">
            <v>0</v>
          </cell>
          <cell r="AQ73">
            <v>0</v>
          </cell>
          <cell r="AR73">
            <v>0</v>
          </cell>
          <cell r="AU73">
            <v>0</v>
          </cell>
          <cell r="AV73">
            <v>8010</v>
          </cell>
          <cell r="AW73">
            <v>15000</v>
          </cell>
          <cell r="AX73">
            <v>-6990</v>
          </cell>
          <cell r="AY73">
            <v>0</v>
          </cell>
          <cell r="AZ73">
            <v>0</v>
          </cell>
          <cell r="BA73">
            <v>0</v>
          </cell>
          <cell r="BB73">
            <v>-10</v>
          </cell>
          <cell r="BD73">
            <v>-10</v>
          </cell>
          <cell r="BE73">
            <v>2512</v>
          </cell>
          <cell r="BF73">
            <v>2512</v>
          </cell>
          <cell r="BG73">
            <v>0</v>
          </cell>
          <cell r="BI73" t="str">
            <v>6214391880031605986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U73">
            <v>0</v>
          </cell>
        </row>
        <row r="74">
          <cell r="D74" t="str">
            <v>高建元</v>
          </cell>
          <cell r="E74" t="str">
            <v>男</v>
          </cell>
          <cell r="F74" t="str">
            <v>532531199712041010</v>
          </cell>
          <cell r="G74" t="str">
            <v>直工</v>
          </cell>
          <cell r="H74" t="str">
            <v>连接器二楼</v>
          </cell>
          <cell r="M74">
            <v>21</v>
          </cell>
          <cell r="N74">
            <v>21</v>
          </cell>
          <cell r="O74">
            <v>56.5</v>
          </cell>
          <cell r="P74">
            <v>64</v>
          </cell>
          <cell r="S74">
            <v>1950</v>
          </cell>
          <cell r="T74">
            <v>1720</v>
          </cell>
          <cell r="U74">
            <v>1720</v>
          </cell>
          <cell r="V74">
            <v>150</v>
          </cell>
          <cell r="W74">
            <v>150</v>
          </cell>
          <cell r="Z74">
            <v>14.83</v>
          </cell>
          <cell r="AA74">
            <v>838</v>
          </cell>
          <cell r="AB74">
            <v>19.77</v>
          </cell>
          <cell r="AC74">
            <v>1265</v>
          </cell>
          <cell r="AG74">
            <v>80</v>
          </cell>
          <cell r="AI74">
            <v>0</v>
          </cell>
          <cell r="AK74">
            <v>4053</v>
          </cell>
          <cell r="AL74">
            <v>0</v>
          </cell>
          <cell r="AN74">
            <v>5274</v>
          </cell>
          <cell r="AO74">
            <v>10000</v>
          </cell>
          <cell r="AP74">
            <v>0</v>
          </cell>
          <cell r="AQ74">
            <v>0</v>
          </cell>
          <cell r="AR74">
            <v>0</v>
          </cell>
          <cell r="AU74">
            <v>0</v>
          </cell>
          <cell r="AV74">
            <v>9327</v>
          </cell>
          <cell r="AW74">
            <v>15000</v>
          </cell>
          <cell r="AX74">
            <v>-5673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D74">
            <v>0</v>
          </cell>
          <cell r="BE74">
            <v>4053</v>
          </cell>
          <cell r="BF74">
            <v>4053</v>
          </cell>
          <cell r="BG74">
            <v>0</v>
          </cell>
          <cell r="BI74" t="str">
            <v>621 4391 8800 3274 2424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U74">
            <v>0</v>
          </cell>
        </row>
        <row r="75">
          <cell r="D75" t="str">
            <v>苏斌</v>
          </cell>
          <cell r="E75" t="str">
            <v>男</v>
          </cell>
          <cell r="F75" t="str">
            <v>532501200102132895</v>
          </cell>
          <cell r="G75" t="str">
            <v>直工</v>
          </cell>
          <cell r="H75" t="str">
            <v>连接器二楼</v>
          </cell>
          <cell r="M75">
            <v>21</v>
          </cell>
          <cell r="N75">
            <v>20.5</v>
          </cell>
          <cell r="O75">
            <v>49.5</v>
          </cell>
          <cell r="P75">
            <v>56</v>
          </cell>
          <cell r="S75">
            <v>1950</v>
          </cell>
          <cell r="T75">
            <v>1720</v>
          </cell>
          <cell r="U75">
            <v>1679</v>
          </cell>
          <cell r="V75">
            <v>150</v>
          </cell>
          <cell r="W75">
            <v>146</v>
          </cell>
          <cell r="Z75">
            <v>14.83</v>
          </cell>
          <cell r="AA75">
            <v>734</v>
          </cell>
          <cell r="AB75">
            <v>19.77</v>
          </cell>
          <cell r="AC75">
            <v>1107</v>
          </cell>
          <cell r="AG75">
            <v>40</v>
          </cell>
          <cell r="AI75">
            <v>0</v>
          </cell>
          <cell r="AK75">
            <v>3706</v>
          </cell>
          <cell r="AL75">
            <v>0</v>
          </cell>
          <cell r="AN75">
            <v>2506</v>
          </cell>
          <cell r="AO75">
            <v>10000</v>
          </cell>
          <cell r="AP75">
            <v>0</v>
          </cell>
          <cell r="AQ75">
            <v>0</v>
          </cell>
          <cell r="AR75">
            <v>0</v>
          </cell>
          <cell r="AU75">
            <v>0</v>
          </cell>
          <cell r="AV75">
            <v>6202</v>
          </cell>
          <cell r="AW75">
            <v>15000</v>
          </cell>
          <cell r="AX75">
            <v>-8798</v>
          </cell>
          <cell r="AY75">
            <v>0</v>
          </cell>
          <cell r="AZ75">
            <v>0</v>
          </cell>
          <cell r="BA75">
            <v>0</v>
          </cell>
          <cell r="BB75">
            <v>-10</v>
          </cell>
          <cell r="BD75">
            <v>-10</v>
          </cell>
          <cell r="BE75">
            <v>3696</v>
          </cell>
          <cell r="BF75">
            <v>3696</v>
          </cell>
          <cell r="BG75">
            <v>0</v>
          </cell>
          <cell r="BI75" t="str">
            <v>6214391880031991436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U75">
            <v>0</v>
          </cell>
        </row>
        <row r="76">
          <cell r="D76" t="str">
            <v>王南</v>
          </cell>
          <cell r="E76" t="str">
            <v>女</v>
          </cell>
          <cell r="F76" t="str">
            <v>460026199907210904</v>
          </cell>
          <cell r="G76" t="str">
            <v>直工</v>
          </cell>
          <cell r="H76" t="str">
            <v>连接器二楼</v>
          </cell>
          <cell r="M76">
            <v>21</v>
          </cell>
          <cell r="N76">
            <v>20.5</v>
          </cell>
          <cell r="O76">
            <v>56.5</v>
          </cell>
          <cell r="P76">
            <v>64</v>
          </cell>
          <cell r="S76">
            <v>1950</v>
          </cell>
          <cell r="T76">
            <v>1720</v>
          </cell>
          <cell r="U76">
            <v>1679</v>
          </cell>
          <cell r="V76">
            <v>150</v>
          </cell>
          <cell r="W76">
            <v>146</v>
          </cell>
          <cell r="Z76">
            <v>14.83</v>
          </cell>
          <cell r="AA76">
            <v>838</v>
          </cell>
          <cell r="AB76">
            <v>19.77</v>
          </cell>
          <cell r="AC76">
            <v>1265</v>
          </cell>
          <cell r="AG76">
            <v>40</v>
          </cell>
          <cell r="AI76">
            <v>0</v>
          </cell>
          <cell r="AK76">
            <v>3968</v>
          </cell>
          <cell r="AL76">
            <v>0</v>
          </cell>
          <cell r="AN76">
            <v>3408</v>
          </cell>
          <cell r="AO76">
            <v>10000</v>
          </cell>
          <cell r="AP76">
            <v>0</v>
          </cell>
          <cell r="AQ76">
            <v>0</v>
          </cell>
          <cell r="AR76">
            <v>0</v>
          </cell>
          <cell r="AU76">
            <v>0</v>
          </cell>
          <cell r="AV76">
            <v>7376</v>
          </cell>
          <cell r="AW76">
            <v>15000</v>
          </cell>
          <cell r="AX76">
            <v>-7624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D76">
            <v>0</v>
          </cell>
          <cell r="BE76">
            <v>3968</v>
          </cell>
          <cell r="BF76">
            <v>3968</v>
          </cell>
          <cell r="BG76">
            <v>0</v>
          </cell>
          <cell r="BI76" t="str">
            <v>621 4391 8800 3151 1184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U76">
            <v>0</v>
          </cell>
        </row>
        <row r="77">
          <cell r="D77" t="str">
            <v>徐琴</v>
          </cell>
          <cell r="E77" t="str">
            <v>女</v>
          </cell>
          <cell r="F77" t="str">
            <v>513030200009060729</v>
          </cell>
          <cell r="G77" t="str">
            <v>直工</v>
          </cell>
          <cell r="H77" t="str">
            <v>连接器二楼</v>
          </cell>
          <cell r="M77">
            <v>21</v>
          </cell>
          <cell r="N77">
            <v>9</v>
          </cell>
          <cell r="O77">
            <v>28</v>
          </cell>
          <cell r="P77">
            <v>34</v>
          </cell>
          <cell r="S77">
            <v>1950</v>
          </cell>
          <cell r="T77">
            <v>1720</v>
          </cell>
          <cell r="U77">
            <v>737</v>
          </cell>
          <cell r="V77">
            <v>150</v>
          </cell>
          <cell r="W77">
            <v>64</v>
          </cell>
          <cell r="Z77">
            <v>14.83</v>
          </cell>
          <cell r="AA77">
            <v>415</v>
          </cell>
          <cell r="AB77">
            <v>19.77</v>
          </cell>
          <cell r="AC77">
            <v>672</v>
          </cell>
          <cell r="AI77">
            <v>0</v>
          </cell>
          <cell r="AK77">
            <v>1888</v>
          </cell>
          <cell r="AL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V77">
            <v>1888</v>
          </cell>
          <cell r="AW77">
            <v>5000</v>
          </cell>
          <cell r="AX77">
            <v>-3112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D77">
            <v>0</v>
          </cell>
          <cell r="BE77">
            <v>1888</v>
          </cell>
          <cell r="BF77">
            <v>1888</v>
          </cell>
          <cell r="BG77">
            <v>0</v>
          </cell>
          <cell r="BI77" t="str">
            <v xml:space="preserve">621 4391 8800 3274 2440 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U77">
            <v>0</v>
          </cell>
        </row>
        <row r="78">
          <cell r="D78" t="str">
            <v>部门合计</v>
          </cell>
          <cell r="O78">
            <v>895</v>
          </cell>
          <cell r="P78">
            <v>1030.5</v>
          </cell>
          <cell r="Q78">
            <v>0</v>
          </cell>
          <cell r="R78">
            <v>0</v>
          </cell>
          <cell r="U78">
            <v>28085</v>
          </cell>
          <cell r="W78">
            <v>3279</v>
          </cell>
          <cell r="Y78">
            <v>0</v>
          </cell>
          <cell r="AA78">
            <v>13272</v>
          </cell>
          <cell r="AC78">
            <v>20369</v>
          </cell>
          <cell r="AD78">
            <v>0</v>
          </cell>
          <cell r="AE78">
            <v>0</v>
          </cell>
          <cell r="AF78">
            <v>0</v>
          </cell>
          <cell r="AG78">
            <v>800</v>
          </cell>
          <cell r="AH78">
            <v>157</v>
          </cell>
          <cell r="AI78">
            <v>0</v>
          </cell>
          <cell r="AJ78">
            <v>0</v>
          </cell>
          <cell r="AK78">
            <v>65962</v>
          </cell>
          <cell r="AL78">
            <v>0</v>
          </cell>
          <cell r="AM78">
            <v>0</v>
          </cell>
          <cell r="AN78">
            <v>317008.3</v>
          </cell>
          <cell r="AO78">
            <v>520000</v>
          </cell>
          <cell r="AP78">
            <v>1656.48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1656.48</v>
          </cell>
          <cell r="AV78">
            <v>382950.3</v>
          </cell>
          <cell r="AW78">
            <v>616656.48</v>
          </cell>
          <cell r="AX78">
            <v>-233706.18</v>
          </cell>
          <cell r="AY78">
            <v>0</v>
          </cell>
          <cell r="AZ78">
            <v>0</v>
          </cell>
          <cell r="BA78">
            <v>0</v>
          </cell>
          <cell r="BB78">
            <v>-20</v>
          </cell>
          <cell r="BC78">
            <v>0</v>
          </cell>
          <cell r="BD78">
            <v>-20</v>
          </cell>
          <cell r="BE78">
            <v>65942</v>
          </cell>
          <cell r="BF78">
            <v>65942</v>
          </cell>
          <cell r="BG78">
            <v>0</v>
          </cell>
          <cell r="BI78" t="e">
            <v>#N/A</v>
          </cell>
          <cell r="BU78">
            <v>0</v>
          </cell>
        </row>
        <row r="79">
          <cell r="D79" t="str">
            <v>劳晓婵</v>
          </cell>
          <cell r="E79" t="str">
            <v>女</v>
          </cell>
          <cell r="F79" t="str">
            <v>450721199210244025</v>
          </cell>
          <cell r="G79" t="str">
            <v>直工</v>
          </cell>
          <cell r="H79" t="str">
            <v>五金二楼</v>
          </cell>
          <cell r="I79" t="str">
            <v>作业员</v>
          </cell>
          <cell r="J79">
            <v>43644</v>
          </cell>
          <cell r="M79">
            <v>21</v>
          </cell>
          <cell r="N79">
            <v>16.5</v>
          </cell>
          <cell r="O79">
            <v>46</v>
          </cell>
          <cell r="P79">
            <v>75</v>
          </cell>
          <cell r="S79">
            <v>1950</v>
          </cell>
          <cell r="T79">
            <v>1720</v>
          </cell>
          <cell r="U79">
            <v>1351</v>
          </cell>
          <cell r="V79">
            <v>150</v>
          </cell>
          <cell r="W79">
            <v>118</v>
          </cell>
          <cell r="Z79">
            <v>14.83</v>
          </cell>
          <cell r="AA79">
            <v>682</v>
          </cell>
          <cell r="AB79">
            <v>19.77</v>
          </cell>
          <cell r="AC79">
            <v>1483</v>
          </cell>
          <cell r="AI79">
            <v>0</v>
          </cell>
          <cell r="AK79">
            <v>3634</v>
          </cell>
          <cell r="AL79">
            <v>0</v>
          </cell>
          <cell r="AN79">
            <v>8067</v>
          </cell>
          <cell r="AO79">
            <v>20000</v>
          </cell>
          <cell r="AP79">
            <v>0</v>
          </cell>
          <cell r="AQ79">
            <v>0</v>
          </cell>
          <cell r="AR79">
            <v>0</v>
          </cell>
          <cell r="AU79">
            <v>0</v>
          </cell>
          <cell r="AV79">
            <v>11715.83</v>
          </cell>
          <cell r="AW79">
            <v>25000</v>
          </cell>
          <cell r="AX79">
            <v>-13284.17</v>
          </cell>
          <cell r="AY79">
            <v>0</v>
          </cell>
          <cell r="AZ79">
            <v>0</v>
          </cell>
          <cell r="BA79">
            <v>0</v>
          </cell>
          <cell r="BB79">
            <v>14.83</v>
          </cell>
          <cell r="BD79">
            <v>15</v>
          </cell>
          <cell r="BE79">
            <v>3649</v>
          </cell>
          <cell r="BF79">
            <v>3649</v>
          </cell>
          <cell r="BG79">
            <v>0</v>
          </cell>
          <cell r="BI79" t="str">
            <v>6214391880030995511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U79">
            <v>0</v>
          </cell>
        </row>
        <row r="80">
          <cell r="D80" t="str">
            <v>张鹏飞</v>
          </cell>
          <cell r="E80" t="str">
            <v>男</v>
          </cell>
          <cell r="F80" t="str">
            <v>411329199910171333</v>
          </cell>
          <cell r="G80" t="str">
            <v>直工</v>
          </cell>
          <cell r="H80" t="str">
            <v>五金二楼</v>
          </cell>
          <cell r="I80" t="str">
            <v>作业员</v>
          </cell>
          <cell r="J80">
            <v>43643</v>
          </cell>
          <cell r="M80">
            <v>21</v>
          </cell>
          <cell r="N80">
            <v>21</v>
          </cell>
          <cell r="O80">
            <v>57.5</v>
          </cell>
          <cell r="P80">
            <v>68.5</v>
          </cell>
          <cell r="S80">
            <v>1950</v>
          </cell>
          <cell r="T80">
            <v>1720</v>
          </cell>
          <cell r="U80">
            <v>1720</v>
          </cell>
          <cell r="V80">
            <v>150</v>
          </cell>
          <cell r="W80">
            <v>150</v>
          </cell>
          <cell r="Z80">
            <v>14.83</v>
          </cell>
          <cell r="AA80">
            <v>853</v>
          </cell>
          <cell r="AB80">
            <v>19.77</v>
          </cell>
          <cell r="AC80">
            <v>1354</v>
          </cell>
          <cell r="AG80">
            <v>80</v>
          </cell>
          <cell r="AI80">
            <v>187</v>
          </cell>
          <cell r="AK80">
            <v>4344</v>
          </cell>
          <cell r="AL80">
            <v>0</v>
          </cell>
          <cell r="AN80">
            <v>6347</v>
          </cell>
          <cell r="AO80">
            <v>20000</v>
          </cell>
          <cell r="AP80">
            <v>0</v>
          </cell>
          <cell r="AQ80">
            <v>0</v>
          </cell>
          <cell r="AR80">
            <v>0</v>
          </cell>
          <cell r="AU80">
            <v>0</v>
          </cell>
          <cell r="AV80">
            <v>10691</v>
          </cell>
          <cell r="AW80">
            <v>25000</v>
          </cell>
          <cell r="AX80">
            <v>-14309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D80">
            <v>0</v>
          </cell>
          <cell r="BE80">
            <v>4344</v>
          </cell>
          <cell r="BF80">
            <v>4344</v>
          </cell>
          <cell r="BG80">
            <v>0</v>
          </cell>
          <cell r="BI80" t="str">
            <v>621 4391 8800 3274 4032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U80">
            <v>0</v>
          </cell>
        </row>
        <row r="81">
          <cell r="D81" t="str">
            <v>邬传强</v>
          </cell>
          <cell r="E81" t="str">
            <v>男</v>
          </cell>
          <cell r="F81" t="str">
            <v>440881199806127719</v>
          </cell>
          <cell r="G81" t="str">
            <v>直工</v>
          </cell>
          <cell r="H81" t="str">
            <v>五金二楼</v>
          </cell>
          <cell r="I81" t="str">
            <v>作业员</v>
          </cell>
          <cell r="J81">
            <v>43635</v>
          </cell>
          <cell r="M81">
            <v>21</v>
          </cell>
          <cell r="N81">
            <v>17.5</v>
          </cell>
          <cell r="O81">
            <v>41.5</v>
          </cell>
          <cell r="P81">
            <v>56</v>
          </cell>
          <cell r="S81">
            <v>1950</v>
          </cell>
          <cell r="T81">
            <v>1720</v>
          </cell>
          <cell r="U81">
            <v>1433</v>
          </cell>
          <cell r="V81">
            <v>150</v>
          </cell>
          <cell r="W81">
            <v>125</v>
          </cell>
          <cell r="Z81">
            <v>14.83</v>
          </cell>
          <cell r="AA81">
            <v>615</v>
          </cell>
          <cell r="AB81">
            <v>19.77</v>
          </cell>
          <cell r="AC81">
            <v>1107</v>
          </cell>
          <cell r="AI81">
            <v>0</v>
          </cell>
          <cell r="AK81">
            <v>3280</v>
          </cell>
          <cell r="AL81">
            <v>0</v>
          </cell>
          <cell r="AN81">
            <v>7933.72</v>
          </cell>
          <cell r="AO81">
            <v>20000</v>
          </cell>
          <cell r="AP81">
            <v>0</v>
          </cell>
          <cell r="AQ81">
            <v>0</v>
          </cell>
          <cell r="AR81">
            <v>0</v>
          </cell>
          <cell r="AU81">
            <v>0</v>
          </cell>
          <cell r="AV81">
            <v>10810.72</v>
          </cell>
          <cell r="AW81">
            <v>25000</v>
          </cell>
          <cell r="AX81">
            <v>-14189.28</v>
          </cell>
          <cell r="AY81">
            <v>0</v>
          </cell>
          <cell r="AZ81">
            <v>0</v>
          </cell>
          <cell r="BA81">
            <v>-403</v>
          </cell>
          <cell r="BB81">
            <v>0</v>
          </cell>
          <cell r="BD81">
            <v>-403</v>
          </cell>
          <cell r="BE81">
            <v>2877</v>
          </cell>
          <cell r="BF81">
            <v>2877</v>
          </cell>
          <cell r="BG81">
            <v>0</v>
          </cell>
          <cell r="BI81" t="str">
            <v>6214391880030773496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U81">
            <v>0</v>
          </cell>
        </row>
        <row r="82">
          <cell r="D82" t="str">
            <v>涂晓红</v>
          </cell>
          <cell r="E82" t="str">
            <v>女</v>
          </cell>
          <cell r="F82" t="str">
            <v>360428198410196023</v>
          </cell>
          <cell r="G82" t="str">
            <v>直工</v>
          </cell>
          <cell r="H82" t="str">
            <v>五金二楼</v>
          </cell>
          <cell r="I82" t="str">
            <v>作业员</v>
          </cell>
          <cell r="J82">
            <v>43256</v>
          </cell>
          <cell r="M82">
            <v>21</v>
          </cell>
          <cell r="N82">
            <v>21</v>
          </cell>
          <cell r="O82">
            <v>62</v>
          </cell>
          <cell r="P82">
            <v>90</v>
          </cell>
          <cell r="S82">
            <v>2050</v>
          </cell>
          <cell r="T82">
            <v>1720</v>
          </cell>
          <cell r="U82">
            <v>1720</v>
          </cell>
          <cell r="V82">
            <v>250</v>
          </cell>
          <cell r="W82">
            <v>250</v>
          </cell>
          <cell r="Z82">
            <v>14.83</v>
          </cell>
          <cell r="AA82">
            <v>919</v>
          </cell>
          <cell r="AB82">
            <v>19.77</v>
          </cell>
          <cell r="AC82">
            <v>1779</v>
          </cell>
          <cell r="AG82">
            <v>80</v>
          </cell>
          <cell r="AH82">
            <v>50</v>
          </cell>
          <cell r="AI82">
            <v>0</v>
          </cell>
          <cell r="AK82">
            <v>4798</v>
          </cell>
          <cell r="AL82">
            <v>-301</v>
          </cell>
          <cell r="AN82">
            <v>34066</v>
          </cell>
          <cell r="AO82">
            <v>45000</v>
          </cell>
          <cell r="AP82">
            <v>1152.16</v>
          </cell>
          <cell r="AQ82">
            <v>0</v>
          </cell>
          <cell r="AR82">
            <v>0</v>
          </cell>
          <cell r="AU82">
            <v>1453.16</v>
          </cell>
          <cell r="AV82">
            <v>38878.83</v>
          </cell>
          <cell r="AW82">
            <v>51453.16</v>
          </cell>
          <cell r="AX82">
            <v>-12574.33</v>
          </cell>
          <cell r="AY82">
            <v>0</v>
          </cell>
          <cell r="AZ82">
            <v>0</v>
          </cell>
          <cell r="BA82">
            <v>0</v>
          </cell>
          <cell r="BB82">
            <v>14.83</v>
          </cell>
          <cell r="BD82">
            <v>-286</v>
          </cell>
          <cell r="BE82">
            <v>4512</v>
          </cell>
          <cell r="BF82">
            <v>4512</v>
          </cell>
          <cell r="BG82">
            <v>0</v>
          </cell>
          <cell r="BI82" t="str">
            <v>6214391880026642622</v>
          </cell>
          <cell r="BK82">
            <v>29.82</v>
          </cell>
          <cell r="BL82">
            <v>0</v>
          </cell>
          <cell r="BM82">
            <v>0</v>
          </cell>
          <cell r="BN82">
            <v>0</v>
          </cell>
          <cell r="BO82">
            <v>-29.82</v>
          </cell>
          <cell r="BP82">
            <v>0</v>
          </cell>
          <cell r="BU82">
            <v>0</v>
          </cell>
        </row>
        <row r="83">
          <cell r="D83" t="str">
            <v>段小娟</v>
          </cell>
          <cell r="E83" t="str">
            <v>女</v>
          </cell>
          <cell r="F83" t="str">
            <v>43058119900217356X</v>
          </cell>
          <cell r="G83" t="str">
            <v>直工</v>
          </cell>
          <cell r="H83" t="str">
            <v>五金二楼</v>
          </cell>
          <cell r="I83" t="str">
            <v>作业员</v>
          </cell>
          <cell r="J83">
            <v>43511</v>
          </cell>
          <cell r="M83">
            <v>21</v>
          </cell>
          <cell r="N83">
            <v>21</v>
          </cell>
          <cell r="O83">
            <v>62</v>
          </cell>
          <cell r="P83">
            <v>90</v>
          </cell>
          <cell r="S83">
            <v>1950</v>
          </cell>
          <cell r="T83">
            <v>1720</v>
          </cell>
          <cell r="U83">
            <v>1720</v>
          </cell>
          <cell r="V83">
            <v>150</v>
          </cell>
          <cell r="W83">
            <v>150</v>
          </cell>
          <cell r="Z83">
            <v>14.83</v>
          </cell>
          <cell r="AA83">
            <v>919</v>
          </cell>
          <cell r="AB83">
            <v>19.77</v>
          </cell>
          <cell r="AC83">
            <v>1779</v>
          </cell>
          <cell r="AG83">
            <v>80</v>
          </cell>
          <cell r="AI83">
            <v>0</v>
          </cell>
          <cell r="AK83">
            <v>4648</v>
          </cell>
          <cell r="AL83">
            <v>-301</v>
          </cell>
          <cell r="AN83">
            <v>28729.2</v>
          </cell>
          <cell r="AO83">
            <v>40000</v>
          </cell>
          <cell r="AP83">
            <v>602</v>
          </cell>
          <cell r="AQ83">
            <v>0</v>
          </cell>
          <cell r="AR83">
            <v>0</v>
          </cell>
          <cell r="AU83">
            <v>903</v>
          </cell>
          <cell r="AV83">
            <v>33380.7</v>
          </cell>
          <cell r="AW83">
            <v>45903</v>
          </cell>
          <cell r="AX83">
            <v>-12522.3</v>
          </cell>
          <cell r="AY83">
            <v>0</v>
          </cell>
          <cell r="AZ83">
            <v>0</v>
          </cell>
          <cell r="BA83">
            <v>-11.33</v>
          </cell>
          <cell r="BB83">
            <v>14.83</v>
          </cell>
          <cell r="BD83">
            <v>-298</v>
          </cell>
          <cell r="BE83">
            <v>4350</v>
          </cell>
          <cell r="BF83">
            <v>4350</v>
          </cell>
          <cell r="BG83">
            <v>0</v>
          </cell>
          <cell r="BI83" t="str">
            <v>6214391880028861899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U83">
            <v>0</v>
          </cell>
        </row>
        <row r="84">
          <cell r="D84" t="str">
            <v>马安鸣</v>
          </cell>
          <cell r="E84" t="str">
            <v>男</v>
          </cell>
          <cell r="F84" t="str">
            <v>452226199509126310</v>
          </cell>
          <cell r="G84" t="str">
            <v>直工</v>
          </cell>
          <cell r="H84" t="str">
            <v>五金二楼</v>
          </cell>
          <cell r="I84" t="str">
            <v>作业员</v>
          </cell>
          <cell r="J84">
            <v>43511</v>
          </cell>
          <cell r="M84">
            <v>21</v>
          </cell>
          <cell r="N84">
            <v>20</v>
          </cell>
          <cell r="O84">
            <v>31</v>
          </cell>
          <cell r="P84">
            <v>50</v>
          </cell>
          <cell r="S84">
            <v>1950</v>
          </cell>
          <cell r="T84">
            <v>1720</v>
          </cell>
          <cell r="U84">
            <v>1638</v>
          </cell>
          <cell r="V84">
            <v>150</v>
          </cell>
          <cell r="W84">
            <v>143</v>
          </cell>
          <cell r="Z84">
            <v>14.83</v>
          </cell>
          <cell r="AA84">
            <v>460</v>
          </cell>
          <cell r="AB84">
            <v>19.77</v>
          </cell>
          <cell r="AC84">
            <v>989</v>
          </cell>
          <cell r="AI84">
            <v>0</v>
          </cell>
          <cell r="AK84">
            <v>3230</v>
          </cell>
          <cell r="AL84">
            <v>0</v>
          </cell>
          <cell r="AN84">
            <v>22927</v>
          </cell>
          <cell r="AO84">
            <v>40000</v>
          </cell>
          <cell r="AP84">
            <v>0</v>
          </cell>
          <cell r="AQ84">
            <v>0</v>
          </cell>
          <cell r="AR84">
            <v>0</v>
          </cell>
          <cell r="AU84">
            <v>0</v>
          </cell>
          <cell r="AV84">
            <v>26157</v>
          </cell>
          <cell r="AW84">
            <v>45000</v>
          </cell>
          <cell r="AX84">
            <v>-18843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D84">
            <v>0</v>
          </cell>
          <cell r="BE84">
            <v>3230</v>
          </cell>
          <cell r="BF84">
            <v>3230</v>
          </cell>
          <cell r="BG84">
            <v>0</v>
          </cell>
          <cell r="BI84" t="str">
            <v>6214391880028861923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U84">
            <v>0</v>
          </cell>
        </row>
        <row r="85">
          <cell r="D85" t="str">
            <v>张丹丹</v>
          </cell>
          <cell r="E85" t="str">
            <v>女</v>
          </cell>
          <cell r="F85" t="str">
            <v>513030199412160724</v>
          </cell>
          <cell r="G85" t="str">
            <v>直工</v>
          </cell>
          <cell r="H85" t="str">
            <v>五金二楼</v>
          </cell>
          <cell r="I85" t="str">
            <v>作业员</v>
          </cell>
          <cell r="J85">
            <v>43517</v>
          </cell>
          <cell r="M85">
            <v>21</v>
          </cell>
          <cell r="N85">
            <v>21</v>
          </cell>
          <cell r="O85">
            <v>59</v>
          </cell>
          <cell r="P85">
            <v>80</v>
          </cell>
          <cell r="S85">
            <v>1950</v>
          </cell>
          <cell r="T85">
            <v>1720</v>
          </cell>
          <cell r="U85">
            <v>1720</v>
          </cell>
          <cell r="V85">
            <v>150</v>
          </cell>
          <cell r="W85">
            <v>150</v>
          </cell>
          <cell r="Z85">
            <v>14.83</v>
          </cell>
          <cell r="AA85">
            <v>875</v>
          </cell>
          <cell r="AB85">
            <v>19.77</v>
          </cell>
          <cell r="AC85">
            <v>1582</v>
          </cell>
          <cell r="AG85">
            <v>80</v>
          </cell>
          <cell r="AI85">
            <v>0</v>
          </cell>
          <cell r="AK85">
            <v>4407</v>
          </cell>
          <cell r="AL85">
            <v>0</v>
          </cell>
          <cell r="AN85">
            <v>25196</v>
          </cell>
          <cell r="AO85">
            <v>40000</v>
          </cell>
          <cell r="AP85">
            <v>0</v>
          </cell>
          <cell r="AQ85">
            <v>0</v>
          </cell>
          <cell r="AR85">
            <v>0</v>
          </cell>
          <cell r="AU85">
            <v>0</v>
          </cell>
          <cell r="AV85">
            <v>29617.83</v>
          </cell>
          <cell r="AW85">
            <v>45000</v>
          </cell>
          <cell r="AX85">
            <v>-15382.17</v>
          </cell>
          <cell r="AY85">
            <v>0</v>
          </cell>
          <cell r="AZ85">
            <v>0</v>
          </cell>
          <cell r="BA85">
            <v>0</v>
          </cell>
          <cell r="BB85">
            <v>14.83</v>
          </cell>
          <cell r="BD85">
            <v>15</v>
          </cell>
          <cell r="BE85">
            <v>4422</v>
          </cell>
          <cell r="BF85">
            <v>4422</v>
          </cell>
          <cell r="BG85">
            <v>0</v>
          </cell>
          <cell r="BI85" t="str">
            <v>6214391880028861956</v>
          </cell>
          <cell r="BK85">
            <v>11.22</v>
          </cell>
          <cell r="BL85">
            <v>0</v>
          </cell>
          <cell r="BM85">
            <v>0</v>
          </cell>
          <cell r="BN85">
            <v>0</v>
          </cell>
          <cell r="BO85">
            <v>-11.22</v>
          </cell>
          <cell r="BP85">
            <v>0</v>
          </cell>
          <cell r="BU85">
            <v>0</v>
          </cell>
        </row>
        <row r="86">
          <cell r="D86" t="str">
            <v>陈长林</v>
          </cell>
          <cell r="E86" t="str">
            <v>男</v>
          </cell>
          <cell r="F86" t="str">
            <v>500101199411206734</v>
          </cell>
          <cell r="G86" t="str">
            <v>直工</v>
          </cell>
          <cell r="H86" t="str">
            <v>五金二楼</v>
          </cell>
          <cell r="I86" t="str">
            <v>作业员</v>
          </cell>
          <cell r="J86">
            <v>43523</v>
          </cell>
          <cell r="M86">
            <v>21</v>
          </cell>
          <cell r="N86">
            <v>20</v>
          </cell>
          <cell r="O86">
            <v>58.5</v>
          </cell>
          <cell r="P86">
            <v>66.5</v>
          </cell>
          <cell r="S86">
            <v>2250</v>
          </cell>
          <cell r="T86">
            <v>1720</v>
          </cell>
          <cell r="U86">
            <v>1638</v>
          </cell>
          <cell r="V86">
            <v>450</v>
          </cell>
          <cell r="W86">
            <v>429</v>
          </cell>
          <cell r="Z86">
            <v>14.83</v>
          </cell>
          <cell r="AA86">
            <v>868</v>
          </cell>
          <cell r="AB86">
            <v>19.77</v>
          </cell>
          <cell r="AC86">
            <v>1315</v>
          </cell>
          <cell r="AI86">
            <v>0</v>
          </cell>
          <cell r="AK86">
            <v>4250</v>
          </cell>
          <cell r="AL86">
            <v>0</v>
          </cell>
          <cell r="AN86">
            <v>23693</v>
          </cell>
          <cell r="AO86">
            <v>40000</v>
          </cell>
          <cell r="AP86">
            <v>0</v>
          </cell>
          <cell r="AQ86">
            <v>0</v>
          </cell>
          <cell r="AR86">
            <v>0</v>
          </cell>
          <cell r="AU86">
            <v>0</v>
          </cell>
          <cell r="AV86">
            <v>27933</v>
          </cell>
          <cell r="AW86">
            <v>45000</v>
          </cell>
          <cell r="AX86">
            <v>-17067</v>
          </cell>
          <cell r="AY86">
            <v>0</v>
          </cell>
          <cell r="AZ86">
            <v>0</v>
          </cell>
          <cell r="BA86">
            <v>0</v>
          </cell>
          <cell r="BB86">
            <v>-10</v>
          </cell>
          <cell r="BD86">
            <v>-10</v>
          </cell>
          <cell r="BE86">
            <v>4240</v>
          </cell>
          <cell r="BF86">
            <v>4240</v>
          </cell>
          <cell r="BG86">
            <v>0</v>
          </cell>
          <cell r="BI86" t="str">
            <v>6214391880030773421</v>
          </cell>
          <cell r="BK86">
            <v>0</v>
          </cell>
          <cell r="BL86">
            <v>0</v>
          </cell>
          <cell r="BM86">
            <v>3.06</v>
          </cell>
          <cell r="BN86">
            <v>0</v>
          </cell>
          <cell r="BO86">
            <v>-3.06</v>
          </cell>
          <cell r="BP86">
            <v>0</v>
          </cell>
          <cell r="BU86">
            <v>0</v>
          </cell>
        </row>
        <row r="87">
          <cell r="D87" t="str">
            <v>陈作活</v>
          </cell>
          <cell r="E87" t="str">
            <v>男</v>
          </cell>
          <cell r="F87" t="str">
            <v>445381199801184033</v>
          </cell>
          <cell r="G87" t="str">
            <v>直工</v>
          </cell>
          <cell r="H87" t="str">
            <v>五金二楼</v>
          </cell>
          <cell r="I87" t="str">
            <v>作业员</v>
          </cell>
          <cell r="J87">
            <v>43542</v>
          </cell>
          <cell r="M87">
            <v>21</v>
          </cell>
          <cell r="N87">
            <v>21</v>
          </cell>
          <cell r="O87">
            <v>57.5</v>
          </cell>
          <cell r="P87">
            <v>89</v>
          </cell>
          <cell r="S87">
            <v>1950</v>
          </cell>
          <cell r="T87">
            <v>1720</v>
          </cell>
          <cell r="U87">
            <v>1720</v>
          </cell>
          <cell r="V87">
            <v>150</v>
          </cell>
          <cell r="W87">
            <v>150</v>
          </cell>
          <cell r="Z87">
            <v>14.83</v>
          </cell>
          <cell r="AA87">
            <v>853</v>
          </cell>
          <cell r="AB87">
            <v>19.77</v>
          </cell>
          <cell r="AC87">
            <v>1760</v>
          </cell>
          <cell r="AG87">
            <v>80</v>
          </cell>
          <cell r="AI87">
            <v>0</v>
          </cell>
          <cell r="AK87">
            <v>4563</v>
          </cell>
          <cell r="AL87">
            <v>0</v>
          </cell>
          <cell r="AN87">
            <v>21595</v>
          </cell>
          <cell r="AO87">
            <v>40000</v>
          </cell>
          <cell r="AP87">
            <v>0</v>
          </cell>
          <cell r="AQ87">
            <v>0</v>
          </cell>
          <cell r="AR87">
            <v>0</v>
          </cell>
          <cell r="AU87">
            <v>0</v>
          </cell>
          <cell r="AV87">
            <v>26158</v>
          </cell>
          <cell r="AW87">
            <v>45000</v>
          </cell>
          <cell r="AX87">
            <v>-18842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D87">
            <v>0</v>
          </cell>
          <cell r="BE87">
            <v>4563</v>
          </cell>
          <cell r="BF87">
            <v>4563</v>
          </cell>
          <cell r="BG87">
            <v>0</v>
          </cell>
          <cell r="BI87" t="str">
            <v>621 4391 8800 3036 3504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U87">
            <v>0</v>
          </cell>
        </row>
        <row r="88">
          <cell r="D88" t="str">
            <v>万金炎</v>
          </cell>
          <cell r="E88" t="str">
            <v>男</v>
          </cell>
          <cell r="F88" t="str">
            <v>421081199502081890</v>
          </cell>
          <cell r="G88" t="str">
            <v>直工</v>
          </cell>
          <cell r="H88" t="str">
            <v>五金二楼</v>
          </cell>
          <cell r="I88" t="str">
            <v>作业员</v>
          </cell>
          <cell r="J88">
            <v>43533</v>
          </cell>
          <cell r="M88">
            <v>21</v>
          </cell>
          <cell r="N88">
            <v>17</v>
          </cell>
          <cell r="O88">
            <v>19</v>
          </cell>
          <cell r="P88">
            <v>32</v>
          </cell>
          <cell r="S88">
            <v>1950</v>
          </cell>
          <cell r="T88">
            <v>1720</v>
          </cell>
          <cell r="U88">
            <v>1392</v>
          </cell>
          <cell r="V88">
            <v>150</v>
          </cell>
          <cell r="W88">
            <v>121</v>
          </cell>
          <cell r="Z88">
            <v>14.83</v>
          </cell>
          <cell r="AA88">
            <v>282</v>
          </cell>
          <cell r="AB88">
            <v>19.77</v>
          </cell>
          <cell r="AC88">
            <v>633</v>
          </cell>
          <cell r="AI88">
            <v>0</v>
          </cell>
          <cell r="AK88">
            <v>2428</v>
          </cell>
          <cell r="AL88">
            <v>0</v>
          </cell>
          <cell r="AN88">
            <v>15518</v>
          </cell>
          <cell r="AO88">
            <v>35000</v>
          </cell>
          <cell r="AP88">
            <v>0</v>
          </cell>
          <cell r="AQ88">
            <v>0</v>
          </cell>
          <cell r="AR88">
            <v>0</v>
          </cell>
          <cell r="AU88">
            <v>0</v>
          </cell>
          <cell r="AV88">
            <v>17946</v>
          </cell>
          <cell r="AW88">
            <v>40000</v>
          </cell>
          <cell r="AX88">
            <v>-22054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D88">
            <v>0</v>
          </cell>
          <cell r="BE88">
            <v>2428</v>
          </cell>
          <cell r="BF88">
            <v>2428</v>
          </cell>
          <cell r="BG88">
            <v>0</v>
          </cell>
          <cell r="BI88" t="str">
            <v>621 4391 8800 2886 1915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U88">
            <v>0</v>
          </cell>
        </row>
        <row r="89">
          <cell r="D89" t="str">
            <v>粟艺强</v>
          </cell>
          <cell r="E89" t="str">
            <v>男</v>
          </cell>
          <cell r="F89" t="str">
            <v>450821200112190810</v>
          </cell>
          <cell r="G89" t="str">
            <v>直工</v>
          </cell>
          <cell r="H89" t="str">
            <v>五金二楼</v>
          </cell>
          <cell r="I89" t="str">
            <v>作业员</v>
          </cell>
          <cell r="J89">
            <v>43526</v>
          </cell>
          <cell r="M89">
            <v>21</v>
          </cell>
          <cell r="N89">
            <v>21</v>
          </cell>
          <cell r="O89">
            <v>59</v>
          </cell>
          <cell r="P89">
            <v>97</v>
          </cell>
          <cell r="S89">
            <v>1950</v>
          </cell>
          <cell r="T89">
            <v>1720</v>
          </cell>
          <cell r="U89">
            <v>1720</v>
          </cell>
          <cell r="V89">
            <v>150</v>
          </cell>
          <cell r="W89">
            <v>150</v>
          </cell>
          <cell r="Z89">
            <v>14.83</v>
          </cell>
          <cell r="AA89">
            <v>875</v>
          </cell>
          <cell r="AB89">
            <v>19.77</v>
          </cell>
          <cell r="AC89">
            <v>1918</v>
          </cell>
          <cell r="AG89">
            <v>80</v>
          </cell>
          <cell r="AI89">
            <v>0</v>
          </cell>
          <cell r="AK89">
            <v>4743</v>
          </cell>
          <cell r="AL89">
            <v>0</v>
          </cell>
          <cell r="AN89">
            <v>28280.34</v>
          </cell>
          <cell r="AO89">
            <v>35000</v>
          </cell>
          <cell r="AP89">
            <v>0</v>
          </cell>
          <cell r="AQ89">
            <v>0</v>
          </cell>
          <cell r="AR89">
            <v>0</v>
          </cell>
          <cell r="AU89">
            <v>0</v>
          </cell>
          <cell r="AV89">
            <v>33038.17</v>
          </cell>
          <cell r="AW89">
            <v>40000</v>
          </cell>
          <cell r="AX89">
            <v>-6961.83</v>
          </cell>
          <cell r="AY89">
            <v>0</v>
          </cell>
          <cell r="AZ89">
            <v>0</v>
          </cell>
          <cell r="BA89">
            <v>0</v>
          </cell>
          <cell r="BB89">
            <v>14.83</v>
          </cell>
          <cell r="BD89">
            <v>15</v>
          </cell>
          <cell r="BE89">
            <v>4758</v>
          </cell>
          <cell r="BF89">
            <v>4758</v>
          </cell>
          <cell r="BG89">
            <v>0</v>
          </cell>
          <cell r="BI89" t="str">
            <v>621 4391 8800 3054 6553</v>
          </cell>
          <cell r="BK89">
            <v>0.93</v>
          </cell>
          <cell r="BL89">
            <v>2.16</v>
          </cell>
          <cell r="BM89">
            <v>17.82</v>
          </cell>
          <cell r="BN89">
            <v>0</v>
          </cell>
          <cell r="BO89">
            <v>-20.91</v>
          </cell>
          <cell r="BP89">
            <v>0</v>
          </cell>
          <cell r="BU89">
            <v>0</v>
          </cell>
        </row>
        <row r="90">
          <cell r="D90" t="str">
            <v>叶祖祯</v>
          </cell>
          <cell r="E90" t="str">
            <v>男</v>
          </cell>
          <cell r="F90" t="str">
            <v>450923199401224012</v>
          </cell>
          <cell r="G90" t="str">
            <v>直工</v>
          </cell>
          <cell r="H90" t="str">
            <v>五金二楼</v>
          </cell>
          <cell r="I90" t="str">
            <v>作业员</v>
          </cell>
          <cell r="J90">
            <v>43528</v>
          </cell>
          <cell r="M90">
            <v>21</v>
          </cell>
          <cell r="N90">
            <v>18</v>
          </cell>
          <cell r="O90">
            <v>45.5</v>
          </cell>
          <cell r="P90">
            <v>97.5</v>
          </cell>
          <cell r="S90">
            <v>1950</v>
          </cell>
          <cell r="T90">
            <v>1720</v>
          </cell>
          <cell r="U90">
            <v>1474</v>
          </cell>
          <cell r="V90">
            <v>150</v>
          </cell>
          <cell r="W90">
            <v>129</v>
          </cell>
          <cell r="Z90">
            <v>14.83</v>
          </cell>
          <cell r="AA90">
            <v>675</v>
          </cell>
          <cell r="AB90">
            <v>19.77</v>
          </cell>
          <cell r="AC90">
            <v>1928</v>
          </cell>
          <cell r="AI90">
            <v>442</v>
          </cell>
          <cell r="AK90">
            <v>4648</v>
          </cell>
          <cell r="AL90">
            <v>0</v>
          </cell>
          <cell r="AN90">
            <v>24202</v>
          </cell>
          <cell r="AO90">
            <v>35000</v>
          </cell>
          <cell r="AP90">
            <v>0</v>
          </cell>
          <cell r="AQ90">
            <v>0</v>
          </cell>
          <cell r="AR90">
            <v>0</v>
          </cell>
          <cell r="AU90">
            <v>0</v>
          </cell>
          <cell r="AV90">
            <v>28850</v>
          </cell>
          <cell r="AW90">
            <v>40000</v>
          </cell>
          <cell r="AX90">
            <v>-11150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D90">
            <v>0</v>
          </cell>
          <cell r="BE90">
            <v>4648</v>
          </cell>
          <cell r="BF90">
            <v>4648</v>
          </cell>
          <cell r="BG90">
            <v>0</v>
          </cell>
          <cell r="BI90" t="str">
            <v>621 4391 8800 3036 3496</v>
          </cell>
          <cell r="BK90">
            <v>0</v>
          </cell>
          <cell r="BL90">
            <v>2.61</v>
          </cell>
          <cell r="BM90">
            <v>0</v>
          </cell>
          <cell r="BN90">
            <v>0</v>
          </cell>
          <cell r="BO90">
            <v>-2.61</v>
          </cell>
          <cell r="BP90">
            <v>0</v>
          </cell>
          <cell r="BU90">
            <v>0</v>
          </cell>
        </row>
        <row r="91">
          <cell r="D91" t="str">
            <v>潘军</v>
          </cell>
          <cell r="E91" t="str">
            <v>男</v>
          </cell>
          <cell r="F91" t="str">
            <v>500236199102087554</v>
          </cell>
          <cell r="G91" t="str">
            <v>直工</v>
          </cell>
          <cell r="H91" t="str">
            <v>五金二楼</v>
          </cell>
          <cell r="I91" t="str">
            <v>作业员</v>
          </cell>
          <cell r="J91">
            <v>43574</v>
          </cell>
          <cell r="M91">
            <v>21</v>
          </cell>
          <cell r="N91">
            <v>21</v>
          </cell>
          <cell r="O91">
            <v>65</v>
          </cell>
          <cell r="P91">
            <v>93</v>
          </cell>
          <cell r="S91">
            <v>2150</v>
          </cell>
          <cell r="T91">
            <v>1720</v>
          </cell>
          <cell r="U91">
            <v>1720</v>
          </cell>
          <cell r="V91">
            <v>350</v>
          </cell>
          <cell r="W91">
            <v>350</v>
          </cell>
          <cell r="Z91">
            <v>14.83</v>
          </cell>
          <cell r="AA91">
            <v>964</v>
          </cell>
          <cell r="AB91">
            <v>19.77</v>
          </cell>
          <cell r="AC91">
            <v>1839</v>
          </cell>
          <cell r="AG91">
            <v>80</v>
          </cell>
          <cell r="AI91">
            <v>0</v>
          </cell>
          <cell r="AK91">
            <v>4953</v>
          </cell>
          <cell r="AL91">
            <v>0</v>
          </cell>
          <cell r="AN91">
            <v>19070.72</v>
          </cell>
          <cell r="AO91">
            <v>30000</v>
          </cell>
          <cell r="AP91">
            <v>0</v>
          </cell>
          <cell r="AQ91">
            <v>0</v>
          </cell>
          <cell r="AR91">
            <v>0</v>
          </cell>
          <cell r="AU91">
            <v>0</v>
          </cell>
          <cell r="AV91">
            <v>23947.81</v>
          </cell>
          <cell r="AW91">
            <v>35000</v>
          </cell>
          <cell r="AX91">
            <v>-11052.19</v>
          </cell>
          <cell r="AY91">
            <v>0</v>
          </cell>
          <cell r="AZ91">
            <v>0</v>
          </cell>
          <cell r="BA91">
            <v>-75.91</v>
          </cell>
          <cell r="BB91">
            <v>0</v>
          </cell>
          <cell r="BD91">
            <v>-76</v>
          </cell>
          <cell r="BE91">
            <v>4877</v>
          </cell>
          <cell r="BF91">
            <v>4877</v>
          </cell>
          <cell r="BG91">
            <v>0</v>
          </cell>
          <cell r="BI91" t="str">
            <v>621 4391 8800 3036 3553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U91">
            <v>0</v>
          </cell>
        </row>
        <row r="92">
          <cell r="D92" t="str">
            <v>甘立成</v>
          </cell>
          <cell r="E92" t="str">
            <v>男</v>
          </cell>
          <cell r="F92" t="str">
            <v>452123198105183176</v>
          </cell>
          <cell r="G92" t="str">
            <v>直工</v>
          </cell>
          <cell r="H92" t="str">
            <v>五金二楼</v>
          </cell>
          <cell r="I92" t="str">
            <v>作业员</v>
          </cell>
          <cell r="J92">
            <v>43574</v>
          </cell>
          <cell r="M92">
            <v>21</v>
          </cell>
          <cell r="N92">
            <v>21</v>
          </cell>
          <cell r="O92">
            <v>80.5</v>
          </cell>
          <cell r="P92">
            <v>100.5</v>
          </cell>
          <cell r="S92">
            <v>1950</v>
          </cell>
          <cell r="T92">
            <v>1720</v>
          </cell>
          <cell r="U92">
            <v>1720</v>
          </cell>
          <cell r="V92">
            <v>150</v>
          </cell>
          <cell r="W92">
            <v>150</v>
          </cell>
          <cell r="Z92">
            <v>14.83</v>
          </cell>
          <cell r="AA92">
            <v>1194</v>
          </cell>
          <cell r="AB92">
            <v>19.77</v>
          </cell>
          <cell r="AC92">
            <v>1987</v>
          </cell>
          <cell r="AG92">
            <v>80</v>
          </cell>
          <cell r="AI92">
            <v>0</v>
          </cell>
          <cell r="AK92">
            <v>5131</v>
          </cell>
          <cell r="AL92">
            <v>0</v>
          </cell>
          <cell r="AN92">
            <v>17474</v>
          </cell>
          <cell r="AO92">
            <v>30000</v>
          </cell>
          <cell r="AP92">
            <v>0</v>
          </cell>
          <cell r="AQ92">
            <v>0</v>
          </cell>
          <cell r="AR92">
            <v>0</v>
          </cell>
          <cell r="AU92">
            <v>0</v>
          </cell>
          <cell r="AV92">
            <v>22595</v>
          </cell>
          <cell r="AW92">
            <v>35000</v>
          </cell>
          <cell r="AX92">
            <v>-12405</v>
          </cell>
          <cell r="AY92">
            <v>0</v>
          </cell>
          <cell r="AZ92">
            <v>0</v>
          </cell>
          <cell r="BA92">
            <v>0</v>
          </cell>
          <cell r="BB92">
            <v>-10</v>
          </cell>
          <cell r="BD92">
            <v>-10</v>
          </cell>
          <cell r="BE92">
            <v>5121</v>
          </cell>
          <cell r="BF92">
            <v>5121</v>
          </cell>
          <cell r="BG92">
            <v>0</v>
          </cell>
          <cell r="BI92" t="str">
            <v>621 4391 8800 3036 3561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U92">
            <v>0</v>
          </cell>
        </row>
        <row r="93">
          <cell r="D93" t="str">
            <v>覃茂</v>
          </cell>
          <cell r="E93" t="str">
            <v>男</v>
          </cell>
          <cell r="F93" t="str">
            <v>452226198301051335</v>
          </cell>
          <cell r="G93" t="str">
            <v>直工</v>
          </cell>
          <cell r="H93" t="str">
            <v>五金二楼</v>
          </cell>
          <cell r="I93" t="str">
            <v>作业员</v>
          </cell>
          <cell r="J93">
            <v>43578</v>
          </cell>
          <cell r="M93">
            <v>21</v>
          </cell>
          <cell r="N93">
            <v>21</v>
          </cell>
          <cell r="O93">
            <v>80.5</v>
          </cell>
          <cell r="P93">
            <v>75</v>
          </cell>
          <cell r="S93">
            <v>1950</v>
          </cell>
          <cell r="T93">
            <v>1720</v>
          </cell>
          <cell r="U93">
            <v>1720</v>
          </cell>
          <cell r="V93">
            <v>150</v>
          </cell>
          <cell r="W93">
            <v>150</v>
          </cell>
          <cell r="Z93">
            <v>14.83</v>
          </cell>
          <cell r="AA93">
            <v>1194</v>
          </cell>
          <cell r="AB93">
            <v>19.77</v>
          </cell>
          <cell r="AC93">
            <v>1483</v>
          </cell>
          <cell r="AG93">
            <v>80</v>
          </cell>
          <cell r="AI93">
            <v>0</v>
          </cell>
          <cell r="AK93">
            <v>4627</v>
          </cell>
          <cell r="AL93">
            <v>0</v>
          </cell>
          <cell r="AN93">
            <v>17997</v>
          </cell>
          <cell r="AO93">
            <v>30000</v>
          </cell>
          <cell r="AP93">
            <v>0</v>
          </cell>
          <cell r="AQ93">
            <v>0</v>
          </cell>
          <cell r="AR93">
            <v>0</v>
          </cell>
          <cell r="AU93">
            <v>0</v>
          </cell>
          <cell r="AV93">
            <v>22624</v>
          </cell>
          <cell r="AW93">
            <v>35000</v>
          </cell>
          <cell r="AX93">
            <v>-12376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D93">
            <v>0</v>
          </cell>
          <cell r="BE93">
            <v>4627</v>
          </cell>
          <cell r="BF93">
            <v>4627</v>
          </cell>
          <cell r="BG93">
            <v>0</v>
          </cell>
          <cell r="BI93" t="str">
            <v>621 4391 8800 3036 3470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U93">
            <v>0</v>
          </cell>
        </row>
        <row r="94">
          <cell r="D94" t="str">
            <v>黄裕兰</v>
          </cell>
          <cell r="E94" t="str">
            <v>女</v>
          </cell>
          <cell r="F94" t="str">
            <v>44098219860814366X</v>
          </cell>
          <cell r="G94" t="str">
            <v>直工</v>
          </cell>
          <cell r="H94" t="str">
            <v>五金二楼</v>
          </cell>
          <cell r="I94" t="str">
            <v>作业员</v>
          </cell>
          <cell r="J94">
            <v>43579</v>
          </cell>
          <cell r="M94">
            <v>21</v>
          </cell>
          <cell r="N94">
            <v>20</v>
          </cell>
          <cell r="O94">
            <v>68</v>
          </cell>
          <cell r="P94">
            <v>81.5</v>
          </cell>
          <cell r="S94">
            <v>1950</v>
          </cell>
          <cell r="T94">
            <v>1720</v>
          </cell>
          <cell r="U94">
            <v>1638</v>
          </cell>
          <cell r="V94">
            <v>150</v>
          </cell>
          <cell r="W94">
            <v>143</v>
          </cell>
          <cell r="Z94">
            <v>14.83</v>
          </cell>
          <cell r="AA94">
            <v>1008</v>
          </cell>
          <cell r="AB94">
            <v>19.77</v>
          </cell>
          <cell r="AC94">
            <v>1611</v>
          </cell>
          <cell r="AI94">
            <v>0</v>
          </cell>
          <cell r="AK94">
            <v>4400</v>
          </cell>
          <cell r="AL94">
            <v>0</v>
          </cell>
          <cell r="AN94">
            <v>14862</v>
          </cell>
          <cell r="AO94">
            <v>30000</v>
          </cell>
          <cell r="AP94">
            <v>0</v>
          </cell>
          <cell r="AQ94">
            <v>0</v>
          </cell>
          <cell r="AR94">
            <v>0</v>
          </cell>
          <cell r="AU94">
            <v>0</v>
          </cell>
          <cell r="AV94">
            <v>19462</v>
          </cell>
          <cell r="AW94">
            <v>35000</v>
          </cell>
          <cell r="AX94">
            <v>-15538</v>
          </cell>
          <cell r="AY94">
            <v>0</v>
          </cell>
          <cell r="AZ94">
            <v>0</v>
          </cell>
          <cell r="BA94">
            <v>0</v>
          </cell>
          <cell r="BB94">
            <v>200</v>
          </cell>
          <cell r="BD94">
            <v>200</v>
          </cell>
          <cell r="BE94">
            <v>4600</v>
          </cell>
          <cell r="BF94">
            <v>4600</v>
          </cell>
          <cell r="BG94">
            <v>0</v>
          </cell>
          <cell r="BI94" t="str">
            <v>6214391880030638798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U94">
            <v>0</v>
          </cell>
        </row>
        <row r="95">
          <cell r="D95" t="str">
            <v>莫思海</v>
          </cell>
          <cell r="E95" t="str">
            <v>男</v>
          </cell>
          <cell r="F95" t="str">
            <v>450923199611284590</v>
          </cell>
          <cell r="G95" t="str">
            <v>直工</v>
          </cell>
          <cell r="H95" t="str">
            <v>五金二楼</v>
          </cell>
          <cell r="I95" t="str">
            <v>作业员</v>
          </cell>
          <cell r="J95">
            <v>43582</v>
          </cell>
          <cell r="M95">
            <v>21</v>
          </cell>
          <cell r="N95">
            <v>18.2</v>
          </cell>
          <cell r="O95">
            <v>51</v>
          </cell>
          <cell r="P95">
            <v>82.5</v>
          </cell>
          <cell r="S95">
            <v>2350</v>
          </cell>
          <cell r="T95">
            <v>1720</v>
          </cell>
          <cell r="U95">
            <v>1491</v>
          </cell>
          <cell r="V95">
            <v>550</v>
          </cell>
          <cell r="W95">
            <v>477</v>
          </cell>
          <cell r="Z95">
            <v>14.83</v>
          </cell>
          <cell r="AA95">
            <v>756</v>
          </cell>
          <cell r="AB95">
            <v>19.77</v>
          </cell>
          <cell r="AC95">
            <v>1631</v>
          </cell>
          <cell r="AI95">
            <v>425</v>
          </cell>
          <cell r="AK95">
            <v>4780</v>
          </cell>
          <cell r="AL95">
            <v>0</v>
          </cell>
          <cell r="AN95">
            <v>17125</v>
          </cell>
          <cell r="AO95">
            <v>30000</v>
          </cell>
          <cell r="AP95">
            <v>0</v>
          </cell>
          <cell r="AQ95">
            <v>0</v>
          </cell>
          <cell r="AR95">
            <v>0</v>
          </cell>
          <cell r="AU95">
            <v>0</v>
          </cell>
          <cell r="AV95">
            <v>21905</v>
          </cell>
          <cell r="AW95">
            <v>35000</v>
          </cell>
          <cell r="AX95">
            <v>-13095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D95">
            <v>0</v>
          </cell>
          <cell r="BE95">
            <v>4780</v>
          </cell>
          <cell r="BF95">
            <v>4780</v>
          </cell>
          <cell r="BG95">
            <v>0</v>
          </cell>
          <cell r="BI95" t="str">
            <v>621 4391 8800 3054 6488</v>
          </cell>
          <cell r="BK95">
            <v>0</v>
          </cell>
          <cell r="BL95">
            <v>0</v>
          </cell>
          <cell r="BM95">
            <v>2.28</v>
          </cell>
          <cell r="BN95">
            <v>0</v>
          </cell>
          <cell r="BO95">
            <v>-2.28</v>
          </cell>
          <cell r="BP95">
            <v>0</v>
          </cell>
          <cell r="BU95">
            <v>0</v>
          </cell>
        </row>
        <row r="96">
          <cell r="D96" t="str">
            <v>陈豪</v>
          </cell>
          <cell r="E96" t="str">
            <v>男</v>
          </cell>
          <cell r="F96" t="str">
            <v>411381199807063014</v>
          </cell>
          <cell r="G96" t="str">
            <v>直工</v>
          </cell>
          <cell r="H96" t="str">
            <v>五金二楼</v>
          </cell>
          <cell r="I96" t="str">
            <v>作业员</v>
          </cell>
          <cell r="J96">
            <v>43582</v>
          </cell>
          <cell r="M96">
            <v>21</v>
          </cell>
          <cell r="N96">
            <v>20.4</v>
          </cell>
          <cell r="O96">
            <v>53</v>
          </cell>
          <cell r="P96">
            <v>90</v>
          </cell>
          <cell r="S96">
            <v>1950</v>
          </cell>
          <cell r="T96">
            <v>1720</v>
          </cell>
          <cell r="U96">
            <v>1671</v>
          </cell>
          <cell r="V96">
            <v>150</v>
          </cell>
          <cell r="W96">
            <v>146</v>
          </cell>
          <cell r="Z96">
            <v>14.83</v>
          </cell>
          <cell r="AA96">
            <v>786</v>
          </cell>
          <cell r="AB96">
            <v>19.77</v>
          </cell>
          <cell r="AC96">
            <v>1779</v>
          </cell>
          <cell r="AG96">
            <v>40</v>
          </cell>
          <cell r="AI96">
            <v>493</v>
          </cell>
          <cell r="AK96">
            <v>4915</v>
          </cell>
          <cell r="AL96">
            <v>0</v>
          </cell>
          <cell r="AN96">
            <v>16626</v>
          </cell>
          <cell r="AO96">
            <v>30000</v>
          </cell>
          <cell r="AP96">
            <v>0</v>
          </cell>
          <cell r="AQ96">
            <v>0</v>
          </cell>
          <cell r="AR96">
            <v>0</v>
          </cell>
          <cell r="AU96">
            <v>0</v>
          </cell>
          <cell r="AV96">
            <v>21541</v>
          </cell>
          <cell r="AW96">
            <v>35000</v>
          </cell>
          <cell r="AX96">
            <v>-13459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D96">
            <v>0</v>
          </cell>
          <cell r="BE96">
            <v>4915</v>
          </cell>
          <cell r="BF96">
            <v>4915</v>
          </cell>
          <cell r="BG96">
            <v>0</v>
          </cell>
          <cell r="BI96" t="str">
            <v>621 4391 8800 3036 3918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U96">
            <v>0</v>
          </cell>
        </row>
        <row r="97">
          <cell r="D97" t="str">
            <v>刘金周</v>
          </cell>
          <cell r="E97" t="str">
            <v>男</v>
          </cell>
          <cell r="F97" t="str">
            <v>452226197906172135</v>
          </cell>
          <cell r="G97" t="str">
            <v>直工</v>
          </cell>
          <cell r="H97" t="str">
            <v>五金二楼</v>
          </cell>
          <cell r="I97" t="str">
            <v>作业员</v>
          </cell>
          <cell r="J97">
            <v>43609</v>
          </cell>
          <cell r="M97">
            <v>21</v>
          </cell>
          <cell r="N97">
            <v>20.5</v>
          </cell>
          <cell r="O97">
            <v>66</v>
          </cell>
          <cell r="P97">
            <v>96</v>
          </cell>
          <cell r="S97">
            <v>1950</v>
          </cell>
          <cell r="T97">
            <v>1720</v>
          </cell>
          <cell r="U97">
            <v>1679</v>
          </cell>
          <cell r="V97">
            <v>150</v>
          </cell>
          <cell r="W97">
            <v>146</v>
          </cell>
          <cell r="Z97">
            <v>14.83</v>
          </cell>
          <cell r="AA97">
            <v>979</v>
          </cell>
          <cell r="AB97">
            <v>19.77</v>
          </cell>
          <cell r="AC97">
            <v>1898</v>
          </cell>
          <cell r="AG97">
            <v>40</v>
          </cell>
          <cell r="AI97">
            <v>0</v>
          </cell>
          <cell r="AK97">
            <v>4742</v>
          </cell>
          <cell r="AL97">
            <v>0</v>
          </cell>
          <cell r="AN97">
            <v>11586.77</v>
          </cell>
          <cell r="AO97">
            <v>25000</v>
          </cell>
          <cell r="AP97">
            <v>0</v>
          </cell>
          <cell r="AQ97">
            <v>0</v>
          </cell>
          <cell r="AR97">
            <v>0</v>
          </cell>
          <cell r="AU97">
            <v>0</v>
          </cell>
          <cell r="AV97">
            <v>16314.81</v>
          </cell>
          <cell r="AW97">
            <v>30000</v>
          </cell>
          <cell r="AX97">
            <v>-13685.19</v>
          </cell>
          <cell r="AY97">
            <v>0</v>
          </cell>
          <cell r="AZ97">
            <v>0</v>
          </cell>
          <cell r="BA97">
            <v>-13.96</v>
          </cell>
          <cell r="BB97">
            <v>0</v>
          </cell>
          <cell r="BD97">
            <v>-14</v>
          </cell>
          <cell r="BE97">
            <v>4728</v>
          </cell>
          <cell r="BF97">
            <v>4728</v>
          </cell>
          <cell r="BG97">
            <v>0</v>
          </cell>
          <cell r="BI97" t="str">
            <v>621 4391 8800 3036 3512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U97">
            <v>0</v>
          </cell>
        </row>
        <row r="98">
          <cell r="D98" t="str">
            <v>周清</v>
          </cell>
          <cell r="E98" t="str">
            <v>女</v>
          </cell>
          <cell r="F98" t="str">
            <v>513022198911014209</v>
          </cell>
          <cell r="G98" t="str">
            <v>直工</v>
          </cell>
          <cell r="H98" t="str">
            <v>五金二楼</v>
          </cell>
          <cell r="I98" t="str">
            <v>作业员</v>
          </cell>
          <cell r="J98">
            <v>43605</v>
          </cell>
          <cell r="M98">
            <v>21</v>
          </cell>
          <cell r="N98">
            <v>19.5</v>
          </cell>
          <cell r="O98">
            <v>77.5</v>
          </cell>
          <cell r="P98">
            <v>87</v>
          </cell>
          <cell r="S98">
            <v>1950</v>
          </cell>
          <cell r="T98">
            <v>1720</v>
          </cell>
          <cell r="U98">
            <v>1597</v>
          </cell>
          <cell r="V98">
            <v>150</v>
          </cell>
          <cell r="W98">
            <v>139</v>
          </cell>
          <cell r="Z98">
            <v>14.83</v>
          </cell>
          <cell r="AA98">
            <v>1149</v>
          </cell>
          <cell r="AB98">
            <v>19.77</v>
          </cell>
          <cell r="AC98">
            <v>1720</v>
          </cell>
          <cell r="AG98">
            <v>80</v>
          </cell>
          <cell r="AI98">
            <v>0</v>
          </cell>
          <cell r="AK98">
            <v>4685</v>
          </cell>
          <cell r="AL98">
            <v>0</v>
          </cell>
          <cell r="AN98">
            <v>15252</v>
          </cell>
          <cell r="AO98">
            <v>25000</v>
          </cell>
          <cell r="AP98">
            <v>0</v>
          </cell>
          <cell r="AQ98">
            <v>0</v>
          </cell>
          <cell r="AR98">
            <v>0</v>
          </cell>
          <cell r="AU98">
            <v>0</v>
          </cell>
          <cell r="AV98">
            <v>19937</v>
          </cell>
          <cell r="AW98">
            <v>30000</v>
          </cell>
          <cell r="AX98">
            <v>-10063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D98">
            <v>0</v>
          </cell>
          <cell r="BE98">
            <v>4685</v>
          </cell>
          <cell r="BF98">
            <v>4685</v>
          </cell>
          <cell r="BG98">
            <v>0</v>
          </cell>
          <cell r="BI98" t="str">
            <v>6214391880030773454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U98">
            <v>0</v>
          </cell>
        </row>
        <row r="99">
          <cell r="D99" t="str">
            <v>吴秋明</v>
          </cell>
          <cell r="E99" t="str">
            <v>男</v>
          </cell>
          <cell r="F99" t="str">
            <v>440882199212210650</v>
          </cell>
          <cell r="G99" t="str">
            <v>直工</v>
          </cell>
          <cell r="H99" t="str">
            <v>五金二楼</v>
          </cell>
          <cell r="I99" t="str">
            <v>作业员</v>
          </cell>
          <cell r="J99">
            <v>43604</v>
          </cell>
          <cell r="M99">
            <v>21</v>
          </cell>
          <cell r="N99">
            <v>21</v>
          </cell>
          <cell r="O99">
            <v>43.5</v>
          </cell>
          <cell r="P99">
            <v>97.5</v>
          </cell>
          <cell r="S99">
            <v>1950</v>
          </cell>
          <cell r="T99">
            <v>1720</v>
          </cell>
          <cell r="U99">
            <v>1720</v>
          </cell>
          <cell r="V99">
            <v>150</v>
          </cell>
          <cell r="W99">
            <v>150</v>
          </cell>
          <cell r="Z99">
            <v>14.83</v>
          </cell>
          <cell r="AA99">
            <v>645</v>
          </cell>
          <cell r="AB99">
            <v>19.77</v>
          </cell>
          <cell r="AC99">
            <v>1928</v>
          </cell>
          <cell r="AG99">
            <v>80</v>
          </cell>
          <cell r="AI99">
            <v>493</v>
          </cell>
          <cell r="AK99">
            <v>5016</v>
          </cell>
          <cell r="AL99">
            <v>0</v>
          </cell>
          <cell r="AN99">
            <v>10643.6659090909</v>
          </cell>
          <cell r="AO99">
            <v>25000</v>
          </cell>
          <cell r="AP99">
            <v>0</v>
          </cell>
          <cell r="AQ99">
            <v>0</v>
          </cell>
          <cell r="AR99">
            <v>0</v>
          </cell>
          <cell r="AU99">
            <v>0</v>
          </cell>
          <cell r="AV99">
            <v>15659.6659090909</v>
          </cell>
          <cell r="AW99">
            <v>30000</v>
          </cell>
          <cell r="AX99">
            <v>-14340.3340909091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D99">
            <v>0</v>
          </cell>
          <cell r="BE99">
            <v>5016</v>
          </cell>
          <cell r="BF99">
            <v>5016</v>
          </cell>
          <cell r="BG99">
            <v>0</v>
          </cell>
          <cell r="BI99" t="str">
            <v>621 4391 8800 3036 3405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U99">
            <v>0</v>
          </cell>
        </row>
        <row r="100">
          <cell r="D100" t="str">
            <v>李柏业</v>
          </cell>
          <cell r="E100" t="str">
            <v>男</v>
          </cell>
          <cell r="F100" t="str">
            <v>450922199708203519</v>
          </cell>
          <cell r="G100" t="str">
            <v>直工</v>
          </cell>
          <cell r="H100" t="str">
            <v>五金二楼</v>
          </cell>
          <cell r="I100" t="str">
            <v>作业员</v>
          </cell>
          <cell r="J100">
            <v>43607</v>
          </cell>
          <cell r="M100">
            <v>21</v>
          </cell>
          <cell r="N100">
            <v>21</v>
          </cell>
          <cell r="O100">
            <v>60</v>
          </cell>
          <cell r="P100">
            <v>83</v>
          </cell>
          <cell r="S100">
            <v>1950</v>
          </cell>
          <cell r="T100">
            <v>1720</v>
          </cell>
          <cell r="U100">
            <v>1720</v>
          </cell>
          <cell r="V100">
            <v>150</v>
          </cell>
          <cell r="W100">
            <v>150</v>
          </cell>
          <cell r="Z100">
            <v>14.83</v>
          </cell>
          <cell r="AA100">
            <v>890</v>
          </cell>
          <cell r="AB100">
            <v>19.77</v>
          </cell>
          <cell r="AC100">
            <v>1641</v>
          </cell>
          <cell r="AG100">
            <v>80</v>
          </cell>
          <cell r="AI100">
            <v>0</v>
          </cell>
          <cell r="AK100">
            <v>4481</v>
          </cell>
          <cell r="AL100">
            <v>0</v>
          </cell>
          <cell r="AN100">
            <v>13622</v>
          </cell>
          <cell r="AO100">
            <v>25000</v>
          </cell>
          <cell r="AP100">
            <v>0</v>
          </cell>
          <cell r="AQ100">
            <v>0</v>
          </cell>
          <cell r="AR100">
            <v>0</v>
          </cell>
          <cell r="AU100">
            <v>0</v>
          </cell>
          <cell r="AV100">
            <v>18103</v>
          </cell>
          <cell r="AW100">
            <v>30000</v>
          </cell>
          <cell r="AX100">
            <v>-11897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D100">
            <v>0</v>
          </cell>
          <cell r="BE100">
            <v>4481</v>
          </cell>
          <cell r="BF100">
            <v>4481</v>
          </cell>
          <cell r="BG100">
            <v>0</v>
          </cell>
          <cell r="BI100" t="str">
            <v>621 4391 8800 1328 0683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U100">
            <v>0</v>
          </cell>
        </row>
        <row r="101">
          <cell r="D101" t="str">
            <v>胡桥英</v>
          </cell>
          <cell r="E101" t="str">
            <v>女</v>
          </cell>
          <cell r="F101" t="str">
            <v>452725198204150703</v>
          </cell>
          <cell r="G101" t="str">
            <v>直工</v>
          </cell>
          <cell r="H101" t="str">
            <v>五金二楼</v>
          </cell>
          <cell r="I101" t="str">
            <v>作业员</v>
          </cell>
          <cell r="J101">
            <v>43600</v>
          </cell>
          <cell r="M101">
            <v>21</v>
          </cell>
          <cell r="N101">
            <v>21</v>
          </cell>
          <cell r="O101">
            <v>63</v>
          </cell>
          <cell r="P101">
            <v>92</v>
          </cell>
          <cell r="S101">
            <v>1950</v>
          </cell>
          <cell r="T101">
            <v>1720</v>
          </cell>
          <cell r="U101">
            <v>1720</v>
          </cell>
          <cell r="V101">
            <v>150</v>
          </cell>
          <cell r="W101">
            <v>150</v>
          </cell>
          <cell r="Z101">
            <v>14.83</v>
          </cell>
          <cell r="AA101">
            <v>934</v>
          </cell>
          <cell r="AB101">
            <v>19.77</v>
          </cell>
          <cell r="AC101">
            <v>1819</v>
          </cell>
          <cell r="AG101">
            <v>80</v>
          </cell>
          <cell r="AI101">
            <v>0</v>
          </cell>
          <cell r="AK101">
            <v>4703</v>
          </cell>
          <cell r="AL101">
            <v>0</v>
          </cell>
          <cell r="AN101">
            <v>13718.8</v>
          </cell>
          <cell r="AO101">
            <v>25000</v>
          </cell>
          <cell r="AP101">
            <v>0</v>
          </cell>
          <cell r="AQ101">
            <v>0</v>
          </cell>
          <cell r="AR101">
            <v>0</v>
          </cell>
          <cell r="AU101">
            <v>0</v>
          </cell>
          <cell r="AV101">
            <v>18341.4</v>
          </cell>
          <cell r="AW101">
            <v>30000</v>
          </cell>
          <cell r="AX101">
            <v>-11658.6</v>
          </cell>
          <cell r="AY101">
            <v>0</v>
          </cell>
          <cell r="AZ101">
            <v>0</v>
          </cell>
          <cell r="BA101">
            <v>-95.23</v>
          </cell>
          <cell r="BB101">
            <v>14.83</v>
          </cell>
          <cell r="BD101">
            <v>-80</v>
          </cell>
          <cell r="BE101">
            <v>4623</v>
          </cell>
          <cell r="BF101">
            <v>4623</v>
          </cell>
          <cell r="BG101">
            <v>0</v>
          </cell>
          <cell r="BI101" t="str">
            <v>621 4391 8800 3036 3892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U101">
            <v>0</v>
          </cell>
        </row>
        <row r="102">
          <cell r="D102" t="str">
            <v>黄和金</v>
          </cell>
          <cell r="E102" t="str">
            <v>男</v>
          </cell>
          <cell r="F102" t="str">
            <v>45092319861109571X</v>
          </cell>
          <cell r="G102" t="str">
            <v>直工</v>
          </cell>
          <cell r="H102" t="str">
            <v>五金二楼</v>
          </cell>
          <cell r="I102" t="str">
            <v>作业员</v>
          </cell>
          <cell r="J102">
            <v>43595</v>
          </cell>
          <cell r="M102">
            <v>21</v>
          </cell>
          <cell r="N102">
            <v>13.6</v>
          </cell>
          <cell r="O102">
            <v>24</v>
          </cell>
          <cell r="P102">
            <v>37</v>
          </cell>
          <cell r="S102">
            <v>1950</v>
          </cell>
          <cell r="T102">
            <v>1720</v>
          </cell>
          <cell r="U102">
            <v>1114</v>
          </cell>
          <cell r="V102">
            <v>150</v>
          </cell>
          <cell r="W102">
            <v>97</v>
          </cell>
          <cell r="Z102">
            <v>14.83</v>
          </cell>
          <cell r="AA102">
            <v>356</v>
          </cell>
          <cell r="AB102">
            <v>19.77</v>
          </cell>
          <cell r="AC102">
            <v>731</v>
          </cell>
          <cell r="AI102">
            <v>0</v>
          </cell>
          <cell r="AK102">
            <v>2298</v>
          </cell>
          <cell r="AL102">
            <v>0</v>
          </cell>
          <cell r="AN102">
            <v>9999</v>
          </cell>
          <cell r="AO102">
            <v>25000</v>
          </cell>
          <cell r="AP102">
            <v>0</v>
          </cell>
          <cell r="AQ102">
            <v>0</v>
          </cell>
          <cell r="AR102">
            <v>0</v>
          </cell>
          <cell r="AU102">
            <v>0</v>
          </cell>
          <cell r="AV102">
            <v>12297</v>
          </cell>
          <cell r="AW102">
            <v>30000</v>
          </cell>
          <cell r="AX102">
            <v>-17703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D102">
            <v>0</v>
          </cell>
          <cell r="BE102">
            <v>2298</v>
          </cell>
          <cell r="BF102">
            <v>2298</v>
          </cell>
          <cell r="BG102">
            <v>0</v>
          </cell>
          <cell r="BI102" t="str">
            <v>621 4391 8800 3274 2259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U102">
            <v>0</v>
          </cell>
        </row>
        <row r="103">
          <cell r="D103" t="str">
            <v>李干呼</v>
          </cell>
          <cell r="E103" t="str">
            <v>男</v>
          </cell>
          <cell r="F103" t="str">
            <v>532529199212091837</v>
          </cell>
          <cell r="G103" t="str">
            <v>直工</v>
          </cell>
          <cell r="H103" t="str">
            <v>五金二楼</v>
          </cell>
          <cell r="M103">
            <v>21</v>
          </cell>
          <cell r="N103">
            <v>21</v>
          </cell>
          <cell r="O103">
            <v>61.5</v>
          </cell>
          <cell r="P103">
            <v>94</v>
          </cell>
          <cell r="S103">
            <v>1950</v>
          </cell>
          <cell r="T103">
            <v>1720</v>
          </cell>
          <cell r="U103">
            <v>1720</v>
          </cell>
          <cell r="V103">
            <v>150</v>
          </cell>
          <cell r="W103">
            <v>150</v>
          </cell>
          <cell r="Z103">
            <v>14.83</v>
          </cell>
          <cell r="AA103">
            <v>912</v>
          </cell>
          <cell r="AB103">
            <v>19.77</v>
          </cell>
          <cell r="AC103">
            <v>1858</v>
          </cell>
          <cell r="AG103">
            <v>80</v>
          </cell>
          <cell r="AI103">
            <v>0</v>
          </cell>
          <cell r="AK103">
            <v>4720</v>
          </cell>
          <cell r="AL103">
            <v>0</v>
          </cell>
          <cell r="AN103">
            <v>6988</v>
          </cell>
          <cell r="AO103">
            <v>10000</v>
          </cell>
          <cell r="AP103">
            <v>0</v>
          </cell>
          <cell r="AQ103">
            <v>0</v>
          </cell>
          <cell r="AR103">
            <v>0</v>
          </cell>
          <cell r="AU103">
            <v>0</v>
          </cell>
          <cell r="AV103">
            <v>11698</v>
          </cell>
          <cell r="AW103">
            <v>15000</v>
          </cell>
          <cell r="AX103">
            <v>-3302</v>
          </cell>
          <cell r="AY103">
            <v>0</v>
          </cell>
          <cell r="AZ103">
            <v>0</v>
          </cell>
          <cell r="BA103">
            <v>0</v>
          </cell>
          <cell r="BB103">
            <v>-10</v>
          </cell>
          <cell r="BD103">
            <v>-10</v>
          </cell>
          <cell r="BE103">
            <v>4710</v>
          </cell>
          <cell r="BF103">
            <v>4710</v>
          </cell>
          <cell r="BG103">
            <v>0</v>
          </cell>
          <cell r="BI103" t="str">
            <v>6214391880031328241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U103">
            <v>0</v>
          </cell>
        </row>
        <row r="104">
          <cell r="D104" t="str">
            <v>陈举发</v>
          </cell>
          <cell r="E104" t="str">
            <v>男</v>
          </cell>
          <cell r="F104" t="str">
            <v>532529199811201831</v>
          </cell>
          <cell r="G104" t="str">
            <v>直工</v>
          </cell>
          <cell r="H104" t="str">
            <v>五金二楼</v>
          </cell>
          <cell r="M104">
            <v>21</v>
          </cell>
          <cell r="N104">
            <v>20</v>
          </cell>
          <cell r="O104">
            <v>64</v>
          </cell>
          <cell r="P104">
            <v>88</v>
          </cell>
          <cell r="S104">
            <v>1950</v>
          </cell>
          <cell r="T104">
            <v>1720</v>
          </cell>
          <cell r="U104">
            <v>1638</v>
          </cell>
          <cell r="V104">
            <v>150</v>
          </cell>
          <cell r="W104">
            <v>143</v>
          </cell>
          <cell r="Z104">
            <v>14.83</v>
          </cell>
          <cell r="AA104">
            <v>949</v>
          </cell>
          <cell r="AB104">
            <v>19.77</v>
          </cell>
          <cell r="AC104">
            <v>1740</v>
          </cell>
          <cell r="AI104">
            <v>0</v>
          </cell>
          <cell r="AK104">
            <v>4470</v>
          </cell>
          <cell r="AL104">
            <v>0</v>
          </cell>
          <cell r="AN104">
            <v>7859</v>
          </cell>
          <cell r="AO104">
            <v>10000</v>
          </cell>
          <cell r="AP104">
            <v>0</v>
          </cell>
          <cell r="AQ104">
            <v>0</v>
          </cell>
          <cell r="AR104">
            <v>0</v>
          </cell>
          <cell r="AU104">
            <v>0</v>
          </cell>
          <cell r="AV104">
            <v>12329</v>
          </cell>
          <cell r="AW104">
            <v>15000</v>
          </cell>
          <cell r="AX104">
            <v>-2671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D104">
            <v>0</v>
          </cell>
          <cell r="BE104">
            <v>4470</v>
          </cell>
          <cell r="BF104">
            <v>4470</v>
          </cell>
          <cell r="BG104">
            <v>0</v>
          </cell>
          <cell r="BI104" t="str">
            <v>6214391880031328258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U104">
            <v>0</v>
          </cell>
        </row>
        <row r="105">
          <cell r="D105" t="str">
            <v>刘环</v>
          </cell>
          <cell r="E105" t="str">
            <v>男</v>
          </cell>
          <cell r="F105" t="str">
            <v>360121199109165854</v>
          </cell>
          <cell r="G105" t="str">
            <v>直工</v>
          </cell>
          <cell r="H105" t="str">
            <v>五金二楼</v>
          </cell>
          <cell r="M105">
            <v>21</v>
          </cell>
          <cell r="N105">
            <v>12.9</v>
          </cell>
          <cell r="O105">
            <v>39</v>
          </cell>
          <cell r="P105">
            <v>87.5</v>
          </cell>
          <cell r="S105">
            <v>1950</v>
          </cell>
          <cell r="T105">
            <v>1720</v>
          </cell>
          <cell r="U105">
            <v>1057</v>
          </cell>
          <cell r="V105">
            <v>150</v>
          </cell>
          <cell r="W105">
            <v>92</v>
          </cell>
          <cell r="Z105">
            <v>14.83</v>
          </cell>
          <cell r="AA105">
            <v>578</v>
          </cell>
          <cell r="AB105">
            <v>19.77</v>
          </cell>
          <cell r="AC105">
            <v>1730</v>
          </cell>
          <cell r="AI105">
            <v>391</v>
          </cell>
          <cell r="AK105">
            <v>3848</v>
          </cell>
          <cell r="AL105">
            <v>0</v>
          </cell>
          <cell r="AN105">
            <v>6592</v>
          </cell>
          <cell r="AO105">
            <v>10000</v>
          </cell>
          <cell r="AP105">
            <v>0</v>
          </cell>
          <cell r="AQ105">
            <v>0</v>
          </cell>
          <cell r="AR105">
            <v>0</v>
          </cell>
          <cell r="AU105">
            <v>0</v>
          </cell>
          <cell r="AV105">
            <v>10440</v>
          </cell>
          <cell r="AW105">
            <v>15000</v>
          </cell>
          <cell r="AX105">
            <v>-4560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D105">
            <v>0</v>
          </cell>
          <cell r="BE105">
            <v>3848</v>
          </cell>
          <cell r="BF105">
            <v>0</v>
          </cell>
          <cell r="BG105">
            <v>3848</v>
          </cell>
          <cell r="BI105" t="str">
            <v>6214391880031801791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U105">
            <v>0</v>
          </cell>
        </row>
        <row r="106">
          <cell r="D106" t="str">
            <v>岑志华</v>
          </cell>
          <cell r="E106" t="str">
            <v>男</v>
          </cell>
          <cell r="F106" t="str">
            <v>451029200106010615</v>
          </cell>
          <cell r="G106" t="str">
            <v>直工</v>
          </cell>
          <cell r="H106" t="str">
            <v>五金二楼</v>
          </cell>
          <cell r="M106">
            <v>21</v>
          </cell>
          <cell r="N106">
            <v>18.5</v>
          </cell>
          <cell r="O106">
            <v>59</v>
          </cell>
          <cell r="P106">
            <v>84</v>
          </cell>
          <cell r="S106">
            <v>1950</v>
          </cell>
          <cell r="T106">
            <v>1720</v>
          </cell>
          <cell r="U106">
            <v>1515</v>
          </cell>
          <cell r="V106">
            <v>150</v>
          </cell>
          <cell r="W106">
            <v>132</v>
          </cell>
          <cell r="Z106">
            <v>14.83</v>
          </cell>
          <cell r="AA106">
            <v>875</v>
          </cell>
          <cell r="AB106">
            <v>19.77</v>
          </cell>
          <cell r="AC106">
            <v>1661</v>
          </cell>
          <cell r="AI106">
            <v>0</v>
          </cell>
          <cell r="AK106">
            <v>4183</v>
          </cell>
          <cell r="AL106">
            <v>0</v>
          </cell>
          <cell r="AN106">
            <v>4438</v>
          </cell>
          <cell r="AO106">
            <v>10000</v>
          </cell>
          <cell r="AP106">
            <v>0</v>
          </cell>
          <cell r="AQ106">
            <v>0</v>
          </cell>
          <cell r="AR106">
            <v>0</v>
          </cell>
          <cell r="AU106">
            <v>0</v>
          </cell>
          <cell r="AV106">
            <v>8621</v>
          </cell>
          <cell r="AW106">
            <v>15000</v>
          </cell>
          <cell r="AX106">
            <v>-6379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D106">
            <v>0</v>
          </cell>
          <cell r="BE106">
            <v>4183</v>
          </cell>
          <cell r="BF106">
            <v>4183</v>
          </cell>
          <cell r="BG106">
            <v>0</v>
          </cell>
          <cell r="BI106" t="str">
            <v>6214391880031801809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U106">
            <v>0</v>
          </cell>
        </row>
        <row r="107">
          <cell r="D107" t="str">
            <v>岑炳伦</v>
          </cell>
          <cell r="E107" t="str">
            <v>男</v>
          </cell>
          <cell r="F107" t="str">
            <v>451029200104060619</v>
          </cell>
          <cell r="G107" t="str">
            <v>直工</v>
          </cell>
          <cell r="H107" t="str">
            <v>五金二楼</v>
          </cell>
          <cell r="M107">
            <v>21</v>
          </cell>
          <cell r="N107">
            <v>20</v>
          </cell>
          <cell r="O107">
            <v>49.5</v>
          </cell>
          <cell r="P107">
            <v>92.5</v>
          </cell>
          <cell r="S107">
            <v>1950</v>
          </cell>
          <cell r="T107">
            <v>1720</v>
          </cell>
          <cell r="U107">
            <v>1638</v>
          </cell>
          <cell r="V107">
            <v>150</v>
          </cell>
          <cell r="W107">
            <v>143</v>
          </cell>
          <cell r="Z107">
            <v>14.83</v>
          </cell>
          <cell r="AA107">
            <v>734</v>
          </cell>
          <cell r="AB107">
            <v>19.77</v>
          </cell>
          <cell r="AC107">
            <v>1829</v>
          </cell>
          <cell r="AI107">
            <v>476</v>
          </cell>
          <cell r="AK107">
            <v>4820</v>
          </cell>
          <cell r="AL107">
            <v>0</v>
          </cell>
          <cell r="AN107">
            <v>4572</v>
          </cell>
          <cell r="AO107">
            <v>10000</v>
          </cell>
          <cell r="AP107">
            <v>0</v>
          </cell>
          <cell r="AQ107">
            <v>0</v>
          </cell>
          <cell r="AR107">
            <v>0</v>
          </cell>
          <cell r="AU107">
            <v>0</v>
          </cell>
          <cell r="AV107">
            <v>9392</v>
          </cell>
          <cell r="AW107">
            <v>15000</v>
          </cell>
          <cell r="AX107">
            <v>-5608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D107">
            <v>0</v>
          </cell>
          <cell r="BE107">
            <v>4820</v>
          </cell>
          <cell r="BF107">
            <v>4820</v>
          </cell>
          <cell r="BG107">
            <v>0</v>
          </cell>
          <cell r="BI107" t="str">
            <v>6214391880032328521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U107">
            <v>0</v>
          </cell>
        </row>
        <row r="108">
          <cell r="D108" t="str">
            <v>马贵发</v>
          </cell>
          <cell r="E108" t="str">
            <v>男</v>
          </cell>
          <cell r="F108" t="str">
            <v>532529199611031858</v>
          </cell>
          <cell r="G108" t="str">
            <v>直工</v>
          </cell>
          <cell r="H108" t="str">
            <v>五金二楼</v>
          </cell>
          <cell r="M108">
            <v>21</v>
          </cell>
          <cell r="N108">
            <v>21</v>
          </cell>
          <cell r="O108">
            <v>71.5</v>
          </cell>
          <cell r="P108">
            <v>92</v>
          </cell>
          <cell r="S108">
            <v>1950</v>
          </cell>
          <cell r="T108">
            <v>1720</v>
          </cell>
          <cell r="U108">
            <v>1720</v>
          </cell>
          <cell r="V108">
            <v>150</v>
          </cell>
          <cell r="W108">
            <v>150</v>
          </cell>
          <cell r="Z108">
            <v>14.83</v>
          </cell>
          <cell r="AA108">
            <v>1060</v>
          </cell>
          <cell r="AB108">
            <v>19.77</v>
          </cell>
          <cell r="AC108">
            <v>1819</v>
          </cell>
          <cell r="AG108">
            <v>80</v>
          </cell>
          <cell r="AI108">
            <v>0</v>
          </cell>
          <cell r="AK108">
            <v>4829</v>
          </cell>
          <cell r="AL108">
            <v>0</v>
          </cell>
          <cell r="AN108">
            <v>5060</v>
          </cell>
          <cell r="AO108">
            <v>10000</v>
          </cell>
          <cell r="AP108">
            <v>0</v>
          </cell>
          <cell r="AQ108">
            <v>0</v>
          </cell>
          <cell r="AR108">
            <v>0</v>
          </cell>
          <cell r="AU108">
            <v>0</v>
          </cell>
          <cell r="AV108">
            <v>9889</v>
          </cell>
          <cell r="AW108">
            <v>15000</v>
          </cell>
          <cell r="AX108">
            <v>-5111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D108">
            <v>0</v>
          </cell>
          <cell r="BE108">
            <v>4829</v>
          </cell>
          <cell r="BF108">
            <v>4829</v>
          </cell>
          <cell r="BG108">
            <v>0</v>
          </cell>
          <cell r="BI108" t="str">
            <v>6214391880031328233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U108">
            <v>0</v>
          </cell>
        </row>
        <row r="109">
          <cell r="D109" t="str">
            <v>李克福</v>
          </cell>
          <cell r="E109" t="str">
            <v>男</v>
          </cell>
          <cell r="F109" t="str">
            <v>532531198307181015</v>
          </cell>
          <cell r="G109" t="str">
            <v>直工</v>
          </cell>
          <cell r="H109" t="str">
            <v>五金二楼</v>
          </cell>
          <cell r="M109">
            <v>21</v>
          </cell>
          <cell r="N109">
            <v>20.5</v>
          </cell>
          <cell r="O109">
            <v>64</v>
          </cell>
          <cell r="P109">
            <v>72</v>
          </cell>
          <cell r="S109">
            <v>1950</v>
          </cell>
          <cell r="T109">
            <v>1720</v>
          </cell>
          <cell r="U109">
            <v>1679</v>
          </cell>
          <cell r="V109">
            <v>150</v>
          </cell>
          <cell r="W109">
            <v>146</v>
          </cell>
          <cell r="Z109">
            <v>14.83</v>
          </cell>
          <cell r="AA109">
            <v>949</v>
          </cell>
          <cell r="AB109">
            <v>19.77</v>
          </cell>
          <cell r="AC109">
            <v>1423</v>
          </cell>
          <cell r="AG109">
            <v>40</v>
          </cell>
          <cell r="AI109">
            <v>0</v>
          </cell>
          <cell r="AK109">
            <v>4237</v>
          </cell>
          <cell r="AL109">
            <v>0</v>
          </cell>
          <cell r="AN109">
            <v>3967</v>
          </cell>
          <cell r="AO109">
            <v>10000</v>
          </cell>
          <cell r="AP109">
            <v>0</v>
          </cell>
          <cell r="AQ109">
            <v>0</v>
          </cell>
          <cell r="AR109">
            <v>0</v>
          </cell>
          <cell r="AU109">
            <v>0</v>
          </cell>
          <cell r="AV109">
            <v>8204</v>
          </cell>
          <cell r="AW109">
            <v>15000</v>
          </cell>
          <cell r="AX109">
            <v>-6796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D109">
            <v>0</v>
          </cell>
          <cell r="BE109">
            <v>4237</v>
          </cell>
          <cell r="BF109">
            <v>4237</v>
          </cell>
          <cell r="BG109">
            <v>0</v>
          </cell>
          <cell r="BI109" t="str">
            <v>621 4391 8800 3274 2317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U109">
            <v>0</v>
          </cell>
        </row>
        <row r="110">
          <cell r="D110" t="str">
            <v>党付林</v>
          </cell>
          <cell r="E110" t="str">
            <v>女</v>
          </cell>
          <cell r="F110" t="str">
            <v>412723198504046908</v>
          </cell>
          <cell r="G110" t="str">
            <v>直工</v>
          </cell>
          <cell r="H110" t="str">
            <v>五金二楼</v>
          </cell>
          <cell r="M110">
            <v>21</v>
          </cell>
          <cell r="N110">
            <v>21</v>
          </cell>
          <cell r="O110">
            <v>64</v>
          </cell>
          <cell r="P110">
            <v>92.5</v>
          </cell>
          <cell r="S110">
            <v>1950</v>
          </cell>
          <cell r="T110">
            <v>1720</v>
          </cell>
          <cell r="U110">
            <v>1720</v>
          </cell>
          <cell r="V110">
            <v>150</v>
          </cell>
          <cell r="W110">
            <v>150</v>
          </cell>
          <cell r="Z110">
            <v>14.83</v>
          </cell>
          <cell r="AA110">
            <v>949</v>
          </cell>
          <cell r="AB110">
            <v>19.77</v>
          </cell>
          <cell r="AC110">
            <v>1829</v>
          </cell>
          <cell r="AG110">
            <v>80</v>
          </cell>
          <cell r="AI110">
            <v>238</v>
          </cell>
          <cell r="AK110">
            <v>4966</v>
          </cell>
          <cell r="AL110">
            <v>0</v>
          </cell>
          <cell r="AN110">
            <v>2518</v>
          </cell>
          <cell r="AO110">
            <v>10000</v>
          </cell>
          <cell r="AP110">
            <v>0</v>
          </cell>
          <cell r="AQ110">
            <v>0</v>
          </cell>
          <cell r="AR110">
            <v>0</v>
          </cell>
          <cell r="AU110">
            <v>0</v>
          </cell>
          <cell r="AV110">
            <v>7484</v>
          </cell>
          <cell r="AW110">
            <v>15000</v>
          </cell>
          <cell r="AX110">
            <v>-7516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D110">
            <v>0</v>
          </cell>
          <cell r="BE110">
            <v>4966</v>
          </cell>
          <cell r="BF110">
            <v>4966</v>
          </cell>
          <cell r="BG110">
            <v>0</v>
          </cell>
          <cell r="BI110" t="str">
            <v>621 4391 8800 3234 1086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U110">
            <v>0</v>
          </cell>
        </row>
        <row r="111">
          <cell r="D111" t="str">
            <v>邓张</v>
          </cell>
          <cell r="E111" t="str">
            <v>男</v>
          </cell>
          <cell r="F111" t="str">
            <v>513029198811252175</v>
          </cell>
          <cell r="G111" t="str">
            <v>直工</v>
          </cell>
          <cell r="H111" t="str">
            <v>五金二楼</v>
          </cell>
          <cell r="M111">
            <v>21</v>
          </cell>
          <cell r="N111">
            <v>20</v>
          </cell>
          <cell r="O111">
            <v>73.5</v>
          </cell>
          <cell r="P111">
            <v>100.5</v>
          </cell>
          <cell r="S111">
            <v>1950</v>
          </cell>
          <cell r="T111">
            <v>1720</v>
          </cell>
          <cell r="U111">
            <v>1638</v>
          </cell>
          <cell r="V111">
            <v>150</v>
          </cell>
          <cell r="W111">
            <v>143</v>
          </cell>
          <cell r="Z111">
            <v>14.83</v>
          </cell>
          <cell r="AA111">
            <v>1090</v>
          </cell>
          <cell r="AB111">
            <v>19.77</v>
          </cell>
          <cell r="AC111">
            <v>1987</v>
          </cell>
          <cell r="AI111">
            <v>0</v>
          </cell>
          <cell r="AK111">
            <v>4858</v>
          </cell>
          <cell r="AL111">
            <v>0</v>
          </cell>
          <cell r="AN111">
            <v>1750</v>
          </cell>
          <cell r="AO111">
            <v>10000</v>
          </cell>
          <cell r="AP111">
            <v>0</v>
          </cell>
          <cell r="AQ111">
            <v>0</v>
          </cell>
          <cell r="AR111">
            <v>0</v>
          </cell>
          <cell r="AU111">
            <v>0</v>
          </cell>
          <cell r="AV111">
            <v>6608</v>
          </cell>
          <cell r="AW111">
            <v>15000</v>
          </cell>
          <cell r="AX111">
            <v>-8392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D111">
            <v>0</v>
          </cell>
          <cell r="BE111">
            <v>4858</v>
          </cell>
          <cell r="BF111">
            <v>4858</v>
          </cell>
          <cell r="BG111">
            <v>0</v>
          </cell>
          <cell r="BI111" t="str">
            <v>6214391880031802534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U111">
            <v>0</v>
          </cell>
        </row>
        <row r="112">
          <cell r="D112" t="str">
            <v>黄芳</v>
          </cell>
          <cell r="E112" t="str">
            <v>女</v>
          </cell>
          <cell r="F112" t="str">
            <v>450923200203124569</v>
          </cell>
          <cell r="G112" t="str">
            <v>直工</v>
          </cell>
          <cell r="H112" t="str">
            <v>五金二楼</v>
          </cell>
          <cell r="M112">
            <v>21</v>
          </cell>
          <cell r="N112">
            <v>19.5</v>
          </cell>
          <cell r="O112">
            <v>57.5</v>
          </cell>
          <cell r="P112">
            <v>90</v>
          </cell>
          <cell r="S112">
            <v>1950</v>
          </cell>
          <cell r="T112">
            <v>1720</v>
          </cell>
          <cell r="U112">
            <v>1597</v>
          </cell>
          <cell r="V112">
            <v>150</v>
          </cell>
          <cell r="W112">
            <v>139</v>
          </cell>
          <cell r="Z112">
            <v>14.83</v>
          </cell>
          <cell r="AA112">
            <v>853</v>
          </cell>
          <cell r="AB112">
            <v>19.77</v>
          </cell>
          <cell r="AC112">
            <v>1779</v>
          </cell>
          <cell r="AI112">
            <v>0</v>
          </cell>
          <cell r="AK112">
            <v>4368</v>
          </cell>
          <cell r="AL112">
            <v>0</v>
          </cell>
          <cell r="AN112">
            <v>1808</v>
          </cell>
          <cell r="AO112">
            <v>10000</v>
          </cell>
          <cell r="AP112">
            <v>0</v>
          </cell>
          <cell r="AQ112">
            <v>0</v>
          </cell>
          <cell r="AR112">
            <v>0</v>
          </cell>
          <cell r="AU112">
            <v>0</v>
          </cell>
          <cell r="AV112">
            <v>6176</v>
          </cell>
          <cell r="AW112">
            <v>15000</v>
          </cell>
          <cell r="AX112">
            <v>-8824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D112">
            <v>0</v>
          </cell>
          <cell r="BE112">
            <v>4368</v>
          </cell>
          <cell r="BF112">
            <v>4368</v>
          </cell>
          <cell r="BG112">
            <v>0</v>
          </cell>
          <cell r="BI112" t="str">
            <v>621 4391 8800 3274 2325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U112">
            <v>0</v>
          </cell>
        </row>
        <row r="113">
          <cell r="D113" t="str">
            <v>利国东</v>
          </cell>
          <cell r="E113" t="str">
            <v>男</v>
          </cell>
          <cell r="F113" t="str">
            <v>450703200110026955</v>
          </cell>
          <cell r="G113" t="str">
            <v>直工</v>
          </cell>
          <cell r="H113" t="str">
            <v>五金二楼</v>
          </cell>
          <cell r="M113">
            <v>21</v>
          </cell>
          <cell r="N113">
            <v>20</v>
          </cell>
          <cell r="O113">
            <v>58</v>
          </cell>
          <cell r="P113">
            <v>73</v>
          </cell>
          <cell r="S113">
            <v>1950</v>
          </cell>
          <cell r="T113">
            <v>1720</v>
          </cell>
          <cell r="U113">
            <v>1638</v>
          </cell>
          <cell r="V113">
            <v>150</v>
          </cell>
          <cell r="W113">
            <v>143</v>
          </cell>
          <cell r="Z113">
            <v>14.83</v>
          </cell>
          <cell r="AA113">
            <v>860</v>
          </cell>
          <cell r="AB113">
            <v>19.77</v>
          </cell>
          <cell r="AC113">
            <v>1443</v>
          </cell>
          <cell r="AI113">
            <v>0</v>
          </cell>
          <cell r="AK113">
            <v>4084</v>
          </cell>
          <cell r="AL113">
            <v>0</v>
          </cell>
          <cell r="AN113">
            <v>1597</v>
          </cell>
          <cell r="AO113">
            <v>10000</v>
          </cell>
          <cell r="AP113">
            <v>0</v>
          </cell>
          <cell r="AQ113">
            <v>0</v>
          </cell>
          <cell r="AR113">
            <v>0</v>
          </cell>
          <cell r="AU113">
            <v>0</v>
          </cell>
          <cell r="AV113">
            <v>5681</v>
          </cell>
          <cell r="AW113">
            <v>15000</v>
          </cell>
          <cell r="AX113">
            <v>-9319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D113">
            <v>0</v>
          </cell>
          <cell r="BE113">
            <v>4084</v>
          </cell>
          <cell r="BF113">
            <v>4084</v>
          </cell>
          <cell r="BG113">
            <v>0</v>
          </cell>
          <cell r="BI113" t="str">
            <v>621 4391 8800 3274 4362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U113">
            <v>0</v>
          </cell>
        </row>
        <row r="114">
          <cell r="D114" t="str">
            <v>林田</v>
          </cell>
          <cell r="E114" t="str">
            <v>女</v>
          </cell>
          <cell r="F114" t="str">
            <v>522401199403122049</v>
          </cell>
          <cell r="G114" t="str">
            <v>直工</v>
          </cell>
          <cell r="H114" t="str">
            <v>五金二楼</v>
          </cell>
          <cell r="M114">
            <v>21</v>
          </cell>
          <cell r="N114">
            <v>20.5</v>
          </cell>
          <cell r="O114">
            <v>55</v>
          </cell>
          <cell r="P114">
            <v>90</v>
          </cell>
          <cell r="S114">
            <v>1950</v>
          </cell>
          <cell r="T114">
            <v>1720</v>
          </cell>
          <cell r="U114">
            <v>1679</v>
          </cell>
          <cell r="V114">
            <v>150</v>
          </cell>
          <cell r="W114">
            <v>146</v>
          </cell>
          <cell r="Z114">
            <v>14.83</v>
          </cell>
          <cell r="AA114">
            <v>816</v>
          </cell>
          <cell r="AB114">
            <v>19.77</v>
          </cell>
          <cell r="AC114">
            <v>1779</v>
          </cell>
          <cell r="AG114">
            <v>40</v>
          </cell>
          <cell r="AI114">
            <v>0</v>
          </cell>
          <cell r="AK114">
            <v>4460</v>
          </cell>
          <cell r="AL114">
            <v>0</v>
          </cell>
          <cell r="AN114">
            <v>3341</v>
          </cell>
          <cell r="AO114">
            <v>10000</v>
          </cell>
          <cell r="AP114">
            <v>0</v>
          </cell>
          <cell r="AQ114">
            <v>0</v>
          </cell>
          <cell r="AR114">
            <v>0</v>
          </cell>
          <cell r="AU114">
            <v>0</v>
          </cell>
          <cell r="AV114">
            <v>7614.45</v>
          </cell>
          <cell r="AW114">
            <v>15000</v>
          </cell>
          <cell r="AX114">
            <v>-7385.55</v>
          </cell>
          <cell r="AY114">
            <v>0</v>
          </cell>
          <cell r="AZ114">
            <v>0</v>
          </cell>
          <cell r="BA114">
            <v>-186.55</v>
          </cell>
          <cell r="BB114">
            <v>0</v>
          </cell>
          <cell r="BD114">
            <v>-187</v>
          </cell>
          <cell r="BE114">
            <v>4273</v>
          </cell>
          <cell r="BF114">
            <v>4273</v>
          </cell>
          <cell r="BG114">
            <v>0</v>
          </cell>
          <cell r="BI114" t="str">
            <v>621 4391 8800 3274 2960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U114">
            <v>0</v>
          </cell>
        </row>
        <row r="115">
          <cell r="D115" t="str">
            <v>涂华荣</v>
          </cell>
          <cell r="E115" t="str">
            <v>女</v>
          </cell>
          <cell r="F115" t="str">
            <v>429004198904154327</v>
          </cell>
          <cell r="G115" t="str">
            <v>直工</v>
          </cell>
          <cell r="H115" t="str">
            <v>五金二楼</v>
          </cell>
          <cell r="M115">
            <v>21</v>
          </cell>
          <cell r="N115">
            <v>21</v>
          </cell>
          <cell r="O115">
            <v>62</v>
          </cell>
          <cell r="P115">
            <v>90</v>
          </cell>
          <cell r="S115">
            <v>1950</v>
          </cell>
          <cell r="T115">
            <v>1720</v>
          </cell>
          <cell r="U115">
            <v>1720</v>
          </cell>
          <cell r="V115">
            <v>150</v>
          </cell>
          <cell r="W115">
            <v>150</v>
          </cell>
          <cell r="Z115">
            <v>14.83</v>
          </cell>
          <cell r="AA115">
            <v>919</v>
          </cell>
          <cell r="AB115">
            <v>19.77</v>
          </cell>
          <cell r="AC115">
            <v>1779</v>
          </cell>
          <cell r="AG115">
            <v>80</v>
          </cell>
          <cell r="AI115">
            <v>0</v>
          </cell>
          <cell r="AK115">
            <v>4648</v>
          </cell>
          <cell r="AL115">
            <v>0</v>
          </cell>
          <cell r="AN115">
            <v>3741</v>
          </cell>
          <cell r="AO115">
            <v>10000</v>
          </cell>
          <cell r="AP115">
            <v>0</v>
          </cell>
          <cell r="AQ115">
            <v>0</v>
          </cell>
          <cell r="AR115">
            <v>0</v>
          </cell>
          <cell r="AU115">
            <v>0</v>
          </cell>
          <cell r="AV115">
            <v>8403.83</v>
          </cell>
          <cell r="AW115">
            <v>15000</v>
          </cell>
          <cell r="AX115">
            <v>-6596.17</v>
          </cell>
          <cell r="AY115">
            <v>0</v>
          </cell>
          <cell r="AZ115">
            <v>0</v>
          </cell>
          <cell r="BA115">
            <v>0</v>
          </cell>
          <cell r="BB115">
            <v>14.83</v>
          </cell>
          <cell r="BD115">
            <v>15</v>
          </cell>
          <cell r="BE115">
            <v>4663</v>
          </cell>
          <cell r="BF115">
            <v>4663</v>
          </cell>
          <cell r="BG115">
            <v>0</v>
          </cell>
          <cell r="BI115" t="str">
            <v>621 4391 8800 3210 6471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U115">
            <v>0</v>
          </cell>
        </row>
        <row r="116">
          <cell r="D116" t="str">
            <v>曾小珍</v>
          </cell>
          <cell r="E116" t="str">
            <v>女</v>
          </cell>
          <cell r="F116" t="str">
            <v>36080319951007302X</v>
          </cell>
          <cell r="G116" t="str">
            <v>直工</v>
          </cell>
          <cell r="H116" t="str">
            <v>五金二楼</v>
          </cell>
          <cell r="M116">
            <v>21</v>
          </cell>
          <cell r="N116">
            <v>21</v>
          </cell>
          <cell r="O116">
            <v>60</v>
          </cell>
          <cell r="P116">
            <v>91</v>
          </cell>
          <cell r="S116">
            <v>1950</v>
          </cell>
          <cell r="T116">
            <v>1720</v>
          </cell>
          <cell r="U116">
            <v>1720</v>
          </cell>
          <cell r="V116">
            <v>150</v>
          </cell>
          <cell r="W116">
            <v>150</v>
          </cell>
          <cell r="Z116">
            <v>14.83</v>
          </cell>
          <cell r="AA116">
            <v>890</v>
          </cell>
          <cell r="AB116">
            <v>19.77</v>
          </cell>
          <cell r="AC116">
            <v>1799</v>
          </cell>
          <cell r="AG116">
            <v>80</v>
          </cell>
          <cell r="AI116">
            <v>0</v>
          </cell>
          <cell r="AK116">
            <v>4639</v>
          </cell>
          <cell r="AL116">
            <v>0</v>
          </cell>
          <cell r="AN116">
            <v>1191</v>
          </cell>
          <cell r="AO116">
            <v>10000</v>
          </cell>
          <cell r="AP116">
            <v>0</v>
          </cell>
          <cell r="AQ116">
            <v>0</v>
          </cell>
          <cell r="AR116">
            <v>0</v>
          </cell>
          <cell r="AU116">
            <v>0</v>
          </cell>
          <cell r="AV116">
            <v>5830</v>
          </cell>
          <cell r="AW116">
            <v>15000</v>
          </cell>
          <cell r="AX116">
            <v>-9170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D116">
            <v>0</v>
          </cell>
          <cell r="BE116">
            <v>4639</v>
          </cell>
          <cell r="BF116">
            <v>4639</v>
          </cell>
          <cell r="BG116">
            <v>0</v>
          </cell>
          <cell r="BI116" t="str">
            <v>621 4391 8800 3274 4008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U116">
            <v>0</v>
          </cell>
        </row>
        <row r="117">
          <cell r="D117" t="str">
            <v>庞春梅</v>
          </cell>
          <cell r="E117" t="str">
            <v>女</v>
          </cell>
          <cell r="F117" t="str">
            <v>450923200303224567</v>
          </cell>
          <cell r="G117" t="str">
            <v>直工</v>
          </cell>
          <cell r="H117" t="str">
            <v>五金二楼</v>
          </cell>
          <cell r="M117">
            <v>21</v>
          </cell>
          <cell r="N117">
            <v>20.2</v>
          </cell>
          <cell r="O117">
            <v>61.5</v>
          </cell>
          <cell r="P117">
            <v>88</v>
          </cell>
          <cell r="S117">
            <v>1950</v>
          </cell>
          <cell r="T117">
            <v>1720</v>
          </cell>
          <cell r="U117">
            <v>1654</v>
          </cell>
          <cell r="V117">
            <v>150</v>
          </cell>
          <cell r="W117">
            <v>144</v>
          </cell>
          <cell r="Z117">
            <v>14.83</v>
          </cell>
          <cell r="AA117">
            <v>912</v>
          </cell>
          <cell r="AB117">
            <v>19.77</v>
          </cell>
          <cell r="AC117">
            <v>1740</v>
          </cell>
          <cell r="AG117">
            <v>40</v>
          </cell>
          <cell r="AI117">
            <v>170</v>
          </cell>
          <cell r="AK117">
            <v>4660</v>
          </cell>
          <cell r="AL117">
            <v>0</v>
          </cell>
          <cell r="AN117">
            <v>1738</v>
          </cell>
          <cell r="AO117">
            <v>10000</v>
          </cell>
          <cell r="AP117">
            <v>0</v>
          </cell>
          <cell r="AQ117">
            <v>0</v>
          </cell>
          <cell r="AR117">
            <v>0</v>
          </cell>
          <cell r="AU117">
            <v>0</v>
          </cell>
          <cell r="AV117">
            <v>6398</v>
          </cell>
          <cell r="AW117">
            <v>15000</v>
          </cell>
          <cell r="AX117">
            <v>-8602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D117">
            <v>0</v>
          </cell>
          <cell r="BE117">
            <v>4660</v>
          </cell>
          <cell r="BF117">
            <v>4660</v>
          </cell>
          <cell r="BG117">
            <v>0</v>
          </cell>
          <cell r="BI117" t="str">
            <v>621 4391 8800 3234 1094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U117">
            <v>0</v>
          </cell>
        </row>
        <row r="118">
          <cell r="D118" t="str">
            <v>莫千軍</v>
          </cell>
          <cell r="E118" t="str">
            <v>男</v>
          </cell>
          <cell r="F118" t="str">
            <v>450923199903224610</v>
          </cell>
          <cell r="G118" t="str">
            <v>直工</v>
          </cell>
          <cell r="H118" t="str">
            <v>五金二楼</v>
          </cell>
          <cell r="M118">
            <v>21</v>
          </cell>
          <cell r="N118">
            <v>21</v>
          </cell>
          <cell r="O118">
            <v>54</v>
          </cell>
          <cell r="P118">
            <v>82.5</v>
          </cell>
          <cell r="S118">
            <v>1950</v>
          </cell>
          <cell r="T118">
            <v>1720</v>
          </cell>
          <cell r="U118">
            <v>1720</v>
          </cell>
          <cell r="V118">
            <v>150</v>
          </cell>
          <cell r="W118">
            <v>150</v>
          </cell>
          <cell r="Z118">
            <v>14.83</v>
          </cell>
          <cell r="AA118">
            <v>801</v>
          </cell>
          <cell r="AB118">
            <v>19.77</v>
          </cell>
          <cell r="AC118">
            <v>1631</v>
          </cell>
          <cell r="AG118">
            <v>80</v>
          </cell>
          <cell r="AI118">
            <v>0</v>
          </cell>
          <cell r="AK118">
            <v>4382</v>
          </cell>
          <cell r="AL118">
            <v>0</v>
          </cell>
          <cell r="AN118">
            <v>1753</v>
          </cell>
          <cell r="AO118">
            <v>10000</v>
          </cell>
          <cell r="AP118">
            <v>0</v>
          </cell>
          <cell r="AQ118">
            <v>0</v>
          </cell>
          <cell r="AR118">
            <v>0</v>
          </cell>
          <cell r="AU118">
            <v>0</v>
          </cell>
          <cell r="AV118">
            <v>6135</v>
          </cell>
          <cell r="AW118">
            <v>15000</v>
          </cell>
          <cell r="AX118">
            <v>-8865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D118">
            <v>0</v>
          </cell>
          <cell r="BE118">
            <v>4382</v>
          </cell>
          <cell r="BF118">
            <v>4382</v>
          </cell>
          <cell r="BG118">
            <v>0</v>
          </cell>
          <cell r="BI118" t="str">
            <v>621 4391 8800 3274 2952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U118">
            <v>0</v>
          </cell>
        </row>
        <row r="119">
          <cell r="D119" t="str">
            <v>匡萍萍</v>
          </cell>
          <cell r="E119" t="str">
            <v>女</v>
          </cell>
          <cell r="F119" t="str">
            <v>43112620020805040X</v>
          </cell>
          <cell r="G119" t="str">
            <v>直工</v>
          </cell>
          <cell r="H119" t="str">
            <v>五金二楼</v>
          </cell>
          <cell r="M119">
            <v>21</v>
          </cell>
          <cell r="N119">
            <v>8</v>
          </cell>
          <cell r="O119">
            <v>19</v>
          </cell>
          <cell r="P119">
            <v>42.5</v>
          </cell>
          <cell r="S119">
            <v>1950</v>
          </cell>
          <cell r="T119">
            <v>1720</v>
          </cell>
          <cell r="U119">
            <v>655</v>
          </cell>
          <cell r="V119">
            <v>150</v>
          </cell>
          <cell r="W119">
            <v>57</v>
          </cell>
          <cell r="Z119">
            <v>14.83</v>
          </cell>
          <cell r="AA119">
            <v>282</v>
          </cell>
          <cell r="AB119">
            <v>19.77</v>
          </cell>
          <cell r="AC119">
            <v>840</v>
          </cell>
          <cell r="AI119">
            <v>0</v>
          </cell>
          <cell r="AK119">
            <v>1834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U119">
            <v>0</v>
          </cell>
          <cell r="AV119">
            <v>1834</v>
          </cell>
          <cell r="AW119">
            <v>5000</v>
          </cell>
          <cell r="AX119">
            <v>-3166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D119">
            <v>0</v>
          </cell>
          <cell r="BE119">
            <v>1834</v>
          </cell>
          <cell r="BF119">
            <v>1834</v>
          </cell>
          <cell r="BG119">
            <v>0</v>
          </cell>
          <cell r="BI119" t="str">
            <v>621 4391 8800 3274 2978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U119">
            <v>0</v>
          </cell>
        </row>
        <row r="120">
          <cell r="D120" t="str">
            <v>徐小红</v>
          </cell>
          <cell r="E120" t="str">
            <v>女</v>
          </cell>
          <cell r="F120" t="str">
            <v>511725200110214820</v>
          </cell>
          <cell r="G120" t="str">
            <v>直工</v>
          </cell>
          <cell r="H120" t="str">
            <v>五金二楼</v>
          </cell>
          <cell r="M120">
            <v>21</v>
          </cell>
          <cell r="N120">
            <v>8</v>
          </cell>
          <cell r="O120">
            <v>22</v>
          </cell>
          <cell r="P120">
            <v>42.5</v>
          </cell>
          <cell r="S120">
            <v>1950</v>
          </cell>
          <cell r="T120">
            <v>1720</v>
          </cell>
          <cell r="U120">
            <v>655</v>
          </cell>
          <cell r="V120">
            <v>150</v>
          </cell>
          <cell r="W120">
            <v>57</v>
          </cell>
          <cell r="Z120">
            <v>14.83</v>
          </cell>
          <cell r="AA120">
            <v>326</v>
          </cell>
          <cell r="AB120">
            <v>19.77</v>
          </cell>
          <cell r="AC120">
            <v>840</v>
          </cell>
          <cell r="AI120">
            <v>0</v>
          </cell>
          <cell r="AK120">
            <v>1878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U120">
            <v>0</v>
          </cell>
          <cell r="AV120">
            <v>1878</v>
          </cell>
          <cell r="AW120">
            <v>5000</v>
          </cell>
          <cell r="AX120">
            <v>-3122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D120">
            <v>0</v>
          </cell>
          <cell r="BE120">
            <v>1878</v>
          </cell>
          <cell r="BF120">
            <v>1878</v>
          </cell>
          <cell r="BG120">
            <v>0</v>
          </cell>
          <cell r="BI120" t="str">
            <v>621 4391 8800 3274 4016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U120">
            <v>0</v>
          </cell>
        </row>
        <row r="121">
          <cell r="D121" t="str">
            <v>黎心珍</v>
          </cell>
          <cell r="E121" t="str">
            <v>女</v>
          </cell>
          <cell r="F121" t="str">
            <v>452725198305130429</v>
          </cell>
          <cell r="G121" t="str">
            <v>直工</v>
          </cell>
          <cell r="H121" t="str">
            <v>五金二楼</v>
          </cell>
          <cell r="M121">
            <v>21</v>
          </cell>
          <cell r="N121">
            <v>13.5</v>
          </cell>
          <cell r="O121">
            <v>30</v>
          </cell>
          <cell r="P121">
            <v>63</v>
          </cell>
          <cell r="S121">
            <v>1950</v>
          </cell>
          <cell r="T121">
            <v>1720</v>
          </cell>
          <cell r="U121">
            <v>1106</v>
          </cell>
          <cell r="V121">
            <v>150</v>
          </cell>
          <cell r="W121">
            <v>96</v>
          </cell>
          <cell r="Z121">
            <v>14.83</v>
          </cell>
          <cell r="AA121">
            <v>445</v>
          </cell>
          <cell r="AB121">
            <v>19.77</v>
          </cell>
          <cell r="AC121">
            <v>1246</v>
          </cell>
          <cell r="AI121">
            <v>0</v>
          </cell>
          <cell r="AK121">
            <v>2893</v>
          </cell>
          <cell r="AL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U121">
            <v>0</v>
          </cell>
          <cell r="AV121">
            <v>2893</v>
          </cell>
          <cell r="AW121">
            <v>5000</v>
          </cell>
          <cell r="AX121">
            <v>-2107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D121">
            <v>0</v>
          </cell>
          <cell r="BE121">
            <v>2893</v>
          </cell>
          <cell r="BF121">
            <v>2893</v>
          </cell>
          <cell r="BG121">
            <v>0</v>
          </cell>
          <cell r="BI121" t="str">
            <v>621 4391 8800 3274 2341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U121">
            <v>0</v>
          </cell>
        </row>
        <row r="122">
          <cell r="D122" t="str">
            <v>黄炳荣</v>
          </cell>
          <cell r="E122" t="str">
            <v>男</v>
          </cell>
          <cell r="F122" t="str">
            <v>532628199607130932</v>
          </cell>
          <cell r="G122" t="str">
            <v>直工</v>
          </cell>
          <cell r="H122" t="str">
            <v>五金二楼</v>
          </cell>
          <cell r="M122">
            <v>21</v>
          </cell>
          <cell r="N122">
            <v>11</v>
          </cell>
          <cell r="O122">
            <v>40</v>
          </cell>
          <cell r="P122">
            <v>44</v>
          </cell>
          <cell r="S122">
            <v>1950</v>
          </cell>
          <cell r="T122">
            <v>1720</v>
          </cell>
          <cell r="U122">
            <v>901</v>
          </cell>
          <cell r="V122">
            <v>150</v>
          </cell>
          <cell r="W122">
            <v>79</v>
          </cell>
          <cell r="Z122">
            <v>14.83</v>
          </cell>
          <cell r="AA122">
            <v>593</v>
          </cell>
          <cell r="AB122">
            <v>19.77</v>
          </cell>
          <cell r="AC122">
            <v>870</v>
          </cell>
          <cell r="AI122">
            <v>0</v>
          </cell>
          <cell r="AK122">
            <v>2443</v>
          </cell>
          <cell r="AL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U122">
            <v>0</v>
          </cell>
          <cell r="AV122">
            <v>2443</v>
          </cell>
          <cell r="AW122">
            <v>5000</v>
          </cell>
          <cell r="AX122">
            <v>-2557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D122">
            <v>0</v>
          </cell>
          <cell r="BE122">
            <v>2443</v>
          </cell>
          <cell r="BF122">
            <v>2443</v>
          </cell>
          <cell r="BG122">
            <v>0</v>
          </cell>
          <cell r="BI122" t="str">
            <v>621 4391 8800 3274 2333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U122">
            <v>0</v>
          </cell>
        </row>
        <row r="123">
          <cell r="D123" t="str">
            <v>李再祥</v>
          </cell>
          <cell r="E123" t="str">
            <v>男</v>
          </cell>
          <cell r="F123" t="str">
            <v>532625198111161715</v>
          </cell>
          <cell r="G123" t="str">
            <v>直工</v>
          </cell>
          <cell r="H123" t="str">
            <v>五金二楼</v>
          </cell>
          <cell r="M123">
            <v>21</v>
          </cell>
          <cell r="N123">
            <v>10</v>
          </cell>
          <cell r="O123">
            <v>34</v>
          </cell>
          <cell r="P123">
            <v>45</v>
          </cell>
          <cell r="S123">
            <v>1950</v>
          </cell>
          <cell r="T123">
            <v>1720</v>
          </cell>
          <cell r="U123">
            <v>819</v>
          </cell>
          <cell r="V123">
            <v>150</v>
          </cell>
          <cell r="W123">
            <v>71</v>
          </cell>
          <cell r="Z123">
            <v>14.83</v>
          </cell>
          <cell r="AA123">
            <v>504</v>
          </cell>
          <cell r="AB123">
            <v>19.77</v>
          </cell>
          <cell r="AC123">
            <v>890</v>
          </cell>
          <cell r="AI123">
            <v>0</v>
          </cell>
          <cell r="AK123">
            <v>2284</v>
          </cell>
          <cell r="AL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U123">
            <v>0</v>
          </cell>
          <cell r="AV123">
            <v>2254.1</v>
          </cell>
          <cell r="AW123">
            <v>5000</v>
          </cell>
          <cell r="AX123">
            <v>-2745.9</v>
          </cell>
          <cell r="AY123">
            <v>0</v>
          </cell>
          <cell r="AZ123">
            <v>0</v>
          </cell>
          <cell r="BA123">
            <v>-29.9</v>
          </cell>
          <cell r="BB123">
            <v>0</v>
          </cell>
          <cell r="BD123">
            <v>-30</v>
          </cell>
          <cell r="BE123">
            <v>2254</v>
          </cell>
          <cell r="BF123">
            <v>2254</v>
          </cell>
          <cell r="BG123">
            <v>0</v>
          </cell>
          <cell r="BI123" t="str">
            <v>621 4391 8800 3274 2275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U123">
            <v>0</v>
          </cell>
        </row>
        <row r="124">
          <cell r="D124" t="str">
            <v>邓有元</v>
          </cell>
          <cell r="E124" t="str">
            <v>男</v>
          </cell>
          <cell r="F124" t="str">
            <v>532625198310121716</v>
          </cell>
          <cell r="G124" t="str">
            <v>直工</v>
          </cell>
          <cell r="H124" t="str">
            <v>五金二楼</v>
          </cell>
          <cell r="M124">
            <v>21</v>
          </cell>
          <cell r="N124">
            <v>10</v>
          </cell>
          <cell r="O124">
            <v>38</v>
          </cell>
          <cell r="P124">
            <v>45</v>
          </cell>
          <cell r="S124">
            <v>1950</v>
          </cell>
          <cell r="T124">
            <v>1720</v>
          </cell>
          <cell r="U124">
            <v>819</v>
          </cell>
          <cell r="V124">
            <v>150</v>
          </cell>
          <cell r="W124">
            <v>71</v>
          </cell>
          <cell r="Z124">
            <v>14.83</v>
          </cell>
          <cell r="AA124">
            <v>564</v>
          </cell>
          <cell r="AB124">
            <v>19.77</v>
          </cell>
          <cell r="AC124">
            <v>890</v>
          </cell>
          <cell r="AI124">
            <v>0</v>
          </cell>
          <cell r="AK124">
            <v>2344</v>
          </cell>
          <cell r="AL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U124">
            <v>0</v>
          </cell>
          <cell r="AV124">
            <v>2328.93</v>
          </cell>
          <cell r="AW124">
            <v>5000</v>
          </cell>
          <cell r="AX124">
            <v>-2671.07</v>
          </cell>
          <cell r="AY124">
            <v>0</v>
          </cell>
          <cell r="AZ124">
            <v>0</v>
          </cell>
          <cell r="BA124">
            <v>-29.9</v>
          </cell>
          <cell r="BB124">
            <v>14.83</v>
          </cell>
          <cell r="BD124">
            <v>-15</v>
          </cell>
          <cell r="BE124">
            <v>2329</v>
          </cell>
          <cell r="BF124">
            <v>2329</v>
          </cell>
          <cell r="BG124">
            <v>0</v>
          </cell>
          <cell r="BI124" t="str">
            <v>621 4391 8800 3274 2986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U124">
            <v>0</v>
          </cell>
        </row>
        <row r="125">
          <cell r="D125" t="str">
            <v>谢林峰</v>
          </cell>
          <cell r="E125" t="str">
            <v>男</v>
          </cell>
          <cell r="F125" t="str">
            <v>450923200108204595</v>
          </cell>
          <cell r="G125" t="str">
            <v>直工</v>
          </cell>
          <cell r="H125" t="str">
            <v>五金二楼</v>
          </cell>
          <cell r="M125">
            <v>21</v>
          </cell>
          <cell r="N125">
            <v>9</v>
          </cell>
          <cell r="O125">
            <v>27</v>
          </cell>
          <cell r="P125">
            <v>45</v>
          </cell>
          <cell r="S125">
            <v>1950</v>
          </cell>
          <cell r="T125">
            <v>1720</v>
          </cell>
          <cell r="U125">
            <v>737</v>
          </cell>
          <cell r="V125">
            <v>150</v>
          </cell>
          <cell r="W125">
            <v>64</v>
          </cell>
          <cell r="Z125">
            <v>14.83</v>
          </cell>
          <cell r="AA125">
            <v>400</v>
          </cell>
          <cell r="AB125">
            <v>19.77</v>
          </cell>
          <cell r="AC125">
            <v>890</v>
          </cell>
          <cell r="AI125">
            <v>0</v>
          </cell>
          <cell r="AK125">
            <v>2091</v>
          </cell>
          <cell r="AL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U125">
            <v>0</v>
          </cell>
          <cell r="AV125">
            <v>2091</v>
          </cell>
          <cell r="AW125">
            <v>5000</v>
          </cell>
          <cell r="AX125">
            <v>-2909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D125">
            <v>0</v>
          </cell>
          <cell r="BE125">
            <v>2091</v>
          </cell>
          <cell r="BF125">
            <v>2091</v>
          </cell>
          <cell r="BG125">
            <v>0</v>
          </cell>
          <cell r="BI125" t="str">
            <v>621 4391 8800 3274 2291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U125">
            <v>0</v>
          </cell>
        </row>
        <row r="126">
          <cell r="D126" t="str">
            <v>龙小芳</v>
          </cell>
          <cell r="G126" t="str">
            <v>直工</v>
          </cell>
          <cell r="H126" t="str">
            <v>五金二楼</v>
          </cell>
          <cell r="M126">
            <v>21</v>
          </cell>
          <cell r="N126">
            <v>21</v>
          </cell>
          <cell r="O126">
            <v>62</v>
          </cell>
          <cell r="P126">
            <v>90</v>
          </cell>
          <cell r="S126">
            <v>1950</v>
          </cell>
          <cell r="T126">
            <v>1720</v>
          </cell>
          <cell r="U126">
            <v>1720</v>
          </cell>
          <cell r="V126">
            <v>150</v>
          </cell>
          <cell r="W126">
            <v>150</v>
          </cell>
          <cell r="Z126">
            <v>14.83</v>
          </cell>
          <cell r="AA126">
            <v>919</v>
          </cell>
          <cell r="AB126">
            <v>19.77</v>
          </cell>
          <cell r="AC126">
            <v>1779</v>
          </cell>
          <cell r="AG126">
            <v>80</v>
          </cell>
          <cell r="AK126">
            <v>4648</v>
          </cell>
          <cell r="AN126">
            <v>2321</v>
          </cell>
          <cell r="AO126">
            <v>10000</v>
          </cell>
          <cell r="AU126">
            <v>0</v>
          </cell>
          <cell r="AV126">
            <v>6810.68</v>
          </cell>
          <cell r="AW126">
            <v>15000</v>
          </cell>
          <cell r="AX126">
            <v>-8189.32</v>
          </cell>
          <cell r="AZ126">
            <v>0</v>
          </cell>
          <cell r="BB126">
            <v>-163.15</v>
          </cell>
          <cell r="BC126">
            <v>4.83</v>
          </cell>
          <cell r="BD126">
            <v>-158</v>
          </cell>
          <cell r="BE126">
            <v>4490</v>
          </cell>
          <cell r="BF126">
            <v>4490</v>
          </cell>
          <cell r="BG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U126">
            <v>0</v>
          </cell>
        </row>
        <row r="127">
          <cell r="D127" t="str">
            <v>部门合计</v>
          </cell>
          <cell r="O127">
            <v>2556.5</v>
          </cell>
          <cell r="P127">
            <v>3731</v>
          </cell>
          <cell r="Q127">
            <v>0</v>
          </cell>
          <cell r="R127">
            <v>0</v>
          </cell>
          <cell r="U127">
            <v>72221</v>
          </cell>
          <cell r="W127">
            <v>7229</v>
          </cell>
          <cell r="Y127">
            <v>0</v>
          </cell>
          <cell r="AA127">
            <v>37911</v>
          </cell>
          <cell r="AC127">
            <v>73765</v>
          </cell>
          <cell r="AD127">
            <v>0</v>
          </cell>
          <cell r="AE127">
            <v>0</v>
          </cell>
          <cell r="AF127">
            <v>0</v>
          </cell>
          <cell r="AG127">
            <v>1800</v>
          </cell>
          <cell r="AH127">
            <v>50</v>
          </cell>
          <cell r="AI127">
            <v>3315</v>
          </cell>
          <cell r="AJ127">
            <v>0</v>
          </cell>
          <cell r="AK127">
            <v>196291</v>
          </cell>
          <cell r="AL127">
            <v>-602</v>
          </cell>
          <cell r="AM127">
            <v>0</v>
          </cell>
          <cell r="AN127">
            <v>485765.215909091</v>
          </cell>
          <cell r="AO127">
            <v>910000</v>
          </cell>
          <cell r="AP127">
            <v>1754.16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2356.16</v>
          </cell>
          <cell r="AV127">
            <v>681340.755909091</v>
          </cell>
          <cell r="AW127">
            <v>1152356.16</v>
          </cell>
          <cell r="AX127">
            <v>-471015.404090909</v>
          </cell>
          <cell r="AY127">
            <v>0</v>
          </cell>
          <cell r="AZ127">
            <v>0</v>
          </cell>
          <cell r="BA127">
            <v>-845.78</v>
          </cell>
          <cell r="BB127">
            <v>125.49</v>
          </cell>
          <cell r="BC127">
            <v>4.83</v>
          </cell>
          <cell r="BD127">
            <v>-1317</v>
          </cell>
          <cell r="BE127">
            <v>194974</v>
          </cell>
          <cell r="BF127">
            <v>191126</v>
          </cell>
          <cell r="BG127">
            <v>3848</v>
          </cell>
          <cell r="BI127" t="e">
            <v>#N/A</v>
          </cell>
          <cell r="BU127">
            <v>0</v>
          </cell>
        </row>
        <row r="128">
          <cell r="D128" t="str">
            <v>陈云云</v>
          </cell>
          <cell r="E128" t="str">
            <v>女</v>
          </cell>
          <cell r="F128" t="str">
            <v>431124198506293626</v>
          </cell>
          <cell r="G128" t="str">
            <v>直工</v>
          </cell>
          <cell r="H128" t="str">
            <v>五金三楼</v>
          </cell>
          <cell r="I128" t="str">
            <v>作业员</v>
          </cell>
          <cell r="J128">
            <v>42156</v>
          </cell>
          <cell r="M128">
            <v>21</v>
          </cell>
          <cell r="N128">
            <v>20.5</v>
          </cell>
          <cell r="O128">
            <v>71.5</v>
          </cell>
          <cell r="P128">
            <v>89.5</v>
          </cell>
          <cell r="S128">
            <v>2362</v>
          </cell>
          <cell r="T128">
            <v>1720</v>
          </cell>
          <cell r="U128">
            <v>1679</v>
          </cell>
          <cell r="V128">
            <v>562</v>
          </cell>
          <cell r="W128">
            <v>549</v>
          </cell>
          <cell r="Z128">
            <v>14.83</v>
          </cell>
          <cell r="AA128">
            <v>1060</v>
          </cell>
          <cell r="AB128">
            <v>19.77</v>
          </cell>
          <cell r="AC128">
            <v>1769</v>
          </cell>
          <cell r="AG128">
            <v>40</v>
          </cell>
          <cell r="AH128">
            <v>195</v>
          </cell>
          <cell r="AI128">
            <v>0</v>
          </cell>
          <cell r="AK128">
            <v>5292</v>
          </cell>
          <cell r="AL128">
            <v>0</v>
          </cell>
          <cell r="AN128">
            <v>42361.17</v>
          </cell>
          <cell r="AO128">
            <v>45000</v>
          </cell>
          <cell r="AP128">
            <v>0</v>
          </cell>
          <cell r="AQ128">
            <v>0</v>
          </cell>
          <cell r="AR128">
            <v>0</v>
          </cell>
          <cell r="AU128">
            <v>0</v>
          </cell>
          <cell r="AV128">
            <v>47629.77</v>
          </cell>
          <cell r="AW128">
            <v>50000</v>
          </cell>
          <cell r="AX128">
            <v>-2370.23</v>
          </cell>
          <cell r="AY128">
            <v>0</v>
          </cell>
          <cell r="AZ128">
            <v>0</v>
          </cell>
          <cell r="BA128">
            <v>-23.4</v>
          </cell>
          <cell r="BB128">
            <v>0</v>
          </cell>
          <cell r="BD128">
            <v>-23</v>
          </cell>
          <cell r="BE128">
            <v>5269</v>
          </cell>
          <cell r="BF128">
            <v>5269</v>
          </cell>
          <cell r="BG128">
            <v>0</v>
          </cell>
          <cell r="BI128" t="str">
            <v>6214391880018592181</v>
          </cell>
          <cell r="BK128">
            <v>32.22</v>
          </cell>
          <cell r="BL128">
            <v>14.94</v>
          </cell>
          <cell r="BM128">
            <v>26.88</v>
          </cell>
          <cell r="BN128">
            <v>6.99</v>
          </cell>
          <cell r="BO128">
            <v>-81.03</v>
          </cell>
          <cell r="BP128">
            <v>0</v>
          </cell>
          <cell r="BU128">
            <v>0</v>
          </cell>
        </row>
        <row r="129">
          <cell r="D129" t="str">
            <v>毛小燕</v>
          </cell>
          <cell r="E129" t="str">
            <v>女</v>
          </cell>
          <cell r="F129" t="str">
            <v>610502198405152281</v>
          </cell>
          <cell r="G129" t="str">
            <v>直工</v>
          </cell>
          <cell r="H129" t="str">
            <v>五金三楼</v>
          </cell>
          <cell r="I129" t="str">
            <v>全栓</v>
          </cell>
          <cell r="J129">
            <v>42996</v>
          </cell>
          <cell r="M129">
            <v>21</v>
          </cell>
          <cell r="N129">
            <v>21</v>
          </cell>
          <cell r="O129">
            <v>59</v>
          </cell>
          <cell r="P129">
            <v>84.5</v>
          </cell>
          <cell r="S129">
            <v>2400</v>
          </cell>
          <cell r="T129">
            <v>1720</v>
          </cell>
          <cell r="U129">
            <v>1720</v>
          </cell>
          <cell r="V129">
            <v>600</v>
          </cell>
          <cell r="W129">
            <v>600</v>
          </cell>
          <cell r="Z129">
            <v>14.83</v>
          </cell>
          <cell r="AA129">
            <v>875</v>
          </cell>
          <cell r="AB129">
            <v>19.77</v>
          </cell>
          <cell r="AC129">
            <v>1671</v>
          </cell>
          <cell r="AG129">
            <v>80</v>
          </cell>
          <cell r="AH129">
            <v>50</v>
          </cell>
          <cell r="AI129">
            <v>0</v>
          </cell>
          <cell r="AK129">
            <v>4996</v>
          </cell>
          <cell r="AL129">
            <v>0</v>
          </cell>
          <cell r="AN129">
            <v>38546</v>
          </cell>
          <cell r="AO129">
            <v>45000</v>
          </cell>
          <cell r="AP129">
            <v>0</v>
          </cell>
          <cell r="AQ129">
            <v>0</v>
          </cell>
          <cell r="AR129">
            <v>0</v>
          </cell>
          <cell r="AU129">
            <v>0</v>
          </cell>
          <cell r="AV129">
            <v>43542</v>
          </cell>
          <cell r="AW129">
            <v>50000</v>
          </cell>
          <cell r="AX129">
            <v>-6458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D129">
            <v>0</v>
          </cell>
          <cell r="BE129">
            <v>4996</v>
          </cell>
          <cell r="BF129">
            <v>4996</v>
          </cell>
          <cell r="BG129">
            <v>0</v>
          </cell>
          <cell r="BI129" t="str">
            <v>6214391880020218783</v>
          </cell>
          <cell r="BK129">
            <v>19.35</v>
          </cell>
          <cell r="BL129">
            <v>0</v>
          </cell>
          <cell r="BM129">
            <v>0</v>
          </cell>
          <cell r="BN129">
            <v>0.36</v>
          </cell>
          <cell r="BO129">
            <v>-19.71</v>
          </cell>
          <cell r="BP129">
            <v>0</v>
          </cell>
          <cell r="BU129">
            <v>0</v>
          </cell>
        </row>
        <row r="130">
          <cell r="D130" t="str">
            <v>罗芬</v>
          </cell>
          <cell r="E130" t="str">
            <v>女</v>
          </cell>
          <cell r="F130" t="str">
            <v>510225197111080526</v>
          </cell>
          <cell r="G130" t="str">
            <v>直工</v>
          </cell>
          <cell r="H130" t="str">
            <v>五金三楼</v>
          </cell>
          <cell r="I130" t="str">
            <v>作业员</v>
          </cell>
          <cell r="J130">
            <v>43047</v>
          </cell>
          <cell r="M130">
            <v>21</v>
          </cell>
          <cell r="N130">
            <v>19.5</v>
          </cell>
          <cell r="O130">
            <v>76.5</v>
          </cell>
          <cell r="P130">
            <v>100.5</v>
          </cell>
          <cell r="S130">
            <v>2050</v>
          </cell>
          <cell r="T130">
            <v>1720</v>
          </cell>
          <cell r="U130">
            <v>1597</v>
          </cell>
          <cell r="V130">
            <v>250</v>
          </cell>
          <cell r="W130">
            <v>232</v>
          </cell>
          <cell r="Z130">
            <v>14.83</v>
          </cell>
          <cell r="AA130">
            <v>1134</v>
          </cell>
          <cell r="AB130">
            <v>19.77</v>
          </cell>
          <cell r="AC130">
            <v>1987</v>
          </cell>
          <cell r="AG130">
            <v>80</v>
          </cell>
          <cell r="AH130">
            <v>46</v>
          </cell>
          <cell r="AI130">
            <v>0</v>
          </cell>
          <cell r="AK130">
            <v>5076</v>
          </cell>
          <cell r="AL130">
            <v>0</v>
          </cell>
          <cell r="AN130">
            <v>32644.8</v>
          </cell>
          <cell r="AO130">
            <v>45000</v>
          </cell>
          <cell r="AP130">
            <v>0</v>
          </cell>
          <cell r="AQ130">
            <v>0</v>
          </cell>
          <cell r="AR130">
            <v>0</v>
          </cell>
          <cell r="AU130">
            <v>0</v>
          </cell>
          <cell r="AV130">
            <v>37920.8</v>
          </cell>
          <cell r="AW130">
            <v>50000</v>
          </cell>
          <cell r="AX130">
            <v>-12079.2</v>
          </cell>
          <cell r="AY130">
            <v>0</v>
          </cell>
          <cell r="AZ130">
            <v>0</v>
          </cell>
          <cell r="BA130">
            <v>0</v>
          </cell>
          <cell r="BB130">
            <v>200</v>
          </cell>
          <cell r="BD130">
            <v>200</v>
          </cell>
          <cell r="BE130">
            <v>5276</v>
          </cell>
          <cell r="BF130">
            <v>5276</v>
          </cell>
          <cell r="BG130">
            <v>0</v>
          </cell>
          <cell r="BI130" t="str">
            <v>6214391880021063881</v>
          </cell>
          <cell r="BK130">
            <v>24.54</v>
          </cell>
          <cell r="BL130">
            <v>0</v>
          </cell>
          <cell r="BM130">
            <v>0</v>
          </cell>
          <cell r="BN130">
            <v>0</v>
          </cell>
          <cell r="BO130">
            <v>-24.54</v>
          </cell>
          <cell r="BP130">
            <v>0</v>
          </cell>
          <cell r="BU130">
            <v>0</v>
          </cell>
        </row>
        <row r="131">
          <cell r="D131" t="str">
            <v>秦一梅</v>
          </cell>
          <cell r="E131" t="str">
            <v>女</v>
          </cell>
          <cell r="F131" t="str">
            <v>452723197805011306</v>
          </cell>
          <cell r="G131" t="str">
            <v>直工</v>
          </cell>
          <cell r="H131" t="str">
            <v>五金三楼</v>
          </cell>
          <cell r="I131" t="str">
            <v>作业员</v>
          </cell>
          <cell r="J131">
            <v>43165</v>
          </cell>
          <cell r="M131">
            <v>21</v>
          </cell>
          <cell r="N131">
            <v>21</v>
          </cell>
          <cell r="O131">
            <v>73.5</v>
          </cell>
          <cell r="P131">
            <v>78</v>
          </cell>
          <cell r="S131">
            <v>2050</v>
          </cell>
          <cell r="T131">
            <v>1720</v>
          </cell>
          <cell r="U131">
            <v>1720</v>
          </cell>
          <cell r="V131">
            <v>250</v>
          </cell>
          <cell r="W131">
            <v>250</v>
          </cell>
          <cell r="Z131">
            <v>14.83</v>
          </cell>
          <cell r="AA131">
            <v>1090</v>
          </cell>
          <cell r="AB131">
            <v>19.77</v>
          </cell>
          <cell r="AC131">
            <v>1542</v>
          </cell>
          <cell r="AG131">
            <v>80</v>
          </cell>
          <cell r="AH131">
            <v>50</v>
          </cell>
          <cell r="AI131">
            <v>0</v>
          </cell>
          <cell r="AK131">
            <v>4732</v>
          </cell>
          <cell r="AL131">
            <v>0</v>
          </cell>
          <cell r="AN131">
            <v>38010.2</v>
          </cell>
          <cell r="AO131">
            <v>45000</v>
          </cell>
          <cell r="AP131">
            <v>0</v>
          </cell>
          <cell r="AQ131">
            <v>0</v>
          </cell>
          <cell r="AR131">
            <v>0</v>
          </cell>
          <cell r="AU131">
            <v>0</v>
          </cell>
          <cell r="AV131">
            <v>42730.87</v>
          </cell>
          <cell r="AW131">
            <v>50000</v>
          </cell>
          <cell r="AX131">
            <v>-7269.13</v>
          </cell>
          <cell r="AY131">
            <v>0</v>
          </cell>
          <cell r="AZ131">
            <v>0</v>
          </cell>
          <cell r="BA131">
            <v>-11.33</v>
          </cell>
          <cell r="BB131">
            <v>0</v>
          </cell>
          <cell r="BD131">
            <v>-11</v>
          </cell>
          <cell r="BE131">
            <v>4721</v>
          </cell>
          <cell r="BF131">
            <v>4721</v>
          </cell>
          <cell r="BG131">
            <v>0</v>
          </cell>
          <cell r="BI131" t="str">
            <v>6214391880023261046</v>
          </cell>
          <cell r="BK131">
            <v>20.22</v>
          </cell>
          <cell r="BL131">
            <v>0</v>
          </cell>
          <cell r="BM131">
            <v>0</v>
          </cell>
          <cell r="BN131">
            <v>0</v>
          </cell>
          <cell r="BO131">
            <v>-20.22</v>
          </cell>
          <cell r="BP131">
            <v>0</v>
          </cell>
          <cell r="BU131">
            <v>0</v>
          </cell>
        </row>
        <row r="132">
          <cell r="D132" t="str">
            <v>陈锦梅</v>
          </cell>
          <cell r="E132" t="str">
            <v>女</v>
          </cell>
          <cell r="F132" t="str">
            <v>440921199008268321</v>
          </cell>
          <cell r="G132" t="str">
            <v>直工</v>
          </cell>
          <cell r="H132" t="str">
            <v>五金三楼</v>
          </cell>
          <cell r="I132" t="str">
            <v>作业员</v>
          </cell>
          <cell r="J132">
            <v>43174</v>
          </cell>
          <cell r="M132">
            <v>21</v>
          </cell>
          <cell r="N132">
            <v>17.5</v>
          </cell>
          <cell r="O132">
            <v>67.5</v>
          </cell>
          <cell r="P132">
            <v>89</v>
          </cell>
          <cell r="S132">
            <v>2360</v>
          </cell>
          <cell r="T132">
            <v>1720</v>
          </cell>
          <cell r="U132">
            <v>1433</v>
          </cell>
          <cell r="V132">
            <v>560</v>
          </cell>
          <cell r="W132">
            <v>467</v>
          </cell>
          <cell r="Z132">
            <v>14.83</v>
          </cell>
          <cell r="AA132">
            <v>1001</v>
          </cell>
          <cell r="AB132">
            <v>19.77</v>
          </cell>
          <cell r="AC132">
            <v>1760</v>
          </cell>
          <cell r="AH132">
            <v>42</v>
          </cell>
          <cell r="AI132">
            <v>0</v>
          </cell>
          <cell r="AK132">
            <v>4703</v>
          </cell>
          <cell r="AL132">
            <v>0</v>
          </cell>
          <cell r="AN132">
            <v>36584</v>
          </cell>
          <cell r="AO132">
            <v>45000</v>
          </cell>
          <cell r="AP132">
            <v>0</v>
          </cell>
          <cell r="AQ132">
            <v>0</v>
          </cell>
          <cell r="AR132">
            <v>0</v>
          </cell>
          <cell r="AU132">
            <v>0</v>
          </cell>
          <cell r="AV132">
            <v>41487</v>
          </cell>
          <cell r="AW132">
            <v>50000</v>
          </cell>
          <cell r="AX132">
            <v>-8513</v>
          </cell>
          <cell r="AY132">
            <v>0</v>
          </cell>
          <cell r="AZ132">
            <v>0</v>
          </cell>
          <cell r="BA132">
            <v>0</v>
          </cell>
          <cell r="BB132">
            <v>200</v>
          </cell>
          <cell r="BD132">
            <v>200</v>
          </cell>
          <cell r="BE132">
            <v>4903</v>
          </cell>
          <cell r="BF132">
            <v>4903</v>
          </cell>
          <cell r="BG132">
            <v>0</v>
          </cell>
          <cell r="BI132" t="str">
            <v>6214391880018592264</v>
          </cell>
          <cell r="BK132">
            <v>35.49</v>
          </cell>
          <cell r="BL132">
            <v>0</v>
          </cell>
          <cell r="BM132">
            <v>0</v>
          </cell>
          <cell r="BN132">
            <v>0</v>
          </cell>
          <cell r="BO132">
            <v>-35.49</v>
          </cell>
          <cell r="BP132">
            <v>0</v>
          </cell>
          <cell r="BU132">
            <v>0</v>
          </cell>
        </row>
        <row r="133">
          <cell r="D133" t="str">
            <v>卓俊俊</v>
          </cell>
          <cell r="E133" t="str">
            <v>男</v>
          </cell>
          <cell r="F133" t="str">
            <v>412827198710103556</v>
          </cell>
          <cell r="G133" t="str">
            <v>直工</v>
          </cell>
          <cell r="H133" t="str">
            <v>五金三楼</v>
          </cell>
          <cell r="I133" t="str">
            <v>物料员</v>
          </cell>
          <cell r="J133">
            <v>43181</v>
          </cell>
          <cell r="M133">
            <v>21</v>
          </cell>
          <cell r="N133">
            <v>12.2</v>
          </cell>
          <cell r="O133">
            <v>23.5</v>
          </cell>
          <cell r="P133">
            <v>38.5</v>
          </cell>
          <cell r="S133">
            <v>2924</v>
          </cell>
          <cell r="T133">
            <v>1720</v>
          </cell>
          <cell r="U133">
            <v>999</v>
          </cell>
          <cell r="V133">
            <v>950</v>
          </cell>
          <cell r="W133">
            <v>552</v>
          </cell>
          <cell r="X133">
            <v>300</v>
          </cell>
          <cell r="Y133">
            <v>174</v>
          </cell>
          <cell r="Z133">
            <v>14.83</v>
          </cell>
          <cell r="AA133">
            <v>349</v>
          </cell>
          <cell r="AB133">
            <v>19.77</v>
          </cell>
          <cell r="AC133">
            <v>761</v>
          </cell>
          <cell r="AH133">
            <v>29</v>
          </cell>
          <cell r="AI133">
            <v>0</v>
          </cell>
          <cell r="AK133">
            <v>2864</v>
          </cell>
          <cell r="AL133">
            <v>0</v>
          </cell>
          <cell r="AN133">
            <v>41768.65</v>
          </cell>
          <cell r="AO133">
            <v>45000</v>
          </cell>
          <cell r="AP133">
            <v>0</v>
          </cell>
          <cell r="AQ133">
            <v>0</v>
          </cell>
          <cell r="AR133">
            <v>0</v>
          </cell>
          <cell r="AU133">
            <v>0</v>
          </cell>
          <cell r="AV133">
            <v>44612.65</v>
          </cell>
          <cell r="AW133">
            <v>50000</v>
          </cell>
          <cell r="AX133">
            <v>-5387.35</v>
          </cell>
          <cell r="AY133">
            <v>0</v>
          </cell>
          <cell r="AZ133">
            <v>0</v>
          </cell>
          <cell r="BA133">
            <v>0</v>
          </cell>
          <cell r="BB133">
            <v>-20</v>
          </cell>
          <cell r="BD133">
            <v>-20</v>
          </cell>
          <cell r="BE133">
            <v>2844</v>
          </cell>
          <cell r="BF133">
            <v>2844</v>
          </cell>
          <cell r="BG133">
            <v>0</v>
          </cell>
          <cell r="BI133" t="str">
            <v>6214391880023261152</v>
          </cell>
          <cell r="BK133">
            <v>44.28</v>
          </cell>
          <cell r="BL133">
            <v>0</v>
          </cell>
          <cell r="BM133">
            <v>0</v>
          </cell>
          <cell r="BN133">
            <v>0</v>
          </cell>
          <cell r="BO133">
            <v>-44.28</v>
          </cell>
          <cell r="BP133">
            <v>0</v>
          </cell>
          <cell r="BU133">
            <v>0</v>
          </cell>
        </row>
        <row r="134">
          <cell r="D134" t="str">
            <v>张娅</v>
          </cell>
          <cell r="E134" t="str">
            <v>女</v>
          </cell>
          <cell r="F134" t="str">
            <v>520221199912010806</v>
          </cell>
          <cell r="G134" t="str">
            <v>直工</v>
          </cell>
          <cell r="H134" t="str">
            <v>五金三楼</v>
          </cell>
          <cell r="I134" t="str">
            <v>作业员</v>
          </cell>
          <cell r="J134">
            <v>43182</v>
          </cell>
          <cell r="M134">
            <v>21</v>
          </cell>
          <cell r="N134">
            <v>20.5</v>
          </cell>
          <cell r="O134">
            <v>60</v>
          </cell>
          <cell r="P134">
            <v>73.5</v>
          </cell>
          <cell r="S134">
            <v>2050</v>
          </cell>
          <cell r="T134">
            <v>1720</v>
          </cell>
          <cell r="U134">
            <v>1679</v>
          </cell>
          <cell r="V134">
            <v>250</v>
          </cell>
          <cell r="W134">
            <v>244</v>
          </cell>
          <cell r="Z134">
            <v>14.83</v>
          </cell>
          <cell r="AA134">
            <v>890</v>
          </cell>
          <cell r="AB134">
            <v>19.77</v>
          </cell>
          <cell r="AC134">
            <v>1453</v>
          </cell>
          <cell r="AG134">
            <v>40</v>
          </cell>
          <cell r="AH134">
            <v>49</v>
          </cell>
          <cell r="AI134">
            <v>0</v>
          </cell>
          <cell r="AK134">
            <v>4355</v>
          </cell>
          <cell r="AL134">
            <v>0</v>
          </cell>
          <cell r="AN134">
            <v>33059</v>
          </cell>
          <cell r="AO134">
            <v>45000</v>
          </cell>
          <cell r="AP134">
            <v>0</v>
          </cell>
          <cell r="AQ134">
            <v>0</v>
          </cell>
          <cell r="AR134">
            <v>0</v>
          </cell>
          <cell r="AU134">
            <v>0</v>
          </cell>
          <cell r="AV134">
            <v>37394</v>
          </cell>
          <cell r="AW134">
            <v>50000</v>
          </cell>
          <cell r="AX134">
            <v>-12606</v>
          </cell>
          <cell r="AY134">
            <v>0</v>
          </cell>
          <cell r="AZ134">
            <v>0</v>
          </cell>
          <cell r="BA134">
            <v>0</v>
          </cell>
          <cell r="BB134">
            <v>-20</v>
          </cell>
          <cell r="BD134">
            <v>-20</v>
          </cell>
          <cell r="BE134">
            <v>4335</v>
          </cell>
          <cell r="BF134">
            <v>4335</v>
          </cell>
          <cell r="BG134">
            <v>0</v>
          </cell>
          <cell r="BI134" t="str">
            <v>6214391880022436086</v>
          </cell>
          <cell r="BK134">
            <v>24.48</v>
          </cell>
          <cell r="BL134">
            <v>0</v>
          </cell>
          <cell r="BM134">
            <v>0</v>
          </cell>
          <cell r="BN134">
            <v>0</v>
          </cell>
          <cell r="BO134">
            <v>-24.48</v>
          </cell>
          <cell r="BP134">
            <v>0</v>
          </cell>
          <cell r="BU134">
            <v>0</v>
          </cell>
        </row>
        <row r="135">
          <cell r="D135" t="str">
            <v>田婷莉</v>
          </cell>
          <cell r="E135" t="str">
            <v>女</v>
          </cell>
          <cell r="F135" t="str">
            <v>612501198409206027</v>
          </cell>
          <cell r="G135" t="str">
            <v>直工</v>
          </cell>
          <cell r="H135" t="str">
            <v>五金三楼</v>
          </cell>
          <cell r="I135" t="str">
            <v>作业员</v>
          </cell>
          <cell r="J135">
            <v>43249</v>
          </cell>
          <cell r="M135">
            <v>21</v>
          </cell>
          <cell r="N135">
            <v>21</v>
          </cell>
          <cell r="O135">
            <v>77.5</v>
          </cell>
          <cell r="P135">
            <v>103.5</v>
          </cell>
          <cell r="S135">
            <v>2050</v>
          </cell>
          <cell r="T135">
            <v>1720</v>
          </cell>
          <cell r="U135">
            <v>1720</v>
          </cell>
          <cell r="V135">
            <v>250</v>
          </cell>
          <cell r="W135">
            <v>250</v>
          </cell>
          <cell r="Z135">
            <v>14.83</v>
          </cell>
          <cell r="AA135">
            <v>1149</v>
          </cell>
          <cell r="AB135">
            <v>19.77</v>
          </cell>
          <cell r="AC135">
            <v>2046</v>
          </cell>
          <cell r="AG135">
            <v>80</v>
          </cell>
          <cell r="AH135">
            <v>50</v>
          </cell>
          <cell r="AI135">
            <v>0</v>
          </cell>
          <cell r="AK135">
            <v>5295</v>
          </cell>
          <cell r="AL135">
            <v>0</v>
          </cell>
          <cell r="AN135">
            <v>37668</v>
          </cell>
          <cell r="AO135">
            <v>45000</v>
          </cell>
          <cell r="AP135">
            <v>0</v>
          </cell>
          <cell r="AQ135">
            <v>0</v>
          </cell>
          <cell r="AR135">
            <v>0</v>
          </cell>
          <cell r="AU135">
            <v>0</v>
          </cell>
          <cell r="AV135">
            <v>43163</v>
          </cell>
          <cell r="AW135">
            <v>50000</v>
          </cell>
          <cell r="AX135">
            <v>-6837</v>
          </cell>
          <cell r="AY135">
            <v>0</v>
          </cell>
          <cell r="AZ135">
            <v>0</v>
          </cell>
          <cell r="BA135">
            <v>0</v>
          </cell>
          <cell r="BB135">
            <v>200</v>
          </cell>
          <cell r="BD135">
            <v>200</v>
          </cell>
          <cell r="BE135">
            <v>5495</v>
          </cell>
          <cell r="BF135">
            <v>5495</v>
          </cell>
          <cell r="BG135">
            <v>0</v>
          </cell>
          <cell r="BI135" t="str">
            <v>6214391880024635339</v>
          </cell>
          <cell r="BK135">
            <v>35.16</v>
          </cell>
          <cell r="BL135">
            <v>0</v>
          </cell>
          <cell r="BM135">
            <v>0</v>
          </cell>
          <cell r="BN135">
            <v>0</v>
          </cell>
          <cell r="BO135">
            <v>-35.16</v>
          </cell>
          <cell r="BP135">
            <v>0</v>
          </cell>
          <cell r="BU135">
            <v>0</v>
          </cell>
        </row>
        <row r="136">
          <cell r="D136" t="str">
            <v>李雪</v>
          </cell>
          <cell r="E136" t="str">
            <v>女</v>
          </cell>
          <cell r="F136" t="str">
            <v>513002198706099340</v>
          </cell>
          <cell r="G136" t="str">
            <v>直工</v>
          </cell>
          <cell r="H136" t="str">
            <v>五金三楼</v>
          </cell>
          <cell r="I136" t="str">
            <v>作业员</v>
          </cell>
          <cell r="J136">
            <v>43279</v>
          </cell>
          <cell r="M136">
            <v>21</v>
          </cell>
          <cell r="N136">
            <v>20</v>
          </cell>
          <cell r="O136">
            <v>70</v>
          </cell>
          <cell r="P136">
            <v>89</v>
          </cell>
          <cell r="S136">
            <v>2350</v>
          </cell>
          <cell r="T136">
            <v>1720</v>
          </cell>
          <cell r="U136">
            <v>1638</v>
          </cell>
          <cell r="V136">
            <v>550</v>
          </cell>
          <cell r="W136">
            <v>524</v>
          </cell>
          <cell r="Z136">
            <v>14.83</v>
          </cell>
          <cell r="AA136">
            <v>1038</v>
          </cell>
          <cell r="AB136">
            <v>19.77</v>
          </cell>
          <cell r="AC136">
            <v>1760</v>
          </cell>
          <cell r="AH136">
            <v>48</v>
          </cell>
          <cell r="AI136">
            <v>0</v>
          </cell>
          <cell r="AK136">
            <v>5008</v>
          </cell>
          <cell r="AL136">
            <v>0</v>
          </cell>
          <cell r="AN136">
            <v>38126</v>
          </cell>
          <cell r="AO136">
            <v>45000</v>
          </cell>
          <cell r="AP136">
            <v>0</v>
          </cell>
          <cell r="AQ136">
            <v>0</v>
          </cell>
          <cell r="AR136">
            <v>0</v>
          </cell>
          <cell r="AU136">
            <v>0</v>
          </cell>
          <cell r="AV136">
            <v>43334</v>
          </cell>
          <cell r="AW136">
            <v>50000</v>
          </cell>
          <cell r="AX136">
            <v>-6666</v>
          </cell>
          <cell r="AY136">
            <v>0</v>
          </cell>
          <cell r="AZ136">
            <v>0</v>
          </cell>
          <cell r="BA136">
            <v>0</v>
          </cell>
          <cell r="BB136">
            <v>200</v>
          </cell>
          <cell r="BD136">
            <v>200</v>
          </cell>
          <cell r="BE136">
            <v>5208</v>
          </cell>
          <cell r="BF136">
            <v>5208</v>
          </cell>
          <cell r="BG136">
            <v>0</v>
          </cell>
          <cell r="BI136" t="str">
            <v>6214391880024634852</v>
          </cell>
          <cell r="BK136">
            <v>32.04</v>
          </cell>
          <cell r="BL136">
            <v>1.17</v>
          </cell>
          <cell r="BM136">
            <v>0</v>
          </cell>
          <cell r="BN136">
            <v>0</v>
          </cell>
          <cell r="BO136">
            <v>-33.21</v>
          </cell>
          <cell r="BP136">
            <v>0</v>
          </cell>
          <cell r="BU136">
            <v>0</v>
          </cell>
        </row>
        <row r="137">
          <cell r="D137" t="str">
            <v>李桂花</v>
          </cell>
          <cell r="E137" t="str">
            <v>女</v>
          </cell>
          <cell r="F137" t="str">
            <v>430425198108136360</v>
          </cell>
          <cell r="G137" t="str">
            <v>直工</v>
          </cell>
          <cell r="H137" t="str">
            <v>五金三楼</v>
          </cell>
          <cell r="I137" t="str">
            <v>作业员</v>
          </cell>
          <cell r="J137">
            <v>43511</v>
          </cell>
          <cell r="M137">
            <v>21</v>
          </cell>
          <cell r="N137">
            <v>21</v>
          </cell>
          <cell r="O137">
            <v>64</v>
          </cell>
          <cell r="P137">
            <v>82</v>
          </cell>
          <cell r="S137">
            <v>1950</v>
          </cell>
          <cell r="T137">
            <v>1720</v>
          </cell>
          <cell r="U137">
            <v>1720</v>
          </cell>
          <cell r="V137">
            <v>150</v>
          </cell>
          <cell r="W137">
            <v>150</v>
          </cell>
          <cell r="Z137">
            <v>14.83</v>
          </cell>
          <cell r="AA137">
            <v>949</v>
          </cell>
          <cell r="AB137">
            <v>19.77</v>
          </cell>
          <cell r="AC137">
            <v>1621</v>
          </cell>
          <cell r="AG137">
            <v>80</v>
          </cell>
          <cell r="AI137">
            <v>0</v>
          </cell>
          <cell r="AK137">
            <v>4520</v>
          </cell>
          <cell r="AL137">
            <v>0</v>
          </cell>
          <cell r="AN137">
            <v>36092</v>
          </cell>
          <cell r="AO137">
            <v>45000</v>
          </cell>
          <cell r="AP137">
            <v>0</v>
          </cell>
          <cell r="AQ137">
            <v>0</v>
          </cell>
          <cell r="AR137">
            <v>0</v>
          </cell>
          <cell r="AU137">
            <v>0</v>
          </cell>
          <cell r="AV137">
            <v>40612</v>
          </cell>
          <cell r="AW137">
            <v>50000</v>
          </cell>
          <cell r="AX137">
            <v>-9388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D137">
            <v>0</v>
          </cell>
          <cell r="BE137">
            <v>4520</v>
          </cell>
          <cell r="BF137">
            <v>4520</v>
          </cell>
          <cell r="BG137">
            <v>0</v>
          </cell>
          <cell r="BI137" t="str">
            <v>6214391880028862244</v>
          </cell>
          <cell r="BK137">
            <v>4.14</v>
          </cell>
          <cell r="BL137">
            <v>0</v>
          </cell>
          <cell r="BM137">
            <v>0</v>
          </cell>
          <cell r="BN137">
            <v>0</v>
          </cell>
          <cell r="BO137">
            <v>-4.14</v>
          </cell>
          <cell r="BP137">
            <v>0</v>
          </cell>
          <cell r="BU137">
            <v>0</v>
          </cell>
        </row>
        <row r="138">
          <cell r="D138" t="str">
            <v>陈联云</v>
          </cell>
          <cell r="E138" t="str">
            <v>女</v>
          </cell>
          <cell r="F138" t="str">
            <v>512221197406176863</v>
          </cell>
          <cell r="G138" t="str">
            <v>直工</v>
          </cell>
          <cell r="H138" t="str">
            <v>五金三楼</v>
          </cell>
          <cell r="I138" t="str">
            <v>作业员</v>
          </cell>
          <cell r="J138">
            <v>43516</v>
          </cell>
          <cell r="M138">
            <v>21</v>
          </cell>
          <cell r="N138">
            <v>21</v>
          </cell>
          <cell r="O138">
            <v>73.5</v>
          </cell>
          <cell r="P138">
            <v>79</v>
          </cell>
          <cell r="S138">
            <v>1950</v>
          </cell>
          <cell r="T138">
            <v>1720</v>
          </cell>
          <cell r="U138">
            <v>1720</v>
          </cell>
          <cell r="V138">
            <v>150</v>
          </cell>
          <cell r="W138">
            <v>150</v>
          </cell>
          <cell r="Z138">
            <v>14.83</v>
          </cell>
          <cell r="AA138">
            <v>1090</v>
          </cell>
          <cell r="AB138">
            <v>19.77</v>
          </cell>
          <cell r="AC138">
            <v>1562</v>
          </cell>
          <cell r="AG138">
            <v>80</v>
          </cell>
          <cell r="AI138">
            <v>0</v>
          </cell>
          <cell r="AK138">
            <v>4602</v>
          </cell>
          <cell r="AL138">
            <v>0</v>
          </cell>
          <cell r="AN138">
            <v>28392</v>
          </cell>
          <cell r="AO138">
            <v>40000</v>
          </cell>
          <cell r="AP138">
            <v>0</v>
          </cell>
          <cell r="AQ138">
            <v>0</v>
          </cell>
          <cell r="AR138">
            <v>0</v>
          </cell>
          <cell r="AU138">
            <v>0</v>
          </cell>
          <cell r="AV138">
            <v>32994</v>
          </cell>
          <cell r="AW138">
            <v>45000</v>
          </cell>
          <cell r="AX138">
            <v>-12006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D138">
            <v>0</v>
          </cell>
          <cell r="BE138">
            <v>4602</v>
          </cell>
          <cell r="BF138">
            <v>4602</v>
          </cell>
          <cell r="BG138">
            <v>0</v>
          </cell>
          <cell r="BI138" t="str">
            <v>6214391880029055905</v>
          </cell>
          <cell r="BK138">
            <v>4.02</v>
          </cell>
          <cell r="BL138">
            <v>0</v>
          </cell>
          <cell r="BM138">
            <v>0</v>
          </cell>
          <cell r="BN138">
            <v>0</v>
          </cell>
          <cell r="BO138">
            <v>-4.02</v>
          </cell>
          <cell r="BP138">
            <v>0</v>
          </cell>
          <cell r="BU138">
            <v>0</v>
          </cell>
        </row>
        <row r="139">
          <cell r="D139" t="str">
            <v>何多兰</v>
          </cell>
          <cell r="E139" t="str">
            <v>女</v>
          </cell>
          <cell r="F139" t="str">
            <v>362329197808267125</v>
          </cell>
          <cell r="G139" t="str">
            <v>直工</v>
          </cell>
          <cell r="H139" t="str">
            <v>五金三楼</v>
          </cell>
          <cell r="I139" t="str">
            <v>作业员</v>
          </cell>
          <cell r="J139">
            <v>43516</v>
          </cell>
          <cell r="M139">
            <v>21</v>
          </cell>
          <cell r="N139">
            <v>21</v>
          </cell>
          <cell r="O139">
            <v>73.5</v>
          </cell>
          <cell r="P139">
            <v>79</v>
          </cell>
          <cell r="S139">
            <v>1950</v>
          </cell>
          <cell r="T139">
            <v>1720</v>
          </cell>
          <cell r="U139">
            <v>1720</v>
          </cell>
          <cell r="V139">
            <v>150</v>
          </cell>
          <cell r="W139">
            <v>150</v>
          </cell>
          <cell r="Z139">
            <v>14.83</v>
          </cell>
          <cell r="AA139">
            <v>1090</v>
          </cell>
          <cell r="AB139">
            <v>19.77</v>
          </cell>
          <cell r="AC139">
            <v>1562</v>
          </cell>
          <cell r="AG139">
            <v>80</v>
          </cell>
          <cell r="AI139">
            <v>0</v>
          </cell>
          <cell r="AK139">
            <v>4602</v>
          </cell>
          <cell r="AL139">
            <v>0</v>
          </cell>
          <cell r="AN139">
            <v>28123</v>
          </cell>
          <cell r="AO139">
            <v>40000</v>
          </cell>
          <cell r="AP139">
            <v>0</v>
          </cell>
          <cell r="AQ139">
            <v>0</v>
          </cell>
          <cell r="AR139">
            <v>0</v>
          </cell>
          <cell r="AU139">
            <v>0</v>
          </cell>
          <cell r="AV139">
            <v>32725</v>
          </cell>
          <cell r="AW139">
            <v>45000</v>
          </cell>
          <cell r="AX139">
            <v>-12275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D139">
            <v>0</v>
          </cell>
          <cell r="BE139">
            <v>4602</v>
          </cell>
          <cell r="BF139">
            <v>4602</v>
          </cell>
          <cell r="BG139">
            <v>0</v>
          </cell>
          <cell r="BI139" t="str">
            <v>6214391880029055640</v>
          </cell>
          <cell r="BK139">
            <v>3.03</v>
          </cell>
          <cell r="BL139">
            <v>0</v>
          </cell>
          <cell r="BM139">
            <v>0</v>
          </cell>
          <cell r="BN139">
            <v>0</v>
          </cell>
          <cell r="BO139">
            <v>-3.03</v>
          </cell>
          <cell r="BP139">
            <v>0</v>
          </cell>
          <cell r="BU139">
            <v>0</v>
          </cell>
        </row>
        <row r="140">
          <cell r="D140" t="str">
            <v>王建雲</v>
          </cell>
          <cell r="E140" t="str">
            <v>女</v>
          </cell>
          <cell r="F140" t="str">
            <v>41302319811120076X</v>
          </cell>
          <cell r="G140" t="str">
            <v>直工</v>
          </cell>
          <cell r="H140" t="str">
            <v>五金三楼</v>
          </cell>
          <cell r="I140" t="str">
            <v>作业员</v>
          </cell>
          <cell r="J140">
            <v>43519</v>
          </cell>
          <cell r="M140">
            <v>21</v>
          </cell>
          <cell r="N140">
            <v>21</v>
          </cell>
          <cell r="O140">
            <v>71.5</v>
          </cell>
          <cell r="P140">
            <v>78</v>
          </cell>
          <cell r="S140">
            <v>1950</v>
          </cell>
          <cell r="T140">
            <v>1720</v>
          </cell>
          <cell r="U140">
            <v>1720</v>
          </cell>
          <cell r="V140">
            <v>150</v>
          </cell>
          <cell r="W140">
            <v>150</v>
          </cell>
          <cell r="Z140">
            <v>14.83</v>
          </cell>
          <cell r="AA140">
            <v>1060</v>
          </cell>
          <cell r="AB140">
            <v>19.77</v>
          </cell>
          <cell r="AC140">
            <v>1542</v>
          </cell>
          <cell r="AG140">
            <v>80</v>
          </cell>
          <cell r="AI140">
            <v>0</v>
          </cell>
          <cell r="AK140">
            <v>4552</v>
          </cell>
          <cell r="AL140">
            <v>0</v>
          </cell>
          <cell r="AN140">
            <v>25888</v>
          </cell>
          <cell r="AO140">
            <v>40000</v>
          </cell>
          <cell r="AP140">
            <v>0</v>
          </cell>
          <cell r="AQ140">
            <v>0</v>
          </cell>
          <cell r="AR140">
            <v>0</v>
          </cell>
          <cell r="AU140">
            <v>0</v>
          </cell>
          <cell r="AV140">
            <v>30440</v>
          </cell>
          <cell r="AW140">
            <v>45000</v>
          </cell>
          <cell r="AX140">
            <v>-14560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D140">
            <v>0</v>
          </cell>
          <cell r="BE140">
            <v>4552</v>
          </cell>
          <cell r="BF140">
            <v>4552</v>
          </cell>
          <cell r="BG140">
            <v>0</v>
          </cell>
          <cell r="BI140" t="str">
            <v>6214391880028862137</v>
          </cell>
          <cell r="BK140">
            <v>4.26</v>
          </cell>
          <cell r="BL140">
            <v>0</v>
          </cell>
          <cell r="BM140">
            <v>0</v>
          </cell>
          <cell r="BN140">
            <v>0</v>
          </cell>
          <cell r="BO140">
            <v>-4.26</v>
          </cell>
          <cell r="BP140">
            <v>0</v>
          </cell>
          <cell r="BU140">
            <v>0</v>
          </cell>
        </row>
        <row r="141">
          <cell r="D141" t="str">
            <v>汪近</v>
          </cell>
          <cell r="E141" t="str">
            <v>女</v>
          </cell>
          <cell r="F141" t="str">
            <v>512222197205176046</v>
          </cell>
          <cell r="G141" t="str">
            <v>直工</v>
          </cell>
          <cell r="H141" t="str">
            <v>五金三楼</v>
          </cell>
          <cell r="I141" t="str">
            <v>作业员</v>
          </cell>
          <cell r="J141">
            <v>43519</v>
          </cell>
          <cell r="M141">
            <v>21</v>
          </cell>
          <cell r="N141">
            <v>21</v>
          </cell>
          <cell r="O141">
            <v>72.5</v>
          </cell>
          <cell r="P141">
            <v>79</v>
          </cell>
          <cell r="S141">
            <v>1950</v>
          </cell>
          <cell r="T141">
            <v>1720</v>
          </cell>
          <cell r="U141">
            <v>1720</v>
          </cell>
          <cell r="V141">
            <v>150</v>
          </cell>
          <cell r="W141">
            <v>150</v>
          </cell>
          <cell r="Z141">
            <v>14.83</v>
          </cell>
          <cell r="AA141">
            <v>1075</v>
          </cell>
          <cell r="AB141">
            <v>19.77</v>
          </cell>
          <cell r="AC141">
            <v>1562</v>
          </cell>
          <cell r="AG141">
            <v>80</v>
          </cell>
          <cell r="AI141">
            <v>0</v>
          </cell>
          <cell r="AK141">
            <v>4587</v>
          </cell>
          <cell r="AL141">
            <v>0</v>
          </cell>
          <cell r="AN141">
            <v>27289</v>
          </cell>
          <cell r="AO141">
            <v>40000</v>
          </cell>
          <cell r="AP141">
            <v>0</v>
          </cell>
          <cell r="AQ141">
            <v>0</v>
          </cell>
          <cell r="AR141">
            <v>0</v>
          </cell>
          <cell r="AU141">
            <v>0</v>
          </cell>
          <cell r="AV141">
            <v>31876</v>
          </cell>
          <cell r="AW141">
            <v>45000</v>
          </cell>
          <cell r="AX141">
            <v>-13124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D141">
            <v>0</v>
          </cell>
          <cell r="BE141">
            <v>4587</v>
          </cell>
          <cell r="BF141">
            <v>4587</v>
          </cell>
          <cell r="BG141">
            <v>0</v>
          </cell>
          <cell r="BI141" t="str">
            <v>621 4391 8800 2869 3417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U141">
            <v>0</v>
          </cell>
        </row>
        <row r="142">
          <cell r="D142" t="str">
            <v>刘昌英</v>
          </cell>
          <cell r="E142" t="str">
            <v>女</v>
          </cell>
          <cell r="F142" t="str">
            <v>512229197111204784</v>
          </cell>
          <cell r="G142" t="str">
            <v>直工</v>
          </cell>
          <cell r="H142" t="str">
            <v>五金三楼</v>
          </cell>
          <cell r="I142" t="str">
            <v>作业员</v>
          </cell>
          <cell r="J142">
            <v>43519</v>
          </cell>
          <cell r="M142">
            <v>21</v>
          </cell>
          <cell r="N142">
            <v>21</v>
          </cell>
          <cell r="O142">
            <v>76.5</v>
          </cell>
          <cell r="P142">
            <v>79.5</v>
          </cell>
          <cell r="S142">
            <v>1950</v>
          </cell>
          <cell r="T142">
            <v>1720</v>
          </cell>
          <cell r="U142">
            <v>1720</v>
          </cell>
          <cell r="V142">
            <v>150</v>
          </cell>
          <cell r="W142">
            <v>150</v>
          </cell>
          <cell r="Z142">
            <v>14.83</v>
          </cell>
          <cell r="AA142">
            <v>1134</v>
          </cell>
          <cell r="AB142">
            <v>19.77</v>
          </cell>
          <cell r="AC142">
            <v>1572</v>
          </cell>
          <cell r="AG142">
            <v>80</v>
          </cell>
          <cell r="AI142">
            <v>0</v>
          </cell>
          <cell r="AK142">
            <v>4656</v>
          </cell>
          <cell r="AL142">
            <v>0</v>
          </cell>
          <cell r="AN142">
            <v>28377</v>
          </cell>
          <cell r="AO142">
            <v>40000</v>
          </cell>
          <cell r="AP142">
            <v>0</v>
          </cell>
          <cell r="AQ142">
            <v>0</v>
          </cell>
          <cell r="AR142">
            <v>0</v>
          </cell>
          <cell r="AU142">
            <v>0</v>
          </cell>
          <cell r="AV142">
            <v>33033</v>
          </cell>
          <cell r="AW142">
            <v>45000</v>
          </cell>
          <cell r="AX142">
            <v>-11967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D142">
            <v>0</v>
          </cell>
          <cell r="BE142">
            <v>4656</v>
          </cell>
          <cell r="BF142">
            <v>4656</v>
          </cell>
          <cell r="BG142">
            <v>0</v>
          </cell>
          <cell r="BI142" t="str">
            <v>6214391880028862210</v>
          </cell>
          <cell r="BK142">
            <v>5.04</v>
          </cell>
          <cell r="BL142">
            <v>0</v>
          </cell>
          <cell r="BM142">
            <v>0</v>
          </cell>
          <cell r="BN142">
            <v>0</v>
          </cell>
          <cell r="BO142">
            <v>-5.04</v>
          </cell>
          <cell r="BP142">
            <v>0</v>
          </cell>
          <cell r="BU142">
            <v>0</v>
          </cell>
        </row>
        <row r="143">
          <cell r="D143" t="str">
            <v>赵翠武</v>
          </cell>
          <cell r="E143" t="str">
            <v>女</v>
          </cell>
          <cell r="F143" t="str">
            <v>510824197607200946</v>
          </cell>
          <cell r="G143" t="str">
            <v>直工</v>
          </cell>
          <cell r="H143" t="str">
            <v>五金三楼</v>
          </cell>
          <cell r="I143" t="str">
            <v>作业员</v>
          </cell>
          <cell r="J143">
            <v>43519</v>
          </cell>
          <cell r="M143">
            <v>21</v>
          </cell>
          <cell r="N143">
            <v>21</v>
          </cell>
          <cell r="O143">
            <v>73.5</v>
          </cell>
          <cell r="P143">
            <v>79</v>
          </cell>
          <cell r="S143">
            <v>1950</v>
          </cell>
          <cell r="T143">
            <v>1720</v>
          </cell>
          <cell r="U143">
            <v>1720</v>
          </cell>
          <cell r="V143">
            <v>150</v>
          </cell>
          <cell r="W143">
            <v>150</v>
          </cell>
          <cell r="Z143">
            <v>14.83</v>
          </cell>
          <cell r="AA143">
            <v>1090</v>
          </cell>
          <cell r="AB143">
            <v>19.77</v>
          </cell>
          <cell r="AC143">
            <v>1562</v>
          </cell>
          <cell r="AG143">
            <v>80</v>
          </cell>
          <cell r="AI143">
            <v>0</v>
          </cell>
          <cell r="AK143">
            <v>4602</v>
          </cell>
          <cell r="AL143">
            <v>0</v>
          </cell>
          <cell r="AN143">
            <v>28181</v>
          </cell>
          <cell r="AO143">
            <v>40000</v>
          </cell>
          <cell r="AP143">
            <v>0</v>
          </cell>
          <cell r="AQ143">
            <v>0</v>
          </cell>
          <cell r="AR143">
            <v>0</v>
          </cell>
          <cell r="AU143">
            <v>0</v>
          </cell>
          <cell r="AV143">
            <v>32783</v>
          </cell>
          <cell r="AW143">
            <v>45000</v>
          </cell>
          <cell r="AX143">
            <v>-12217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E143">
            <v>4602</v>
          </cell>
          <cell r="BF143">
            <v>4602</v>
          </cell>
          <cell r="BG143">
            <v>0</v>
          </cell>
          <cell r="BI143" t="str">
            <v>621 4391 8800 2869 3573</v>
          </cell>
          <cell r="BK143">
            <v>5.04</v>
          </cell>
          <cell r="BL143">
            <v>0</v>
          </cell>
          <cell r="BM143">
            <v>0</v>
          </cell>
          <cell r="BN143">
            <v>0</v>
          </cell>
          <cell r="BO143">
            <v>-5.04</v>
          </cell>
          <cell r="BP143">
            <v>0</v>
          </cell>
          <cell r="BU143">
            <v>0</v>
          </cell>
        </row>
        <row r="144">
          <cell r="D144" t="str">
            <v>裴启乾</v>
          </cell>
          <cell r="E144" t="str">
            <v>男</v>
          </cell>
          <cell r="F144" t="str">
            <v>500234199301203754</v>
          </cell>
          <cell r="G144" t="str">
            <v>直工</v>
          </cell>
          <cell r="H144" t="str">
            <v>五金三楼</v>
          </cell>
          <cell r="I144" t="str">
            <v>作业员</v>
          </cell>
          <cell r="J144">
            <v>43522</v>
          </cell>
          <cell r="M144">
            <v>21</v>
          </cell>
          <cell r="N144">
            <v>20</v>
          </cell>
          <cell r="O144">
            <v>76</v>
          </cell>
          <cell r="P144">
            <v>92.5</v>
          </cell>
          <cell r="S144">
            <v>2450</v>
          </cell>
          <cell r="T144">
            <v>1720</v>
          </cell>
          <cell r="U144">
            <v>1638</v>
          </cell>
          <cell r="V144">
            <v>650</v>
          </cell>
          <cell r="W144">
            <v>619</v>
          </cell>
          <cell r="Z144">
            <v>14.83</v>
          </cell>
          <cell r="AA144">
            <v>1127</v>
          </cell>
          <cell r="AB144">
            <v>19.77</v>
          </cell>
          <cell r="AC144">
            <v>1829</v>
          </cell>
          <cell r="AG144">
            <v>80</v>
          </cell>
          <cell r="AI144">
            <v>0</v>
          </cell>
          <cell r="AK144">
            <v>5293</v>
          </cell>
          <cell r="AL144">
            <v>0</v>
          </cell>
          <cell r="AN144">
            <v>30442</v>
          </cell>
          <cell r="AO144">
            <v>40000</v>
          </cell>
          <cell r="AP144">
            <v>0</v>
          </cell>
          <cell r="AQ144">
            <v>0</v>
          </cell>
          <cell r="AR144">
            <v>0</v>
          </cell>
          <cell r="AU144">
            <v>0</v>
          </cell>
          <cell r="AV144">
            <v>35935</v>
          </cell>
          <cell r="AW144">
            <v>45000</v>
          </cell>
          <cell r="AX144">
            <v>-9065</v>
          </cell>
          <cell r="AY144">
            <v>0</v>
          </cell>
          <cell r="AZ144">
            <v>0</v>
          </cell>
          <cell r="BA144">
            <v>0</v>
          </cell>
          <cell r="BB144">
            <v>200</v>
          </cell>
          <cell r="BD144">
            <v>200</v>
          </cell>
          <cell r="BE144">
            <v>5493</v>
          </cell>
          <cell r="BF144">
            <v>5493</v>
          </cell>
          <cell r="BG144">
            <v>0</v>
          </cell>
          <cell r="BI144" t="str">
            <v>6214391880028861972</v>
          </cell>
          <cell r="BK144">
            <v>3.48</v>
          </cell>
          <cell r="BL144">
            <v>0</v>
          </cell>
          <cell r="BM144">
            <v>12.06</v>
          </cell>
          <cell r="BN144">
            <v>3.93</v>
          </cell>
          <cell r="BO144">
            <v>-19.47</v>
          </cell>
          <cell r="BP144">
            <v>0</v>
          </cell>
          <cell r="BU144">
            <v>0</v>
          </cell>
        </row>
        <row r="145">
          <cell r="D145" t="str">
            <v>吴贵香</v>
          </cell>
          <cell r="E145" t="str">
            <v>女</v>
          </cell>
          <cell r="F145" t="str">
            <v>500223198501148725</v>
          </cell>
          <cell r="G145" t="str">
            <v>直工</v>
          </cell>
          <cell r="H145" t="str">
            <v>五金三楼</v>
          </cell>
          <cell r="I145" t="str">
            <v>作业员</v>
          </cell>
          <cell r="J145">
            <v>43523</v>
          </cell>
          <cell r="M145">
            <v>21</v>
          </cell>
          <cell r="N145">
            <v>19.5</v>
          </cell>
          <cell r="O145">
            <v>76.5</v>
          </cell>
          <cell r="P145">
            <v>100.5</v>
          </cell>
          <cell r="S145">
            <v>1950</v>
          </cell>
          <cell r="T145">
            <v>1720</v>
          </cell>
          <cell r="U145">
            <v>1597</v>
          </cell>
          <cell r="V145">
            <v>150</v>
          </cell>
          <cell r="W145">
            <v>139</v>
          </cell>
          <cell r="Z145">
            <v>14.83</v>
          </cell>
          <cell r="AA145">
            <v>1134</v>
          </cell>
          <cell r="AB145">
            <v>19.77</v>
          </cell>
          <cell r="AC145">
            <v>1987</v>
          </cell>
          <cell r="AG145">
            <v>80</v>
          </cell>
          <cell r="AI145">
            <v>0</v>
          </cell>
          <cell r="AK145">
            <v>4937</v>
          </cell>
          <cell r="AL145">
            <v>0</v>
          </cell>
          <cell r="AN145">
            <v>24824.8</v>
          </cell>
          <cell r="AO145">
            <v>40000</v>
          </cell>
          <cell r="AP145">
            <v>0</v>
          </cell>
          <cell r="AQ145">
            <v>0</v>
          </cell>
          <cell r="AR145">
            <v>0</v>
          </cell>
          <cell r="AU145">
            <v>0</v>
          </cell>
          <cell r="AV145">
            <v>29961.8</v>
          </cell>
          <cell r="AW145">
            <v>45000</v>
          </cell>
          <cell r="AX145">
            <v>-15038.2</v>
          </cell>
          <cell r="AY145">
            <v>0</v>
          </cell>
          <cell r="AZ145">
            <v>0</v>
          </cell>
          <cell r="BA145">
            <v>0</v>
          </cell>
          <cell r="BB145">
            <v>200</v>
          </cell>
          <cell r="BD145">
            <v>200</v>
          </cell>
          <cell r="BE145">
            <v>5137</v>
          </cell>
          <cell r="BF145">
            <v>5137</v>
          </cell>
          <cell r="BG145">
            <v>0</v>
          </cell>
          <cell r="BI145" t="str">
            <v>6214391880028862269</v>
          </cell>
          <cell r="BK145">
            <v>2.67</v>
          </cell>
          <cell r="BL145">
            <v>0</v>
          </cell>
          <cell r="BM145">
            <v>0</v>
          </cell>
          <cell r="BN145">
            <v>0</v>
          </cell>
          <cell r="BO145">
            <v>-2.67</v>
          </cell>
          <cell r="BP145">
            <v>0</v>
          </cell>
          <cell r="BU145">
            <v>0</v>
          </cell>
        </row>
        <row r="146">
          <cell r="D146" t="str">
            <v>李秀梅</v>
          </cell>
          <cell r="E146" t="str">
            <v>女</v>
          </cell>
          <cell r="F146" t="str">
            <v>450422199604071729</v>
          </cell>
          <cell r="G146" t="str">
            <v>直工</v>
          </cell>
          <cell r="H146" t="str">
            <v>五金三楼</v>
          </cell>
          <cell r="I146" t="str">
            <v>作业员</v>
          </cell>
          <cell r="J146">
            <v>43524</v>
          </cell>
          <cell r="M146">
            <v>21</v>
          </cell>
          <cell r="N146">
            <v>21</v>
          </cell>
          <cell r="O146">
            <v>93</v>
          </cell>
          <cell r="P146">
            <v>113</v>
          </cell>
          <cell r="S146">
            <v>1950</v>
          </cell>
          <cell r="T146">
            <v>1720</v>
          </cell>
          <cell r="U146">
            <v>1720</v>
          </cell>
          <cell r="V146">
            <v>150</v>
          </cell>
          <cell r="W146">
            <v>150</v>
          </cell>
          <cell r="Z146">
            <v>14.83</v>
          </cell>
          <cell r="AA146">
            <v>1379</v>
          </cell>
          <cell r="AB146">
            <v>19.77</v>
          </cell>
          <cell r="AC146">
            <v>2234</v>
          </cell>
          <cell r="AG146">
            <v>80</v>
          </cell>
          <cell r="AI146">
            <v>0</v>
          </cell>
          <cell r="AK146">
            <v>5563</v>
          </cell>
          <cell r="AL146">
            <v>0</v>
          </cell>
          <cell r="AN146">
            <v>28446.0760330579</v>
          </cell>
          <cell r="AO146">
            <v>40000</v>
          </cell>
          <cell r="AP146">
            <v>0</v>
          </cell>
          <cell r="AQ146">
            <v>0</v>
          </cell>
          <cell r="AR146">
            <v>0</v>
          </cell>
          <cell r="AU146">
            <v>0</v>
          </cell>
          <cell r="AV146">
            <v>34154.1560330579</v>
          </cell>
          <cell r="AW146">
            <v>45000</v>
          </cell>
          <cell r="AX146">
            <v>-10845.8439669421</v>
          </cell>
          <cell r="AY146">
            <v>0</v>
          </cell>
          <cell r="AZ146">
            <v>0</v>
          </cell>
          <cell r="BA146">
            <v>-54.92</v>
          </cell>
          <cell r="BB146">
            <v>200</v>
          </cell>
          <cell r="BD146">
            <v>145</v>
          </cell>
          <cell r="BE146">
            <v>5708</v>
          </cell>
          <cell r="BF146">
            <v>5708</v>
          </cell>
          <cell r="BG146">
            <v>0</v>
          </cell>
          <cell r="BI146" t="str">
            <v>6214391880028862277</v>
          </cell>
          <cell r="BK146">
            <v>6.18</v>
          </cell>
          <cell r="BL146">
            <v>0</v>
          </cell>
          <cell r="BM146">
            <v>0</v>
          </cell>
          <cell r="BN146">
            <v>0</v>
          </cell>
          <cell r="BO146">
            <v>-6.18</v>
          </cell>
          <cell r="BP146">
            <v>0</v>
          </cell>
          <cell r="BU146">
            <v>0</v>
          </cell>
        </row>
        <row r="147">
          <cell r="D147" t="str">
            <v>马珍</v>
          </cell>
          <cell r="E147" t="str">
            <v>女</v>
          </cell>
          <cell r="F147" t="str">
            <v>511228197301124788</v>
          </cell>
          <cell r="G147" t="str">
            <v>直工</v>
          </cell>
          <cell r="H147" t="str">
            <v>五金三楼</v>
          </cell>
          <cell r="I147" t="str">
            <v>作业员</v>
          </cell>
          <cell r="J147">
            <v>43554</v>
          </cell>
          <cell r="M147">
            <v>21</v>
          </cell>
          <cell r="N147">
            <v>21</v>
          </cell>
          <cell r="O147">
            <v>64.5</v>
          </cell>
          <cell r="P147">
            <v>79</v>
          </cell>
          <cell r="S147">
            <v>1950</v>
          </cell>
          <cell r="T147">
            <v>1720</v>
          </cell>
          <cell r="U147">
            <v>1720</v>
          </cell>
          <cell r="V147">
            <v>150</v>
          </cell>
          <cell r="W147">
            <v>150</v>
          </cell>
          <cell r="Z147">
            <v>14.83</v>
          </cell>
          <cell r="AA147">
            <v>957</v>
          </cell>
          <cell r="AB147">
            <v>19.77</v>
          </cell>
          <cell r="AC147">
            <v>1562</v>
          </cell>
          <cell r="AG147">
            <v>80</v>
          </cell>
          <cell r="AI147">
            <v>0</v>
          </cell>
          <cell r="AK147">
            <v>4469</v>
          </cell>
          <cell r="AL147">
            <v>0</v>
          </cell>
          <cell r="AN147">
            <v>23237.08</v>
          </cell>
          <cell r="AO147">
            <v>35000</v>
          </cell>
          <cell r="AP147">
            <v>0</v>
          </cell>
          <cell r="AQ147">
            <v>0</v>
          </cell>
          <cell r="AR147">
            <v>0</v>
          </cell>
          <cell r="AU147">
            <v>0</v>
          </cell>
          <cell r="AV147">
            <v>27656.65</v>
          </cell>
          <cell r="AW147">
            <v>40000</v>
          </cell>
          <cell r="AX147">
            <v>-12343.35</v>
          </cell>
          <cell r="AY147">
            <v>0</v>
          </cell>
          <cell r="AZ147">
            <v>0</v>
          </cell>
          <cell r="BA147">
            <v>-49.43</v>
          </cell>
          <cell r="BB147">
            <v>0</v>
          </cell>
          <cell r="BD147">
            <v>-49</v>
          </cell>
          <cell r="BE147">
            <v>4420</v>
          </cell>
          <cell r="BF147">
            <v>4420</v>
          </cell>
          <cell r="BG147">
            <v>0</v>
          </cell>
          <cell r="BI147" t="str">
            <v>621 4391 8800 3000 7895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U147">
            <v>0</v>
          </cell>
        </row>
        <row r="148">
          <cell r="D148" t="str">
            <v>刘亮艳</v>
          </cell>
          <cell r="E148" t="str">
            <v>女</v>
          </cell>
          <cell r="F148" t="str">
            <v>53212219950912244X</v>
          </cell>
          <cell r="G148" t="str">
            <v>直工</v>
          </cell>
          <cell r="H148" t="str">
            <v>五金三楼</v>
          </cell>
          <cell r="I148" t="str">
            <v>作业员</v>
          </cell>
          <cell r="J148">
            <v>43549</v>
          </cell>
          <cell r="M148">
            <v>21</v>
          </cell>
          <cell r="N148">
            <v>20</v>
          </cell>
          <cell r="O148">
            <v>72.5</v>
          </cell>
          <cell r="P148">
            <v>101</v>
          </cell>
          <cell r="S148">
            <v>1950</v>
          </cell>
          <cell r="T148">
            <v>1720</v>
          </cell>
          <cell r="U148">
            <v>1638</v>
          </cell>
          <cell r="V148">
            <v>150</v>
          </cell>
          <cell r="W148">
            <v>143</v>
          </cell>
          <cell r="Z148">
            <v>14.83</v>
          </cell>
          <cell r="AA148">
            <v>1075</v>
          </cell>
          <cell r="AB148">
            <v>19.77</v>
          </cell>
          <cell r="AC148">
            <v>1997</v>
          </cell>
          <cell r="AG148">
            <v>40</v>
          </cell>
          <cell r="AI148">
            <v>0</v>
          </cell>
          <cell r="AK148">
            <v>4893</v>
          </cell>
          <cell r="AL148">
            <v>0</v>
          </cell>
          <cell r="AN148">
            <v>23942</v>
          </cell>
          <cell r="AO148">
            <v>45000</v>
          </cell>
          <cell r="AP148">
            <v>0</v>
          </cell>
          <cell r="AQ148">
            <v>0</v>
          </cell>
          <cell r="AR148">
            <v>0</v>
          </cell>
          <cell r="AU148">
            <v>0</v>
          </cell>
          <cell r="AV148">
            <v>29035</v>
          </cell>
          <cell r="AW148">
            <v>50000</v>
          </cell>
          <cell r="AX148">
            <v>-20965</v>
          </cell>
          <cell r="AY148">
            <v>0</v>
          </cell>
          <cell r="AZ148">
            <v>0</v>
          </cell>
          <cell r="BA148">
            <v>0</v>
          </cell>
          <cell r="BB148">
            <v>200</v>
          </cell>
          <cell r="BD148">
            <v>200</v>
          </cell>
          <cell r="BE148">
            <v>5093</v>
          </cell>
          <cell r="BF148">
            <v>5093</v>
          </cell>
          <cell r="BG148">
            <v>0</v>
          </cell>
          <cell r="BI148" t="str">
            <v>621 4391 8800 2664 2689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U148">
            <v>0</v>
          </cell>
        </row>
        <row r="149">
          <cell r="D149" t="str">
            <v>吴冬日</v>
          </cell>
          <cell r="E149" t="str">
            <v>女</v>
          </cell>
          <cell r="F149" t="str">
            <v>452228199311273027</v>
          </cell>
          <cell r="G149" t="str">
            <v>直工</v>
          </cell>
          <cell r="H149" t="str">
            <v>五金三楼</v>
          </cell>
          <cell r="I149" t="str">
            <v>作业员</v>
          </cell>
          <cell r="J149">
            <v>43551</v>
          </cell>
          <cell r="M149">
            <v>21</v>
          </cell>
          <cell r="N149">
            <v>20.5</v>
          </cell>
          <cell r="O149">
            <v>79.5</v>
          </cell>
          <cell r="P149">
            <v>101.5</v>
          </cell>
          <cell r="S149">
            <v>1950</v>
          </cell>
          <cell r="T149">
            <v>1720</v>
          </cell>
          <cell r="U149">
            <v>1679</v>
          </cell>
          <cell r="V149">
            <v>150</v>
          </cell>
          <cell r="W149">
            <v>146</v>
          </cell>
          <cell r="Z149">
            <v>14.83</v>
          </cell>
          <cell r="AA149">
            <v>1179</v>
          </cell>
          <cell r="AB149">
            <v>19.77</v>
          </cell>
          <cell r="AC149">
            <v>2007</v>
          </cell>
          <cell r="AD149">
            <v>0</v>
          </cell>
          <cell r="AG149">
            <v>80</v>
          </cell>
          <cell r="AI149">
            <v>0</v>
          </cell>
          <cell r="AK149">
            <v>5091</v>
          </cell>
          <cell r="AL149">
            <v>0</v>
          </cell>
          <cell r="AN149">
            <v>21045</v>
          </cell>
          <cell r="AO149">
            <v>35000</v>
          </cell>
          <cell r="AP149">
            <v>0</v>
          </cell>
          <cell r="AQ149">
            <v>0</v>
          </cell>
          <cell r="AR149">
            <v>0</v>
          </cell>
          <cell r="AU149">
            <v>0</v>
          </cell>
          <cell r="AV149">
            <v>26336</v>
          </cell>
          <cell r="AW149">
            <v>40000</v>
          </cell>
          <cell r="AX149">
            <v>-13664</v>
          </cell>
          <cell r="AY149">
            <v>0</v>
          </cell>
          <cell r="AZ149">
            <v>0</v>
          </cell>
          <cell r="BA149">
            <v>0</v>
          </cell>
          <cell r="BB149">
            <v>200</v>
          </cell>
          <cell r="BD149">
            <v>200</v>
          </cell>
          <cell r="BE149">
            <v>5291</v>
          </cell>
          <cell r="BF149">
            <v>5291</v>
          </cell>
          <cell r="BG149">
            <v>0</v>
          </cell>
          <cell r="BI149" t="str">
            <v>621 4391 8800 2790 4401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U149">
            <v>0</v>
          </cell>
        </row>
        <row r="150">
          <cell r="D150" t="str">
            <v>赵先先</v>
          </cell>
          <cell r="E150" t="str">
            <v>女</v>
          </cell>
          <cell r="F150" t="str">
            <v>520221199408210761</v>
          </cell>
          <cell r="G150" t="str">
            <v>直工</v>
          </cell>
          <cell r="H150" t="str">
            <v>五金三楼</v>
          </cell>
          <cell r="I150" t="str">
            <v>作业员</v>
          </cell>
          <cell r="J150">
            <v>43537</v>
          </cell>
          <cell r="M150">
            <v>21</v>
          </cell>
          <cell r="N150">
            <v>21</v>
          </cell>
          <cell r="O150">
            <v>57.5</v>
          </cell>
          <cell r="P150">
            <v>78</v>
          </cell>
          <cell r="S150">
            <v>1950</v>
          </cell>
          <cell r="T150">
            <v>1720</v>
          </cell>
          <cell r="U150">
            <v>1720</v>
          </cell>
          <cell r="V150">
            <v>150</v>
          </cell>
          <cell r="W150">
            <v>150</v>
          </cell>
          <cell r="Z150">
            <v>14.83</v>
          </cell>
          <cell r="AA150">
            <v>853</v>
          </cell>
          <cell r="AB150">
            <v>19.77</v>
          </cell>
          <cell r="AC150">
            <v>1542</v>
          </cell>
          <cell r="AG150">
            <v>80</v>
          </cell>
          <cell r="AI150">
            <v>0</v>
          </cell>
          <cell r="AK150">
            <v>4345</v>
          </cell>
          <cell r="AL150">
            <v>0</v>
          </cell>
          <cell r="AN150">
            <v>20964</v>
          </cell>
          <cell r="AO150">
            <v>45000</v>
          </cell>
          <cell r="AP150">
            <v>0</v>
          </cell>
          <cell r="AQ150">
            <v>0</v>
          </cell>
          <cell r="AR150">
            <v>0</v>
          </cell>
          <cell r="AU150">
            <v>0</v>
          </cell>
          <cell r="AV150">
            <v>25289</v>
          </cell>
          <cell r="AW150">
            <v>50000</v>
          </cell>
          <cell r="AX150">
            <v>-24711</v>
          </cell>
          <cell r="AY150">
            <v>0</v>
          </cell>
          <cell r="AZ150">
            <v>0</v>
          </cell>
          <cell r="BA150">
            <v>0</v>
          </cell>
          <cell r="BB150">
            <v>-20</v>
          </cell>
          <cell r="BD150">
            <v>-20</v>
          </cell>
          <cell r="BE150">
            <v>4325</v>
          </cell>
          <cell r="BF150">
            <v>4325</v>
          </cell>
          <cell r="BG150">
            <v>0</v>
          </cell>
          <cell r="BI150" t="str">
            <v>621 4391 8800 2106 3790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U150">
            <v>0</v>
          </cell>
        </row>
        <row r="151">
          <cell r="D151" t="str">
            <v>蒋军秀</v>
          </cell>
          <cell r="E151" t="str">
            <v>女</v>
          </cell>
          <cell r="F151" t="str">
            <v>432923197810200643</v>
          </cell>
          <cell r="G151" t="str">
            <v>直工</v>
          </cell>
          <cell r="H151" t="str">
            <v>五金三楼</v>
          </cell>
          <cell r="I151" t="str">
            <v>作业员</v>
          </cell>
          <cell r="J151">
            <v>43530</v>
          </cell>
          <cell r="M151">
            <v>21</v>
          </cell>
          <cell r="N151">
            <v>21</v>
          </cell>
          <cell r="O151">
            <v>72.5</v>
          </cell>
          <cell r="P151">
            <v>75</v>
          </cell>
          <cell r="S151">
            <v>1950</v>
          </cell>
          <cell r="T151">
            <v>1720</v>
          </cell>
          <cell r="U151">
            <v>1720</v>
          </cell>
          <cell r="V151">
            <v>150</v>
          </cell>
          <cell r="W151">
            <v>150</v>
          </cell>
          <cell r="Z151">
            <v>14.83</v>
          </cell>
          <cell r="AA151">
            <v>1075</v>
          </cell>
          <cell r="AB151">
            <v>19.77</v>
          </cell>
          <cell r="AC151">
            <v>1483</v>
          </cell>
          <cell r="AG151">
            <v>80</v>
          </cell>
          <cell r="AI151">
            <v>0</v>
          </cell>
          <cell r="AK151">
            <v>4508</v>
          </cell>
          <cell r="AL151">
            <v>0</v>
          </cell>
          <cell r="AN151">
            <v>23992</v>
          </cell>
          <cell r="AO151">
            <v>40000</v>
          </cell>
          <cell r="AP151">
            <v>0</v>
          </cell>
          <cell r="AQ151">
            <v>0</v>
          </cell>
          <cell r="AR151">
            <v>0</v>
          </cell>
          <cell r="AU151">
            <v>0</v>
          </cell>
          <cell r="AV151">
            <v>28500</v>
          </cell>
          <cell r="AW151">
            <v>45000</v>
          </cell>
          <cell r="AX151">
            <v>-16500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D151">
            <v>0</v>
          </cell>
          <cell r="BE151">
            <v>4508</v>
          </cell>
          <cell r="BF151">
            <v>4508</v>
          </cell>
          <cell r="BG151">
            <v>0</v>
          </cell>
          <cell r="BI151" t="str">
            <v>621 4391 8800 2790 4468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U151">
            <v>0</v>
          </cell>
        </row>
        <row r="152">
          <cell r="D152" t="str">
            <v>周祖运</v>
          </cell>
          <cell r="E152" t="str">
            <v>女</v>
          </cell>
          <cell r="F152" t="str">
            <v>53262719930502154X</v>
          </cell>
          <cell r="G152" t="str">
            <v>直工</v>
          </cell>
          <cell r="H152" t="str">
            <v>五金三楼</v>
          </cell>
          <cell r="I152" t="str">
            <v>作业员</v>
          </cell>
          <cell r="J152">
            <v>43530</v>
          </cell>
          <cell r="M152">
            <v>21</v>
          </cell>
          <cell r="N152">
            <v>19.5</v>
          </cell>
          <cell r="O152">
            <v>77.5</v>
          </cell>
          <cell r="P152">
            <v>98.5</v>
          </cell>
          <cell r="S152">
            <v>1950</v>
          </cell>
          <cell r="T152">
            <v>1720</v>
          </cell>
          <cell r="U152">
            <v>1597</v>
          </cell>
          <cell r="V152">
            <v>150</v>
          </cell>
          <cell r="W152">
            <v>139</v>
          </cell>
          <cell r="Z152">
            <v>14.83</v>
          </cell>
          <cell r="AA152">
            <v>1149</v>
          </cell>
          <cell r="AB152">
            <v>19.77</v>
          </cell>
          <cell r="AC152">
            <v>1947</v>
          </cell>
          <cell r="AG152">
            <v>80</v>
          </cell>
          <cell r="AI152">
            <v>0</v>
          </cell>
          <cell r="AK152">
            <v>4912</v>
          </cell>
          <cell r="AL152">
            <v>0</v>
          </cell>
          <cell r="AN152">
            <v>24040</v>
          </cell>
          <cell r="AO152">
            <v>35000</v>
          </cell>
          <cell r="AP152">
            <v>0</v>
          </cell>
          <cell r="AQ152">
            <v>0</v>
          </cell>
          <cell r="AR152">
            <v>0</v>
          </cell>
          <cell r="AU152">
            <v>0</v>
          </cell>
          <cell r="AV152">
            <v>29152</v>
          </cell>
          <cell r="AW152">
            <v>40000</v>
          </cell>
          <cell r="AX152">
            <v>-10848</v>
          </cell>
          <cell r="AY152">
            <v>0</v>
          </cell>
          <cell r="AZ152">
            <v>0</v>
          </cell>
          <cell r="BA152">
            <v>0</v>
          </cell>
          <cell r="BB152">
            <v>200</v>
          </cell>
          <cell r="BD152">
            <v>200</v>
          </cell>
          <cell r="BE152">
            <v>5112</v>
          </cell>
          <cell r="BF152">
            <v>5112</v>
          </cell>
          <cell r="BG152">
            <v>0</v>
          </cell>
          <cell r="BI152" t="str">
            <v>621 4391 8800 3054 6595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U152">
            <v>0</v>
          </cell>
        </row>
        <row r="153">
          <cell r="D153" t="str">
            <v>钟文娟</v>
          </cell>
          <cell r="E153" t="str">
            <v>女</v>
          </cell>
          <cell r="F153" t="str">
            <v>500234199710105063</v>
          </cell>
          <cell r="G153" t="str">
            <v>直工</v>
          </cell>
          <cell r="H153" t="str">
            <v>五金三楼</v>
          </cell>
          <cell r="I153" t="str">
            <v>作业员</v>
          </cell>
          <cell r="J153">
            <v>43530</v>
          </cell>
          <cell r="M153">
            <v>21</v>
          </cell>
          <cell r="N153">
            <v>16.4</v>
          </cell>
          <cell r="O153">
            <v>48</v>
          </cell>
          <cell r="P153">
            <v>73.5</v>
          </cell>
          <cell r="S153">
            <v>1950</v>
          </cell>
          <cell r="T153">
            <v>1720</v>
          </cell>
          <cell r="U153">
            <v>1343</v>
          </cell>
          <cell r="V153">
            <v>150</v>
          </cell>
          <cell r="W153">
            <v>117</v>
          </cell>
          <cell r="Z153">
            <v>14.83</v>
          </cell>
          <cell r="AA153">
            <v>712</v>
          </cell>
          <cell r="AB153">
            <v>19.77</v>
          </cell>
          <cell r="AC153">
            <v>1453</v>
          </cell>
          <cell r="AI153">
            <v>0</v>
          </cell>
          <cell r="AK153">
            <v>3625</v>
          </cell>
          <cell r="AL153">
            <v>0</v>
          </cell>
          <cell r="AN153">
            <v>22835</v>
          </cell>
          <cell r="AO153">
            <v>45000</v>
          </cell>
          <cell r="AP153">
            <v>0</v>
          </cell>
          <cell r="AQ153">
            <v>0</v>
          </cell>
          <cell r="AR153">
            <v>0</v>
          </cell>
          <cell r="AU153">
            <v>0</v>
          </cell>
          <cell r="AV153">
            <v>26440</v>
          </cell>
          <cell r="AW153">
            <v>50000</v>
          </cell>
          <cell r="AX153">
            <v>-23560</v>
          </cell>
          <cell r="AY153">
            <v>0</v>
          </cell>
          <cell r="AZ153">
            <v>0</v>
          </cell>
          <cell r="BA153">
            <v>0</v>
          </cell>
          <cell r="BB153">
            <v>-20</v>
          </cell>
          <cell r="BD153">
            <v>-20</v>
          </cell>
          <cell r="BE153">
            <v>3605</v>
          </cell>
          <cell r="BF153">
            <v>3605</v>
          </cell>
          <cell r="BG153">
            <v>0</v>
          </cell>
          <cell r="BI153" t="str">
            <v>621 4391 8800 3036 3645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U153">
            <v>0</v>
          </cell>
        </row>
        <row r="154">
          <cell r="D154" t="str">
            <v>刘青梅</v>
          </cell>
          <cell r="E154" t="str">
            <v>女</v>
          </cell>
          <cell r="F154" t="str">
            <v>432623197205175260</v>
          </cell>
          <cell r="G154" t="str">
            <v>直工</v>
          </cell>
          <cell r="H154" t="str">
            <v>五金三楼</v>
          </cell>
          <cell r="I154" t="str">
            <v>作业员</v>
          </cell>
          <cell r="J154">
            <v>43533</v>
          </cell>
          <cell r="M154">
            <v>21</v>
          </cell>
          <cell r="N154">
            <v>21</v>
          </cell>
          <cell r="O154">
            <v>73.5</v>
          </cell>
          <cell r="P154">
            <v>79</v>
          </cell>
          <cell r="S154">
            <v>1950</v>
          </cell>
          <cell r="T154">
            <v>1720</v>
          </cell>
          <cell r="U154">
            <v>1720</v>
          </cell>
          <cell r="V154">
            <v>150</v>
          </cell>
          <cell r="W154">
            <v>150</v>
          </cell>
          <cell r="Z154">
            <v>14.83</v>
          </cell>
          <cell r="AA154">
            <v>1090</v>
          </cell>
          <cell r="AB154">
            <v>19.77</v>
          </cell>
          <cell r="AC154">
            <v>1562</v>
          </cell>
          <cell r="AG154">
            <v>80</v>
          </cell>
          <cell r="AI154">
            <v>0</v>
          </cell>
          <cell r="AK154">
            <v>4602</v>
          </cell>
          <cell r="AL154">
            <v>0</v>
          </cell>
          <cell r="AN154">
            <v>25763</v>
          </cell>
          <cell r="AO154">
            <v>35000</v>
          </cell>
          <cell r="AP154">
            <v>0</v>
          </cell>
          <cell r="AQ154">
            <v>0</v>
          </cell>
          <cell r="AR154">
            <v>0</v>
          </cell>
          <cell r="AU154">
            <v>0</v>
          </cell>
          <cell r="AV154">
            <v>30365</v>
          </cell>
          <cell r="AW154">
            <v>40000</v>
          </cell>
          <cell r="AX154">
            <v>-9635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D154">
            <v>0</v>
          </cell>
          <cell r="BE154">
            <v>4602</v>
          </cell>
          <cell r="BF154">
            <v>4602</v>
          </cell>
          <cell r="BG154">
            <v>0</v>
          </cell>
          <cell r="BI154" t="str">
            <v>621 4391 8800 3036 3934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U154">
            <v>0</v>
          </cell>
        </row>
        <row r="155">
          <cell r="D155" t="str">
            <v>陈丽</v>
          </cell>
          <cell r="E155" t="str">
            <v>女</v>
          </cell>
          <cell r="F155" t="str">
            <v>41272719750806774X</v>
          </cell>
          <cell r="G155" t="str">
            <v>直工</v>
          </cell>
          <cell r="H155" t="str">
            <v>五金三楼</v>
          </cell>
          <cell r="I155" t="str">
            <v>作业员</v>
          </cell>
          <cell r="J155">
            <v>43525</v>
          </cell>
          <cell r="M155">
            <v>21</v>
          </cell>
          <cell r="N155">
            <v>21</v>
          </cell>
          <cell r="O155">
            <v>73.5</v>
          </cell>
          <cell r="P155">
            <v>77</v>
          </cell>
          <cell r="S155">
            <v>1950</v>
          </cell>
          <cell r="T155">
            <v>1720</v>
          </cell>
          <cell r="U155">
            <v>1720</v>
          </cell>
          <cell r="V155">
            <v>150</v>
          </cell>
          <cell r="W155">
            <v>150</v>
          </cell>
          <cell r="Z155">
            <v>14.83</v>
          </cell>
          <cell r="AA155">
            <v>1090</v>
          </cell>
          <cell r="AB155">
            <v>19.77</v>
          </cell>
          <cell r="AC155">
            <v>1522</v>
          </cell>
          <cell r="AG155">
            <v>80</v>
          </cell>
          <cell r="AI155">
            <v>0</v>
          </cell>
          <cell r="AK155">
            <v>4562</v>
          </cell>
          <cell r="AL155">
            <v>0</v>
          </cell>
          <cell r="AN155">
            <v>26945</v>
          </cell>
          <cell r="AO155">
            <v>45000</v>
          </cell>
          <cell r="AP155">
            <v>0</v>
          </cell>
          <cell r="AQ155">
            <v>0</v>
          </cell>
          <cell r="AR155">
            <v>0</v>
          </cell>
          <cell r="AU155">
            <v>0</v>
          </cell>
          <cell r="AV155">
            <v>31507</v>
          </cell>
          <cell r="AW155">
            <v>50000</v>
          </cell>
          <cell r="AX155">
            <v>-18493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D155">
            <v>0</v>
          </cell>
          <cell r="BE155">
            <v>4562</v>
          </cell>
          <cell r="BF155">
            <v>4562</v>
          </cell>
          <cell r="BG155">
            <v>0</v>
          </cell>
          <cell r="BI155" t="str">
            <v>621 4391 8800 2905 5657</v>
          </cell>
          <cell r="BK155">
            <v>4.59</v>
          </cell>
          <cell r="BL155">
            <v>0</v>
          </cell>
          <cell r="BM155">
            <v>0</v>
          </cell>
          <cell r="BN155">
            <v>0</v>
          </cell>
          <cell r="BO155">
            <v>-4.59</v>
          </cell>
          <cell r="BP155">
            <v>0</v>
          </cell>
          <cell r="BU155">
            <v>0</v>
          </cell>
        </row>
        <row r="156">
          <cell r="D156" t="str">
            <v>李小雨</v>
          </cell>
          <cell r="E156" t="str">
            <v>女</v>
          </cell>
          <cell r="F156" t="str">
            <v>412727199911167803</v>
          </cell>
          <cell r="G156" t="str">
            <v>直工</v>
          </cell>
          <cell r="H156" t="str">
            <v>五金三楼</v>
          </cell>
          <cell r="I156" t="str">
            <v>作业员</v>
          </cell>
          <cell r="J156">
            <v>43525</v>
          </cell>
          <cell r="M156">
            <v>21</v>
          </cell>
          <cell r="N156">
            <v>21</v>
          </cell>
          <cell r="O156">
            <v>67.5</v>
          </cell>
          <cell r="P156">
            <v>78</v>
          </cell>
          <cell r="S156">
            <v>1950</v>
          </cell>
          <cell r="T156">
            <v>1720</v>
          </cell>
          <cell r="U156">
            <v>1720</v>
          </cell>
          <cell r="V156">
            <v>150</v>
          </cell>
          <cell r="W156">
            <v>150</v>
          </cell>
          <cell r="Z156">
            <v>14.83</v>
          </cell>
          <cell r="AA156">
            <v>1001</v>
          </cell>
          <cell r="AB156">
            <v>19.77</v>
          </cell>
          <cell r="AC156">
            <v>1542</v>
          </cell>
          <cell r="AG156">
            <v>80</v>
          </cell>
          <cell r="AI156">
            <v>0</v>
          </cell>
          <cell r="AK156">
            <v>4493</v>
          </cell>
          <cell r="AL156">
            <v>0</v>
          </cell>
          <cell r="AN156">
            <v>26092</v>
          </cell>
          <cell r="AO156">
            <v>40000</v>
          </cell>
          <cell r="AP156">
            <v>0</v>
          </cell>
          <cell r="AQ156">
            <v>0</v>
          </cell>
          <cell r="AR156">
            <v>0</v>
          </cell>
          <cell r="AU156">
            <v>0</v>
          </cell>
          <cell r="AV156">
            <v>30585</v>
          </cell>
          <cell r="AW156">
            <v>45000</v>
          </cell>
          <cell r="AX156">
            <v>-14415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D156">
            <v>0</v>
          </cell>
          <cell r="BE156">
            <v>4493</v>
          </cell>
          <cell r="BF156">
            <v>4493</v>
          </cell>
          <cell r="BG156">
            <v>0</v>
          </cell>
          <cell r="BI156" t="str">
            <v>621 4391 8800 2905 5665</v>
          </cell>
          <cell r="BK156">
            <v>4.83</v>
          </cell>
          <cell r="BL156">
            <v>0</v>
          </cell>
          <cell r="BM156">
            <v>0</v>
          </cell>
          <cell r="BN156">
            <v>0</v>
          </cell>
          <cell r="BO156">
            <v>-4.83</v>
          </cell>
          <cell r="BP156">
            <v>0</v>
          </cell>
          <cell r="BU156">
            <v>0</v>
          </cell>
        </row>
        <row r="157">
          <cell r="D157" t="str">
            <v>刘昌平</v>
          </cell>
          <cell r="E157" t="str">
            <v>女</v>
          </cell>
          <cell r="F157" t="str">
            <v>512229197306024783</v>
          </cell>
          <cell r="G157" t="str">
            <v>直工</v>
          </cell>
          <cell r="H157" t="str">
            <v>五金三楼</v>
          </cell>
          <cell r="I157" t="str">
            <v>作业员</v>
          </cell>
          <cell r="J157">
            <v>43525</v>
          </cell>
          <cell r="M157">
            <v>21</v>
          </cell>
          <cell r="N157">
            <v>19.5</v>
          </cell>
          <cell r="O157">
            <v>78.5</v>
          </cell>
          <cell r="P157">
            <v>101</v>
          </cell>
          <cell r="S157">
            <v>1950</v>
          </cell>
          <cell r="T157">
            <v>1720</v>
          </cell>
          <cell r="U157">
            <v>1597</v>
          </cell>
          <cell r="V157">
            <v>150</v>
          </cell>
          <cell r="W157">
            <v>139</v>
          </cell>
          <cell r="Z157">
            <v>14.83</v>
          </cell>
          <cell r="AA157">
            <v>1164</v>
          </cell>
          <cell r="AB157">
            <v>19.77</v>
          </cell>
          <cell r="AC157">
            <v>1997</v>
          </cell>
          <cell r="AG157">
            <v>80</v>
          </cell>
          <cell r="AI157">
            <v>0</v>
          </cell>
          <cell r="AK157">
            <v>4977</v>
          </cell>
          <cell r="AL157">
            <v>0</v>
          </cell>
          <cell r="AN157">
            <v>27826</v>
          </cell>
          <cell r="AO157">
            <v>40000</v>
          </cell>
          <cell r="AP157">
            <v>0</v>
          </cell>
          <cell r="AQ157">
            <v>0</v>
          </cell>
          <cell r="AR157">
            <v>0</v>
          </cell>
          <cell r="AU157">
            <v>0</v>
          </cell>
          <cell r="AV157">
            <v>33003</v>
          </cell>
          <cell r="AW157">
            <v>45000</v>
          </cell>
          <cell r="AX157">
            <v>-11997</v>
          </cell>
          <cell r="AY157">
            <v>0</v>
          </cell>
          <cell r="AZ157">
            <v>0</v>
          </cell>
          <cell r="BA157">
            <v>0</v>
          </cell>
          <cell r="BB157">
            <v>200</v>
          </cell>
          <cell r="BD157">
            <v>200</v>
          </cell>
          <cell r="BE157">
            <v>5177</v>
          </cell>
          <cell r="BF157">
            <v>5177</v>
          </cell>
          <cell r="BG157">
            <v>0</v>
          </cell>
          <cell r="BI157" t="str">
            <v>621 4391 8800 2886 2251</v>
          </cell>
          <cell r="BK157">
            <v>5.04</v>
          </cell>
          <cell r="BL157">
            <v>0</v>
          </cell>
          <cell r="BM157">
            <v>0</v>
          </cell>
          <cell r="BN157">
            <v>0</v>
          </cell>
          <cell r="BO157">
            <v>-5.04</v>
          </cell>
          <cell r="BP157">
            <v>0</v>
          </cell>
          <cell r="BU157">
            <v>0</v>
          </cell>
        </row>
        <row r="158">
          <cell r="D158" t="str">
            <v>张凤燕</v>
          </cell>
          <cell r="E158" t="str">
            <v>女</v>
          </cell>
          <cell r="F158" t="str">
            <v>450922199812211228</v>
          </cell>
          <cell r="G158" t="str">
            <v>直工</v>
          </cell>
          <cell r="H158" t="str">
            <v>五金三楼</v>
          </cell>
          <cell r="I158" t="str">
            <v>作业员</v>
          </cell>
          <cell r="J158">
            <v>43528</v>
          </cell>
          <cell r="M158">
            <v>21</v>
          </cell>
          <cell r="N158">
            <v>20.5</v>
          </cell>
          <cell r="O158">
            <v>58.5</v>
          </cell>
          <cell r="P158">
            <v>93.5</v>
          </cell>
          <cell r="S158">
            <v>1950</v>
          </cell>
          <cell r="T158">
            <v>1720</v>
          </cell>
          <cell r="U158">
            <v>1679</v>
          </cell>
          <cell r="V158">
            <v>150</v>
          </cell>
          <cell r="W158">
            <v>146</v>
          </cell>
          <cell r="Z158">
            <v>14.83</v>
          </cell>
          <cell r="AA158">
            <v>868</v>
          </cell>
          <cell r="AB158">
            <v>19.77</v>
          </cell>
          <cell r="AC158">
            <v>1848</v>
          </cell>
          <cell r="AG158">
            <v>80</v>
          </cell>
          <cell r="AI158">
            <v>0</v>
          </cell>
          <cell r="AK158">
            <v>4621</v>
          </cell>
          <cell r="AL158">
            <v>0</v>
          </cell>
          <cell r="AN158">
            <v>23476</v>
          </cell>
          <cell r="AO158">
            <v>35000</v>
          </cell>
          <cell r="AP158">
            <v>0</v>
          </cell>
          <cell r="AQ158">
            <v>0</v>
          </cell>
          <cell r="AR158">
            <v>0</v>
          </cell>
          <cell r="AU158">
            <v>0</v>
          </cell>
          <cell r="AV158">
            <v>28297</v>
          </cell>
          <cell r="AW158">
            <v>40000</v>
          </cell>
          <cell r="AX158">
            <v>-11703</v>
          </cell>
          <cell r="AY158">
            <v>0</v>
          </cell>
          <cell r="AZ158">
            <v>0</v>
          </cell>
          <cell r="BA158">
            <v>0</v>
          </cell>
          <cell r="BB158">
            <v>200</v>
          </cell>
          <cell r="BD158">
            <v>200</v>
          </cell>
          <cell r="BE158">
            <v>4821</v>
          </cell>
          <cell r="BF158">
            <v>4821</v>
          </cell>
          <cell r="BG158">
            <v>0</v>
          </cell>
          <cell r="BI158" t="str">
            <v>621 4391 8800 2886 2327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U158">
            <v>0</v>
          </cell>
        </row>
        <row r="159">
          <cell r="D159" t="str">
            <v>廖锋</v>
          </cell>
          <cell r="E159" t="str">
            <v>男</v>
          </cell>
          <cell r="F159" t="str">
            <v>441424199912125778</v>
          </cell>
          <cell r="G159" t="str">
            <v>直工</v>
          </cell>
          <cell r="H159" t="str">
            <v>五金三楼</v>
          </cell>
          <cell r="I159" t="str">
            <v>作业员</v>
          </cell>
          <cell r="J159">
            <v>43528</v>
          </cell>
          <cell r="M159">
            <v>21</v>
          </cell>
          <cell r="N159">
            <v>20</v>
          </cell>
          <cell r="O159">
            <v>68</v>
          </cell>
          <cell r="P159">
            <v>71</v>
          </cell>
          <cell r="S159">
            <v>1950</v>
          </cell>
          <cell r="T159">
            <v>1720</v>
          </cell>
          <cell r="U159">
            <v>1638</v>
          </cell>
          <cell r="V159">
            <v>150</v>
          </cell>
          <cell r="W159">
            <v>143</v>
          </cell>
          <cell r="Z159">
            <v>14.83</v>
          </cell>
          <cell r="AA159">
            <v>1008</v>
          </cell>
          <cell r="AB159">
            <v>19.77</v>
          </cell>
          <cell r="AC159">
            <v>1404</v>
          </cell>
          <cell r="AI159">
            <v>0</v>
          </cell>
          <cell r="AK159">
            <v>4193</v>
          </cell>
          <cell r="AL159">
            <v>0</v>
          </cell>
          <cell r="AN159">
            <v>25892</v>
          </cell>
          <cell r="AO159">
            <v>40000</v>
          </cell>
          <cell r="AP159">
            <v>0</v>
          </cell>
          <cell r="AQ159">
            <v>0</v>
          </cell>
          <cell r="AR159">
            <v>0</v>
          </cell>
          <cell r="AU159">
            <v>0</v>
          </cell>
          <cell r="AV159">
            <v>30085</v>
          </cell>
          <cell r="AW159">
            <v>45000</v>
          </cell>
          <cell r="AX159">
            <v>-14915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D159">
            <v>0</v>
          </cell>
          <cell r="BE159">
            <v>4193</v>
          </cell>
          <cell r="BF159">
            <v>4193</v>
          </cell>
          <cell r="BG159">
            <v>0</v>
          </cell>
          <cell r="BI159" t="str">
            <v>621 4391 8800 3054 6637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U159">
            <v>0</v>
          </cell>
        </row>
        <row r="160">
          <cell r="D160" t="str">
            <v>梁少霞</v>
          </cell>
          <cell r="E160" t="str">
            <v>女</v>
          </cell>
          <cell r="F160" t="str">
            <v>44090219840721380X</v>
          </cell>
          <cell r="G160" t="str">
            <v>直工</v>
          </cell>
          <cell r="H160" t="str">
            <v>五金三楼</v>
          </cell>
          <cell r="I160" t="str">
            <v>作业员</v>
          </cell>
          <cell r="J160">
            <v>43528</v>
          </cell>
          <cell r="M160">
            <v>21</v>
          </cell>
          <cell r="N160">
            <v>20.5</v>
          </cell>
          <cell r="O160">
            <v>75</v>
          </cell>
          <cell r="P160">
            <v>86</v>
          </cell>
          <cell r="S160">
            <v>1950</v>
          </cell>
          <cell r="T160">
            <v>1720</v>
          </cell>
          <cell r="U160">
            <v>1679</v>
          </cell>
          <cell r="V160">
            <v>150</v>
          </cell>
          <cell r="W160">
            <v>146</v>
          </cell>
          <cell r="Z160">
            <v>14.83</v>
          </cell>
          <cell r="AA160">
            <v>1112</v>
          </cell>
          <cell r="AB160">
            <v>19.77</v>
          </cell>
          <cell r="AC160">
            <v>1700</v>
          </cell>
          <cell r="AG160">
            <v>80</v>
          </cell>
          <cell r="AI160">
            <v>0</v>
          </cell>
          <cell r="AK160">
            <v>4717</v>
          </cell>
          <cell r="AL160">
            <v>0</v>
          </cell>
          <cell r="AN160">
            <v>26302</v>
          </cell>
          <cell r="AO160">
            <v>40000</v>
          </cell>
          <cell r="AP160">
            <v>0</v>
          </cell>
          <cell r="AQ160">
            <v>0</v>
          </cell>
          <cell r="AR160">
            <v>0</v>
          </cell>
          <cell r="AU160">
            <v>0</v>
          </cell>
          <cell r="AV160">
            <v>31219</v>
          </cell>
          <cell r="AW160">
            <v>45000</v>
          </cell>
          <cell r="AX160">
            <v>-13781</v>
          </cell>
          <cell r="AY160">
            <v>0</v>
          </cell>
          <cell r="AZ160">
            <v>0</v>
          </cell>
          <cell r="BA160">
            <v>0</v>
          </cell>
          <cell r="BB160">
            <v>200</v>
          </cell>
          <cell r="BD160">
            <v>200</v>
          </cell>
          <cell r="BE160">
            <v>4917</v>
          </cell>
          <cell r="BF160">
            <v>4917</v>
          </cell>
          <cell r="BG160">
            <v>0</v>
          </cell>
          <cell r="BI160" t="str">
            <v>621 4391 8800 3054 6256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U160">
            <v>0</v>
          </cell>
        </row>
        <row r="161">
          <cell r="D161" t="str">
            <v>林燕凤</v>
          </cell>
          <cell r="E161" t="str">
            <v>女</v>
          </cell>
          <cell r="F161" t="str">
            <v>445322198408104661</v>
          </cell>
          <cell r="G161" t="str">
            <v>直工</v>
          </cell>
          <cell r="H161" t="str">
            <v>五金三楼</v>
          </cell>
          <cell r="I161" t="str">
            <v>作业员</v>
          </cell>
          <cell r="J161">
            <v>43559</v>
          </cell>
          <cell r="M161">
            <v>21</v>
          </cell>
          <cell r="N161">
            <v>20.5</v>
          </cell>
          <cell r="O161">
            <v>69</v>
          </cell>
          <cell r="P161">
            <v>90</v>
          </cell>
          <cell r="S161">
            <v>1950</v>
          </cell>
          <cell r="T161">
            <v>1720</v>
          </cell>
          <cell r="U161">
            <v>1679</v>
          </cell>
          <cell r="V161">
            <v>150</v>
          </cell>
          <cell r="W161">
            <v>146</v>
          </cell>
          <cell r="Z161">
            <v>14.83</v>
          </cell>
          <cell r="AA161">
            <v>1023</v>
          </cell>
          <cell r="AB161">
            <v>19.77</v>
          </cell>
          <cell r="AC161">
            <v>1779</v>
          </cell>
          <cell r="AG161">
            <v>80</v>
          </cell>
          <cell r="AI161">
            <v>0</v>
          </cell>
          <cell r="AK161">
            <v>4707</v>
          </cell>
          <cell r="AL161">
            <v>0</v>
          </cell>
          <cell r="AN161">
            <v>20192.2</v>
          </cell>
          <cell r="AO161">
            <v>30000</v>
          </cell>
          <cell r="AP161">
            <v>0</v>
          </cell>
          <cell r="AQ161">
            <v>0</v>
          </cell>
          <cell r="AR161">
            <v>0</v>
          </cell>
          <cell r="AU161">
            <v>0</v>
          </cell>
          <cell r="AV161">
            <v>25087.87</v>
          </cell>
          <cell r="AW161">
            <v>35000</v>
          </cell>
          <cell r="AX161">
            <v>-9912.13</v>
          </cell>
          <cell r="AY161">
            <v>0</v>
          </cell>
          <cell r="AZ161">
            <v>0</v>
          </cell>
          <cell r="BA161">
            <v>-11.33</v>
          </cell>
          <cell r="BB161">
            <v>200</v>
          </cell>
          <cell r="BD161">
            <v>189</v>
          </cell>
          <cell r="BE161">
            <v>4896</v>
          </cell>
          <cell r="BF161">
            <v>4896</v>
          </cell>
          <cell r="BG161">
            <v>0</v>
          </cell>
          <cell r="BI161" t="str">
            <v>6214391880030698172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U161">
            <v>0</v>
          </cell>
        </row>
        <row r="162">
          <cell r="D162" t="str">
            <v>左永红</v>
          </cell>
          <cell r="E162" t="str">
            <v>男</v>
          </cell>
          <cell r="F162" t="str">
            <v>511304198809101412</v>
          </cell>
          <cell r="G162" t="str">
            <v>直工</v>
          </cell>
          <cell r="H162" t="str">
            <v>五金三楼</v>
          </cell>
          <cell r="I162" t="str">
            <v>作业员</v>
          </cell>
          <cell r="J162">
            <v>43567</v>
          </cell>
          <cell r="M162">
            <v>21</v>
          </cell>
          <cell r="N162">
            <v>21</v>
          </cell>
          <cell r="O162">
            <v>68.5</v>
          </cell>
          <cell r="P162">
            <v>98.5</v>
          </cell>
          <cell r="S162">
            <v>2150</v>
          </cell>
          <cell r="T162">
            <v>1720</v>
          </cell>
          <cell r="U162">
            <v>1720</v>
          </cell>
          <cell r="V162">
            <v>350</v>
          </cell>
          <cell r="W162">
            <v>350</v>
          </cell>
          <cell r="Z162">
            <v>14.83</v>
          </cell>
          <cell r="AA162">
            <v>1016</v>
          </cell>
          <cell r="AB162">
            <v>19.77</v>
          </cell>
          <cell r="AC162">
            <v>1947</v>
          </cell>
          <cell r="AG162">
            <v>80</v>
          </cell>
          <cell r="AI162">
            <v>0</v>
          </cell>
          <cell r="AK162">
            <v>5113</v>
          </cell>
          <cell r="AL162">
            <v>0</v>
          </cell>
          <cell r="AN162">
            <v>21094</v>
          </cell>
          <cell r="AO162">
            <v>30000</v>
          </cell>
          <cell r="AP162">
            <v>0</v>
          </cell>
          <cell r="AQ162">
            <v>0</v>
          </cell>
          <cell r="AR162">
            <v>0</v>
          </cell>
          <cell r="AU162">
            <v>0</v>
          </cell>
          <cell r="AV162">
            <v>26407</v>
          </cell>
          <cell r="AW162">
            <v>35000</v>
          </cell>
          <cell r="AX162">
            <v>-8593</v>
          </cell>
          <cell r="AY162">
            <v>0</v>
          </cell>
          <cell r="AZ162">
            <v>0</v>
          </cell>
          <cell r="BA162">
            <v>0</v>
          </cell>
          <cell r="BB162">
            <v>200</v>
          </cell>
          <cell r="BD162">
            <v>200</v>
          </cell>
          <cell r="BE162">
            <v>5313</v>
          </cell>
          <cell r="BF162">
            <v>5313</v>
          </cell>
          <cell r="BG162">
            <v>0</v>
          </cell>
          <cell r="BI162" t="str">
            <v>621 4391 8800 3054 6181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U162">
            <v>0</v>
          </cell>
        </row>
        <row r="163">
          <cell r="D163" t="str">
            <v>何小莲</v>
          </cell>
          <cell r="E163" t="str">
            <v>女</v>
          </cell>
          <cell r="F163" t="str">
            <v>43112419940611164X</v>
          </cell>
          <cell r="G163" t="str">
            <v>直工</v>
          </cell>
          <cell r="H163" t="str">
            <v>五金三楼</v>
          </cell>
          <cell r="I163" t="str">
            <v>作业员</v>
          </cell>
          <cell r="J163">
            <v>43571</v>
          </cell>
          <cell r="M163">
            <v>21</v>
          </cell>
          <cell r="N163">
            <v>17</v>
          </cell>
          <cell r="O163">
            <v>61.5</v>
          </cell>
          <cell r="P163">
            <v>71</v>
          </cell>
          <cell r="S163">
            <v>1950</v>
          </cell>
          <cell r="T163">
            <v>1720</v>
          </cell>
          <cell r="U163">
            <v>1392</v>
          </cell>
          <cell r="V163">
            <v>150</v>
          </cell>
          <cell r="W163">
            <v>121</v>
          </cell>
          <cell r="Z163">
            <v>14.83</v>
          </cell>
          <cell r="AA163">
            <v>912</v>
          </cell>
          <cell r="AB163">
            <v>19.77</v>
          </cell>
          <cell r="AC163">
            <v>1404</v>
          </cell>
          <cell r="AI163">
            <v>0</v>
          </cell>
          <cell r="AK163">
            <v>3829</v>
          </cell>
          <cell r="AL163">
            <v>0</v>
          </cell>
          <cell r="AN163">
            <v>19276</v>
          </cell>
          <cell r="AO163">
            <v>30000</v>
          </cell>
          <cell r="AP163">
            <v>0</v>
          </cell>
          <cell r="AQ163">
            <v>0</v>
          </cell>
          <cell r="AR163">
            <v>0</v>
          </cell>
          <cell r="AU163">
            <v>0</v>
          </cell>
          <cell r="AV163">
            <v>23105</v>
          </cell>
          <cell r="AW163">
            <v>35000</v>
          </cell>
          <cell r="AX163">
            <v>-11895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D163">
            <v>0</v>
          </cell>
          <cell r="BE163">
            <v>3829</v>
          </cell>
          <cell r="BF163">
            <v>3829</v>
          </cell>
          <cell r="BG163">
            <v>0</v>
          </cell>
          <cell r="BI163" t="str">
            <v>621 4391 8800 3036 3306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U163">
            <v>0</v>
          </cell>
        </row>
        <row r="164">
          <cell r="D164" t="str">
            <v>刘盛</v>
          </cell>
          <cell r="E164" t="str">
            <v>男</v>
          </cell>
          <cell r="F164" t="str">
            <v>430421199504127879</v>
          </cell>
          <cell r="G164" t="str">
            <v>直工</v>
          </cell>
          <cell r="H164" t="str">
            <v>五金三楼</v>
          </cell>
          <cell r="I164" t="str">
            <v>作业员</v>
          </cell>
          <cell r="J164">
            <v>43573</v>
          </cell>
          <cell r="M164">
            <v>21</v>
          </cell>
          <cell r="N164">
            <v>16.5</v>
          </cell>
          <cell r="O164">
            <v>65.5</v>
          </cell>
          <cell r="P164">
            <v>73.5</v>
          </cell>
          <cell r="S164">
            <v>2250</v>
          </cell>
          <cell r="T164">
            <v>1720</v>
          </cell>
          <cell r="U164">
            <v>1351</v>
          </cell>
          <cell r="V164">
            <v>450</v>
          </cell>
          <cell r="W164">
            <v>354</v>
          </cell>
          <cell r="Z164">
            <v>14.83</v>
          </cell>
          <cell r="AA164">
            <v>971</v>
          </cell>
          <cell r="AB164">
            <v>19.77</v>
          </cell>
          <cell r="AC164">
            <v>1453</v>
          </cell>
          <cell r="AI164">
            <v>0</v>
          </cell>
          <cell r="AK164">
            <v>4129</v>
          </cell>
          <cell r="AL164">
            <v>0</v>
          </cell>
          <cell r="AN164">
            <v>18941.72</v>
          </cell>
          <cell r="AO164">
            <v>30000</v>
          </cell>
          <cell r="AP164">
            <v>0</v>
          </cell>
          <cell r="AQ164">
            <v>0</v>
          </cell>
          <cell r="AR164">
            <v>0</v>
          </cell>
          <cell r="AU164">
            <v>0</v>
          </cell>
          <cell r="AV164">
            <v>23194.81</v>
          </cell>
          <cell r="AW164">
            <v>35000</v>
          </cell>
          <cell r="AX164">
            <v>-11805.19</v>
          </cell>
          <cell r="AY164">
            <v>0</v>
          </cell>
          <cell r="AZ164">
            <v>0</v>
          </cell>
          <cell r="BA164">
            <v>-75.91</v>
          </cell>
          <cell r="BB164">
            <v>200</v>
          </cell>
          <cell r="BD164">
            <v>124</v>
          </cell>
          <cell r="BE164">
            <v>4253</v>
          </cell>
          <cell r="BF164">
            <v>4253</v>
          </cell>
          <cell r="BG164">
            <v>0</v>
          </cell>
          <cell r="BI164" t="str">
            <v>621 4391 8800 3054 6397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U164">
            <v>0</v>
          </cell>
        </row>
        <row r="165">
          <cell r="D165" t="str">
            <v>覃金茂</v>
          </cell>
          <cell r="E165" t="str">
            <v>男</v>
          </cell>
          <cell r="F165" t="str">
            <v>452226198106101210</v>
          </cell>
          <cell r="G165" t="str">
            <v>直工</v>
          </cell>
          <cell r="H165" t="str">
            <v>五金三楼</v>
          </cell>
          <cell r="I165" t="str">
            <v>作业员</v>
          </cell>
          <cell r="J165">
            <v>43575</v>
          </cell>
          <cell r="M165">
            <v>21</v>
          </cell>
          <cell r="N165">
            <v>19.5</v>
          </cell>
          <cell r="O165">
            <v>78</v>
          </cell>
          <cell r="P165">
            <v>101</v>
          </cell>
          <cell r="S165">
            <v>1950</v>
          </cell>
          <cell r="T165">
            <v>1720</v>
          </cell>
          <cell r="U165">
            <v>1597</v>
          </cell>
          <cell r="V165">
            <v>150</v>
          </cell>
          <cell r="W165">
            <v>139</v>
          </cell>
          <cell r="Z165">
            <v>14.83</v>
          </cell>
          <cell r="AA165">
            <v>1157</v>
          </cell>
          <cell r="AB165">
            <v>19.77</v>
          </cell>
          <cell r="AC165">
            <v>1997</v>
          </cell>
          <cell r="AG165">
            <v>80</v>
          </cell>
          <cell r="AI165">
            <v>0</v>
          </cell>
          <cell r="AK165">
            <v>4970</v>
          </cell>
          <cell r="AL165">
            <v>0</v>
          </cell>
          <cell r="AN165">
            <v>19111.32</v>
          </cell>
          <cell r="AO165">
            <v>30000</v>
          </cell>
          <cell r="AP165">
            <v>0</v>
          </cell>
          <cell r="AQ165">
            <v>0</v>
          </cell>
          <cell r="AR165">
            <v>0</v>
          </cell>
          <cell r="AU165">
            <v>0</v>
          </cell>
          <cell r="AV165">
            <v>24281.32</v>
          </cell>
          <cell r="AW165">
            <v>35000</v>
          </cell>
          <cell r="AX165">
            <v>-10718.68</v>
          </cell>
          <cell r="AY165">
            <v>0</v>
          </cell>
          <cell r="AZ165">
            <v>0</v>
          </cell>
          <cell r="BA165">
            <v>0</v>
          </cell>
          <cell r="BB165">
            <v>200</v>
          </cell>
          <cell r="BD165">
            <v>200</v>
          </cell>
          <cell r="BE165">
            <v>5170</v>
          </cell>
          <cell r="BF165">
            <v>5170</v>
          </cell>
          <cell r="BG165">
            <v>0</v>
          </cell>
          <cell r="BI165" t="str">
            <v>621 4391 8800 3036 3488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U165">
            <v>0</v>
          </cell>
        </row>
        <row r="166">
          <cell r="D166" t="str">
            <v>朱志雪</v>
          </cell>
          <cell r="E166" t="str">
            <v>女</v>
          </cell>
          <cell r="F166" t="str">
            <v>450803199910065821</v>
          </cell>
          <cell r="G166" t="str">
            <v>直工</v>
          </cell>
          <cell r="H166" t="str">
            <v>五金三楼</v>
          </cell>
          <cell r="I166" t="str">
            <v>作业员</v>
          </cell>
          <cell r="J166">
            <v>43575</v>
          </cell>
          <cell r="M166">
            <v>21</v>
          </cell>
          <cell r="N166">
            <v>16.9</v>
          </cell>
          <cell r="O166">
            <v>69</v>
          </cell>
          <cell r="P166">
            <v>65</v>
          </cell>
          <cell r="S166">
            <v>1950</v>
          </cell>
          <cell r="T166">
            <v>1720</v>
          </cell>
          <cell r="U166">
            <v>1384</v>
          </cell>
          <cell r="V166">
            <v>150</v>
          </cell>
          <cell r="W166">
            <v>121</v>
          </cell>
          <cell r="Z166">
            <v>14.83</v>
          </cell>
          <cell r="AA166">
            <v>1023</v>
          </cell>
          <cell r="AB166">
            <v>19.77</v>
          </cell>
          <cell r="AC166">
            <v>1285</v>
          </cell>
          <cell r="AI166">
            <v>0</v>
          </cell>
          <cell r="AK166">
            <v>3813</v>
          </cell>
          <cell r="AL166">
            <v>0</v>
          </cell>
          <cell r="AN166">
            <v>18692.8</v>
          </cell>
          <cell r="AO166">
            <v>30000</v>
          </cell>
          <cell r="AP166">
            <v>0</v>
          </cell>
          <cell r="AQ166">
            <v>0</v>
          </cell>
          <cell r="AR166">
            <v>0</v>
          </cell>
          <cell r="AU166">
            <v>0</v>
          </cell>
          <cell r="AV166">
            <v>22610.57</v>
          </cell>
          <cell r="AW166">
            <v>35000</v>
          </cell>
          <cell r="AX166">
            <v>-12389.43</v>
          </cell>
          <cell r="AY166">
            <v>0</v>
          </cell>
          <cell r="AZ166">
            <v>0</v>
          </cell>
          <cell r="BA166">
            <v>-95.23</v>
          </cell>
          <cell r="BB166">
            <v>200</v>
          </cell>
          <cell r="BD166">
            <v>105</v>
          </cell>
          <cell r="BE166">
            <v>3918</v>
          </cell>
          <cell r="BF166">
            <v>3918</v>
          </cell>
          <cell r="BG166">
            <v>0</v>
          </cell>
          <cell r="BI166" t="str">
            <v>621 4391 8800 3016 0959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U166">
            <v>0</v>
          </cell>
        </row>
        <row r="167">
          <cell r="D167" t="str">
            <v>朱志聪</v>
          </cell>
          <cell r="E167" t="str">
            <v>男</v>
          </cell>
          <cell r="F167" t="str">
            <v>450803200110085811</v>
          </cell>
          <cell r="G167" t="str">
            <v>直工</v>
          </cell>
          <cell r="H167" t="str">
            <v>五金三楼</v>
          </cell>
          <cell r="I167" t="str">
            <v>作业员</v>
          </cell>
          <cell r="J167">
            <v>43575</v>
          </cell>
          <cell r="M167">
            <v>21</v>
          </cell>
          <cell r="N167">
            <v>16.5</v>
          </cell>
          <cell r="O167">
            <v>58</v>
          </cell>
          <cell r="P167">
            <v>66.5</v>
          </cell>
          <cell r="S167">
            <v>2150</v>
          </cell>
          <cell r="T167">
            <v>1720</v>
          </cell>
          <cell r="U167">
            <v>1351</v>
          </cell>
          <cell r="V167">
            <v>350</v>
          </cell>
          <cell r="W167">
            <v>275</v>
          </cell>
          <cell r="Z167">
            <v>14.83</v>
          </cell>
          <cell r="AA167">
            <v>860</v>
          </cell>
          <cell r="AB167">
            <v>19.77</v>
          </cell>
          <cell r="AC167">
            <v>1315</v>
          </cell>
          <cell r="AI167">
            <v>0</v>
          </cell>
          <cell r="AK167">
            <v>3801</v>
          </cell>
          <cell r="AL167">
            <v>0</v>
          </cell>
          <cell r="AN167">
            <v>18868.72</v>
          </cell>
          <cell r="AO167">
            <v>30000</v>
          </cell>
          <cell r="AP167">
            <v>0</v>
          </cell>
          <cell r="AQ167">
            <v>0</v>
          </cell>
          <cell r="AR167">
            <v>0</v>
          </cell>
          <cell r="AU167">
            <v>0</v>
          </cell>
          <cell r="AV167">
            <v>22793.81</v>
          </cell>
          <cell r="AW167">
            <v>35000</v>
          </cell>
          <cell r="AX167">
            <v>-12206.19</v>
          </cell>
          <cell r="AY167">
            <v>0</v>
          </cell>
          <cell r="AZ167">
            <v>0</v>
          </cell>
          <cell r="BA167">
            <v>-75.91</v>
          </cell>
          <cell r="BB167">
            <v>200</v>
          </cell>
          <cell r="BD167">
            <v>124</v>
          </cell>
          <cell r="BE167">
            <v>3925</v>
          </cell>
          <cell r="BF167">
            <v>3925</v>
          </cell>
          <cell r="BG167">
            <v>0</v>
          </cell>
          <cell r="BI167" t="str">
            <v>621 4391 8800 3054 6215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U167">
            <v>0</v>
          </cell>
        </row>
        <row r="168">
          <cell r="D168" t="str">
            <v>蔡天杰</v>
          </cell>
          <cell r="E168" t="str">
            <v>男</v>
          </cell>
          <cell r="F168" t="str">
            <v>440923199805110853</v>
          </cell>
          <cell r="G168" t="str">
            <v>直工</v>
          </cell>
          <cell r="H168" t="str">
            <v>五金三楼</v>
          </cell>
          <cell r="I168" t="str">
            <v>作业员</v>
          </cell>
          <cell r="J168">
            <v>43580</v>
          </cell>
          <cell r="M168">
            <v>21</v>
          </cell>
          <cell r="N168">
            <v>17</v>
          </cell>
          <cell r="O168">
            <v>63</v>
          </cell>
          <cell r="P168">
            <v>71</v>
          </cell>
          <cell r="S168">
            <v>1950</v>
          </cell>
          <cell r="T168">
            <v>1720</v>
          </cell>
          <cell r="U168">
            <v>1392</v>
          </cell>
          <cell r="V168">
            <v>150</v>
          </cell>
          <cell r="W168">
            <v>121</v>
          </cell>
          <cell r="Z168">
            <v>14.83</v>
          </cell>
          <cell r="AA168">
            <v>934</v>
          </cell>
          <cell r="AB168">
            <v>19.77</v>
          </cell>
          <cell r="AC168">
            <v>1404</v>
          </cell>
          <cell r="AI168">
            <v>0</v>
          </cell>
          <cell r="AK168">
            <v>3851</v>
          </cell>
          <cell r="AL168">
            <v>0</v>
          </cell>
          <cell r="AN168">
            <v>16399</v>
          </cell>
          <cell r="AO168">
            <v>30000</v>
          </cell>
          <cell r="AP168">
            <v>0</v>
          </cell>
          <cell r="AQ168">
            <v>0</v>
          </cell>
          <cell r="AR168">
            <v>0</v>
          </cell>
          <cell r="AU168">
            <v>0</v>
          </cell>
          <cell r="AV168">
            <v>20440</v>
          </cell>
          <cell r="AW168">
            <v>35000</v>
          </cell>
          <cell r="AX168">
            <v>-14560</v>
          </cell>
          <cell r="AY168">
            <v>0</v>
          </cell>
          <cell r="AZ168">
            <v>0</v>
          </cell>
          <cell r="BA168">
            <v>0</v>
          </cell>
          <cell r="BB168">
            <v>190</v>
          </cell>
          <cell r="BD168">
            <v>190</v>
          </cell>
          <cell r="BE168">
            <v>4041</v>
          </cell>
          <cell r="BF168">
            <v>4041</v>
          </cell>
          <cell r="BG168">
            <v>0</v>
          </cell>
          <cell r="BI168" t="str">
            <v>621 4391 8800 3054 6611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U168">
            <v>0</v>
          </cell>
        </row>
        <row r="169">
          <cell r="D169" t="str">
            <v>蔡天明</v>
          </cell>
          <cell r="E169" t="str">
            <v>男</v>
          </cell>
          <cell r="F169" t="str">
            <v>44092319980511087X</v>
          </cell>
          <cell r="G169" t="str">
            <v>直工</v>
          </cell>
          <cell r="H169" t="str">
            <v>五金三楼</v>
          </cell>
          <cell r="I169" t="str">
            <v>作业员</v>
          </cell>
          <cell r="J169">
            <v>43580</v>
          </cell>
          <cell r="M169">
            <v>21</v>
          </cell>
          <cell r="N169">
            <v>17</v>
          </cell>
          <cell r="O169">
            <v>68</v>
          </cell>
          <cell r="P169">
            <v>68.5</v>
          </cell>
          <cell r="S169">
            <v>1950</v>
          </cell>
          <cell r="T169">
            <v>1720</v>
          </cell>
          <cell r="U169">
            <v>1392</v>
          </cell>
          <cell r="V169">
            <v>150</v>
          </cell>
          <cell r="W169">
            <v>121</v>
          </cell>
          <cell r="Z169">
            <v>14.83</v>
          </cell>
          <cell r="AA169">
            <v>1008</v>
          </cell>
          <cell r="AB169">
            <v>19.77</v>
          </cell>
          <cell r="AC169">
            <v>1354</v>
          </cell>
          <cell r="AI169">
            <v>0</v>
          </cell>
          <cell r="AK169">
            <v>3875</v>
          </cell>
          <cell r="AL169">
            <v>0</v>
          </cell>
          <cell r="AN169">
            <v>17727</v>
          </cell>
          <cell r="AO169">
            <v>30000</v>
          </cell>
          <cell r="AP169">
            <v>0</v>
          </cell>
          <cell r="AQ169">
            <v>0</v>
          </cell>
          <cell r="AR169">
            <v>0</v>
          </cell>
          <cell r="AU169">
            <v>0</v>
          </cell>
          <cell r="AV169">
            <v>21782</v>
          </cell>
          <cell r="AW169">
            <v>35000</v>
          </cell>
          <cell r="AX169">
            <v>-13218</v>
          </cell>
          <cell r="AY169">
            <v>0</v>
          </cell>
          <cell r="AZ169">
            <v>0</v>
          </cell>
          <cell r="BA169">
            <v>0</v>
          </cell>
          <cell r="BB169">
            <v>180</v>
          </cell>
          <cell r="BD169">
            <v>180</v>
          </cell>
          <cell r="BE169">
            <v>4055</v>
          </cell>
          <cell r="BF169">
            <v>4055</v>
          </cell>
          <cell r="BG169">
            <v>0</v>
          </cell>
          <cell r="BI169" t="str">
            <v>621 4391 8800 3054 6371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U169">
            <v>0</v>
          </cell>
        </row>
        <row r="170">
          <cell r="D170" t="str">
            <v>王可艳</v>
          </cell>
          <cell r="E170" t="str">
            <v>女</v>
          </cell>
          <cell r="F170" t="str">
            <v>500234199301258843</v>
          </cell>
          <cell r="G170" t="str">
            <v>直工</v>
          </cell>
          <cell r="H170" t="str">
            <v>五金三楼</v>
          </cell>
          <cell r="I170" t="str">
            <v>作业员</v>
          </cell>
          <cell r="J170">
            <v>43585</v>
          </cell>
          <cell r="M170">
            <v>21</v>
          </cell>
          <cell r="N170">
            <v>20</v>
          </cell>
          <cell r="O170">
            <v>70.5</v>
          </cell>
          <cell r="P170">
            <v>99</v>
          </cell>
          <cell r="S170">
            <v>1950</v>
          </cell>
          <cell r="T170">
            <v>1720</v>
          </cell>
          <cell r="U170">
            <v>1638</v>
          </cell>
          <cell r="V170">
            <v>150</v>
          </cell>
          <cell r="W170">
            <v>143</v>
          </cell>
          <cell r="Z170">
            <v>14.83</v>
          </cell>
          <cell r="AA170">
            <v>1046</v>
          </cell>
          <cell r="AB170">
            <v>19.77</v>
          </cell>
          <cell r="AC170">
            <v>1957</v>
          </cell>
          <cell r="AG170">
            <v>40</v>
          </cell>
          <cell r="AI170">
            <v>0</v>
          </cell>
          <cell r="AK170">
            <v>4824</v>
          </cell>
          <cell r="AL170">
            <v>0</v>
          </cell>
          <cell r="AN170">
            <v>17411</v>
          </cell>
          <cell r="AO170">
            <v>30000</v>
          </cell>
          <cell r="AP170">
            <v>0</v>
          </cell>
          <cell r="AQ170">
            <v>0</v>
          </cell>
          <cell r="AR170">
            <v>0</v>
          </cell>
          <cell r="AU170">
            <v>0</v>
          </cell>
          <cell r="AV170">
            <v>22435</v>
          </cell>
          <cell r="AW170">
            <v>35000</v>
          </cell>
          <cell r="AX170">
            <v>-12565</v>
          </cell>
          <cell r="AY170">
            <v>0</v>
          </cell>
          <cell r="AZ170">
            <v>0</v>
          </cell>
          <cell r="BA170">
            <v>0</v>
          </cell>
          <cell r="BB170">
            <v>200</v>
          </cell>
          <cell r="BD170">
            <v>200</v>
          </cell>
          <cell r="BE170">
            <v>5024</v>
          </cell>
          <cell r="BF170">
            <v>5024</v>
          </cell>
          <cell r="BG170">
            <v>0</v>
          </cell>
          <cell r="BI170" t="str">
            <v>621 4391 8800 3036 3603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U170">
            <v>0</v>
          </cell>
        </row>
        <row r="171">
          <cell r="D171" t="str">
            <v>石秋霞</v>
          </cell>
          <cell r="E171" t="str">
            <v>女</v>
          </cell>
          <cell r="F171" t="str">
            <v>430529199104264264</v>
          </cell>
          <cell r="G171" t="str">
            <v>直工</v>
          </cell>
          <cell r="H171" t="str">
            <v>五金三楼</v>
          </cell>
          <cell r="I171" t="str">
            <v>作业员</v>
          </cell>
          <cell r="J171">
            <v>43585</v>
          </cell>
          <cell r="M171">
            <v>21</v>
          </cell>
          <cell r="N171">
            <v>21</v>
          </cell>
          <cell r="O171">
            <v>71.5</v>
          </cell>
          <cell r="P171">
            <v>78</v>
          </cell>
          <cell r="S171">
            <v>1950</v>
          </cell>
          <cell r="T171">
            <v>1720</v>
          </cell>
          <cell r="U171">
            <v>1720</v>
          </cell>
          <cell r="V171">
            <v>150</v>
          </cell>
          <cell r="W171">
            <v>150</v>
          </cell>
          <cell r="Z171">
            <v>14.83</v>
          </cell>
          <cell r="AA171">
            <v>1060</v>
          </cell>
          <cell r="AB171">
            <v>19.77</v>
          </cell>
          <cell r="AC171">
            <v>1542</v>
          </cell>
          <cell r="AG171">
            <v>80</v>
          </cell>
          <cell r="AI171">
            <v>0</v>
          </cell>
          <cell r="AK171">
            <v>4552</v>
          </cell>
          <cell r="AL171">
            <v>0</v>
          </cell>
          <cell r="AN171">
            <v>30780</v>
          </cell>
          <cell r="AO171">
            <v>45000</v>
          </cell>
          <cell r="AP171">
            <v>0</v>
          </cell>
          <cell r="AQ171">
            <v>0</v>
          </cell>
          <cell r="AR171">
            <v>0</v>
          </cell>
          <cell r="AU171">
            <v>0</v>
          </cell>
          <cell r="AV171">
            <v>35332</v>
          </cell>
          <cell r="AW171">
            <v>50000</v>
          </cell>
          <cell r="AX171">
            <v>-14668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D171">
            <v>0</v>
          </cell>
          <cell r="BE171">
            <v>4552</v>
          </cell>
          <cell r="BF171">
            <v>4552</v>
          </cell>
          <cell r="BG171">
            <v>0</v>
          </cell>
          <cell r="BI171" t="str">
            <v>621 4391 8800 2326 1384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U171">
            <v>0</v>
          </cell>
        </row>
        <row r="172">
          <cell r="D172" t="str">
            <v>马平发</v>
          </cell>
          <cell r="E172" t="str">
            <v>男</v>
          </cell>
          <cell r="F172" t="str">
            <v>532529199611211816</v>
          </cell>
          <cell r="G172" t="str">
            <v>直工</v>
          </cell>
          <cell r="H172" t="str">
            <v>五金三楼</v>
          </cell>
          <cell r="I172" t="str">
            <v>作业员</v>
          </cell>
          <cell r="J172">
            <v>43612</v>
          </cell>
          <cell r="M172">
            <v>21</v>
          </cell>
          <cell r="N172">
            <v>19</v>
          </cell>
          <cell r="O172">
            <v>61.5</v>
          </cell>
          <cell r="P172">
            <v>89.5</v>
          </cell>
          <cell r="S172">
            <v>1950</v>
          </cell>
          <cell r="T172">
            <v>1720</v>
          </cell>
          <cell r="U172">
            <v>1556</v>
          </cell>
          <cell r="V172">
            <v>150</v>
          </cell>
          <cell r="W172">
            <v>136</v>
          </cell>
          <cell r="Z172">
            <v>14.83</v>
          </cell>
          <cell r="AA172">
            <v>912</v>
          </cell>
          <cell r="AB172">
            <v>19.77</v>
          </cell>
          <cell r="AC172">
            <v>1769</v>
          </cell>
          <cell r="AG172">
            <v>40</v>
          </cell>
          <cell r="AI172">
            <v>0</v>
          </cell>
          <cell r="AK172">
            <v>4413</v>
          </cell>
          <cell r="AL172">
            <v>0</v>
          </cell>
          <cell r="AN172">
            <v>13467</v>
          </cell>
          <cell r="AO172">
            <v>25000</v>
          </cell>
          <cell r="AP172">
            <v>0</v>
          </cell>
          <cell r="AQ172">
            <v>0</v>
          </cell>
          <cell r="AR172">
            <v>0</v>
          </cell>
          <cell r="AU172">
            <v>0</v>
          </cell>
          <cell r="AV172">
            <v>17880</v>
          </cell>
          <cell r="AW172">
            <v>30000</v>
          </cell>
          <cell r="AX172">
            <v>-12120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D172">
            <v>0</v>
          </cell>
          <cell r="BE172">
            <v>4413</v>
          </cell>
          <cell r="BF172">
            <v>4413</v>
          </cell>
          <cell r="BG172">
            <v>0</v>
          </cell>
          <cell r="BI172" t="str">
            <v>621 4391 8800 1466 4356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U172">
            <v>0</v>
          </cell>
        </row>
        <row r="173">
          <cell r="D173" t="str">
            <v>尹月兰</v>
          </cell>
          <cell r="E173" t="str">
            <v>女</v>
          </cell>
          <cell r="F173" t="str">
            <v>431202198508192623</v>
          </cell>
          <cell r="G173" t="str">
            <v>直工</v>
          </cell>
          <cell r="H173" t="str">
            <v>五金三楼</v>
          </cell>
          <cell r="I173" t="str">
            <v>作业员</v>
          </cell>
          <cell r="J173">
            <v>43614</v>
          </cell>
          <cell r="M173">
            <v>21</v>
          </cell>
          <cell r="N173">
            <v>19.5</v>
          </cell>
          <cell r="O173">
            <v>72</v>
          </cell>
          <cell r="P173">
            <v>102</v>
          </cell>
          <cell r="S173">
            <v>1950</v>
          </cell>
          <cell r="T173">
            <v>1720</v>
          </cell>
          <cell r="U173">
            <v>1597</v>
          </cell>
          <cell r="V173">
            <v>150</v>
          </cell>
          <cell r="W173">
            <v>139</v>
          </cell>
          <cell r="Z173">
            <v>14.83</v>
          </cell>
          <cell r="AA173">
            <v>1068</v>
          </cell>
          <cell r="AB173">
            <v>19.77</v>
          </cell>
          <cell r="AC173">
            <v>2017</v>
          </cell>
          <cell r="AI173">
            <v>0</v>
          </cell>
          <cell r="AK173">
            <v>4821</v>
          </cell>
          <cell r="AL173">
            <v>0</v>
          </cell>
          <cell r="AN173">
            <v>14590</v>
          </cell>
          <cell r="AO173">
            <v>25000</v>
          </cell>
          <cell r="AP173">
            <v>0</v>
          </cell>
          <cell r="AQ173">
            <v>0</v>
          </cell>
          <cell r="AR173">
            <v>0</v>
          </cell>
          <cell r="AU173">
            <v>0</v>
          </cell>
          <cell r="AV173">
            <v>19611</v>
          </cell>
          <cell r="AW173">
            <v>30000</v>
          </cell>
          <cell r="AX173">
            <v>-10389</v>
          </cell>
          <cell r="AY173">
            <v>0</v>
          </cell>
          <cell r="AZ173">
            <v>0</v>
          </cell>
          <cell r="BA173">
            <v>0</v>
          </cell>
          <cell r="BB173">
            <v>200</v>
          </cell>
          <cell r="BD173">
            <v>200</v>
          </cell>
          <cell r="BE173">
            <v>5021</v>
          </cell>
          <cell r="BF173">
            <v>5021</v>
          </cell>
          <cell r="BG173">
            <v>0</v>
          </cell>
          <cell r="BI173" t="str">
            <v>621 4391 8800 3016 0967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U173">
            <v>0</v>
          </cell>
        </row>
        <row r="174">
          <cell r="D174" t="str">
            <v>唐旭</v>
          </cell>
          <cell r="E174" t="str">
            <v>男</v>
          </cell>
          <cell r="F174" t="str">
            <v>511621200002212894</v>
          </cell>
          <cell r="G174" t="str">
            <v>直工</v>
          </cell>
          <cell r="H174" t="str">
            <v>五金三楼</v>
          </cell>
          <cell r="I174" t="str">
            <v>作业员</v>
          </cell>
          <cell r="J174">
            <v>43607</v>
          </cell>
          <cell r="M174">
            <v>21</v>
          </cell>
          <cell r="N174">
            <v>19</v>
          </cell>
          <cell r="O174">
            <v>53</v>
          </cell>
          <cell r="P174">
            <v>97.5</v>
          </cell>
          <cell r="S174">
            <v>1950</v>
          </cell>
          <cell r="T174">
            <v>1720</v>
          </cell>
          <cell r="U174">
            <v>1556</v>
          </cell>
          <cell r="V174">
            <v>150</v>
          </cell>
          <cell r="W174">
            <v>136</v>
          </cell>
          <cell r="Z174">
            <v>14.83</v>
          </cell>
          <cell r="AA174">
            <v>786</v>
          </cell>
          <cell r="AB174">
            <v>19.77</v>
          </cell>
          <cell r="AC174">
            <v>1928</v>
          </cell>
          <cell r="AI174">
            <v>459</v>
          </cell>
          <cell r="AK174">
            <v>4865</v>
          </cell>
          <cell r="AL174">
            <v>0</v>
          </cell>
          <cell r="AN174">
            <v>12033</v>
          </cell>
          <cell r="AO174">
            <v>25000</v>
          </cell>
          <cell r="AP174">
            <v>0</v>
          </cell>
          <cell r="AQ174">
            <v>0</v>
          </cell>
          <cell r="AR174">
            <v>0</v>
          </cell>
          <cell r="AU174">
            <v>0</v>
          </cell>
          <cell r="AV174">
            <v>17098</v>
          </cell>
          <cell r="AW174">
            <v>30000</v>
          </cell>
          <cell r="AX174">
            <v>-12902</v>
          </cell>
          <cell r="AY174">
            <v>0</v>
          </cell>
          <cell r="AZ174">
            <v>0</v>
          </cell>
          <cell r="BA174">
            <v>0</v>
          </cell>
          <cell r="BB174">
            <v>200</v>
          </cell>
          <cell r="BD174">
            <v>200</v>
          </cell>
          <cell r="BE174">
            <v>5065</v>
          </cell>
          <cell r="BF174">
            <v>5065</v>
          </cell>
          <cell r="BG174">
            <v>0</v>
          </cell>
          <cell r="BI174" t="str">
            <v>621 4391 8800 3036 3900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U174">
            <v>0</v>
          </cell>
        </row>
        <row r="175">
          <cell r="D175" t="str">
            <v>苏伟</v>
          </cell>
          <cell r="E175" t="str">
            <v>男</v>
          </cell>
          <cell r="F175" t="str">
            <v>532501199205082813</v>
          </cell>
          <cell r="G175" t="str">
            <v>直工</v>
          </cell>
          <cell r="H175" t="str">
            <v>五金三楼</v>
          </cell>
          <cell r="I175" t="str">
            <v>作业员</v>
          </cell>
          <cell r="J175">
            <v>43614</v>
          </cell>
          <cell r="M175">
            <v>21</v>
          </cell>
          <cell r="N175">
            <v>15.9</v>
          </cell>
          <cell r="O175">
            <v>48</v>
          </cell>
          <cell r="P175">
            <v>70.5</v>
          </cell>
          <cell r="S175">
            <v>1950</v>
          </cell>
          <cell r="T175">
            <v>1720</v>
          </cell>
          <cell r="U175">
            <v>1302</v>
          </cell>
          <cell r="V175">
            <v>150</v>
          </cell>
          <cell r="W175">
            <v>114</v>
          </cell>
          <cell r="Z175">
            <v>14.83</v>
          </cell>
          <cell r="AA175">
            <v>712</v>
          </cell>
          <cell r="AB175">
            <v>19.77</v>
          </cell>
          <cell r="AC175">
            <v>1394</v>
          </cell>
          <cell r="AI175">
            <v>221</v>
          </cell>
          <cell r="AK175">
            <v>3743</v>
          </cell>
          <cell r="AL175">
            <v>0</v>
          </cell>
          <cell r="AN175">
            <v>9820</v>
          </cell>
          <cell r="AO175">
            <v>25000</v>
          </cell>
          <cell r="AP175">
            <v>0</v>
          </cell>
          <cell r="AQ175">
            <v>0</v>
          </cell>
          <cell r="AR175">
            <v>0</v>
          </cell>
          <cell r="AU175">
            <v>0</v>
          </cell>
          <cell r="AV175">
            <v>13563</v>
          </cell>
          <cell r="AW175">
            <v>30000</v>
          </cell>
          <cell r="AX175">
            <v>-16437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D175">
            <v>0</v>
          </cell>
          <cell r="BE175">
            <v>3743</v>
          </cell>
          <cell r="BF175">
            <v>3743</v>
          </cell>
          <cell r="BG175">
            <v>0</v>
          </cell>
          <cell r="BI175" t="str">
            <v>6214391880030773470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U175">
            <v>0</v>
          </cell>
        </row>
        <row r="176">
          <cell r="D176" t="str">
            <v>郑仕神</v>
          </cell>
          <cell r="E176" t="str">
            <v>男</v>
          </cell>
          <cell r="F176" t="str">
            <v>460029197412072271</v>
          </cell>
          <cell r="G176" t="str">
            <v>直工</v>
          </cell>
          <cell r="H176" t="str">
            <v>五金三楼</v>
          </cell>
          <cell r="I176" t="str">
            <v>作业员</v>
          </cell>
          <cell r="J176">
            <v>43601</v>
          </cell>
          <cell r="M176">
            <v>21</v>
          </cell>
          <cell r="N176">
            <v>19.5</v>
          </cell>
          <cell r="O176">
            <v>74</v>
          </cell>
          <cell r="P176">
            <v>101</v>
          </cell>
          <cell r="S176">
            <v>2150</v>
          </cell>
          <cell r="T176">
            <v>1720</v>
          </cell>
          <cell r="U176">
            <v>1597</v>
          </cell>
          <cell r="V176">
            <v>350</v>
          </cell>
          <cell r="W176">
            <v>325</v>
          </cell>
          <cell r="Z176">
            <v>14.83</v>
          </cell>
          <cell r="AA176">
            <v>1097</v>
          </cell>
          <cell r="AB176">
            <v>19.77</v>
          </cell>
          <cell r="AC176">
            <v>1997</v>
          </cell>
          <cell r="AG176">
            <v>80</v>
          </cell>
          <cell r="AI176">
            <v>0</v>
          </cell>
          <cell r="AK176">
            <v>5096</v>
          </cell>
          <cell r="AL176">
            <v>0</v>
          </cell>
          <cell r="AN176">
            <v>15086</v>
          </cell>
          <cell r="AO176">
            <v>25000</v>
          </cell>
          <cell r="AP176">
            <v>0</v>
          </cell>
          <cell r="AQ176">
            <v>0</v>
          </cell>
          <cell r="AR176">
            <v>0</v>
          </cell>
          <cell r="AU176">
            <v>0</v>
          </cell>
          <cell r="AV176">
            <v>20382</v>
          </cell>
          <cell r="AW176">
            <v>30000</v>
          </cell>
          <cell r="AX176">
            <v>-9618</v>
          </cell>
          <cell r="AY176">
            <v>0</v>
          </cell>
          <cell r="AZ176">
            <v>0</v>
          </cell>
          <cell r="BA176">
            <v>0</v>
          </cell>
          <cell r="BB176">
            <v>200</v>
          </cell>
          <cell r="BD176">
            <v>200</v>
          </cell>
          <cell r="BE176">
            <v>5296</v>
          </cell>
          <cell r="BF176">
            <v>5296</v>
          </cell>
          <cell r="BG176">
            <v>0</v>
          </cell>
          <cell r="BI176" t="str">
            <v>621 4391 8800 3036 3595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U176">
            <v>0</v>
          </cell>
        </row>
        <row r="177">
          <cell r="D177" t="str">
            <v>黎银美</v>
          </cell>
          <cell r="E177" t="str">
            <v>女</v>
          </cell>
          <cell r="F177" t="str">
            <v>452226200006152125</v>
          </cell>
          <cell r="G177" t="str">
            <v>直工</v>
          </cell>
          <cell r="H177" t="str">
            <v>五金三楼</v>
          </cell>
          <cell r="I177" t="str">
            <v>作业员</v>
          </cell>
          <cell r="J177">
            <v>43601</v>
          </cell>
          <cell r="M177">
            <v>21</v>
          </cell>
          <cell r="N177">
            <v>18.5</v>
          </cell>
          <cell r="O177">
            <v>66.5</v>
          </cell>
          <cell r="P177">
            <v>100.5</v>
          </cell>
          <cell r="S177">
            <v>1950</v>
          </cell>
          <cell r="T177">
            <v>1720</v>
          </cell>
          <cell r="U177">
            <v>1515</v>
          </cell>
          <cell r="V177">
            <v>150</v>
          </cell>
          <cell r="W177">
            <v>132</v>
          </cell>
          <cell r="Z177">
            <v>14.83</v>
          </cell>
          <cell r="AA177">
            <v>986</v>
          </cell>
          <cell r="AB177">
            <v>19.77</v>
          </cell>
          <cell r="AC177">
            <v>1987</v>
          </cell>
          <cell r="AI177">
            <v>0</v>
          </cell>
          <cell r="AK177">
            <v>4620</v>
          </cell>
          <cell r="AL177">
            <v>0</v>
          </cell>
          <cell r="AN177">
            <v>13994</v>
          </cell>
          <cell r="AO177">
            <v>25000</v>
          </cell>
          <cell r="AP177">
            <v>0</v>
          </cell>
          <cell r="AQ177">
            <v>0</v>
          </cell>
          <cell r="AR177">
            <v>0</v>
          </cell>
          <cell r="AU177">
            <v>0</v>
          </cell>
          <cell r="AV177">
            <v>18814</v>
          </cell>
          <cell r="AW177">
            <v>30000</v>
          </cell>
          <cell r="AX177">
            <v>-11186</v>
          </cell>
          <cell r="AY177">
            <v>0</v>
          </cell>
          <cell r="AZ177">
            <v>0</v>
          </cell>
          <cell r="BA177">
            <v>0</v>
          </cell>
          <cell r="BB177">
            <v>200</v>
          </cell>
          <cell r="BD177">
            <v>200</v>
          </cell>
          <cell r="BE177">
            <v>4820</v>
          </cell>
          <cell r="BF177">
            <v>4820</v>
          </cell>
          <cell r="BG177">
            <v>0</v>
          </cell>
          <cell r="BI177" t="str">
            <v>621 4391 8800 3054 6231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U177">
            <v>0</v>
          </cell>
        </row>
        <row r="178">
          <cell r="D178" t="str">
            <v>李爱香</v>
          </cell>
          <cell r="E178" t="str">
            <v>女</v>
          </cell>
          <cell r="F178" t="str">
            <v>460029197709092222</v>
          </cell>
          <cell r="G178" t="str">
            <v>直工</v>
          </cell>
          <cell r="H178" t="str">
            <v>五金三楼</v>
          </cell>
          <cell r="I178" t="str">
            <v>作业员</v>
          </cell>
          <cell r="J178">
            <v>43601</v>
          </cell>
          <cell r="M178">
            <v>21</v>
          </cell>
          <cell r="N178">
            <v>19.5</v>
          </cell>
          <cell r="O178">
            <v>78.5</v>
          </cell>
          <cell r="P178">
            <v>100.5</v>
          </cell>
          <cell r="S178">
            <v>1950</v>
          </cell>
          <cell r="T178">
            <v>1720</v>
          </cell>
          <cell r="U178">
            <v>1597</v>
          </cell>
          <cell r="V178">
            <v>150</v>
          </cell>
          <cell r="W178">
            <v>139</v>
          </cell>
          <cell r="Z178">
            <v>14.83</v>
          </cell>
          <cell r="AA178">
            <v>1164</v>
          </cell>
          <cell r="AB178">
            <v>19.77</v>
          </cell>
          <cell r="AC178">
            <v>1987</v>
          </cell>
          <cell r="AG178">
            <v>80</v>
          </cell>
          <cell r="AI178">
            <v>0</v>
          </cell>
          <cell r="AK178">
            <v>4967</v>
          </cell>
          <cell r="AL178">
            <v>0</v>
          </cell>
          <cell r="AN178">
            <v>15201</v>
          </cell>
          <cell r="AO178">
            <v>25000</v>
          </cell>
          <cell r="AP178">
            <v>0</v>
          </cell>
          <cell r="AQ178">
            <v>0</v>
          </cell>
          <cell r="AR178">
            <v>0</v>
          </cell>
          <cell r="AU178">
            <v>0</v>
          </cell>
          <cell r="AV178">
            <v>20368</v>
          </cell>
          <cell r="AW178">
            <v>30000</v>
          </cell>
          <cell r="AX178">
            <v>-9632</v>
          </cell>
          <cell r="AY178">
            <v>0</v>
          </cell>
          <cell r="AZ178">
            <v>0</v>
          </cell>
          <cell r="BA178">
            <v>0</v>
          </cell>
          <cell r="BB178">
            <v>200</v>
          </cell>
          <cell r="BD178">
            <v>200</v>
          </cell>
          <cell r="BE178">
            <v>5167</v>
          </cell>
          <cell r="BF178">
            <v>5167</v>
          </cell>
          <cell r="BG178">
            <v>0</v>
          </cell>
          <cell r="BI178" t="str">
            <v>621 4391 8800 3016 0983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U178">
            <v>0</v>
          </cell>
        </row>
        <row r="179">
          <cell r="D179" t="str">
            <v>汪海祝</v>
          </cell>
          <cell r="E179" t="str">
            <v>女</v>
          </cell>
          <cell r="F179" t="str">
            <v>522632197909277829</v>
          </cell>
          <cell r="G179" t="str">
            <v>直工</v>
          </cell>
          <cell r="H179" t="str">
            <v>五金三楼</v>
          </cell>
          <cell r="I179" t="str">
            <v>作业员</v>
          </cell>
          <cell r="J179">
            <v>43602</v>
          </cell>
          <cell r="M179">
            <v>21</v>
          </cell>
          <cell r="N179">
            <v>20</v>
          </cell>
          <cell r="O179">
            <v>70.5</v>
          </cell>
          <cell r="P179">
            <v>102</v>
          </cell>
          <cell r="S179">
            <v>1950</v>
          </cell>
          <cell r="T179">
            <v>1720</v>
          </cell>
          <cell r="U179">
            <v>1638</v>
          </cell>
          <cell r="V179">
            <v>150</v>
          </cell>
          <cell r="W179">
            <v>143</v>
          </cell>
          <cell r="Z179">
            <v>14.83</v>
          </cell>
          <cell r="AA179">
            <v>1046</v>
          </cell>
          <cell r="AB179">
            <v>19.77</v>
          </cell>
          <cell r="AC179">
            <v>2017</v>
          </cell>
          <cell r="AG179">
            <v>40</v>
          </cell>
          <cell r="AI179">
            <v>0</v>
          </cell>
          <cell r="AK179">
            <v>4884</v>
          </cell>
          <cell r="AL179">
            <v>0</v>
          </cell>
          <cell r="AN179">
            <v>14042</v>
          </cell>
          <cell r="AO179">
            <v>25000</v>
          </cell>
          <cell r="AP179">
            <v>0</v>
          </cell>
          <cell r="AQ179">
            <v>0</v>
          </cell>
          <cell r="AR179">
            <v>0</v>
          </cell>
          <cell r="AU179">
            <v>0</v>
          </cell>
          <cell r="AV179">
            <v>19126</v>
          </cell>
          <cell r="AW179">
            <v>30000</v>
          </cell>
          <cell r="AX179">
            <v>-10874</v>
          </cell>
          <cell r="AY179">
            <v>0</v>
          </cell>
          <cell r="AZ179">
            <v>0</v>
          </cell>
          <cell r="BA179">
            <v>0</v>
          </cell>
          <cell r="BB179">
            <v>200</v>
          </cell>
          <cell r="BD179">
            <v>200</v>
          </cell>
          <cell r="BE179">
            <v>5084</v>
          </cell>
          <cell r="BF179">
            <v>5084</v>
          </cell>
          <cell r="BG179">
            <v>0</v>
          </cell>
          <cell r="BI179" t="str">
            <v>621 4391 8800 3054 6207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U179">
            <v>0</v>
          </cell>
        </row>
        <row r="180">
          <cell r="D180" t="str">
            <v>张双凤</v>
          </cell>
          <cell r="E180" t="str">
            <v>女</v>
          </cell>
          <cell r="F180" t="str">
            <v>431226198104193081</v>
          </cell>
          <cell r="G180" t="str">
            <v>直工</v>
          </cell>
          <cell r="H180" t="str">
            <v>五金三楼</v>
          </cell>
          <cell r="I180" t="str">
            <v>作业员</v>
          </cell>
          <cell r="J180">
            <v>43602</v>
          </cell>
          <cell r="M180">
            <v>21</v>
          </cell>
          <cell r="N180">
            <v>14.5</v>
          </cell>
          <cell r="O180">
            <v>54.5</v>
          </cell>
          <cell r="P180">
            <v>75.5</v>
          </cell>
          <cell r="S180">
            <v>1950</v>
          </cell>
          <cell r="T180">
            <v>1720</v>
          </cell>
          <cell r="U180">
            <v>1188</v>
          </cell>
          <cell r="V180">
            <v>150</v>
          </cell>
          <cell r="W180">
            <v>104</v>
          </cell>
          <cell r="Z180">
            <v>14.83</v>
          </cell>
          <cell r="AA180">
            <v>808</v>
          </cell>
          <cell r="AB180">
            <v>19.77</v>
          </cell>
          <cell r="AC180">
            <v>1493</v>
          </cell>
          <cell r="AI180">
            <v>0</v>
          </cell>
          <cell r="AK180">
            <v>3593</v>
          </cell>
          <cell r="AL180">
            <v>0</v>
          </cell>
          <cell r="AN180">
            <v>16119</v>
          </cell>
          <cell r="AO180">
            <v>25000</v>
          </cell>
          <cell r="AP180">
            <v>0</v>
          </cell>
          <cell r="AQ180">
            <v>0</v>
          </cell>
          <cell r="AR180">
            <v>0</v>
          </cell>
          <cell r="AU180">
            <v>0</v>
          </cell>
          <cell r="AV180">
            <v>19912</v>
          </cell>
          <cell r="AW180">
            <v>30000</v>
          </cell>
          <cell r="AX180">
            <v>-10088</v>
          </cell>
          <cell r="AY180">
            <v>0</v>
          </cell>
          <cell r="AZ180">
            <v>0</v>
          </cell>
          <cell r="BA180">
            <v>0</v>
          </cell>
          <cell r="BB180">
            <v>200</v>
          </cell>
          <cell r="BD180">
            <v>200</v>
          </cell>
          <cell r="BE180">
            <v>3793</v>
          </cell>
          <cell r="BF180">
            <v>3793</v>
          </cell>
          <cell r="BG180">
            <v>0</v>
          </cell>
          <cell r="BI180" t="str">
            <v>621 4391 8800 3036 3462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U180">
            <v>0</v>
          </cell>
        </row>
        <row r="181">
          <cell r="D181" t="str">
            <v>付福木</v>
          </cell>
          <cell r="E181" t="str">
            <v>男</v>
          </cell>
          <cell r="F181" t="str">
            <v>53293019910510031X</v>
          </cell>
          <cell r="G181" t="str">
            <v>直工</v>
          </cell>
          <cell r="H181" t="str">
            <v>五金三楼</v>
          </cell>
          <cell r="I181" t="str">
            <v>作业员</v>
          </cell>
          <cell r="J181">
            <v>43605</v>
          </cell>
          <cell r="M181">
            <v>21</v>
          </cell>
          <cell r="N181">
            <v>17.5</v>
          </cell>
          <cell r="O181">
            <v>71</v>
          </cell>
          <cell r="P181">
            <v>97</v>
          </cell>
          <cell r="S181">
            <v>2250</v>
          </cell>
          <cell r="T181">
            <v>1720</v>
          </cell>
          <cell r="U181">
            <v>1433</v>
          </cell>
          <cell r="V181">
            <v>450</v>
          </cell>
          <cell r="W181">
            <v>375</v>
          </cell>
          <cell r="Z181">
            <v>14.83</v>
          </cell>
          <cell r="AA181">
            <v>1053</v>
          </cell>
          <cell r="AB181">
            <v>19.77</v>
          </cell>
          <cell r="AC181">
            <v>1918</v>
          </cell>
          <cell r="AI181">
            <v>0</v>
          </cell>
          <cell r="AK181">
            <v>4779</v>
          </cell>
          <cell r="AL181">
            <v>0</v>
          </cell>
          <cell r="AN181">
            <v>15649</v>
          </cell>
          <cell r="AO181">
            <v>25000</v>
          </cell>
          <cell r="AP181">
            <v>0</v>
          </cell>
          <cell r="AQ181">
            <v>0</v>
          </cell>
          <cell r="AR181">
            <v>0</v>
          </cell>
          <cell r="AU181">
            <v>0</v>
          </cell>
          <cell r="AV181">
            <v>20428</v>
          </cell>
          <cell r="AW181">
            <v>30000</v>
          </cell>
          <cell r="AX181">
            <v>-9572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D181">
            <v>0</v>
          </cell>
          <cell r="BE181">
            <v>4779</v>
          </cell>
          <cell r="BF181">
            <v>4779</v>
          </cell>
          <cell r="BG181">
            <v>0</v>
          </cell>
          <cell r="BI181" t="str">
            <v>621 4391 8800 3054 6199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U181">
            <v>0</v>
          </cell>
        </row>
        <row r="182">
          <cell r="D182" t="str">
            <v>张杰</v>
          </cell>
          <cell r="E182" t="str">
            <v>男</v>
          </cell>
          <cell r="F182" t="str">
            <v>520221200105039819</v>
          </cell>
          <cell r="G182" t="str">
            <v>直工</v>
          </cell>
          <cell r="H182" t="str">
            <v>五金三楼</v>
          </cell>
          <cell r="I182" t="str">
            <v>作业员</v>
          </cell>
          <cell r="J182">
            <v>43606</v>
          </cell>
          <cell r="M182">
            <v>21</v>
          </cell>
          <cell r="N182">
            <v>15.6</v>
          </cell>
          <cell r="O182">
            <v>55.5</v>
          </cell>
          <cell r="P182">
            <v>89.5</v>
          </cell>
          <cell r="S182">
            <v>1950</v>
          </cell>
          <cell r="T182">
            <v>1720</v>
          </cell>
          <cell r="U182">
            <v>1278</v>
          </cell>
          <cell r="V182">
            <v>150</v>
          </cell>
          <cell r="W182">
            <v>111</v>
          </cell>
          <cell r="Z182">
            <v>14.83</v>
          </cell>
          <cell r="AA182">
            <v>823</v>
          </cell>
          <cell r="AB182">
            <v>19.77</v>
          </cell>
          <cell r="AC182">
            <v>1769</v>
          </cell>
          <cell r="AI182">
            <v>0</v>
          </cell>
          <cell r="AK182">
            <v>3981</v>
          </cell>
          <cell r="AL182">
            <v>0</v>
          </cell>
          <cell r="AN182">
            <v>13178</v>
          </cell>
          <cell r="AO182">
            <v>25000</v>
          </cell>
          <cell r="AP182">
            <v>0</v>
          </cell>
          <cell r="AQ182">
            <v>0</v>
          </cell>
          <cell r="AR182">
            <v>0</v>
          </cell>
          <cell r="AU182">
            <v>0</v>
          </cell>
          <cell r="AV182">
            <v>17159</v>
          </cell>
          <cell r="AW182">
            <v>30000</v>
          </cell>
          <cell r="AX182">
            <v>-12841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D182">
            <v>0</v>
          </cell>
          <cell r="BE182">
            <v>3981</v>
          </cell>
          <cell r="BF182">
            <v>3981</v>
          </cell>
          <cell r="BG182">
            <v>0</v>
          </cell>
          <cell r="BI182" t="str">
            <v>6214391880030773512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U182">
            <v>0</v>
          </cell>
        </row>
        <row r="183">
          <cell r="D183" t="str">
            <v>浓绍福</v>
          </cell>
          <cell r="E183" t="str">
            <v>男</v>
          </cell>
          <cell r="F183" t="str">
            <v>53253119890709103X</v>
          </cell>
          <cell r="G183" t="str">
            <v>直工</v>
          </cell>
          <cell r="H183" t="str">
            <v>五金三楼</v>
          </cell>
          <cell r="I183" t="str">
            <v>作业员</v>
          </cell>
          <cell r="J183">
            <v>43600</v>
          </cell>
          <cell r="M183">
            <v>21</v>
          </cell>
          <cell r="N183">
            <v>17.5</v>
          </cell>
          <cell r="O183">
            <v>68.5</v>
          </cell>
          <cell r="P183">
            <v>72.5</v>
          </cell>
          <cell r="S183">
            <v>2250</v>
          </cell>
          <cell r="T183">
            <v>1720</v>
          </cell>
          <cell r="U183">
            <v>1433</v>
          </cell>
          <cell r="V183">
            <v>450</v>
          </cell>
          <cell r="W183">
            <v>375</v>
          </cell>
          <cell r="Z183">
            <v>14.83</v>
          </cell>
          <cell r="AA183">
            <v>1016</v>
          </cell>
          <cell r="AB183">
            <v>19.77</v>
          </cell>
          <cell r="AC183">
            <v>1433</v>
          </cell>
          <cell r="AI183">
            <v>0</v>
          </cell>
          <cell r="AK183">
            <v>4257</v>
          </cell>
          <cell r="AL183">
            <v>0</v>
          </cell>
          <cell r="AN183">
            <v>13375</v>
          </cell>
          <cell r="AO183">
            <v>25000</v>
          </cell>
          <cell r="AP183">
            <v>0</v>
          </cell>
          <cell r="AQ183">
            <v>0</v>
          </cell>
          <cell r="AR183">
            <v>0</v>
          </cell>
          <cell r="AU183">
            <v>0</v>
          </cell>
          <cell r="AV183">
            <v>17832</v>
          </cell>
          <cell r="AW183">
            <v>30000</v>
          </cell>
          <cell r="AX183">
            <v>-12168</v>
          </cell>
          <cell r="AY183">
            <v>0</v>
          </cell>
          <cell r="AZ183">
            <v>0</v>
          </cell>
          <cell r="BA183">
            <v>0</v>
          </cell>
          <cell r="BB183">
            <v>200</v>
          </cell>
          <cell r="BD183">
            <v>200</v>
          </cell>
          <cell r="BE183">
            <v>4457</v>
          </cell>
          <cell r="BF183">
            <v>4457</v>
          </cell>
          <cell r="BG183">
            <v>0</v>
          </cell>
          <cell r="BI183" t="str">
            <v>621 4391 8800 3036 3660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U183">
            <v>0</v>
          </cell>
        </row>
        <row r="184">
          <cell r="D184" t="str">
            <v>郑爱珠</v>
          </cell>
          <cell r="E184" t="str">
            <v>女</v>
          </cell>
          <cell r="F184" t="str">
            <v>460003199707252224</v>
          </cell>
          <cell r="G184" t="str">
            <v>直工</v>
          </cell>
          <cell r="H184" t="str">
            <v>五金三楼</v>
          </cell>
          <cell r="I184" t="str">
            <v>作业员</v>
          </cell>
          <cell r="J184">
            <v>43600</v>
          </cell>
          <cell r="M184">
            <v>21</v>
          </cell>
          <cell r="N184">
            <v>18</v>
          </cell>
          <cell r="O184">
            <v>63.5</v>
          </cell>
          <cell r="P184">
            <v>94.5</v>
          </cell>
          <cell r="S184">
            <v>1950</v>
          </cell>
          <cell r="T184">
            <v>1720</v>
          </cell>
          <cell r="U184">
            <v>1474</v>
          </cell>
          <cell r="V184">
            <v>150</v>
          </cell>
          <cell r="W184">
            <v>129</v>
          </cell>
          <cell r="Z184">
            <v>14.83</v>
          </cell>
          <cell r="AA184">
            <v>942</v>
          </cell>
          <cell r="AB184">
            <v>19.77</v>
          </cell>
          <cell r="AC184">
            <v>1868</v>
          </cell>
          <cell r="AI184">
            <v>0</v>
          </cell>
          <cell r="AK184">
            <v>4413</v>
          </cell>
          <cell r="AL184">
            <v>0</v>
          </cell>
          <cell r="AN184">
            <v>12867.8</v>
          </cell>
          <cell r="AO184">
            <v>25000</v>
          </cell>
          <cell r="AP184">
            <v>0</v>
          </cell>
          <cell r="AQ184">
            <v>0</v>
          </cell>
          <cell r="AR184">
            <v>0</v>
          </cell>
          <cell r="AU184">
            <v>0</v>
          </cell>
          <cell r="AV184">
            <v>17470.8</v>
          </cell>
          <cell r="AW184">
            <v>30000</v>
          </cell>
          <cell r="AX184">
            <v>-12529.2</v>
          </cell>
          <cell r="AY184">
            <v>0</v>
          </cell>
          <cell r="AZ184">
            <v>0</v>
          </cell>
          <cell r="BA184">
            <v>0</v>
          </cell>
          <cell r="BB184">
            <v>190</v>
          </cell>
          <cell r="BD184">
            <v>190</v>
          </cell>
          <cell r="BE184">
            <v>4603</v>
          </cell>
          <cell r="BF184">
            <v>4603</v>
          </cell>
          <cell r="BG184">
            <v>0</v>
          </cell>
          <cell r="BI184" t="str">
            <v>621 4391 8800 3054 6223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U184">
            <v>0</v>
          </cell>
        </row>
        <row r="185">
          <cell r="D185" t="str">
            <v>梁金元</v>
          </cell>
          <cell r="E185" t="str">
            <v>男</v>
          </cell>
          <cell r="F185" t="str">
            <v>450922199406201251</v>
          </cell>
          <cell r="G185" t="str">
            <v>直工</v>
          </cell>
          <cell r="H185" t="str">
            <v>五金三楼</v>
          </cell>
          <cell r="I185" t="str">
            <v>作业员</v>
          </cell>
          <cell r="J185">
            <v>43640</v>
          </cell>
          <cell r="M185">
            <v>21</v>
          </cell>
          <cell r="N185">
            <v>17.5</v>
          </cell>
          <cell r="O185">
            <v>61.5</v>
          </cell>
          <cell r="P185">
            <v>83.5</v>
          </cell>
          <cell r="S185">
            <v>1950</v>
          </cell>
          <cell r="T185">
            <v>1720</v>
          </cell>
          <cell r="U185">
            <v>1433</v>
          </cell>
          <cell r="V185">
            <v>150</v>
          </cell>
          <cell r="W185">
            <v>125</v>
          </cell>
          <cell r="Z185">
            <v>14.83</v>
          </cell>
          <cell r="AA185">
            <v>912</v>
          </cell>
          <cell r="AB185">
            <v>19.77</v>
          </cell>
          <cell r="AC185">
            <v>1651</v>
          </cell>
          <cell r="AI185">
            <v>0</v>
          </cell>
          <cell r="AK185">
            <v>4121</v>
          </cell>
          <cell r="AL185">
            <v>0</v>
          </cell>
          <cell r="AN185">
            <v>9243</v>
          </cell>
          <cell r="AO185">
            <v>20000</v>
          </cell>
          <cell r="AP185">
            <v>0</v>
          </cell>
          <cell r="AQ185">
            <v>0</v>
          </cell>
          <cell r="AR185">
            <v>0</v>
          </cell>
          <cell r="AU185">
            <v>0</v>
          </cell>
          <cell r="AV185">
            <v>13364</v>
          </cell>
          <cell r="AW185">
            <v>25000</v>
          </cell>
          <cell r="AX185">
            <v>-11636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D185">
            <v>0</v>
          </cell>
          <cell r="BE185">
            <v>4121</v>
          </cell>
          <cell r="BF185">
            <v>4121</v>
          </cell>
          <cell r="BG185">
            <v>0</v>
          </cell>
          <cell r="BI185" t="str">
            <v>6214391880030638053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U185">
            <v>0</v>
          </cell>
        </row>
        <row r="186">
          <cell r="D186" t="str">
            <v>黄漫</v>
          </cell>
          <cell r="E186" t="str">
            <v>女</v>
          </cell>
          <cell r="F186" t="str">
            <v>450922199810260966</v>
          </cell>
          <cell r="G186" t="str">
            <v>直工</v>
          </cell>
          <cell r="H186" t="str">
            <v>五金三楼</v>
          </cell>
          <cell r="I186" t="str">
            <v>作业员</v>
          </cell>
          <cell r="J186">
            <v>43637</v>
          </cell>
          <cell r="M186">
            <v>21</v>
          </cell>
          <cell r="N186">
            <v>16.5</v>
          </cell>
          <cell r="O186">
            <v>66.5</v>
          </cell>
          <cell r="P186">
            <v>104.5</v>
          </cell>
          <cell r="S186">
            <v>1950</v>
          </cell>
          <cell r="T186">
            <v>1720</v>
          </cell>
          <cell r="U186">
            <v>1351</v>
          </cell>
          <cell r="V186">
            <v>150</v>
          </cell>
          <cell r="W186">
            <v>118</v>
          </cell>
          <cell r="Z186">
            <v>14.83</v>
          </cell>
          <cell r="AA186">
            <v>986</v>
          </cell>
          <cell r="AB186">
            <v>19.77</v>
          </cell>
          <cell r="AC186">
            <v>2066</v>
          </cell>
          <cell r="AI186">
            <v>0</v>
          </cell>
          <cell r="AK186">
            <v>4521</v>
          </cell>
          <cell r="AL186">
            <v>0</v>
          </cell>
          <cell r="AN186">
            <v>11083</v>
          </cell>
          <cell r="AO186">
            <v>20000</v>
          </cell>
          <cell r="AP186">
            <v>0</v>
          </cell>
          <cell r="AQ186">
            <v>0</v>
          </cell>
          <cell r="AR186">
            <v>0</v>
          </cell>
          <cell r="AU186">
            <v>0</v>
          </cell>
          <cell r="AV186">
            <v>15804</v>
          </cell>
          <cell r="AW186">
            <v>25000</v>
          </cell>
          <cell r="AX186">
            <v>-9196</v>
          </cell>
          <cell r="AY186">
            <v>0</v>
          </cell>
          <cell r="AZ186">
            <v>0</v>
          </cell>
          <cell r="BA186">
            <v>0</v>
          </cell>
          <cell r="BB186">
            <v>200</v>
          </cell>
          <cell r="BD186">
            <v>200</v>
          </cell>
          <cell r="BE186">
            <v>4721</v>
          </cell>
          <cell r="BF186">
            <v>4721</v>
          </cell>
          <cell r="BG186">
            <v>0</v>
          </cell>
          <cell r="BI186" t="str">
            <v>6214391880030638707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U186">
            <v>0</v>
          </cell>
        </row>
        <row r="187">
          <cell r="D187" t="str">
            <v>黄露妃</v>
          </cell>
          <cell r="E187" t="str">
            <v>女</v>
          </cell>
          <cell r="F187" t="str">
            <v>450922200006190923</v>
          </cell>
          <cell r="G187" t="str">
            <v>直工</v>
          </cell>
          <cell r="H187" t="str">
            <v>五金三楼</v>
          </cell>
          <cell r="I187" t="str">
            <v>作业员</v>
          </cell>
          <cell r="J187">
            <v>43637</v>
          </cell>
          <cell r="M187">
            <v>21</v>
          </cell>
          <cell r="N187">
            <v>18.5</v>
          </cell>
          <cell r="O187">
            <v>73</v>
          </cell>
          <cell r="P187">
            <v>101.5</v>
          </cell>
          <cell r="S187">
            <v>1950</v>
          </cell>
          <cell r="T187">
            <v>1720</v>
          </cell>
          <cell r="U187">
            <v>1515</v>
          </cell>
          <cell r="V187">
            <v>150</v>
          </cell>
          <cell r="W187">
            <v>132</v>
          </cell>
          <cell r="Z187">
            <v>14.83</v>
          </cell>
          <cell r="AA187">
            <v>1083</v>
          </cell>
          <cell r="AB187">
            <v>19.77</v>
          </cell>
          <cell r="AC187">
            <v>2007</v>
          </cell>
          <cell r="AI187">
            <v>0</v>
          </cell>
          <cell r="AK187">
            <v>4737</v>
          </cell>
          <cell r="AL187">
            <v>0</v>
          </cell>
          <cell r="AN187">
            <v>10983</v>
          </cell>
          <cell r="AO187">
            <v>20000</v>
          </cell>
          <cell r="AP187">
            <v>0</v>
          </cell>
          <cell r="AQ187">
            <v>0</v>
          </cell>
          <cell r="AR187">
            <v>0</v>
          </cell>
          <cell r="AU187">
            <v>0</v>
          </cell>
          <cell r="AV187">
            <v>15920</v>
          </cell>
          <cell r="AW187">
            <v>25000</v>
          </cell>
          <cell r="AX187">
            <v>-9080</v>
          </cell>
          <cell r="AY187">
            <v>0</v>
          </cell>
          <cell r="AZ187">
            <v>0</v>
          </cell>
          <cell r="BA187">
            <v>0</v>
          </cell>
          <cell r="BB187">
            <v>200</v>
          </cell>
          <cell r="BD187">
            <v>200</v>
          </cell>
          <cell r="BE187">
            <v>4937</v>
          </cell>
          <cell r="BF187">
            <v>4937</v>
          </cell>
          <cell r="BG187">
            <v>0</v>
          </cell>
          <cell r="BI187" t="str">
            <v>6214391880030638699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U187">
            <v>0</v>
          </cell>
        </row>
        <row r="188">
          <cell r="D188" t="str">
            <v>黄清</v>
          </cell>
          <cell r="E188" t="str">
            <v>女</v>
          </cell>
          <cell r="F188" t="str">
            <v>450922200206050925</v>
          </cell>
          <cell r="G188" t="str">
            <v>直工</v>
          </cell>
          <cell r="H188" t="str">
            <v>五金三楼</v>
          </cell>
          <cell r="I188" t="str">
            <v>作业员</v>
          </cell>
          <cell r="J188">
            <v>43637</v>
          </cell>
          <cell r="M188">
            <v>21</v>
          </cell>
          <cell r="N188">
            <v>18.5</v>
          </cell>
          <cell r="O188">
            <v>68</v>
          </cell>
          <cell r="P188">
            <v>101.5</v>
          </cell>
          <cell r="S188">
            <v>1950</v>
          </cell>
          <cell r="T188">
            <v>1720</v>
          </cell>
          <cell r="U188">
            <v>1515</v>
          </cell>
          <cell r="V188">
            <v>150</v>
          </cell>
          <cell r="W188">
            <v>132</v>
          </cell>
          <cell r="Z188">
            <v>14.83</v>
          </cell>
          <cell r="AA188">
            <v>1008</v>
          </cell>
          <cell r="AB188">
            <v>19.77</v>
          </cell>
          <cell r="AC188">
            <v>2007</v>
          </cell>
          <cell r="AI188">
            <v>0</v>
          </cell>
          <cell r="AK188">
            <v>4662</v>
          </cell>
          <cell r="AL188">
            <v>0</v>
          </cell>
          <cell r="AN188">
            <v>11072</v>
          </cell>
          <cell r="AO188">
            <v>20000</v>
          </cell>
          <cell r="AP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15934</v>
          </cell>
          <cell r="AW188">
            <v>25000</v>
          </cell>
          <cell r="AX188">
            <v>-9066</v>
          </cell>
          <cell r="AY188">
            <v>0</v>
          </cell>
          <cell r="AZ188">
            <v>0</v>
          </cell>
          <cell r="BA188">
            <v>0</v>
          </cell>
          <cell r="BB188">
            <v>200</v>
          </cell>
          <cell r="BD188">
            <v>200</v>
          </cell>
          <cell r="BE188">
            <v>4862</v>
          </cell>
          <cell r="BF188">
            <v>4862</v>
          </cell>
          <cell r="BG188">
            <v>0</v>
          </cell>
          <cell r="BI188" t="str">
            <v>6214391880030638715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U188">
            <v>0</v>
          </cell>
        </row>
        <row r="189">
          <cell r="D189" t="str">
            <v>白顺福</v>
          </cell>
          <cell r="E189" t="str">
            <v>男</v>
          </cell>
          <cell r="F189" t="str">
            <v>532531198902131012</v>
          </cell>
          <cell r="G189" t="str">
            <v>直工</v>
          </cell>
          <cell r="H189" t="str">
            <v>五金三楼</v>
          </cell>
          <cell r="I189" t="str">
            <v>作业员</v>
          </cell>
          <cell r="J189">
            <v>43626</v>
          </cell>
          <cell r="M189">
            <v>21</v>
          </cell>
          <cell r="N189">
            <v>21</v>
          </cell>
          <cell r="O189">
            <v>62</v>
          </cell>
          <cell r="P189">
            <v>86</v>
          </cell>
          <cell r="S189">
            <v>1950</v>
          </cell>
          <cell r="T189">
            <v>1720</v>
          </cell>
          <cell r="U189">
            <v>1720</v>
          </cell>
          <cell r="V189">
            <v>150</v>
          </cell>
          <cell r="W189">
            <v>150</v>
          </cell>
          <cell r="Z189">
            <v>14.83</v>
          </cell>
          <cell r="AA189">
            <v>919</v>
          </cell>
          <cell r="AB189">
            <v>19.77</v>
          </cell>
          <cell r="AC189">
            <v>1700</v>
          </cell>
          <cell r="AG189">
            <v>80</v>
          </cell>
          <cell r="AI189">
            <v>0</v>
          </cell>
          <cell r="AK189">
            <v>4569</v>
          </cell>
          <cell r="AL189">
            <v>0</v>
          </cell>
          <cell r="AN189">
            <v>11145</v>
          </cell>
          <cell r="AO189">
            <v>20000</v>
          </cell>
          <cell r="AP189">
            <v>0</v>
          </cell>
          <cell r="AQ189">
            <v>0</v>
          </cell>
          <cell r="AR189">
            <v>0</v>
          </cell>
          <cell r="AU189">
            <v>0</v>
          </cell>
          <cell r="AV189">
            <v>15728.83</v>
          </cell>
          <cell r="AW189">
            <v>25000</v>
          </cell>
          <cell r="AX189">
            <v>-9271.17</v>
          </cell>
          <cell r="AY189">
            <v>0</v>
          </cell>
          <cell r="AZ189">
            <v>0</v>
          </cell>
          <cell r="BA189">
            <v>0</v>
          </cell>
          <cell r="BB189">
            <v>14.83</v>
          </cell>
          <cell r="BD189">
            <v>15</v>
          </cell>
          <cell r="BE189">
            <v>4584</v>
          </cell>
          <cell r="BF189">
            <v>4584</v>
          </cell>
          <cell r="BG189">
            <v>0</v>
          </cell>
          <cell r="BI189" t="str">
            <v>621 4391 8800 3274 2309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U189">
            <v>0</v>
          </cell>
        </row>
        <row r="190">
          <cell r="D190" t="str">
            <v>蔡石间</v>
          </cell>
          <cell r="E190" t="str">
            <v>女</v>
          </cell>
          <cell r="F190" t="str">
            <v>450422200109131945</v>
          </cell>
          <cell r="G190" t="str">
            <v>直工</v>
          </cell>
          <cell r="H190" t="str">
            <v>五金三楼</v>
          </cell>
          <cell r="I190" t="str">
            <v>作业员</v>
          </cell>
          <cell r="J190">
            <v>43627</v>
          </cell>
          <cell r="M190">
            <v>21</v>
          </cell>
          <cell r="N190">
            <v>19.5</v>
          </cell>
          <cell r="O190">
            <v>67.5</v>
          </cell>
          <cell r="P190">
            <v>100.5</v>
          </cell>
          <cell r="S190">
            <v>1950</v>
          </cell>
          <cell r="T190">
            <v>1720</v>
          </cell>
          <cell r="U190">
            <v>1597</v>
          </cell>
          <cell r="V190">
            <v>150</v>
          </cell>
          <cell r="W190">
            <v>139</v>
          </cell>
          <cell r="Z190">
            <v>14.83</v>
          </cell>
          <cell r="AA190">
            <v>1001</v>
          </cell>
          <cell r="AB190">
            <v>19.77</v>
          </cell>
          <cell r="AC190">
            <v>1987</v>
          </cell>
          <cell r="AG190">
            <v>80</v>
          </cell>
          <cell r="AI190">
            <v>0</v>
          </cell>
          <cell r="AK190">
            <v>4804</v>
          </cell>
          <cell r="AL190">
            <v>0</v>
          </cell>
          <cell r="AN190">
            <v>10255</v>
          </cell>
          <cell r="AO190">
            <v>20000</v>
          </cell>
          <cell r="AP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15259</v>
          </cell>
          <cell r="AW190">
            <v>25000</v>
          </cell>
          <cell r="AX190">
            <v>-9741</v>
          </cell>
          <cell r="AY190">
            <v>0</v>
          </cell>
          <cell r="AZ190">
            <v>0</v>
          </cell>
          <cell r="BA190">
            <v>0</v>
          </cell>
          <cell r="BB190">
            <v>200</v>
          </cell>
          <cell r="BD190">
            <v>200</v>
          </cell>
          <cell r="BE190">
            <v>5004</v>
          </cell>
          <cell r="BF190">
            <v>5004</v>
          </cell>
          <cell r="BG190">
            <v>0</v>
          </cell>
          <cell r="BI190" t="str">
            <v>6214391880030773504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U190">
            <v>0</v>
          </cell>
        </row>
        <row r="191">
          <cell r="D191" t="str">
            <v>李赞</v>
          </cell>
          <cell r="E191" t="str">
            <v>男</v>
          </cell>
          <cell r="F191" t="str">
            <v>513002199705019331</v>
          </cell>
          <cell r="G191" t="str">
            <v>直工</v>
          </cell>
          <cell r="H191" t="str">
            <v>五金三楼</v>
          </cell>
          <cell r="I191" t="str">
            <v>作业员</v>
          </cell>
          <cell r="J191">
            <v>43627</v>
          </cell>
          <cell r="M191">
            <v>21</v>
          </cell>
          <cell r="N191">
            <v>18.9</v>
          </cell>
          <cell r="O191">
            <v>65</v>
          </cell>
          <cell r="P191">
            <v>85</v>
          </cell>
          <cell r="S191">
            <v>1950</v>
          </cell>
          <cell r="T191">
            <v>1720</v>
          </cell>
          <cell r="U191">
            <v>1548</v>
          </cell>
          <cell r="V191">
            <v>150</v>
          </cell>
          <cell r="W191">
            <v>135</v>
          </cell>
          <cell r="Z191">
            <v>14.83</v>
          </cell>
          <cell r="AA191">
            <v>964</v>
          </cell>
          <cell r="AB191">
            <v>19.77</v>
          </cell>
          <cell r="AC191">
            <v>1680</v>
          </cell>
          <cell r="AG191">
            <v>40</v>
          </cell>
          <cell r="AI191">
            <v>0</v>
          </cell>
          <cell r="AK191">
            <v>4367</v>
          </cell>
          <cell r="AL191">
            <v>0</v>
          </cell>
          <cell r="AN191">
            <v>10213.55</v>
          </cell>
          <cell r="AO191">
            <v>20000</v>
          </cell>
          <cell r="AP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14379.67</v>
          </cell>
          <cell r="AW191">
            <v>25000</v>
          </cell>
          <cell r="AX191">
            <v>-10620.33</v>
          </cell>
          <cell r="AY191">
            <v>0</v>
          </cell>
          <cell r="AZ191">
            <v>0</v>
          </cell>
          <cell r="BA191">
            <v>-100.88</v>
          </cell>
          <cell r="BB191">
            <v>-100</v>
          </cell>
          <cell r="BD191">
            <v>-201</v>
          </cell>
          <cell r="BE191">
            <v>4166</v>
          </cell>
          <cell r="BF191">
            <v>4166</v>
          </cell>
          <cell r="BG191">
            <v>0</v>
          </cell>
          <cell r="BI191" t="str">
            <v>621 4391 8800 3036 3587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U191">
            <v>0</v>
          </cell>
        </row>
        <row r="192">
          <cell r="D192" t="str">
            <v>何春叶</v>
          </cell>
          <cell r="E192" t="str">
            <v>女</v>
          </cell>
          <cell r="F192" t="str">
            <v>452126198305180323</v>
          </cell>
          <cell r="G192" t="str">
            <v>直工</v>
          </cell>
          <cell r="H192" t="str">
            <v>五金三楼</v>
          </cell>
          <cell r="I192" t="str">
            <v>作业员</v>
          </cell>
          <cell r="J192">
            <v>43629</v>
          </cell>
          <cell r="M192">
            <v>21</v>
          </cell>
          <cell r="N192">
            <v>19.5</v>
          </cell>
          <cell r="O192">
            <v>77.5</v>
          </cell>
          <cell r="P192">
            <v>100.5</v>
          </cell>
          <cell r="S192">
            <v>1950</v>
          </cell>
          <cell r="T192">
            <v>1720</v>
          </cell>
          <cell r="U192">
            <v>1597</v>
          </cell>
          <cell r="V192">
            <v>150</v>
          </cell>
          <cell r="W192">
            <v>139</v>
          </cell>
          <cell r="Z192">
            <v>14.83</v>
          </cell>
          <cell r="AA192">
            <v>1149</v>
          </cell>
          <cell r="AB192">
            <v>19.77</v>
          </cell>
          <cell r="AC192">
            <v>1987</v>
          </cell>
          <cell r="AG192">
            <v>80</v>
          </cell>
          <cell r="AI192">
            <v>0</v>
          </cell>
          <cell r="AK192">
            <v>4952</v>
          </cell>
          <cell r="AL192">
            <v>0</v>
          </cell>
          <cell r="AN192">
            <v>11527.8</v>
          </cell>
          <cell r="AO192">
            <v>20000</v>
          </cell>
          <cell r="AP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16479.8</v>
          </cell>
          <cell r="AW192">
            <v>25000</v>
          </cell>
          <cell r="AX192">
            <v>-8520.2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D192">
            <v>0</v>
          </cell>
          <cell r="BE192">
            <v>4952</v>
          </cell>
          <cell r="BF192">
            <v>4952</v>
          </cell>
          <cell r="BG192">
            <v>0</v>
          </cell>
          <cell r="BI192" t="str">
            <v>6214391880018592090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U192">
            <v>0</v>
          </cell>
        </row>
        <row r="193">
          <cell r="D193" t="str">
            <v>罗成德</v>
          </cell>
          <cell r="E193" t="str">
            <v>男</v>
          </cell>
          <cell r="F193" t="str">
            <v>522731199401089411</v>
          </cell>
          <cell r="G193" t="str">
            <v>直工</v>
          </cell>
          <cell r="H193" t="str">
            <v>五金三楼</v>
          </cell>
          <cell r="I193" t="str">
            <v>作业员</v>
          </cell>
          <cell r="J193">
            <v>43621</v>
          </cell>
          <cell r="M193">
            <v>21</v>
          </cell>
          <cell r="N193">
            <v>17.6</v>
          </cell>
          <cell r="O193">
            <v>67</v>
          </cell>
          <cell r="P193">
            <v>85</v>
          </cell>
          <cell r="S193">
            <v>1950</v>
          </cell>
          <cell r="T193">
            <v>1720</v>
          </cell>
          <cell r="U193">
            <v>1442</v>
          </cell>
          <cell r="V193">
            <v>150</v>
          </cell>
          <cell r="W193">
            <v>126</v>
          </cell>
          <cell r="Z193">
            <v>14.83</v>
          </cell>
          <cell r="AA193">
            <v>994</v>
          </cell>
          <cell r="AB193">
            <v>19.77</v>
          </cell>
          <cell r="AC193">
            <v>1680</v>
          </cell>
          <cell r="AI193">
            <v>0</v>
          </cell>
          <cell r="AK193">
            <v>4242</v>
          </cell>
          <cell r="AL193">
            <v>0</v>
          </cell>
          <cell r="AN193">
            <v>11799.1862068965</v>
          </cell>
          <cell r="AO193">
            <v>20000</v>
          </cell>
          <cell r="AP193">
            <v>0</v>
          </cell>
          <cell r="AQ193">
            <v>0</v>
          </cell>
          <cell r="AR193">
            <v>0</v>
          </cell>
          <cell r="AU193">
            <v>0</v>
          </cell>
          <cell r="AV193">
            <v>15896.2662068965</v>
          </cell>
          <cell r="AW193">
            <v>25000</v>
          </cell>
          <cell r="AX193">
            <v>-9103.7337931035</v>
          </cell>
          <cell r="AY193">
            <v>0</v>
          </cell>
          <cell r="AZ193">
            <v>0</v>
          </cell>
          <cell r="BA193">
            <v>-144.92</v>
          </cell>
          <cell r="BB193">
            <v>0</v>
          </cell>
          <cell r="BD193">
            <v>-145</v>
          </cell>
          <cell r="BE193">
            <v>4097</v>
          </cell>
          <cell r="BF193">
            <v>4097</v>
          </cell>
          <cell r="BG193">
            <v>0</v>
          </cell>
          <cell r="BI193" t="str">
            <v>621 4391 8800 3036 3629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U193">
            <v>0</v>
          </cell>
        </row>
        <row r="194">
          <cell r="D194" t="str">
            <v>罗田保</v>
          </cell>
          <cell r="E194" t="str">
            <v>男</v>
          </cell>
          <cell r="F194" t="str">
            <v>522731200108166313</v>
          </cell>
          <cell r="G194" t="str">
            <v>直工</v>
          </cell>
          <cell r="H194" t="str">
            <v>五金三楼</v>
          </cell>
          <cell r="I194" t="str">
            <v>作业员</v>
          </cell>
          <cell r="J194">
            <v>43621</v>
          </cell>
          <cell r="M194">
            <v>21</v>
          </cell>
          <cell r="N194">
            <v>17.5</v>
          </cell>
          <cell r="O194">
            <v>53</v>
          </cell>
          <cell r="P194">
            <v>70.5</v>
          </cell>
          <cell r="S194">
            <v>1950</v>
          </cell>
          <cell r="T194">
            <v>1720</v>
          </cell>
          <cell r="U194">
            <v>1433</v>
          </cell>
          <cell r="V194">
            <v>150</v>
          </cell>
          <cell r="W194">
            <v>125</v>
          </cell>
          <cell r="Z194">
            <v>14.83</v>
          </cell>
          <cell r="AA194">
            <v>786</v>
          </cell>
          <cell r="AB194">
            <v>19.77</v>
          </cell>
          <cell r="AC194">
            <v>1394</v>
          </cell>
          <cell r="AI194">
            <v>0</v>
          </cell>
          <cell r="AK194">
            <v>3738</v>
          </cell>
          <cell r="AL194">
            <v>0</v>
          </cell>
          <cell r="AN194">
            <v>10752.19</v>
          </cell>
          <cell r="AO194">
            <v>20000</v>
          </cell>
          <cell r="AP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14535.27</v>
          </cell>
          <cell r="AW194">
            <v>25000</v>
          </cell>
          <cell r="AX194">
            <v>-10464.73</v>
          </cell>
          <cell r="AY194">
            <v>0</v>
          </cell>
          <cell r="AZ194">
            <v>0</v>
          </cell>
          <cell r="BA194">
            <v>-144.92</v>
          </cell>
          <cell r="BB194">
            <v>190</v>
          </cell>
          <cell r="BD194">
            <v>45</v>
          </cell>
          <cell r="BE194">
            <v>3783</v>
          </cell>
          <cell r="BF194">
            <v>3783</v>
          </cell>
          <cell r="BG194">
            <v>0</v>
          </cell>
          <cell r="BI194" t="str">
            <v>621 4391 8800 3036 3611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U194">
            <v>0</v>
          </cell>
        </row>
        <row r="195">
          <cell r="D195" t="str">
            <v>罗海戈</v>
          </cell>
          <cell r="E195" t="str">
            <v>男</v>
          </cell>
          <cell r="F195" t="str">
            <v>522731199406276339</v>
          </cell>
          <cell r="G195" t="str">
            <v>直工</v>
          </cell>
          <cell r="H195" t="str">
            <v>五金三楼</v>
          </cell>
          <cell r="I195" t="str">
            <v>作业员</v>
          </cell>
          <cell r="J195">
            <v>43621</v>
          </cell>
          <cell r="M195">
            <v>21</v>
          </cell>
          <cell r="N195">
            <v>19.5</v>
          </cell>
          <cell r="O195">
            <v>67.5</v>
          </cell>
          <cell r="P195">
            <v>88.5</v>
          </cell>
          <cell r="S195">
            <v>1950</v>
          </cell>
          <cell r="T195">
            <v>1720</v>
          </cell>
          <cell r="U195">
            <v>1597</v>
          </cell>
          <cell r="V195">
            <v>150</v>
          </cell>
          <cell r="W195">
            <v>139</v>
          </cell>
          <cell r="Z195">
            <v>14.83</v>
          </cell>
          <cell r="AA195">
            <v>1001</v>
          </cell>
          <cell r="AB195">
            <v>19.77</v>
          </cell>
          <cell r="AC195">
            <v>1750</v>
          </cell>
          <cell r="AG195">
            <v>80</v>
          </cell>
          <cell r="AI195">
            <v>0</v>
          </cell>
          <cell r="AK195">
            <v>4567</v>
          </cell>
          <cell r="AL195">
            <v>0</v>
          </cell>
          <cell r="AN195">
            <v>12312.19</v>
          </cell>
          <cell r="AO195">
            <v>20000</v>
          </cell>
          <cell r="AP195">
            <v>0</v>
          </cell>
          <cell r="AQ195">
            <v>0</v>
          </cell>
          <cell r="AR195">
            <v>0</v>
          </cell>
          <cell r="AU195">
            <v>0</v>
          </cell>
          <cell r="AV195">
            <v>16764.27</v>
          </cell>
          <cell r="AW195">
            <v>25000</v>
          </cell>
          <cell r="AX195">
            <v>-8235.73</v>
          </cell>
          <cell r="AY195">
            <v>0</v>
          </cell>
          <cell r="AZ195">
            <v>0</v>
          </cell>
          <cell r="BA195">
            <v>-114.92</v>
          </cell>
          <cell r="BB195">
            <v>0</v>
          </cell>
          <cell r="BD195">
            <v>-115</v>
          </cell>
          <cell r="BE195">
            <v>4452</v>
          </cell>
          <cell r="BF195">
            <v>4452</v>
          </cell>
          <cell r="BG195">
            <v>0</v>
          </cell>
          <cell r="BI195" t="str">
            <v>621 4391 8800 3036 3637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U195">
            <v>0</v>
          </cell>
        </row>
        <row r="196">
          <cell r="D196" t="str">
            <v>谢能宁</v>
          </cell>
          <cell r="E196" t="str">
            <v>男</v>
          </cell>
          <cell r="F196" t="str">
            <v>450721200009200413</v>
          </cell>
          <cell r="G196" t="str">
            <v>直工</v>
          </cell>
          <cell r="H196" t="str">
            <v>五金三楼</v>
          </cell>
          <cell r="M196">
            <v>21</v>
          </cell>
          <cell r="N196">
            <v>17</v>
          </cell>
          <cell r="O196">
            <v>59.5</v>
          </cell>
          <cell r="P196">
            <v>88</v>
          </cell>
          <cell r="S196">
            <v>1950</v>
          </cell>
          <cell r="T196">
            <v>1720</v>
          </cell>
          <cell r="U196">
            <v>1392</v>
          </cell>
          <cell r="V196">
            <v>150</v>
          </cell>
          <cell r="W196">
            <v>121</v>
          </cell>
          <cell r="Z196">
            <v>14.83</v>
          </cell>
          <cell r="AA196">
            <v>882</v>
          </cell>
          <cell r="AB196">
            <v>19.77</v>
          </cell>
          <cell r="AC196">
            <v>1740</v>
          </cell>
          <cell r="AI196">
            <v>0</v>
          </cell>
          <cell r="AK196">
            <v>4135</v>
          </cell>
          <cell r="AL196">
            <v>0</v>
          </cell>
          <cell r="AN196">
            <v>7037.02926829268</v>
          </cell>
          <cell r="AO196">
            <v>10000</v>
          </cell>
          <cell r="AP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11289.0192682927</v>
          </cell>
          <cell r="AW196">
            <v>15000</v>
          </cell>
          <cell r="AX196">
            <v>-3710.98073170732</v>
          </cell>
          <cell r="AY196">
            <v>0</v>
          </cell>
          <cell r="AZ196">
            <v>0</v>
          </cell>
          <cell r="BA196">
            <v>-83.01</v>
          </cell>
          <cell r="BB196">
            <v>200</v>
          </cell>
          <cell r="BD196">
            <v>117</v>
          </cell>
          <cell r="BE196">
            <v>4252</v>
          </cell>
          <cell r="BF196">
            <v>4252</v>
          </cell>
          <cell r="BG196">
            <v>0</v>
          </cell>
          <cell r="BI196" t="str">
            <v>6214391880026642630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U196">
            <v>0</v>
          </cell>
        </row>
        <row r="197">
          <cell r="D197" t="str">
            <v>贺曼青</v>
          </cell>
          <cell r="E197" t="str">
            <v>女</v>
          </cell>
          <cell r="F197" t="str">
            <v>430419197309110907</v>
          </cell>
          <cell r="G197" t="str">
            <v>直工</v>
          </cell>
          <cell r="H197" t="str">
            <v>五金三楼</v>
          </cell>
          <cell r="M197">
            <v>21</v>
          </cell>
          <cell r="N197">
            <v>19.5</v>
          </cell>
          <cell r="O197">
            <v>69.5</v>
          </cell>
          <cell r="P197">
            <v>103</v>
          </cell>
          <cell r="S197">
            <v>1950</v>
          </cell>
          <cell r="T197">
            <v>1720</v>
          </cell>
          <cell r="U197">
            <v>1597</v>
          </cell>
          <cell r="V197">
            <v>150</v>
          </cell>
          <cell r="W197">
            <v>139</v>
          </cell>
          <cell r="Z197">
            <v>14.83</v>
          </cell>
          <cell r="AA197">
            <v>1031</v>
          </cell>
          <cell r="AB197">
            <v>19.77</v>
          </cell>
          <cell r="AC197">
            <v>2036</v>
          </cell>
          <cell r="AG197">
            <v>80</v>
          </cell>
          <cell r="AI197">
            <v>0</v>
          </cell>
          <cell r="AK197">
            <v>4883</v>
          </cell>
          <cell r="AL197">
            <v>0</v>
          </cell>
          <cell r="AN197">
            <v>7132</v>
          </cell>
          <cell r="AO197">
            <v>10000</v>
          </cell>
          <cell r="AP197">
            <v>0</v>
          </cell>
          <cell r="AQ197">
            <v>0</v>
          </cell>
          <cell r="AR197">
            <v>0</v>
          </cell>
          <cell r="AU197">
            <v>0</v>
          </cell>
          <cell r="AV197">
            <v>12015</v>
          </cell>
          <cell r="AW197">
            <v>15000</v>
          </cell>
          <cell r="AX197">
            <v>-2985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D197">
            <v>0</v>
          </cell>
          <cell r="BE197">
            <v>4883</v>
          </cell>
          <cell r="BF197">
            <v>4883</v>
          </cell>
          <cell r="BG197">
            <v>0</v>
          </cell>
          <cell r="BI197" t="str">
            <v>621 4391 8800 3274 2267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U197">
            <v>0</v>
          </cell>
        </row>
        <row r="198">
          <cell r="D198" t="str">
            <v>粟发军</v>
          </cell>
          <cell r="E198" t="str">
            <v>男</v>
          </cell>
          <cell r="F198" t="str">
            <v>450821200008040839</v>
          </cell>
          <cell r="G198" t="str">
            <v>直工</v>
          </cell>
          <cell r="H198" t="str">
            <v>五金三楼</v>
          </cell>
          <cell r="M198">
            <v>21</v>
          </cell>
          <cell r="N198">
            <v>16</v>
          </cell>
          <cell r="O198">
            <v>43.5</v>
          </cell>
          <cell r="P198">
            <v>78.5</v>
          </cell>
          <cell r="S198">
            <v>1950</v>
          </cell>
          <cell r="T198">
            <v>1720</v>
          </cell>
          <cell r="U198">
            <v>1310</v>
          </cell>
          <cell r="V198">
            <v>150</v>
          </cell>
          <cell r="W198">
            <v>114</v>
          </cell>
          <cell r="Z198">
            <v>14.83</v>
          </cell>
          <cell r="AA198">
            <v>645</v>
          </cell>
          <cell r="AB198">
            <v>19.77</v>
          </cell>
          <cell r="AC198">
            <v>1552</v>
          </cell>
          <cell r="AI198">
            <v>0</v>
          </cell>
          <cell r="AK198">
            <v>3621</v>
          </cell>
          <cell r="AL198">
            <v>0</v>
          </cell>
          <cell r="AN198">
            <v>6955.49</v>
          </cell>
          <cell r="AO198">
            <v>10000</v>
          </cell>
          <cell r="AP198">
            <v>0</v>
          </cell>
          <cell r="AQ198">
            <v>0</v>
          </cell>
          <cell r="AR198">
            <v>0</v>
          </cell>
          <cell r="AU198">
            <v>0</v>
          </cell>
          <cell r="AV198">
            <v>10422.49</v>
          </cell>
          <cell r="AW198">
            <v>15000</v>
          </cell>
          <cell r="AX198">
            <v>-4577.51</v>
          </cell>
          <cell r="AY198">
            <v>0</v>
          </cell>
          <cell r="AZ198">
            <v>0</v>
          </cell>
          <cell r="BA198">
            <v>-154</v>
          </cell>
          <cell r="BB198">
            <v>0</v>
          </cell>
          <cell r="BD198">
            <v>-154</v>
          </cell>
          <cell r="BE198">
            <v>3467</v>
          </cell>
          <cell r="BF198">
            <v>3467</v>
          </cell>
          <cell r="BG198">
            <v>0</v>
          </cell>
          <cell r="BI198" t="str">
            <v>621 4391 8800 3274 2788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U198">
            <v>0</v>
          </cell>
        </row>
        <row r="199">
          <cell r="D199" t="str">
            <v>梁广彬</v>
          </cell>
          <cell r="E199" t="str">
            <v>男</v>
          </cell>
          <cell r="F199" t="str">
            <v>450922199211181238</v>
          </cell>
          <cell r="G199" t="str">
            <v>直工</v>
          </cell>
          <cell r="H199" t="str">
            <v>五金三楼</v>
          </cell>
          <cell r="M199">
            <v>21</v>
          </cell>
          <cell r="N199">
            <v>15.5</v>
          </cell>
          <cell r="O199">
            <v>60.5</v>
          </cell>
          <cell r="P199">
            <v>94</v>
          </cell>
          <cell r="S199">
            <v>1950</v>
          </cell>
          <cell r="T199">
            <v>1720</v>
          </cell>
          <cell r="U199">
            <v>1270</v>
          </cell>
          <cell r="V199">
            <v>150</v>
          </cell>
          <cell r="W199">
            <v>111</v>
          </cell>
          <cell r="Z199">
            <v>14.83</v>
          </cell>
          <cell r="AA199">
            <v>897</v>
          </cell>
          <cell r="AB199">
            <v>19.77</v>
          </cell>
          <cell r="AC199">
            <v>1858</v>
          </cell>
          <cell r="AI199">
            <v>0</v>
          </cell>
          <cell r="AK199">
            <v>4136</v>
          </cell>
          <cell r="AL199">
            <v>0</v>
          </cell>
          <cell r="AN199">
            <v>6448</v>
          </cell>
          <cell r="AO199">
            <v>10000</v>
          </cell>
          <cell r="AP199">
            <v>0</v>
          </cell>
          <cell r="AQ199">
            <v>0</v>
          </cell>
          <cell r="AR199">
            <v>0</v>
          </cell>
          <cell r="AU199">
            <v>0</v>
          </cell>
          <cell r="AV199">
            <v>10584</v>
          </cell>
          <cell r="AW199">
            <v>15000</v>
          </cell>
          <cell r="AX199">
            <v>-4416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D199">
            <v>0</v>
          </cell>
          <cell r="BE199">
            <v>4136</v>
          </cell>
          <cell r="BF199">
            <v>4136</v>
          </cell>
          <cell r="BG199">
            <v>0</v>
          </cell>
          <cell r="BI199" t="str">
            <v>6214391880031699336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U199">
            <v>0</v>
          </cell>
        </row>
        <row r="200">
          <cell r="D200" t="str">
            <v>韦锦云</v>
          </cell>
          <cell r="E200" t="str">
            <v>女</v>
          </cell>
          <cell r="F200" t="str">
            <v>452632199908201022</v>
          </cell>
          <cell r="G200" t="str">
            <v>直工</v>
          </cell>
          <cell r="H200" t="str">
            <v>五金三楼</v>
          </cell>
          <cell r="M200">
            <v>21</v>
          </cell>
          <cell r="N200">
            <v>17.1</v>
          </cell>
          <cell r="O200">
            <v>64.5</v>
          </cell>
          <cell r="P200">
            <v>100.5</v>
          </cell>
          <cell r="S200">
            <v>1950</v>
          </cell>
          <cell r="T200">
            <v>1720</v>
          </cell>
          <cell r="U200">
            <v>1401</v>
          </cell>
          <cell r="V200">
            <v>150</v>
          </cell>
          <cell r="W200">
            <v>122</v>
          </cell>
          <cell r="Z200">
            <v>14.83</v>
          </cell>
          <cell r="AA200">
            <v>957</v>
          </cell>
          <cell r="AB200">
            <v>19.77</v>
          </cell>
          <cell r="AC200">
            <v>1987</v>
          </cell>
          <cell r="AI200">
            <v>0</v>
          </cell>
          <cell r="AK200">
            <v>4467</v>
          </cell>
          <cell r="AL200">
            <v>0</v>
          </cell>
          <cell r="AN200">
            <v>5761</v>
          </cell>
          <cell r="AO200">
            <v>10000</v>
          </cell>
          <cell r="AP200">
            <v>0</v>
          </cell>
          <cell r="AQ200">
            <v>0</v>
          </cell>
          <cell r="AR200">
            <v>0</v>
          </cell>
          <cell r="AU200">
            <v>0</v>
          </cell>
          <cell r="AV200">
            <v>10228</v>
          </cell>
          <cell r="AW200">
            <v>15000</v>
          </cell>
          <cell r="AX200">
            <v>-4772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D200">
            <v>0</v>
          </cell>
          <cell r="BE200">
            <v>4467</v>
          </cell>
          <cell r="BF200">
            <v>4467</v>
          </cell>
          <cell r="BG200">
            <v>0</v>
          </cell>
          <cell r="BI200" t="str">
            <v>621 4391 8800 3274 2242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U200">
            <v>0</v>
          </cell>
        </row>
        <row r="201">
          <cell r="D201" t="str">
            <v>李海玲</v>
          </cell>
          <cell r="E201" t="str">
            <v>女</v>
          </cell>
          <cell r="F201" t="str">
            <v>430526197710105521</v>
          </cell>
          <cell r="G201" t="str">
            <v>直工</v>
          </cell>
          <cell r="H201" t="str">
            <v>五金三楼</v>
          </cell>
          <cell r="M201">
            <v>21</v>
          </cell>
          <cell r="N201">
            <v>19.5</v>
          </cell>
          <cell r="O201">
            <v>77.5</v>
          </cell>
          <cell r="P201">
            <v>100.5</v>
          </cell>
          <cell r="S201">
            <v>1950</v>
          </cell>
          <cell r="T201">
            <v>1720</v>
          </cell>
          <cell r="U201">
            <v>1597</v>
          </cell>
          <cell r="V201">
            <v>150</v>
          </cell>
          <cell r="W201">
            <v>139</v>
          </cell>
          <cell r="Z201">
            <v>14.83</v>
          </cell>
          <cell r="AA201">
            <v>1149</v>
          </cell>
          <cell r="AB201">
            <v>19.77</v>
          </cell>
          <cell r="AC201">
            <v>1987</v>
          </cell>
          <cell r="AG201">
            <v>80</v>
          </cell>
          <cell r="AI201">
            <v>0</v>
          </cell>
          <cell r="AK201">
            <v>4952</v>
          </cell>
          <cell r="AL201">
            <v>0</v>
          </cell>
          <cell r="AN201">
            <v>8474.8</v>
          </cell>
          <cell r="AO201">
            <v>10000</v>
          </cell>
          <cell r="AP201">
            <v>0</v>
          </cell>
          <cell r="AQ201">
            <v>0</v>
          </cell>
          <cell r="AR201">
            <v>0</v>
          </cell>
          <cell r="AU201">
            <v>0</v>
          </cell>
          <cell r="AV201">
            <v>13426.8</v>
          </cell>
          <cell r="AW201">
            <v>15000</v>
          </cell>
          <cell r="AX201">
            <v>-1573.2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D201">
            <v>0</v>
          </cell>
          <cell r="BE201">
            <v>4952</v>
          </cell>
          <cell r="BF201">
            <v>4952</v>
          </cell>
          <cell r="BG201">
            <v>0</v>
          </cell>
          <cell r="BI201" t="str">
            <v>6214391880030995495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U201">
            <v>0</v>
          </cell>
        </row>
        <row r="202">
          <cell r="D202" t="str">
            <v>梁秀锋</v>
          </cell>
          <cell r="E202" t="str">
            <v>男</v>
          </cell>
          <cell r="F202" t="str">
            <v>450922199010091295</v>
          </cell>
          <cell r="G202" t="str">
            <v>直工</v>
          </cell>
          <cell r="H202" t="str">
            <v>五金三楼</v>
          </cell>
          <cell r="M202">
            <v>21</v>
          </cell>
          <cell r="N202">
            <v>14</v>
          </cell>
          <cell r="O202">
            <v>36</v>
          </cell>
          <cell r="P202">
            <v>71.5</v>
          </cell>
          <cell r="S202">
            <v>1950</v>
          </cell>
          <cell r="T202">
            <v>1720</v>
          </cell>
          <cell r="U202">
            <v>1147</v>
          </cell>
          <cell r="V202">
            <v>150</v>
          </cell>
          <cell r="W202">
            <v>100</v>
          </cell>
          <cell r="Z202">
            <v>14.83</v>
          </cell>
          <cell r="AA202">
            <v>534</v>
          </cell>
          <cell r="AB202">
            <v>19.77</v>
          </cell>
          <cell r="AC202">
            <v>1414</v>
          </cell>
          <cell r="AI202">
            <v>0</v>
          </cell>
          <cell r="AK202">
            <v>3195</v>
          </cell>
          <cell r="AL202">
            <v>0</v>
          </cell>
          <cell r="AN202">
            <v>6662</v>
          </cell>
          <cell r="AO202">
            <v>10000</v>
          </cell>
          <cell r="AP202">
            <v>0</v>
          </cell>
          <cell r="AQ202">
            <v>0</v>
          </cell>
          <cell r="AR202">
            <v>0</v>
          </cell>
          <cell r="AU202">
            <v>0</v>
          </cell>
          <cell r="AV202">
            <v>9857</v>
          </cell>
          <cell r="AW202">
            <v>15000</v>
          </cell>
          <cell r="AX202">
            <v>-5143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D202">
            <v>0</v>
          </cell>
          <cell r="BE202">
            <v>3195</v>
          </cell>
          <cell r="BF202">
            <v>3195</v>
          </cell>
          <cell r="BG202">
            <v>0</v>
          </cell>
          <cell r="BI202" t="str">
            <v>6214391880030772795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U202">
            <v>0</v>
          </cell>
        </row>
        <row r="203">
          <cell r="D203" t="str">
            <v>余玉玺</v>
          </cell>
          <cell r="E203" t="str">
            <v>男</v>
          </cell>
          <cell r="F203" t="str">
            <v>511725200101224613</v>
          </cell>
          <cell r="G203" t="str">
            <v>直工</v>
          </cell>
          <cell r="H203" t="str">
            <v>五金三楼</v>
          </cell>
          <cell r="M203">
            <v>21</v>
          </cell>
          <cell r="N203">
            <v>14</v>
          </cell>
          <cell r="O203">
            <v>39.5</v>
          </cell>
          <cell r="P203">
            <v>104.5</v>
          </cell>
          <cell r="S203">
            <v>1950</v>
          </cell>
          <cell r="T203">
            <v>1720</v>
          </cell>
          <cell r="U203">
            <v>1147</v>
          </cell>
          <cell r="V203">
            <v>150</v>
          </cell>
          <cell r="W203">
            <v>100</v>
          </cell>
          <cell r="Z203">
            <v>14.83</v>
          </cell>
          <cell r="AA203">
            <v>586</v>
          </cell>
          <cell r="AB203">
            <v>19.77</v>
          </cell>
          <cell r="AC203">
            <v>2066</v>
          </cell>
          <cell r="AI203">
            <v>0</v>
          </cell>
          <cell r="AK203">
            <v>3899</v>
          </cell>
          <cell r="AL203">
            <v>0</v>
          </cell>
          <cell r="AN203">
            <v>7679.15792682927</v>
          </cell>
          <cell r="AO203">
            <v>10000</v>
          </cell>
          <cell r="AP203">
            <v>0</v>
          </cell>
          <cell r="AQ203">
            <v>0</v>
          </cell>
          <cell r="AR203">
            <v>0</v>
          </cell>
          <cell r="AU203">
            <v>0</v>
          </cell>
          <cell r="AV203">
            <v>11495.1479268293</v>
          </cell>
          <cell r="AW203">
            <v>15000</v>
          </cell>
          <cell r="AX203">
            <v>-3504.85207317073</v>
          </cell>
          <cell r="AY203">
            <v>0</v>
          </cell>
          <cell r="AZ203">
            <v>0</v>
          </cell>
          <cell r="BA203">
            <v>-83.01</v>
          </cell>
          <cell r="BB203">
            <v>0</v>
          </cell>
          <cell r="BD203">
            <v>-83</v>
          </cell>
          <cell r="BE203">
            <v>3816</v>
          </cell>
          <cell r="BF203">
            <v>3816</v>
          </cell>
          <cell r="BG203">
            <v>0</v>
          </cell>
          <cell r="BI203" t="str">
            <v xml:space="preserve">621 4391 8800 3274 2200 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U203">
            <v>0</v>
          </cell>
        </row>
        <row r="204">
          <cell r="D204" t="str">
            <v>潘秋梅</v>
          </cell>
          <cell r="E204" t="str">
            <v>女</v>
          </cell>
          <cell r="F204" t="str">
            <v>452228199308213023</v>
          </cell>
          <cell r="G204" t="str">
            <v>直工</v>
          </cell>
          <cell r="H204" t="str">
            <v>五金三楼</v>
          </cell>
          <cell r="M204">
            <v>21</v>
          </cell>
          <cell r="N204">
            <v>18.8</v>
          </cell>
          <cell r="O204">
            <v>64.5</v>
          </cell>
          <cell r="P204">
            <v>101</v>
          </cell>
          <cell r="S204">
            <v>1950</v>
          </cell>
          <cell r="T204">
            <v>1720</v>
          </cell>
          <cell r="U204">
            <v>1540</v>
          </cell>
          <cell r="V204">
            <v>150</v>
          </cell>
          <cell r="W204">
            <v>134</v>
          </cell>
          <cell r="Z204">
            <v>14.83</v>
          </cell>
          <cell r="AA204">
            <v>957</v>
          </cell>
          <cell r="AB204">
            <v>19.77</v>
          </cell>
          <cell r="AC204">
            <v>1997</v>
          </cell>
          <cell r="AG204">
            <v>40</v>
          </cell>
          <cell r="AI204">
            <v>0</v>
          </cell>
          <cell r="AK204">
            <v>4668</v>
          </cell>
          <cell r="AL204">
            <v>0</v>
          </cell>
          <cell r="AN204">
            <v>5257</v>
          </cell>
          <cell r="AO204">
            <v>10000</v>
          </cell>
          <cell r="AP204">
            <v>0</v>
          </cell>
          <cell r="AQ204">
            <v>0</v>
          </cell>
          <cell r="AR204">
            <v>0</v>
          </cell>
          <cell r="AU204">
            <v>0</v>
          </cell>
          <cell r="AV204">
            <v>10125</v>
          </cell>
          <cell r="AW204">
            <v>15000</v>
          </cell>
          <cell r="AX204">
            <v>-4875</v>
          </cell>
          <cell r="AY204">
            <v>0</v>
          </cell>
          <cell r="AZ204">
            <v>0</v>
          </cell>
          <cell r="BA204">
            <v>0</v>
          </cell>
          <cell r="BB204">
            <v>200</v>
          </cell>
          <cell r="BD204">
            <v>200</v>
          </cell>
          <cell r="BE204">
            <v>4868</v>
          </cell>
          <cell r="BF204">
            <v>4868</v>
          </cell>
          <cell r="BG204">
            <v>0</v>
          </cell>
          <cell r="BI204" t="str">
            <v>621 4391 8800 2326 1350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U204">
            <v>0</v>
          </cell>
        </row>
        <row r="205">
          <cell r="D205" t="str">
            <v>郭斗发</v>
          </cell>
          <cell r="E205" t="str">
            <v>男</v>
          </cell>
          <cell r="F205" t="str">
            <v>532529199801251835</v>
          </cell>
          <cell r="G205" t="str">
            <v>直工</v>
          </cell>
          <cell r="H205" t="str">
            <v>五金三楼</v>
          </cell>
          <cell r="M205">
            <v>21</v>
          </cell>
          <cell r="N205">
            <v>19.5</v>
          </cell>
          <cell r="O205">
            <v>75</v>
          </cell>
          <cell r="P205">
            <v>91.5</v>
          </cell>
          <cell r="S205">
            <v>1950</v>
          </cell>
          <cell r="T205">
            <v>1720</v>
          </cell>
          <cell r="U205">
            <v>1597</v>
          </cell>
          <cell r="V205">
            <v>150</v>
          </cell>
          <cell r="W205">
            <v>139</v>
          </cell>
          <cell r="Z205">
            <v>14.83</v>
          </cell>
          <cell r="AA205">
            <v>1112</v>
          </cell>
          <cell r="AB205">
            <v>19.77</v>
          </cell>
          <cell r="AC205">
            <v>1809</v>
          </cell>
          <cell r="AG205">
            <v>80</v>
          </cell>
          <cell r="AI205">
            <v>0</v>
          </cell>
          <cell r="AK205">
            <v>4737</v>
          </cell>
          <cell r="AL205">
            <v>0</v>
          </cell>
          <cell r="AN205">
            <v>6392</v>
          </cell>
          <cell r="AO205">
            <v>10000</v>
          </cell>
          <cell r="AP205">
            <v>0</v>
          </cell>
          <cell r="AQ205">
            <v>0</v>
          </cell>
          <cell r="AR205">
            <v>0</v>
          </cell>
          <cell r="AU205">
            <v>0</v>
          </cell>
          <cell r="AV205">
            <v>11129</v>
          </cell>
          <cell r="AW205">
            <v>15000</v>
          </cell>
          <cell r="AX205">
            <v>-3871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D205">
            <v>0</v>
          </cell>
          <cell r="BE205">
            <v>4737</v>
          </cell>
          <cell r="BF205">
            <v>4737</v>
          </cell>
          <cell r="BG205">
            <v>0</v>
          </cell>
          <cell r="BI205" t="str">
            <v>6214391880031700100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U205">
            <v>0</v>
          </cell>
        </row>
        <row r="206">
          <cell r="D206" t="str">
            <v>王旭丽</v>
          </cell>
          <cell r="E206" t="str">
            <v>女</v>
          </cell>
          <cell r="F206" t="str">
            <v>452632199803271024</v>
          </cell>
          <cell r="G206" t="str">
            <v>直工</v>
          </cell>
          <cell r="H206" t="str">
            <v>五金三楼</v>
          </cell>
          <cell r="M206">
            <v>21</v>
          </cell>
          <cell r="N206">
            <v>19.5</v>
          </cell>
          <cell r="O206">
            <v>68.5</v>
          </cell>
          <cell r="P206">
            <v>90.5</v>
          </cell>
          <cell r="S206">
            <v>1950</v>
          </cell>
          <cell r="T206">
            <v>1720</v>
          </cell>
          <cell r="U206">
            <v>1597</v>
          </cell>
          <cell r="V206">
            <v>150</v>
          </cell>
          <cell r="W206">
            <v>139</v>
          </cell>
          <cell r="Z206">
            <v>14.83</v>
          </cell>
          <cell r="AA206">
            <v>1016</v>
          </cell>
          <cell r="AB206">
            <v>19.77</v>
          </cell>
          <cell r="AC206">
            <v>1789</v>
          </cell>
          <cell r="AG206">
            <v>80</v>
          </cell>
          <cell r="AI206">
            <v>0</v>
          </cell>
          <cell r="AK206">
            <v>4621</v>
          </cell>
          <cell r="AL206">
            <v>0</v>
          </cell>
          <cell r="AN206">
            <v>5114</v>
          </cell>
          <cell r="AO206">
            <v>10000</v>
          </cell>
          <cell r="AP206">
            <v>0</v>
          </cell>
          <cell r="AQ206">
            <v>0</v>
          </cell>
          <cell r="AR206">
            <v>0</v>
          </cell>
          <cell r="AU206">
            <v>0</v>
          </cell>
          <cell r="AV206">
            <v>9735</v>
          </cell>
          <cell r="AW206">
            <v>15000</v>
          </cell>
          <cell r="AX206">
            <v>-5265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D206">
            <v>0</v>
          </cell>
          <cell r="BE206">
            <v>4621</v>
          </cell>
          <cell r="BF206">
            <v>4621</v>
          </cell>
          <cell r="BG206">
            <v>0</v>
          </cell>
          <cell r="BI206" t="str">
            <v>621 4391 8800 3274 2234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U206">
            <v>0</v>
          </cell>
        </row>
        <row r="207">
          <cell r="D207" t="str">
            <v>谢丽华</v>
          </cell>
          <cell r="E207" t="str">
            <v>女</v>
          </cell>
          <cell r="F207" t="str">
            <v>440182199607171547</v>
          </cell>
          <cell r="G207" t="str">
            <v>直工</v>
          </cell>
          <cell r="H207" t="str">
            <v>五金三楼</v>
          </cell>
          <cell r="M207">
            <v>21</v>
          </cell>
          <cell r="N207">
            <v>18.5</v>
          </cell>
          <cell r="O207">
            <v>62.5</v>
          </cell>
          <cell r="P207">
            <v>81.5</v>
          </cell>
          <cell r="S207">
            <v>1950</v>
          </cell>
          <cell r="T207">
            <v>1720</v>
          </cell>
          <cell r="U207">
            <v>1515</v>
          </cell>
          <cell r="V207">
            <v>150</v>
          </cell>
          <cell r="W207">
            <v>132</v>
          </cell>
          <cell r="Z207">
            <v>14.83</v>
          </cell>
          <cell r="AA207">
            <v>927</v>
          </cell>
          <cell r="AB207">
            <v>19.77</v>
          </cell>
          <cell r="AC207">
            <v>1611</v>
          </cell>
          <cell r="AI207">
            <v>0</v>
          </cell>
          <cell r="AK207">
            <v>4185</v>
          </cell>
          <cell r="AL207">
            <v>0</v>
          </cell>
          <cell r="AN207">
            <v>1469</v>
          </cell>
          <cell r="AO207">
            <v>10000</v>
          </cell>
          <cell r="AP207">
            <v>0</v>
          </cell>
          <cell r="AQ207">
            <v>0</v>
          </cell>
          <cell r="AR207">
            <v>0</v>
          </cell>
          <cell r="AU207">
            <v>0</v>
          </cell>
          <cell r="AV207">
            <v>5644</v>
          </cell>
          <cell r="AW207">
            <v>15000</v>
          </cell>
          <cell r="AX207">
            <v>-9356</v>
          </cell>
          <cell r="AY207">
            <v>0</v>
          </cell>
          <cell r="AZ207">
            <v>0</v>
          </cell>
          <cell r="BA207">
            <v>0</v>
          </cell>
          <cell r="BB207">
            <v>-10</v>
          </cell>
          <cell r="BD207">
            <v>-10</v>
          </cell>
          <cell r="BE207">
            <v>4175</v>
          </cell>
          <cell r="BF207">
            <v>4175</v>
          </cell>
          <cell r="BG207">
            <v>0</v>
          </cell>
          <cell r="BI207" t="str">
            <v>621 4391 8800 3233 0170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U207">
            <v>0</v>
          </cell>
        </row>
        <row r="208">
          <cell r="D208" t="str">
            <v>黄庭明</v>
          </cell>
          <cell r="E208" t="str">
            <v>男</v>
          </cell>
          <cell r="F208" t="str">
            <v>360721199509200818</v>
          </cell>
          <cell r="G208" t="str">
            <v>直工</v>
          </cell>
          <cell r="H208" t="str">
            <v>五金三楼</v>
          </cell>
          <cell r="M208">
            <v>21</v>
          </cell>
          <cell r="N208">
            <v>16.5</v>
          </cell>
          <cell r="O208">
            <v>69.5</v>
          </cell>
          <cell r="P208">
            <v>60.5</v>
          </cell>
          <cell r="S208">
            <v>1950</v>
          </cell>
          <cell r="T208">
            <v>1720</v>
          </cell>
          <cell r="U208">
            <v>1351</v>
          </cell>
          <cell r="V208">
            <v>150</v>
          </cell>
          <cell r="W208">
            <v>118</v>
          </cell>
          <cell r="Z208">
            <v>14.83</v>
          </cell>
          <cell r="AA208">
            <v>1031</v>
          </cell>
          <cell r="AB208">
            <v>19.77</v>
          </cell>
          <cell r="AC208">
            <v>1196</v>
          </cell>
          <cell r="AI208">
            <v>0</v>
          </cell>
          <cell r="AK208">
            <v>3696</v>
          </cell>
          <cell r="AL208">
            <v>0</v>
          </cell>
          <cell r="AN208">
            <v>3089</v>
          </cell>
          <cell r="AO208">
            <v>10000</v>
          </cell>
          <cell r="AP208">
            <v>0</v>
          </cell>
          <cell r="AQ208">
            <v>0</v>
          </cell>
          <cell r="AR208">
            <v>0</v>
          </cell>
          <cell r="AU208">
            <v>0</v>
          </cell>
          <cell r="AV208">
            <v>6785</v>
          </cell>
          <cell r="AW208">
            <v>15000</v>
          </cell>
          <cell r="AX208">
            <v>-8215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D208">
            <v>0</v>
          </cell>
          <cell r="BE208">
            <v>3696</v>
          </cell>
          <cell r="BF208">
            <v>3696</v>
          </cell>
          <cell r="BG208">
            <v>0</v>
          </cell>
          <cell r="BI208" t="str">
            <v>621 4391 8800 3254 0505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U208">
            <v>0</v>
          </cell>
        </row>
        <row r="209">
          <cell r="D209" t="str">
            <v>杨宏剑</v>
          </cell>
          <cell r="E209" t="str">
            <v>男</v>
          </cell>
          <cell r="F209" t="str">
            <v>450328200104121214</v>
          </cell>
          <cell r="G209" t="str">
            <v>直工</v>
          </cell>
          <cell r="H209" t="str">
            <v>五金三楼</v>
          </cell>
          <cell r="M209">
            <v>21</v>
          </cell>
          <cell r="N209">
            <v>19.5</v>
          </cell>
          <cell r="O209">
            <v>77.5</v>
          </cell>
          <cell r="P209">
            <v>99.5</v>
          </cell>
          <cell r="S209">
            <v>1950</v>
          </cell>
          <cell r="T209">
            <v>1720</v>
          </cell>
          <cell r="U209">
            <v>1597</v>
          </cell>
          <cell r="V209">
            <v>150</v>
          </cell>
          <cell r="W209">
            <v>139</v>
          </cell>
          <cell r="Z209">
            <v>14.83</v>
          </cell>
          <cell r="AA209">
            <v>1149</v>
          </cell>
          <cell r="AB209">
            <v>19.77</v>
          </cell>
          <cell r="AC209">
            <v>1967</v>
          </cell>
          <cell r="AG209">
            <v>80</v>
          </cell>
          <cell r="AI209">
            <v>0</v>
          </cell>
          <cell r="AK209">
            <v>4932</v>
          </cell>
          <cell r="AL209">
            <v>0</v>
          </cell>
          <cell r="AN209">
            <v>3933</v>
          </cell>
          <cell r="AO209">
            <v>10000</v>
          </cell>
          <cell r="AP209">
            <v>0</v>
          </cell>
          <cell r="AQ209">
            <v>0</v>
          </cell>
          <cell r="AR209">
            <v>0</v>
          </cell>
          <cell r="AU209">
            <v>0</v>
          </cell>
          <cell r="AV209">
            <v>8865</v>
          </cell>
          <cell r="AW209">
            <v>15000</v>
          </cell>
          <cell r="AX209">
            <v>-6135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D209">
            <v>0</v>
          </cell>
          <cell r="BE209">
            <v>4932</v>
          </cell>
          <cell r="BF209">
            <v>4932</v>
          </cell>
          <cell r="BG209">
            <v>0</v>
          </cell>
          <cell r="BI209" t="str">
            <v>6214391880032107545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U209">
            <v>0</v>
          </cell>
        </row>
        <row r="210">
          <cell r="D210" t="str">
            <v>陆小英</v>
          </cell>
          <cell r="E210" t="str">
            <v>女</v>
          </cell>
          <cell r="F210" t="str">
            <v>45212219831213272X</v>
          </cell>
          <cell r="G210" t="str">
            <v>直工</v>
          </cell>
          <cell r="H210" t="str">
            <v>五金三楼</v>
          </cell>
          <cell r="M210">
            <v>21</v>
          </cell>
          <cell r="N210">
            <v>21</v>
          </cell>
          <cell r="O210">
            <v>73.5</v>
          </cell>
          <cell r="P210">
            <v>82</v>
          </cell>
          <cell r="S210">
            <v>1950</v>
          </cell>
          <cell r="T210">
            <v>1720</v>
          </cell>
          <cell r="U210">
            <v>1720</v>
          </cell>
          <cell r="V210">
            <v>150</v>
          </cell>
          <cell r="W210">
            <v>150</v>
          </cell>
          <cell r="Z210">
            <v>14.83</v>
          </cell>
          <cell r="AA210">
            <v>1090</v>
          </cell>
          <cell r="AB210">
            <v>19.77</v>
          </cell>
          <cell r="AC210">
            <v>1621</v>
          </cell>
          <cell r="AG210">
            <v>80</v>
          </cell>
          <cell r="AI210">
            <v>0</v>
          </cell>
          <cell r="AK210">
            <v>4661</v>
          </cell>
          <cell r="AL210">
            <v>0</v>
          </cell>
          <cell r="AN210">
            <v>3367</v>
          </cell>
          <cell r="AO210">
            <v>10000</v>
          </cell>
          <cell r="AP210">
            <v>0</v>
          </cell>
          <cell r="AQ210">
            <v>0</v>
          </cell>
          <cell r="AR210">
            <v>0</v>
          </cell>
          <cell r="AU210">
            <v>0</v>
          </cell>
          <cell r="AV210">
            <v>7973.08</v>
          </cell>
          <cell r="AW210">
            <v>15000</v>
          </cell>
          <cell r="AX210">
            <v>-7026.92</v>
          </cell>
          <cell r="AY210">
            <v>0</v>
          </cell>
          <cell r="AZ210">
            <v>0</v>
          </cell>
          <cell r="BA210">
            <v>-54.92</v>
          </cell>
          <cell r="BB210">
            <v>0</v>
          </cell>
          <cell r="BD210">
            <v>-55</v>
          </cell>
          <cell r="BE210">
            <v>4606</v>
          </cell>
          <cell r="BF210">
            <v>4606</v>
          </cell>
          <cell r="BG210">
            <v>0</v>
          </cell>
          <cell r="BI210" t="str">
            <v>621 4391 8800 3274 3000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U210">
            <v>0</v>
          </cell>
        </row>
        <row r="211">
          <cell r="D211" t="str">
            <v>雷强</v>
          </cell>
          <cell r="E211" t="str">
            <v>男</v>
          </cell>
          <cell r="F211" t="str">
            <v>513030199507200338</v>
          </cell>
          <cell r="G211" t="str">
            <v>直工</v>
          </cell>
          <cell r="H211" t="str">
            <v>五金三楼</v>
          </cell>
          <cell r="M211">
            <v>21</v>
          </cell>
          <cell r="N211">
            <v>19.5</v>
          </cell>
          <cell r="O211">
            <v>68.5</v>
          </cell>
          <cell r="P211">
            <v>89</v>
          </cell>
          <cell r="S211">
            <v>1950</v>
          </cell>
          <cell r="T211">
            <v>1720</v>
          </cell>
          <cell r="U211">
            <v>1597</v>
          </cell>
          <cell r="V211">
            <v>150</v>
          </cell>
          <cell r="W211">
            <v>139</v>
          </cell>
          <cell r="Z211">
            <v>14.83</v>
          </cell>
          <cell r="AA211">
            <v>1016</v>
          </cell>
          <cell r="AB211">
            <v>19.77</v>
          </cell>
          <cell r="AC211">
            <v>1760</v>
          </cell>
          <cell r="AG211">
            <v>80</v>
          </cell>
          <cell r="AI211">
            <v>0</v>
          </cell>
          <cell r="AK211">
            <v>4592</v>
          </cell>
          <cell r="AL211">
            <v>0</v>
          </cell>
          <cell r="AN211">
            <v>3315</v>
          </cell>
          <cell r="AO211">
            <v>10000</v>
          </cell>
          <cell r="AP211">
            <v>0</v>
          </cell>
          <cell r="AQ211">
            <v>0</v>
          </cell>
          <cell r="AR211">
            <v>0</v>
          </cell>
          <cell r="AU211">
            <v>0</v>
          </cell>
          <cell r="AV211">
            <v>8087</v>
          </cell>
          <cell r="AW211">
            <v>15000</v>
          </cell>
          <cell r="AX211">
            <v>-6913</v>
          </cell>
          <cell r="AY211">
            <v>0</v>
          </cell>
          <cell r="AZ211">
            <v>0</v>
          </cell>
          <cell r="BA211">
            <v>0</v>
          </cell>
          <cell r="BB211">
            <v>180</v>
          </cell>
          <cell r="BD211">
            <v>180</v>
          </cell>
          <cell r="BE211">
            <v>4772</v>
          </cell>
          <cell r="BF211">
            <v>4772</v>
          </cell>
          <cell r="BG211">
            <v>0</v>
          </cell>
          <cell r="BI211" t="str">
            <v>621 4391 8800 3274 2218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U211">
            <v>0</v>
          </cell>
        </row>
        <row r="212">
          <cell r="D212" t="str">
            <v>陈佩华</v>
          </cell>
          <cell r="E212" t="str">
            <v>男</v>
          </cell>
          <cell r="F212" t="str">
            <v>43112419960207361X</v>
          </cell>
          <cell r="G212" t="str">
            <v>直工</v>
          </cell>
          <cell r="H212" t="str">
            <v>五金三楼</v>
          </cell>
          <cell r="M212">
            <v>21</v>
          </cell>
          <cell r="N212">
            <v>21</v>
          </cell>
          <cell r="O212">
            <v>72</v>
          </cell>
          <cell r="P212">
            <v>78</v>
          </cell>
          <cell r="S212">
            <v>1950</v>
          </cell>
          <cell r="T212">
            <v>1720</v>
          </cell>
          <cell r="U212">
            <v>1720</v>
          </cell>
          <cell r="V212">
            <v>150</v>
          </cell>
          <cell r="W212">
            <v>150</v>
          </cell>
          <cell r="Z212">
            <v>14.83</v>
          </cell>
          <cell r="AA212">
            <v>1068</v>
          </cell>
          <cell r="AB212">
            <v>19.77</v>
          </cell>
          <cell r="AC212">
            <v>1542</v>
          </cell>
          <cell r="AG212">
            <v>80</v>
          </cell>
          <cell r="AI212">
            <v>0</v>
          </cell>
          <cell r="AK212">
            <v>4560</v>
          </cell>
          <cell r="AL212">
            <v>0</v>
          </cell>
          <cell r="AN212">
            <v>1938</v>
          </cell>
          <cell r="AO212">
            <v>10000</v>
          </cell>
          <cell r="AP212">
            <v>0</v>
          </cell>
          <cell r="AQ212">
            <v>0</v>
          </cell>
          <cell r="AR212">
            <v>0</v>
          </cell>
          <cell r="AU212">
            <v>0</v>
          </cell>
          <cell r="AV212">
            <v>6498</v>
          </cell>
          <cell r="AW212">
            <v>15000</v>
          </cell>
          <cell r="AX212">
            <v>-8502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D212">
            <v>0</v>
          </cell>
          <cell r="BE212">
            <v>4560</v>
          </cell>
          <cell r="BF212">
            <v>4560</v>
          </cell>
          <cell r="BG212">
            <v>0</v>
          </cell>
          <cell r="BI212" t="str">
            <v>621 4391 8800 3274 2796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U212">
            <v>0</v>
          </cell>
        </row>
        <row r="213">
          <cell r="D213" t="str">
            <v>谢政栋</v>
          </cell>
          <cell r="E213" t="str">
            <v>男</v>
          </cell>
          <cell r="F213" t="str">
            <v>450923198605184636</v>
          </cell>
          <cell r="G213" t="str">
            <v>直工</v>
          </cell>
          <cell r="H213" t="str">
            <v>五金三楼</v>
          </cell>
          <cell r="M213">
            <v>21</v>
          </cell>
          <cell r="N213">
            <v>16</v>
          </cell>
          <cell r="O213">
            <v>49</v>
          </cell>
          <cell r="P213">
            <v>74.5</v>
          </cell>
          <cell r="S213">
            <v>1950</v>
          </cell>
          <cell r="T213">
            <v>1720</v>
          </cell>
          <cell r="U213">
            <v>1310</v>
          </cell>
          <cell r="V213">
            <v>150</v>
          </cell>
          <cell r="W213">
            <v>114</v>
          </cell>
          <cell r="Z213">
            <v>14.83</v>
          </cell>
          <cell r="AA213">
            <v>727</v>
          </cell>
          <cell r="AB213">
            <v>19.77</v>
          </cell>
          <cell r="AC213">
            <v>1473</v>
          </cell>
          <cell r="AI213">
            <v>0</v>
          </cell>
          <cell r="AK213">
            <v>3624</v>
          </cell>
          <cell r="AL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U213">
            <v>0</v>
          </cell>
          <cell r="AV213">
            <v>3614.23</v>
          </cell>
          <cell r="AW213">
            <v>5000</v>
          </cell>
          <cell r="AX213">
            <v>-1385.77</v>
          </cell>
          <cell r="AY213">
            <v>0</v>
          </cell>
          <cell r="AZ213">
            <v>0</v>
          </cell>
          <cell r="BA213">
            <v>-9.77</v>
          </cell>
          <cell r="BB213">
            <v>0</v>
          </cell>
          <cell r="BD213">
            <v>-10</v>
          </cell>
          <cell r="BE213">
            <v>3614</v>
          </cell>
          <cell r="BF213">
            <v>3614</v>
          </cell>
          <cell r="BG213">
            <v>0</v>
          </cell>
          <cell r="BI213" t="str">
            <v>621 4391 8800 3274 4396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U213">
            <v>0</v>
          </cell>
        </row>
        <row r="214">
          <cell r="D214" t="str">
            <v>吴洪群</v>
          </cell>
          <cell r="E214" t="str">
            <v>女</v>
          </cell>
          <cell r="F214" t="str">
            <v>513030198305195425</v>
          </cell>
          <cell r="G214" t="str">
            <v>直工</v>
          </cell>
          <cell r="H214" t="str">
            <v>五金三楼</v>
          </cell>
          <cell r="M214">
            <v>21</v>
          </cell>
          <cell r="N214">
            <v>16.5</v>
          </cell>
          <cell r="O214">
            <v>61</v>
          </cell>
          <cell r="P214">
            <v>84.5</v>
          </cell>
          <cell r="S214">
            <v>1950</v>
          </cell>
          <cell r="T214">
            <v>1720</v>
          </cell>
          <cell r="U214">
            <v>1351</v>
          </cell>
          <cell r="V214">
            <v>150</v>
          </cell>
          <cell r="W214">
            <v>118</v>
          </cell>
          <cell r="Z214">
            <v>14.83</v>
          </cell>
          <cell r="AA214">
            <v>905</v>
          </cell>
          <cell r="AB214">
            <v>19.77</v>
          </cell>
          <cell r="AC214">
            <v>1671</v>
          </cell>
          <cell r="AI214">
            <v>0</v>
          </cell>
          <cell r="AK214">
            <v>4045</v>
          </cell>
          <cell r="AL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U214">
            <v>0</v>
          </cell>
          <cell r="AV214">
            <v>4045</v>
          </cell>
          <cell r="AW214">
            <v>5000</v>
          </cell>
          <cell r="AX214">
            <v>-955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D214">
            <v>0</v>
          </cell>
          <cell r="BE214">
            <v>4045</v>
          </cell>
          <cell r="BF214">
            <v>4045</v>
          </cell>
          <cell r="BG214">
            <v>0</v>
          </cell>
          <cell r="BI214" t="str">
            <v>621 4391 8800 3202 7784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U214">
            <v>0</v>
          </cell>
        </row>
        <row r="215">
          <cell r="D215" t="str">
            <v>陈兰超</v>
          </cell>
          <cell r="G215" t="str">
            <v>直工</v>
          </cell>
          <cell r="H215" t="str">
            <v>五金三楼</v>
          </cell>
          <cell r="M215">
            <v>21</v>
          </cell>
          <cell r="N215">
            <v>14.5</v>
          </cell>
          <cell r="O215">
            <v>45</v>
          </cell>
          <cell r="P215">
            <v>50.5</v>
          </cell>
          <cell r="S215">
            <v>1950</v>
          </cell>
          <cell r="T215">
            <v>1720</v>
          </cell>
          <cell r="U215">
            <v>1188</v>
          </cell>
          <cell r="V215">
            <v>150</v>
          </cell>
          <cell r="W215">
            <v>104</v>
          </cell>
          <cell r="Z215">
            <v>14.83</v>
          </cell>
          <cell r="AA215">
            <v>667</v>
          </cell>
          <cell r="AB215">
            <v>19.77</v>
          </cell>
          <cell r="AC215">
            <v>998</v>
          </cell>
          <cell r="AK215">
            <v>2957</v>
          </cell>
          <cell r="AN215">
            <v>4518.08219512195</v>
          </cell>
          <cell r="AO215">
            <v>10000</v>
          </cell>
          <cell r="AP215">
            <v>0</v>
          </cell>
          <cell r="AQ215">
            <v>0</v>
          </cell>
          <cell r="AR215">
            <v>0</v>
          </cell>
          <cell r="AU215">
            <v>0</v>
          </cell>
          <cell r="AV215">
            <v>7362.07219512195</v>
          </cell>
          <cell r="AW215">
            <v>15000</v>
          </cell>
          <cell r="AX215">
            <v>-7637.92780487805</v>
          </cell>
          <cell r="AY215">
            <v>0</v>
          </cell>
          <cell r="AZ215">
            <v>0</v>
          </cell>
          <cell r="BA215">
            <v>-83.01</v>
          </cell>
          <cell r="BB215">
            <v>-30</v>
          </cell>
          <cell r="BD215">
            <v>-113</v>
          </cell>
          <cell r="BE215">
            <v>2844</v>
          </cell>
          <cell r="BF215">
            <v>2844</v>
          </cell>
          <cell r="BG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U215">
            <v>0</v>
          </cell>
        </row>
        <row r="216">
          <cell r="D216" t="str">
            <v>唐辉师</v>
          </cell>
          <cell r="G216" t="str">
            <v>直工</v>
          </cell>
          <cell r="H216" t="str">
            <v>五金三楼</v>
          </cell>
          <cell r="M216">
            <v>21</v>
          </cell>
          <cell r="N216">
            <v>19.5</v>
          </cell>
          <cell r="O216">
            <v>66.5</v>
          </cell>
          <cell r="P216">
            <v>92.5</v>
          </cell>
          <cell r="S216">
            <v>1950</v>
          </cell>
          <cell r="T216">
            <v>1720</v>
          </cell>
          <cell r="U216">
            <v>1597</v>
          </cell>
          <cell r="V216">
            <v>150</v>
          </cell>
          <cell r="W216">
            <v>139</v>
          </cell>
          <cell r="Z216">
            <v>14.83</v>
          </cell>
          <cell r="AA216">
            <v>986</v>
          </cell>
          <cell r="AB216">
            <v>19.77</v>
          </cell>
          <cell r="AC216">
            <v>1829</v>
          </cell>
          <cell r="AG216">
            <v>80</v>
          </cell>
          <cell r="AK216">
            <v>4631</v>
          </cell>
          <cell r="AN216">
            <v>3387.49</v>
          </cell>
          <cell r="AO216">
            <v>10000</v>
          </cell>
          <cell r="AP216">
            <v>0</v>
          </cell>
          <cell r="AQ216">
            <v>0</v>
          </cell>
          <cell r="AR216">
            <v>0</v>
          </cell>
          <cell r="AU216">
            <v>0</v>
          </cell>
          <cell r="AV216">
            <v>8018.49</v>
          </cell>
          <cell r="AW216">
            <v>15000</v>
          </cell>
          <cell r="AX216">
            <v>-6981.51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D216">
            <v>0</v>
          </cell>
          <cell r="BE216">
            <v>4631</v>
          </cell>
          <cell r="BF216">
            <v>4631</v>
          </cell>
          <cell r="BG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U216">
            <v>0</v>
          </cell>
        </row>
        <row r="217">
          <cell r="D217" t="str">
            <v>部门合计</v>
          </cell>
          <cell r="O217">
            <v>5907.5</v>
          </cell>
          <cell r="P217">
            <v>7697</v>
          </cell>
          <cell r="Q217">
            <v>0</v>
          </cell>
          <cell r="R217">
            <v>0</v>
          </cell>
          <cell r="U217">
            <v>137419</v>
          </cell>
          <cell r="W217">
            <v>16165</v>
          </cell>
          <cell r="Y217">
            <v>174</v>
          </cell>
          <cell r="AA217">
            <v>87605</v>
          </cell>
          <cell r="AC217">
            <v>152174</v>
          </cell>
          <cell r="AD217">
            <v>0</v>
          </cell>
          <cell r="AE217">
            <v>0</v>
          </cell>
          <cell r="AF217">
            <v>0</v>
          </cell>
          <cell r="AG217">
            <v>3840</v>
          </cell>
          <cell r="AH217">
            <v>559</v>
          </cell>
          <cell r="AI217">
            <v>680</v>
          </cell>
          <cell r="AJ217">
            <v>0</v>
          </cell>
          <cell r="AK217">
            <v>398616</v>
          </cell>
          <cell r="AL217">
            <v>0</v>
          </cell>
          <cell r="AM217">
            <v>0</v>
          </cell>
          <cell r="AN217">
            <v>1583404.3016302</v>
          </cell>
          <cell r="AO217">
            <v>2445000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1988174.3116302</v>
          </cell>
          <cell r="AW217">
            <v>2890000</v>
          </cell>
          <cell r="AX217">
            <v>-901825.688369802</v>
          </cell>
          <cell r="AY217">
            <v>0</v>
          </cell>
          <cell r="AZ217">
            <v>0</v>
          </cell>
          <cell r="BA217">
            <v>-1370.82</v>
          </cell>
          <cell r="BB217">
            <v>7524.83</v>
          </cell>
          <cell r="BC217">
            <v>0</v>
          </cell>
          <cell r="BD217">
            <v>6155</v>
          </cell>
          <cell r="BE217">
            <v>404771</v>
          </cell>
          <cell r="BF217">
            <v>404771</v>
          </cell>
          <cell r="BG217">
            <v>0</v>
          </cell>
          <cell r="BI217" t="e">
            <v>#N/A</v>
          </cell>
          <cell r="BU217">
            <v>0</v>
          </cell>
        </row>
        <row r="218">
          <cell r="D218" t="str">
            <v>吴琳</v>
          </cell>
          <cell r="E218" t="str">
            <v>女</v>
          </cell>
          <cell r="F218" t="str">
            <v>511324198812081307</v>
          </cell>
          <cell r="G218" t="str">
            <v>直工</v>
          </cell>
          <cell r="H218" t="str">
            <v>品质</v>
          </cell>
          <cell r="I218" t="str">
            <v>IPQC班长</v>
          </cell>
          <cell r="J218">
            <v>42248</v>
          </cell>
          <cell r="M218">
            <v>21</v>
          </cell>
          <cell r="N218">
            <v>21</v>
          </cell>
          <cell r="O218">
            <v>49.5</v>
          </cell>
          <cell r="P218">
            <v>80</v>
          </cell>
          <cell r="S218">
            <v>2822</v>
          </cell>
          <cell r="T218">
            <v>1720</v>
          </cell>
          <cell r="U218">
            <v>1720</v>
          </cell>
          <cell r="V218">
            <v>1022</v>
          </cell>
          <cell r="W218">
            <v>1022</v>
          </cell>
          <cell r="Z218">
            <v>14.83</v>
          </cell>
          <cell r="AA218">
            <v>734</v>
          </cell>
          <cell r="AB218">
            <v>19.77</v>
          </cell>
          <cell r="AC218">
            <v>1582</v>
          </cell>
          <cell r="AG218">
            <v>80</v>
          </cell>
          <cell r="AH218">
            <v>200</v>
          </cell>
          <cell r="AI218">
            <v>0</v>
          </cell>
          <cell r="AK218">
            <v>5338</v>
          </cell>
          <cell r="AL218">
            <v>0</v>
          </cell>
          <cell r="AN218">
            <v>47397</v>
          </cell>
          <cell r="AO218">
            <v>45000</v>
          </cell>
          <cell r="AP218">
            <v>0</v>
          </cell>
          <cell r="AQ218">
            <v>0</v>
          </cell>
          <cell r="AR218">
            <v>0</v>
          </cell>
          <cell r="AU218">
            <v>0</v>
          </cell>
          <cell r="AV218">
            <v>52735</v>
          </cell>
          <cell r="AW218">
            <v>50000</v>
          </cell>
          <cell r="AX218">
            <v>2735</v>
          </cell>
          <cell r="AY218">
            <v>71.91</v>
          </cell>
          <cell r="AZ218">
            <v>-10.14</v>
          </cell>
          <cell r="BA218">
            <v>0</v>
          </cell>
          <cell r="BB218">
            <v>0</v>
          </cell>
          <cell r="BD218">
            <v>-10</v>
          </cell>
          <cell r="BE218">
            <v>5328</v>
          </cell>
          <cell r="BF218">
            <v>5328</v>
          </cell>
          <cell r="BG218">
            <v>0</v>
          </cell>
          <cell r="BI218" t="str">
            <v>6214391880018592454</v>
          </cell>
          <cell r="BK218">
            <v>40.89</v>
          </cell>
          <cell r="BL218">
            <v>10.41</v>
          </cell>
          <cell r="BM218">
            <v>59.52</v>
          </cell>
          <cell r="BN218">
            <v>10.71</v>
          </cell>
          <cell r="BO218">
            <v>-63.06</v>
          </cell>
          <cell r="BP218">
            <v>13.44</v>
          </cell>
          <cell r="BU218">
            <v>71.91</v>
          </cell>
        </row>
        <row r="219">
          <cell r="D219" t="str">
            <v>刘目兰</v>
          </cell>
          <cell r="E219" t="str">
            <v>女</v>
          </cell>
          <cell r="F219" t="str">
            <v>430524198910204825</v>
          </cell>
          <cell r="G219" t="str">
            <v>直工</v>
          </cell>
          <cell r="H219" t="str">
            <v>品质</v>
          </cell>
          <cell r="I219" t="str">
            <v>QC</v>
          </cell>
          <cell r="J219">
            <v>42965</v>
          </cell>
          <cell r="M219">
            <v>21</v>
          </cell>
          <cell r="N219">
            <v>21</v>
          </cell>
          <cell r="O219">
            <v>56.5</v>
          </cell>
          <cell r="P219">
            <v>76</v>
          </cell>
          <cell r="S219">
            <v>2260</v>
          </cell>
          <cell r="T219">
            <v>1720</v>
          </cell>
          <cell r="U219">
            <v>1720</v>
          </cell>
          <cell r="V219">
            <v>460</v>
          </cell>
          <cell r="W219">
            <v>460</v>
          </cell>
          <cell r="Z219">
            <v>14.83</v>
          </cell>
          <cell r="AA219">
            <v>838</v>
          </cell>
          <cell r="AB219">
            <v>19.77</v>
          </cell>
          <cell r="AC219">
            <v>1503</v>
          </cell>
          <cell r="AG219">
            <v>80</v>
          </cell>
          <cell r="AH219">
            <v>100</v>
          </cell>
          <cell r="AI219">
            <v>0</v>
          </cell>
          <cell r="AK219">
            <v>4701</v>
          </cell>
          <cell r="AL219">
            <v>0</v>
          </cell>
          <cell r="AN219">
            <v>37693</v>
          </cell>
          <cell r="AO219">
            <v>45000</v>
          </cell>
          <cell r="AP219">
            <v>0</v>
          </cell>
          <cell r="AQ219">
            <v>0</v>
          </cell>
          <cell r="AR219">
            <v>0</v>
          </cell>
          <cell r="AU219">
            <v>0</v>
          </cell>
          <cell r="AV219">
            <v>42394</v>
          </cell>
          <cell r="AW219">
            <v>50000</v>
          </cell>
          <cell r="AX219">
            <v>-7606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D219">
            <v>0</v>
          </cell>
          <cell r="BE219">
            <v>4701</v>
          </cell>
          <cell r="BF219">
            <v>4701</v>
          </cell>
          <cell r="BG219">
            <v>0</v>
          </cell>
          <cell r="BI219" t="str">
            <v>6214391880020218866</v>
          </cell>
          <cell r="BK219">
            <v>13.02</v>
          </cell>
          <cell r="BL219">
            <v>0</v>
          </cell>
          <cell r="BM219">
            <v>0</v>
          </cell>
          <cell r="BN219">
            <v>0</v>
          </cell>
          <cell r="BO219">
            <v>-13.02</v>
          </cell>
          <cell r="BP219">
            <v>0</v>
          </cell>
          <cell r="BU219">
            <v>0</v>
          </cell>
        </row>
        <row r="220">
          <cell r="D220" t="str">
            <v>舒芳玲</v>
          </cell>
          <cell r="E220" t="str">
            <v>女</v>
          </cell>
          <cell r="F220" t="str">
            <v>430626199002050026</v>
          </cell>
          <cell r="G220" t="str">
            <v>直工</v>
          </cell>
          <cell r="H220" t="str">
            <v>品质</v>
          </cell>
          <cell r="I220" t="str">
            <v>QC</v>
          </cell>
          <cell r="J220">
            <v>43515</v>
          </cell>
          <cell r="M220">
            <v>21</v>
          </cell>
          <cell r="N220">
            <v>20.5</v>
          </cell>
          <cell r="O220">
            <v>66</v>
          </cell>
          <cell r="P220">
            <v>91.5</v>
          </cell>
          <cell r="S220">
            <v>2250</v>
          </cell>
          <cell r="T220">
            <v>1720</v>
          </cell>
          <cell r="U220">
            <v>1679</v>
          </cell>
          <cell r="V220">
            <v>450</v>
          </cell>
          <cell r="W220">
            <v>439</v>
          </cell>
          <cell r="Z220">
            <v>14.83</v>
          </cell>
          <cell r="AA220">
            <v>979</v>
          </cell>
          <cell r="AB220">
            <v>19.77</v>
          </cell>
          <cell r="AC220">
            <v>1809</v>
          </cell>
          <cell r="AG220">
            <v>40</v>
          </cell>
          <cell r="AI220">
            <v>0</v>
          </cell>
          <cell r="AK220">
            <v>4946</v>
          </cell>
          <cell r="AL220">
            <v>0</v>
          </cell>
          <cell r="AN220">
            <v>30615</v>
          </cell>
          <cell r="AO220">
            <v>40000</v>
          </cell>
          <cell r="AP220">
            <v>0</v>
          </cell>
          <cell r="AQ220">
            <v>0</v>
          </cell>
          <cell r="AR220">
            <v>0</v>
          </cell>
          <cell r="AU220">
            <v>0</v>
          </cell>
          <cell r="AV220">
            <v>35561</v>
          </cell>
          <cell r="AW220">
            <v>45000</v>
          </cell>
          <cell r="AX220">
            <v>-9439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D220">
            <v>0</v>
          </cell>
          <cell r="BE220">
            <v>4946</v>
          </cell>
          <cell r="BF220">
            <v>4946</v>
          </cell>
          <cell r="BG220">
            <v>0</v>
          </cell>
          <cell r="BI220" t="str">
            <v>621 4391 8800 1859 2223</v>
          </cell>
          <cell r="BK220">
            <v>28.29</v>
          </cell>
          <cell r="BL220">
            <v>11.52</v>
          </cell>
          <cell r="BM220">
            <v>0</v>
          </cell>
          <cell r="BN220">
            <v>0</v>
          </cell>
          <cell r="BO220">
            <v>-39.81</v>
          </cell>
          <cell r="BP220">
            <v>0</v>
          </cell>
          <cell r="BU220">
            <v>0</v>
          </cell>
        </row>
        <row r="221">
          <cell r="D221" t="str">
            <v>王珍风</v>
          </cell>
          <cell r="E221" t="str">
            <v>女</v>
          </cell>
          <cell r="F221" t="str">
            <v>362430197801205125</v>
          </cell>
          <cell r="G221" t="str">
            <v>直工</v>
          </cell>
          <cell r="H221" t="str">
            <v>品质</v>
          </cell>
          <cell r="I221" t="str">
            <v>QC</v>
          </cell>
          <cell r="J221">
            <v>43533</v>
          </cell>
          <cell r="M221">
            <v>21</v>
          </cell>
          <cell r="N221">
            <v>1</v>
          </cell>
          <cell r="O221">
            <v>0</v>
          </cell>
          <cell r="P221">
            <v>0</v>
          </cell>
          <cell r="S221">
            <v>2250</v>
          </cell>
          <cell r="T221">
            <v>1720</v>
          </cell>
          <cell r="U221">
            <v>82</v>
          </cell>
          <cell r="V221">
            <v>450</v>
          </cell>
          <cell r="W221">
            <v>21</v>
          </cell>
          <cell r="Z221">
            <v>14.83</v>
          </cell>
          <cell r="AA221">
            <v>0</v>
          </cell>
          <cell r="AB221">
            <v>19.77</v>
          </cell>
          <cell r="AC221">
            <v>0</v>
          </cell>
          <cell r="AI221">
            <v>0</v>
          </cell>
          <cell r="AK221">
            <v>103</v>
          </cell>
          <cell r="AL221">
            <v>0</v>
          </cell>
          <cell r="AN221">
            <v>20967</v>
          </cell>
          <cell r="AO221">
            <v>30000</v>
          </cell>
          <cell r="AP221">
            <v>0</v>
          </cell>
          <cell r="AQ221">
            <v>0</v>
          </cell>
          <cell r="AR221">
            <v>0</v>
          </cell>
          <cell r="AU221">
            <v>0</v>
          </cell>
          <cell r="AV221">
            <v>21070</v>
          </cell>
          <cell r="AW221">
            <v>35000</v>
          </cell>
          <cell r="AX221">
            <v>-13930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D221">
            <v>0</v>
          </cell>
          <cell r="BE221">
            <v>103</v>
          </cell>
          <cell r="BF221">
            <v>103</v>
          </cell>
          <cell r="BG221">
            <v>0</v>
          </cell>
          <cell r="BI221" t="str">
            <v>621 4391 8800 2905 6077</v>
          </cell>
          <cell r="BK221">
            <v>0</v>
          </cell>
          <cell r="BL221">
            <v>10.26</v>
          </cell>
          <cell r="BM221">
            <v>5.58</v>
          </cell>
          <cell r="BN221">
            <v>0</v>
          </cell>
          <cell r="BO221">
            <v>-15.84</v>
          </cell>
          <cell r="BP221">
            <v>0</v>
          </cell>
          <cell r="BU221">
            <v>0</v>
          </cell>
        </row>
        <row r="222">
          <cell r="D222" t="str">
            <v>谭少年</v>
          </cell>
          <cell r="E222" t="str">
            <v>女</v>
          </cell>
          <cell r="F222" t="str">
            <v>422801197702212625</v>
          </cell>
          <cell r="G222" t="str">
            <v>直工</v>
          </cell>
          <cell r="H222" t="str">
            <v>品质</v>
          </cell>
          <cell r="I222" t="str">
            <v>QC</v>
          </cell>
          <cell r="J222" t="str">
            <v>2019/-3-1</v>
          </cell>
          <cell r="M222">
            <v>21</v>
          </cell>
          <cell r="N222">
            <v>21</v>
          </cell>
          <cell r="O222">
            <v>74</v>
          </cell>
          <cell r="P222">
            <v>101</v>
          </cell>
          <cell r="S222">
            <v>2250</v>
          </cell>
          <cell r="T222">
            <v>1720</v>
          </cell>
          <cell r="U222">
            <v>1720</v>
          </cell>
          <cell r="V222">
            <v>450</v>
          </cell>
          <cell r="W222">
            <v>450</v>
          </cell>
          <cell r="Z222">
            <v>14.83</v>
          </cell>
          <cell r="AA222">
            <v>1097</v>
          </cell>
          <cell r="AB222">
            <v>19.77</v>
          </cell>
          <cell r="AC222">
            <v>1997</v>
          </cell>
          <cell r="AG222">
            <v>80</v>
          </cell>
          <cell r="AI222">
            <v>0</v>
          </cell>
          <cell r="AK222">
            <v>5344</v>
          </cell>
          <cell r="AL222">
            <v>0</v>
          </cell>
          <cell r="AN222">
            <v>22178.2</v>
          </cell>
          <cell r="AO222">
            <v>30000</v>
          </cell>
          <cell r="AP222">
            <v>0</v>
          </cell>
          <cell r="AQ222">
            <v>0</v>
          </cell>
          <cell r="AR222">
            <v>0</v>
          </cell>
          <cell r="AU222">
            <v>0</v>
          </cell>
          <cell r="AV222">
            <v>27500.87</v>
          </cell>
          <cell r="AW222">
            <v>35000</v>
          </cell>
          <cell r="AX222">
            <v>-7499.13</v>
          </cell>
          <cell r="AY222">
            <v>0</v>
          </cell>
          <cell r="AZ222">
            <v>0</v>
          </cell>
          <cell r="BA222">
            <v>-11.33</v>
          </cell>
          <cell r="BB222">
            <v>-10</v>
          </cell>
          <cell r="BD222">
            <v>-21</v>
          </cell>
          <cell r="BE222">
            <v>5323</v>
          </cell>
          <cell r="BF222">
            <v>5323</v>
          </cell>
          <cell r="BG222">
            <v>0</v>
          </cell>
          <cell r="BI222" t="str">
            <v>6214391880029055673</v>
          </cell>
          <cell r="BK222">
            <v>0</v>
          </cell>
          <cell r="BL222">
            <v>1.41</v>
          </cell>
          <cell r="BM222">
            <v>0</v>
          </cell>
          <cell r="BN222">
            <v>0.99</v>
          </cell>
          <cell r="BO222">
            <v>-2.4</v>
          </cell>
          <cell r="BP222">
            <v>0</v>
          </cell>
          <cell r="BU222">
            <v>0</v>
          </cell>
        </row>
        <row r="223">
          <cell r="D223" t="str">
            <v>陈香玲</v>
          </cell>
          <cell r="E223" t="str">
            <v>女</v>
          </cell>
          <cell r="F223" t="str">
            <v>513030199705230626</v>
          </cell>
          <cell r="G223" t="str">
            <v>直工</v>
          </cell>
          <cell r="H223" t="str">
            <v>品质</v>
          </cell>
          <cell r="I223" t="str">
            <v>QC</v>
          </cell>
          <cell r="J223">
            <v>43536</v>
          </cell>
          <cell r="M223">
            <v>21</v>
          </cell>
          <cell r="N223">
            <v>18</v>
          </cell>
          <cell r="O223">
            <v>43</v>
          </cell>
          <cell r="P223">
            <v>78</v>
          </cell>
          <cell r="S223">
            <v>2250</v>
          </cell>
          <cell r="T223">
            <v>1720</v>
          </cell>
          <cell r="U223">
            <v>1474</v>
          </cell>
          <cell r="V223">
            <v>450</v>
          </cell>
          <cell r="W223">
            <v>386</v>
          </cell>
          <cell r="Z223">
            <v>14.83</v>
          </cell>
          <cell r="AA223">
            <v>638</v>
          </cell>
          <cell r="AB223">
            <v>19.77</v>
          </cell>
          <cell r="AC223">
            <v>1542</v>
          </cell>
          <cell r="AI223">
            <v>0</v>
          </cell>
          <cell r="AK223">
            <v>4040</v>
          </cell>
          <cell r="AL223">
            <v>0</v>
          </cell>
          <cell r="AN223">
            <v>26290</v>
          </cell>
          <cell r="AO223">
            <v>35000</v>
          </cell>
          <cell r="AP223">
            <v>0</v>
          </cell>
          <cell r="AQ223">
            <v>0</v>
          </cell>
          <cell r="AR223">
            <v>0</v>
          </cell>
          <cell r="AU223">
            <v>0</v>
          </cell>
          <cell r="AV223">
            <v>30330</v>
          </cell>
          <cell r="AW223">
            <v>40000</v>
          </cell>
          <cell r="AX223">
            <v>-9670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D223">
            <v>0</v>
          </cell>
          <cell r="BE223">
            <v>4040</v>
          </cell>
          <cell r="BF223">
            <v>4040</v>
          </cell>
          <cell r="BG223">
            <v>0</v>
          </cell>
          <cell r="BI223" t="str">
            <v>6214391880020218916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U223">
            <v>0</v>
          </cell>
        </row>
        <row r="224">
          <cell r="D224" t="str">
            <v>覃美珍</v>
          </cell>
          <cell r="E224" t="str">
            <v>女</v>
          </cell>
          <cell r="F224" t="str">
            <v>452226198507102222</v>
          </cell>
          <cell r="G224" t="str">
            <v>直工</v>
          </cell>
          <cell r="H224" t="str">
            <v>品质</v>
          </cell>
          <cell r="I224" t="str">
            <v>QC</v>
          </cell>
          <cell r="J224">
            <v>43575</v>
          </cell>
          <cell r="M224">
            <v>21</v>
          </cell>
          <cell r="N224">
            <v>21</v>
          </cell>
          <cell r="O224">
            <v>66</v>
          </cell>
          <cell r="P224">
            <v>86.5</v>
          </cell>
          <cell r="S224">
            <v>2350</v>
          </cell>
          <cell r="T224">
            <v>1720</v>
          </cell>
          <cell r="U224">
            <v>1720</v>
          </cell>
          <cell r="V224">
            <v>550</v>
          </cell>
          <cell r="W224">
            <v>550</v>
          </cell>
          <cell r="Z224">
            <v>14.83</v>
          </cell>
          <cell r="AA224">
            <v>979</v>
          </cell>
          <cell r="AB224">
            <v>19.77</v>
          </cell>
          <cell r="AC224">
            <v>1710</v>
          </cell>
          <cell r="AG224">
            <v>80</v>
          </cell>
          <cell r="AI224">
            <v>0</v>
          </cell>
          <cell r="AK224">
            <v>5039</v>
          </cell>
          <cell r="AL224">
            <v>0</v>
          </cell>
          <cell r="AN224">
            <v>20279</v>
          </cell>
          <cell r="AO224">
            <v>30000</v>
          </cell>
          <cell r="AP224">
            <v>0</v>
          </cell>
          <cell r="AQ224">
            <v>0</v>
          </cell>
          <cell r="AR224">
            <v>0</v>
          </cell>
          <cell r="AU224">
            <v>0</v>
          </cell>
          <cell r="AV224">
            <v>25318</v>
          </cell>
          <cell r="AW224">
            <v>35000</v>
          </cell>
          <cell r="AX224">
            <v>-9682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D224">
            <v>0</v>
          </cell>
          <cell r="BE224">
            <v>5039</v>
          </cell>
          <cell r="BF224">
            <v>5039</v>
          </cell>
          <cell r="BG224">
            <v>0</v>
          </cell>
          <cell r="BI224" t="str">
            <v>621 4391 8800 3036 4023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U224">
            <v>0</v>
          </cell>
        </row>
        <row r="225">
          <cell r="D225" t="str">
            <v>覃妙红</v>
          </cell>
          <cell r="E225" t="str">
            <v>女</v>
          </cell>
          <cell r="F225" t="str">
            <v>430726199008194827</v>
          </cell>
          <cell r="G225" t="str">
            <v>直工</v>
          </cell>
          <cell r="H225" t="str">
            <v>品质</v>
          </cell>
          <cell r="I225" t="str">
            <v>QC</v>
          </cell>
          <cell r="J225">
            <v>43643</v>
          </cell>
          <cell r="M225">
            <v>21</v>
          </cell>
          <cell r="N225">
            <v>21</v>
          </cell>
          <cell r="O225">
            <v>65.5</v>
          </cell>
          <cell r="P225">
            <v>88.5</v>
          </cell>
          <cell r="S225">
            <v>2350</v>
          </cell>
          <cell r="T225">
            <v>1720</v>
          </cell>
          <cell r="U225">
            <v>1720</v>
          </cell>
          <cell r="V225">
            <v>550</v>
          </cell>
          <cell r="W225">
            <v>550</v>
          </cell>
          <cell r="Z225">
            <v>14.83</v>
          </cell>
          <cell r="AA225">
            <v>971</v>
          </cell>
          <cell r="AB225">
            <v>19.77</v>
          </cell>
          <cell r="AC225">
            <v>1750</v>
          </cell>
          <cell r="AG225">
            <v>80</v>
          </cell>
          <cell r="AI225">
            <v>0</v>
          </cell>
          <cell r="AK225">
            <v>5071</v>
          </cell>
          <cell r="AL225">
            <v>0</v>
          </cell>
          <cell r="AN225">
            <v>9943</v>
          </cell>
          <cell r="AO225">
            <v>20000</v>
          </cell>
          <cell r="AP225">
            <v>0</v>
          </cell>
          <cell r="AQ225">
            <v>0</v>
          </cell>
          <cell r="AR225">
            <v>0</v>
          </cell>
          <cell r="AU225">
            <v>0</v>
          </cell>
          <cell r="AV225">
            <v>15014</v>
          </cell>
          <cell r="AW225">
            <v>25000</v>
          </cell>
          <cell r="AX225">
            <v>-9986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D225">
            <v>0</v>
          </cell>
          <cell r="BE225">
            <v>5071</v>
          </cell>
          <cell r="BF225">
            <v>5071</v>
          </cell>
          <cell r="BG225">
            <v>0</v>
          </cell>
          <cell r="BI225" t="str">
            <v>6214391880030995073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U225">
            <v>0</v>
          </cell>
        </row>
        <row r="226">
          <cell r="D226" t="str">
            <v>潘亚文</v>
          </cell>
          <cell r="E226" t="str">
            <v>女</v>
          </cell>
          <cell r="F226" t="str">
            <v>412821199605131543</v>
          </cell>
          <cell r="G226" t="str">
            <v>直工</v>
          </cell>
          <cell r="H226" t="str">
            <v>品质</v>
          </cell>
          <cell r="M226">
            <v>21</v>
          </cell>
          <cell r="N226">
            <v>18.5</v>
          </cell>
          <cell r="O226">
            <v>49.5</v>
          </cell>
          <cell r="P226">
            <v>100.5</v>
          </cell>
          <cell r="S226">
            <v>2250</v>
          </cell>
          <cell r="T226">
            <v>1720</v>
          </cell>
          <cell r="U226">
            <v>1515</v>
          </cell>
          <cell r="V226">
            <v>450</v>
          </cell>
          <cell r="W226">
            <v>396</v>
          </cell>
          <cell r="Z226">
            <v>14.83</v>
          </cell>
          <cell r="AA226">
            <v>734</v>
          </cell>
          <cell r="AB226">
            <v>19.77</v>
          </cell>
          <cell r="AC226">
            <v>1987</v>
          </cell>
          <cell r="AI226">
            <v>0</v>
          </cell>
          <cell r="AK226">
            <v>4632</v>
          </cell>
          <cell r="AL226">
            <v>0</v>
          </cell>
          <cell r="AN226">
            <v>7904</v>
          </cell>
          <cell r="AO226">
            <v>10000</v>
          </cell>
          <cell r="AP226">
            <v>0</v>
          </cell>
          <cell r="AQ226">
            <v>0</v>
          </cell>
          <cell r="AR226">
            <v>0</v>
          </cell>
          <cell r="AU226">
            <v>0</v>
          </cell>
          <cell r="AV226">
            <v>12536</v>
          </cell>
          <cell r="AW226">
            <v>15000</v>
          </cell>
          <cell r="AX226">
            <v>-2464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D226">
            <v>0</v>
          </cell>
          <cell r="BE226">
            <v>4632</v>
          </cell>
          <cell r="BF226">
            <v>4632</v>
          </cell>
          <cell r="BG226">
            <v>0</v>
          </cell>
          <cell r="BI226" t="str">
            <v>621 4391 8800 3199 1592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U226">
            <v>0</v>
          </cell>
        </row>
        <row r="227">
          <cell r="D227" t="str">
            <v>杨春琳</v>
          </cell>
          <cell r="E227" t="str">
            <v>女</v>
          </cell>
          <cell r="F227" t="str">
            <v>522627199603050064</v>
          </cell>
          <cell r="G227" t="str">
            <v>直工</v>
          </cell>
          <cell r="H227" t="str">
            <v>品质</v>
          </cell>
          <cell r="M227">
            <v>21</v>
          </cell>
          <cell r="N227">
            <v>19</v>
          </cell>
          <cell r="O227">
            <v>46</v>
          </cell>
          <cell r="P227">
            <v>51</v>
          </cell>
          <cell r="S227">
            <v>2250</v>
          </cell>
          <cell r="T227">
            <v>1720</v>
          </cell>
          <cell r="U227">
            <v>1556</v>
          </cell>
          <cell r="V227">
            <v>450</v>
          </cell>
          <cell r="W227">
            <v>407</v>
          </cell>
          <cell r="Z227">
            <v>14.83</v>
          </cell>
          <cell r="AA227">
            <v>682</v>
          </cell>
          <cell r="AB227">
            <v>19.77</v>
          </cell>
          <cell r="AC227">
            <v>1008</v>
          </cell>
          <cell r="AI227">
            <v>0</v>
          </cell>
          <cell r="AK227">
            <v>3653</v>
          </cell>
          <cell r="AL227">
            <v>0</v>
          </cell>
          <cell r="AN227">
            <v>1941</v>
          </cell>
          <cell r="AO227">
            <v>10000</v>
          </cell>
          <cell r="AP227">
            <v>0</v>
          </cell>
          <cell r="AQ227">
            <v>0</v>
          </cell>
          <cell r="AR227">
            <v>0</v>
          </cell>
          <cell r="AU227">
            <v>0</v>
          </cell>
          <cell r="AV227">
            <v>5324.9</v>
          </cell>
          <cell r="AW227">
            <v>15000</v>
          </cell>
          <cell r="AX227">
            <v>-9675.1</v>
          </cell>
          <cell r="AY227">
            <v>0</v>
          </cell>
          <cell r="AZ227">
            <v>0</v>
          </cell>
          <cell r="BA227">
            <v>-269.1</v>
          </cell>
          <cell r="BB227">
            <v>0</v>
          </cell>
          <cell r="BD227">
            <v>-269</v>
          </cell>
          <cell r="BE227">
            <v>3384</v>
          </cell>
          <cell r="BF227">
            <v>3384</v>
          </cell>
          <cell r="BG227">
            <v>0</v>
          </cell>
          <cell r="BI227" t="str">
            <v>6214391880031512059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U227">
            <v>0</v>
          </cell>
        </row>
        <row r="228">
          <cell r="D228" t="str">
            <v>部门合计</v>
          </cell>
          <cell r="O228">
            <v>516</v>
          </cell>
          <cell r="P228">
            <v>753</v>
          </cell>
          <cell r="Q228">
            <v>0</v>
          </cell>
          <cell r="R228">
            <v>0</v>
          </cell>
          <cell r="U228">
            <v>14906</v>
          </cell>
          <cell r="W228">
            <v>4681</v>
          </cell>
          <cell r="Y228">
            <v>0</v>
          </cell>
          <cell r="AA228">
            <v>7652</v>
          </cell>
          <cell r="AC228">
            <v>14888</v>
          </cell>
          <cell r="AD228">
            <v>0</v>
          </cell>
          <cell r="AE228">
            <v>0</v>
          </cell>
          <cell r="AF228">
            <v>0</v>
          </cell>
          <cell r="AG228">
            <v>440</v>
          </cell>
          <cell r="AH228">
            <v>300</v>
          </cell>
          <cell r="AI228">
            <v>0</v>
          </cell>
          <cell r="AJ228">
            <v>0</v>
          </cell>
          <cell r="AK228">
            <v>42867</v>
          </cell>
          <cell r="AL228">
            <v>0</v>
          </cell>
          <cell r="AM228">
            <v>0</v>
          </cell>
          <cell r="AN228">
            <v>225207.2</v>
          </cell>
          <cell r="AO228">
            <v>295000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267783.77</v>
          </cell>
          <cell r="AW228">
            <v>345000</v>
          </cell>
          <cell r="AX228">
            <v>-77216.23</v>
          </cell>
          <cell r="AY228">
            <v>71.91</v>
          </cell>
          <cell r="AZ228">
            <v>-10.14</v>
          </cell>
          <cell r="BA228">
            <v>-280.43</v>
          </cell>
          <cell r="BB228">
            <v>-10</v>
          </cell>
          <cell r="BC228">
            <v>0</v>
          </cell>
          <cell r="BD228">
            <v>-300</v>
          </cell>
          <cell r="BE228">
            <v>42567</v>
          </cell>
          <cell r="BF228">
            <v>42567</v>
          </cell>
          <cell r="BG228">
            <v>0</v>
          </cell>
          <cell r="BI228" t="e">
            <v>#N/A</v>
          </cell>
          <cell r="BU228">
            <v>0</v>
          </cell>
        </row>
        <row r="229">
          <cell r="D229" t="str">
            <v>直工合计</v>
          </cell>
          <cell r="O229">
            <v>12375</v>
          </cell>
          <cell r="P229">
            <v>16936</v>
          </cell>
          <cell r="Q229">
            <v>0</v>
          </cell>
          <cell r="R229">
            <v>0</v>
          </cell>
          <cell r="U229">
            <v>329348</v>
          </cell>
          <cell r="W229">
            <v>51288</v>
          </cell>
          <cell r="Y229">
            <v>1461</v>
          </cell>
          <cell r="AA229">
            <v>183514</v>
          </cell>
          <cell r="AC229">
            <v>334829</v>
          </cell>
          <cell r="AD229">
            <v>0</v>
          </cell>
          <cell r="AE229">
            <v>0</v>
          </cell>
          <cell r="AF229">
            <v>0</v>
          </cell>
          <cell r="AG229">
            <v>9280</v>
          </cell>
          <cell r="AH229">
            <v>1955</v>
          </cell>
          <cell r="AI229">
            <v>10501</v>
          </cell>
          <cell r="AJ229">
            <v>0</v>
          </cell>
          <cell r="AK229">
            <v>922176</v>
          </cell>
          <cell r="AL229">
            <v>-1204</v>
          </cell>
          <cell r="AM229">
            <v>0</v>
          </cell>
          <cell r="AN229">
            <v>3622497.48354297</v>
          </cell>
          <cell r="AO229">
            <v>5560000</v>
          </cell>
          <cell r="AP229">
            <v>7647.52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8851.52</v>
          </cell>
          <cell r="AV229">
            <v>4549284.69354297</v>
          </cell>
          <cell r="AW229">
            <v>6658851.52</v>
          </cell>
          <cell r="AX229">
            <v>-2109566.82645703</v>
          </cell>
          <cell r="AY229">
            <v>172.8</v>
          </cell>
          <cell r="AZ229">
            <v>-29.76</v>
          </cell>
          <cell r="BA229">
            <v>-3363.94</v>
          </cell>
          <cell r="BB229">
            <v>7970.32</v>
          </cell>
          <cell r="BC229">
            <v>4.83</v>
          </cell>
          <cell r="BD229">
            <v>3381</v>
          </cell>
          <cell r="BE229">
            <v>925557</v>
          </cell>
          <cell r="BF229">
            <v>921709</v>
          </cell>
          <cell r="BG229">
            <v>3848</v>
          </cell>
          <cell r="BI229" t="e">
            <v>#N/A</v>
          </cell>
          <cell r="BK229">
            <v>0</v>
          </cell>
          <cell r="BL229">
            <v>147.31</v>
          </cell>
          <cell r="BM229">
            <v>402.39</v>
          </cell>
          <cell r="BN229">
            <v>94.26</v>
          </cell>
          <cell r="BO229">
            <v>-1138.78</v>
          </cell>
          <cell r="BP229">
            <v>9.72</v>
          </cell>
          <cell r="BU229">
            <v>-485.1</v>
          </cell>
        </row>
        <row r="230">
          <cell r="D230" t="str">
            <v>覃彭欢</v>
          </cell>
          <cell r="E230" t="str">
            <v>女</v>
          </cell>
          <cell r="F230" t="str">
            <v>452723199102203220</v>
          </cell>
          <cell r="G230" t="str">
            <v>抛光</v>
          </cell>
          <cell r="H230" t="str">
            <v>抛光</v>
          </cell>
          <cell r="I230" t="str">
            <v>作业员</v>
          </cell>
          <cell r="J230">
            <v>42577</v>
          </cell>
          <cell r="M230">
            <v>21</v>
          </cell>
          <cell r="N230">
            <v>21</v>
          </cell>
          <cell r="O230">
            <v>75.5</v>
          </cell>
          <cell r="P230">
            <v>84.5</v>
          </cell>
          <cell r="S230">
            <v>2350</v>
          </cell>
          <cell r="T230">
            <v>1720</v>
          </cell>
          <cell r="U230">
            <v>1720</v>
          </cell>
          <cell r="V230">
            <v>550</v>
          </cell>
          <cell r="W230">
            <v>550</v>
          </cell>
          <cell r="Z230">
            <v>14.83</v>
          </cell>
          <cell r="AA230">
            <v>1120</v>
          </cell>
          <cell r="AB230">
            <v>19.77</v>
          </cell>
          <cell r="AC230">
            <v>1671</v>
          </cell>
          <cell r="AF230">
            <v>0</v>
          </cell>
          <cell r="AG230">
            <v>80</v>
          </cell>
          <cell r="AH230">
            <v>150</v>
          </cell>
          <cell r="AI230">
            <v>0</v>
          </cell>
          <cell r="AK230">
            <v>5291</v>
          </cell>
          <cell r="AL230">
            <v>0</v>
          </cell>
          <cell r="AN230">
            <v>43968.08</v>
          </cell>
          <cell r="AO230">
            <v>45000</v>
          </cell>
          <cell r="AP230">
            <v>0</v>
          </cell>
          <cell r="AQ230">
            <v>0</v>
          </cell>
          <cell r="AR230">
            <v>0</v>
          </cell>
          <cell r="AU230">
            <v>0</v>
          </cell>
          <cell r="AV230">
            <v>49227.75</v>
          </cell>
          <cell r="AW230">
            <v>50000</v>
          </cell>
          <cell r="AX230">
            <v>-772.25</v>
          </cell>
          <cell r="AY230">
            <v>0</v>
          </cell>
          <cell r="AZ230">
            <v>0</v>
          </cell>
          <cell r="BA230">
            <v>-11.33</v>
          </cell>
          <cell r="BB230">
            <v>-20</v>
          </cell>
          <cell r="BD230">
            <v>-31</v>
          </cell>
          <cell r="BE230">
            <v>5260</v>
          </cell>
          <cell r="BF230">
            <v>5260</v>
          </cell>
          <cell r="BG230">
            <v>0</v>
          </cell>
          <cell r="BI230" t="str">
            <v>6214391880018592108</v>
          </cell>
          <cell r="BK230">
            <v>30.72</v>
          </cell>
          <cell r="BL230">
            <v>22.29</v>
          </cell>
          <cell r="BM230">
            <v>16.8</v>
          </cell>
          <cell r="BN230">
            <v>16.83</v>
          </cell>
          <cell r="BO230">
            <v>-86.64</v>
          </cell>
          <cell r="BP230">
            <v>0</v>
          </cell>
          <cell r="BU230">
            <v>0</v>
          </cell>
        </row>
        <row r="231">
          <cell r="D231" t="str">
            <v>陆晓蝶</v>
          </cell>
          <cell r="E231" t="str">
            <v>女</v>
          </cell>
          <cell r="F231" t="str">
            <v>450802199310031744</v>
          </cell>
          <cell r="G231" t="str">
            <v>抛光</v>
          </cell>
          <cell r="H231" t="str">
            <v>抛光</v>
          </cell>
          <cell r="I231" t="str">
            <v>作业员</v>
          </cell>
          <cell r="J231">
            <v>42167</v>
          </cell>
          <cell r="M231">
            <v>21</v>
          </cell>
          <cell r="N231">
            <v>19</v>
          </cell>
          <cell r="O231">
            <v>56.5</v>
          </cell>
          <cell r="P231">
            <v>56.5</v>
          </cell>
          <cell r="S231">
            <v>2342</v>
          </cell>
          <cell r="T231">
            <v>1720</v>
          </cell>
          <cell r="U231">
            <v>1556</v>
          </cell>
          <cell r="V231">
            <v>452</v>
          </cell>
          <cell r="W231">
            <v>409</v>
          </cell>
          <cell r="X231">
            <v>100</v>
          </cell>
          <cell r="Y231">
            <v>90</v>
          </cell>
          <cell r="Z231">
            <v>14.83</v>
          </cell>
          <cell r="AA231">
            <v>838</v>
          </cell>
          <cell r="AB231">
            <v>19.77</v>
          </cell>
          <cell r="AC231">
            <v>1117</v>
          </cell>
          <cell r="AF231">
            <v>0</v>
          </cell>
          <cell r="AH231">
            <v>181</v>
          </cell>
          <cell r="AI231">
            <v>0</v>
          </cell>
          <cell r="AK231">
            <v>4191</v>
          </cell>
          <cell r="AL231">
            <v>0</v>
          </cell>
          <cell r="AN231">
            <v>35566.1666666667</v>
          </cell>
          <cell r="AO231">
            <v>45000</v>
          </cell>
          <cell r="AP231">
            <v>0</v>
          </cell>
          <cell r="AQ231">
            <v>0</v>
          </cell>
          <cell r="AR231">
            <v>0</v>
          </cell>
          <cell r="AU231">
            <v>0</v>
          </cell>
          <cell r="AV231">
            <v>39733.7666666667</v>
          </cell>
          <cell r="AW231">
            <v>50000</v>
          </cell>
          <cell r="AX231">
            <v>-10266.2333333333</v>
          </cell>
          <cell r="AY231">
            <v>0</v>
          </cell>
          <cell r="AZ231">
            <v>0</v>
          </cell>
          <cell r="BA231">
            <v>-23.4</v>
          </cell>
          <cell r="BB231">
            <v>0</v>
          </cell>
          <cell r="BD231">
            <v>-23</v>
          </cell>
          <cell r="BE231">
            <v>4168</v>
          </cell>
          <cell r="BF231">
            <v>4168</v>
          </cell>
          <cell r="BG231">
            <v>0</v>
          </cell>
          <cell r="BI231" t="str">
            <v>6214391880018693385</v>
          </cell>
          <cell r="BK231">
            <v>0</v>
          </cell>
          <cell r="BL231">
            <v>0</v>
          </cell>
          <cell r="BM231">
            <v>24.09</v>
          </cell>
          <cell r="BN231">
            <v>31.59</v>
          </cell>
          <cell r="BO231">
            <v>-55.68</v>
          </cell>
          <cell r="BP231">
            <v>0</v>
          </cell>
          <cell r="BU231">
            <v>0</v>
          </cell>
        </row>
        <row r="232">
          <cell r="D232" t="str">
            <v>杨金枝</v>
          </cell>
          <cell r="E232" t="str">
            <v>女</v>
          </cell>
          <cell r="F232" t="str">
            <v>420322199211181221</v>
          </cell>
          <cell r="G232" t="str">
            <v>抛光</v>
          </cell>
          <cell r="H232" t="str">
            <v>抛光</v>
          </cell>
          <cell r="I232" t="str">
            <v>作业员</v>
          </cell>
          <cell r="J232">
            <v>43571</v>
          </cell>
          <cell r="M232">
            <v>21</v>
          </cell>
          <cell r="N232">
            <v>21</v>
          </cell>
          <cell r="O232">
            <v>72.5</v>
          </cell>
          <cell r="P232">
            <v>88.5</v>
          </cell>
          <cell r="S232">
            <v>2330</v>
          </cell>
          <cell r="T232">
            <v>1720</v>
          </cell>
          <cell r="U232">
            <v>1720</v>
          </cell>
          <cell r="V232">
            <v>450</v>
          </cell>
          <cell r="W232">
            <v>450</v>
          </cell>
          <cell r="X232">
            <v>80</v>
          </cell>
          <cell r="Y232">
            <v>80</v>
          </cell>
          <cell r="Z232">
            <v>14.83</v>
          </cell>
          <cell r="AA232">
            <v>1075</v>
          </cell>
          <cell r="AB232">
            <v>19.77</v>
          </cell>
          <cell r="AC232">
            <v>1750</v>
          </cell>
          <cell r="AF232">
            <v>0</v>
          </cell>
          <cell r="AG232">
            <v>80</v>
          </cell>
          <cell r="AI232">
            <v>0</v>
          </cell>
          <cell r="AK232">
            <v>5155</v>
          </cell>
          <cell r="AL232">
            <v>0</v>
          </cell>
          <cell r="AN232">
            <v>23062.8</v>
          </cell>
          <cell r="AO232">
            <v>30000</v>
          </cell>
          <cell r="AP232">
            <v>0</v>
          </cell>
          <cell r="AQ232">
            <v>0</v>
          </cell>
          <cell r="AR232">
            <v>0</v>
          </cell>
          <cell r="AU232">
            <v>0</v>
          </cell>
          <cell r="AV232">
            <v>28122.57</v>
          </cell>
          <cell r="AW232">
            <v>35000</v>
          </cell>
          <cell r="AX232">
            <v>-6877.43</v>
          </cell>
          <cell r="AY232">
            <v>0</v>
          </cell>
          <cell r="AZ232">
            <v>0</v>
          </cell>
          <cell r="BA232">
            <v>-95.23</v>
          </cell>
          <cell r="BB232">
            <v>0</v>
          </cell>
          <cell r="BD232">
            <v>-95</v>
          </cell>
          <cell r="BE232">
            <v>5060</v>
          </cell>
          <cell r="BF232">
            <v>5060</v>
          </cell>
          <cell r="BG232">
            <v>0</v>
          </cell>
          <cell r="BI232" t="str">
            <v>621 4391 8800 3016 0835</v>
          </cell>
          <cell r="BK232">
            <v>0</v>
          </cell>
          <cell r="BL232">
            <v>0</v>
          </cell>
          <cell r="BM232">
            <v>0</v>
          </cell>
          <cell r="BN232">
            <v>20.07</v>
          </cell>
          <cell r="BO232">
            <v>-20.07</v>
          </cell>
          <cell r="BP232">
            <v>0</v>
          </cell>
          <cell r="BU232">
            <v>0</v>
          </cell>
        </row>
        <row r="233">
          <cell r="D233" t="str">
            <v>任大慈</v>
          </cell>
          <cell r="E233" t="str">
            <v>女</v>
          </cell>
          <cell r="F233" t="str">
            <v>512222197301117062</v>
          </cell>
          <cell r="G233" t="str">
            <v>抛光</v>
          </cell>
          <cell r="H233" t="str">
            <v>抛光</v>
          </cell>
          <cell r="M233">
            <v>21</v>
          </cell>
          <cell r="N233">
            <v>21</v>
          </cell>
          <cell r="O233">
            <v>59.5</v>
          </cell>
          <cell r="P233">
            <v>87</v>
          </cell>
          <cell r="S233">
            <v>2250</v>
          </cell>
          <cell r="T233">
            <v>1720</v>
          </cell>
          <cell r="U233">
            <v>1720</v>
          </cell>
          <cell r="V233">
            <v>450</v>
          </cell>
          <cell r="W233">
            <v>450</v>
          </cell>
          <cell r="Y233">
            <v>0</v>
          </cell>
          <cell r="Z233">
            <v>14.83</v>
          </cell>
          <cell r="AA233">
            <v>882</v>
          </cell>
          <cell r="AB233">
            <v>19.77</v>
          </cell>
          <cell r="AC233">
            <v>1720</v>
          </cell>
          <cell r="AF233">
            <v>0</v>
          </cell>
          <cell r="AG233">
            <v>80</v>
          </cell>
          <cell r="AI233">
            <v>0</v>
          </cell>
          <cell r="AK233">
            <v>4852</v>
          </cell>
          <cell r="AL233">
            <v>-301</v>
          </cell>
          <cell r="AN233">
            <v>16004</v>
          </cell>
          <cell r="AO233">
            <v>25000</v>
          </cell>
          <cell r="AP233">
            <v>0</v>
          </cell>
          <cell r="AQ233">
            <v>0</v>
          </cell>
          <cell r="AR233">
            <v>0</v>
          </cell>
          <cell r="AU233">
            <v>301</v>
          </cell>
          <cell r="AV233">
            <v>20856</v>
          </cell>
          <cell r="AW233">
            <v>30301</v>
          </cell>
          <cell r="AX233">
            <v>-9445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D233">
            <v>-301</v>
          </cell>
          <cell r="BE233">
            <v>4551</v>
          </cell>
          <cell r="BF233">
            <v>4551</v>
          </cell>
          <cell r="BG233">
            <v>0</v>
          </cell>
          <cell r="BI233" t="str">
            <v>621 4391 8800 3054 5316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U233">
            <v>0</v>
          </cell>
        </row>
        <row r="234">
          <cell r="D234" t="str">
            <v>黄海满</v>
          </cell>
          <cell r="E234" t="str">
            <v>女</v>
          </cell>
          <cell r="F234" t="str">
            <v>522327198503101820</v>
          </cell>
          <cell r="G234" t="str">
            <v>抛光</v>
          </cell>
          <cell r="H234" t="str">
            <v>抛光</v>
          </cell>
          <cell r="M234">
            <v>21</v>
          </cell>
          <cell r="N234">
            <v>21</v>
          </cell>
          <cell r="O234">
            <v>72.5</v>
          </cell>
          <cell r="P234">
            <v>84.5</v>
          </cell>
          <cell r="S234">
            <v>2750</v>
          </cell>
          <cell r="T234">
            <v>1720</v>
          </cell>
          <cell r="U234">
            <v>1720</v>
          </cell>
          <cell r="V234">
            <v>800</v>
          </cell>
          <cell r="W234">
            <v>800</v>
          </cell>
          <cell r="X234">
            <v>150</v>
          </cell>
          <cell r="Y234">
            <v>150</v>
          </cell>
          <cell r="Z234">
            <v>14.83</v>
          </cell>
          <cell r="AA234">
            <v>1075</v>
          </cell>
          <cell r="AB234">
            <v>19.77</v>
          </cell>
          <cell r="AC234">
            <v>1671</v>
          </cell>
          <cell r="AF234">
            <v>0</v>
          </cell>
          <cell r="AG234">
            <v>80</v>
          </cell>
          <cell r="AI234">
            <v>0</v>
          </cell>
          <cell r="AK234">
            <v>5496</v>
          </cell>
          <cell r="AL234">
            <v>0</v>
          </cell>
          <cell r="AN234">
            <v>17845.8</v>
          </cell>
          <cell r="AO234">
            <v>25000</v>
          </cell>
          <cell r="AP234">
            <v>0</v>
          </cell>
          <cell r="AQ234">
            <v>0</v>
          </cell>
          <cell r="AR234">
            <v>0</v>
          </cell>
          <cell r="AU234">
            <v>0</v>
          </cell>
          <cell r="AV234">
            <v>23246.57</v>
          </cell>
          <cell r="AW234">
            <v>30000</v>
          </cell>
          <cell r="AX234">
            <v>-6753.43</v>
          </cell>
          <cell r="AY234">
            <v>0</v>
          </cell>
          <cell r="AZ234">
            <v>0</v>
          </cell>
          <cell r="BA234">
            <v>-95.23</v>
          </cell>
          <cell r="BB234">
            <v>0</v>
          </cell>
          <cell r="BD234">
            <v>-95</v>
          </cell>
          <cell r="BE234">
            <v>5401</v>
          </cell>
          <cell r="BF234">
            <v>5401</v>
          </cell>
          <cell r="BG234">
            <v>0</v>
          </cell>
          <cell r="BI234" t="str">
            <v>6214391880030995370</v>
          </cell>
          <cell r="BK234">
            <v>0</v>
          </cell>
          <cell r="BL234">
            <v>0</v>
          </cell>
          <cell r="BM234">
            <v>0</v>
          </cell>
          <cell r="BN234">
            <v>26.49</v>
          </cell>
          <cell r="BO234">
            <v>-26.49</v>
          </cell>
          <cell r="BP234">
            <v>0</v>
          </cell>
          <cell r="BU234">
            <v>0</v>
          </cell>
        </row>
        <row r="235">
          <cell r="D235" t="str">
            <v>吴文珍</v>
          </cell>
          <cell r="E235" t="str">
            <v>女</v>
          </cell>
          <cell r="F235" t="str">
            <v>433031197704081224</v>
          </cell>
          <cell r="G235" t="str">
            <v>抛光</v>
          </cell>
          <cell r="H235" t="str">
            <v>抛光</v>
          </cell>
          <cell r="M235">
            <v>21</v>
          </cell>
          <cell r="N235">
            <v>21</v>
          </cell>
          <cell r="O235">
            <v>96.5</v>
          </cell>
          <cell r="P235">
            <v>99.5</v>
          </cell>
          <cell r="S235">
            <v>2150</v>
          </cell>
          <cell r="T235">
            <v>1720</v>
          </cell>
          <cell r="U235">
            <v>1720</v>
          </cell>
          <cell r="V235">
            <v>350</v>
          </cell>
          <cell r="W235">
            <v>350</v>
          </cell>
          <cell r="Y235">
            <v>0</v>
          </cell>
          <cell r="Z235">
            <v>14.83</v>
          </cell>
          <cell r="AA235">
            <v>1431</v>
          </cell>
          <cell r="AB235">
            <v>19.77</v>
          </cell>
          <cell r="AC235">
            <v>1967</v>
          </cell>
          <cell r="AF235">
            <v>0</v>
          </cell>
          <cell r="AG235">
            <v>80</v>
          </cell>
          <cell r="AI235">
            <v>0</v>
          </cell>
          <cell r="AK235">
            <v>5548</v>
          </cell>
          <cell r="AL235">
            <v>0</v>
          </cell>
          <cell r="AN235">
            <v>10344</v>
          </cell>
          <cell r="AO235">
            <v>10000</v>
          </cell>
          <cell r="AP235">
            <v>0</v>
          </cell>
          <cell r="AQ235">
            <v>0</v>
          </cell>
          <cell r="AR235">
            <v>0</v>
          </cell>
          <cell r="AU235">
            <v>0</v>
          </cell>
          <cell r="AV235">
            <v>15892</v>
          </cell>
          <cell r="AW235">
            <v>15000</v>
          </cell>
          <cell r="AX235">
            <v>892</v>
          </cell>
          <cell r="AY235">
            <v>10.32</v>
          </cell>
          <cell r="AZ235">
            <v>-16.44</v>
          </cell>
          <cell r="BA235">
            <v>0</v>
          </cell>
          <cell r="BB235">
            <v>0</v>
          </cell>
          <cell r="BD235">
            <v>-16</v>
          </cell>
          <cell r="BE235">
            <v>5532</v>
          </cell>
          <cell r="BF235">
            <v>5532</v>
          </cell>
          <cell r="BG235">
            <v>0</v>
          </cell>
          <cell r="BI235" t="str">
            <v>621 4391 8800 3274 2937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10.32</v>
          </cell>
          <cell r="BU235">
            <v>10.32</v>
          </cell>
        </row>
        <row r="236">
          <cell r="D236" t="str">
            <v>黎祖英</v>
          </cell>
          <cell r="E236" t="str">
            <v>女</v>
          </cell>
          <cell r="F236" t="str">
            <v>451221200001110361</v>
          </cell>
          <cell r="G236" t="str">
            <v>抛光</v>
          </cell>
          <cell r="H236" t="str">
            <v>抛光</v>
          </cell>
          <cell r="M236">
            <v>21</v>
          </cell>
          <cell r="N236">
            <v>19.5</v>
          </cell>
          <cell r="O236">
            <v>71.5</v>
          </cell>
          <cell r="P236">
            <v>64.5</v>
          </cell>
          <cell r="S236">
            <v>2250</v>
          </cell>
          <cell r="T236">
            <v>1720</v>
          </cell>
          <cell r="U236">
            <v>1597</v>
          </cell>
          <cell r="V236">
            <v>450</v>
          </cell>
          <cell r="W236">
            <v>418</v>
          </cell>
          <cell r="Y236">
            <v>0</v>
          </cell>
          <cell r="Z236">
            <v>14.83</v>
          </cell>
          <cell r="AA236">
            <v>1060</v>
          </cell>
          <cell r="AB236">
            <v>19.77</v>
          </cell>
          <cell r="AC236">
            <v>1275</v>
          </cell>
          <cell r="AF236">
            <v>0</v>
          </cell>
          <cell r="AI236">
            <v>0</v>
          </cell>
          <cell r="AK236">
            <v>4350</v>
          </cell>
          <cell r="AL236">
            <v>0</v>
          </cell>
          <cell r="AN236">
            <v>4935</v>
          </cell>
          <cell r="AO236">
            <v>10000</v>
          </cell>
          <cell r="AP236">
            <v>0</v>
          </cell>
          <cell r="AQ236">
            <v>0</v>
          </cell>
          <cell r="AR236">
            <v>0</v>
          </cell>
          <cell r="AU236">
            <v>0</v>
          </cell>
          <cell r="AV236">
            <v>9285</v>
          </cell>
          <cell r="AW236">
            <v>15000</v>
          </cell>
          <cell r="AX236">
            <v>-5715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D236">
            <v>0</v>
          </cell>
          <cell r="BE236">
            <v>4350</v>
          </cell>
          <cell r="BF236">
            <v>4350</v>
          </cell>
          <cell r="BG236">
            <v>0</v>
          </cell>
          <cell r="BI236" t="str">
            <v>621 4391 8800 3274 2382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U236">
            <v>0</v>
          </cell>
        </row>
        <row r="237">
          <cell r="D237" t="str">
            <v>张楚澄</v>
          </cell>
          <cell r="E237" t="str">
            <v>女</v>
          </cell>
          <cell r="F237" t="str">
            <v>445322200207224026</v>
          </cell>
          <cell r="G237" t="str">
            <v>抛光</v>
          </cell>
          <cell r="H237" t="str">
            <v>抛光</v>
          </cell>
          <cell r="M237">
            <v>21</v>
          </cell>
          <cell r="N237">
            <v>20</v>
          </cell>
          <cell r="O237">
            <v>68.5</v>
          </cell>
          <cell r="P237">
            <v>72.5</v>
          </cell>
          <cell r="S237">
            <v>2250</v>
          </cell>
          <cell r="T237">
            <v>1720</v>
          </cell>
          <cell r="U237">
            <v>1638</v>
          </cell>
          <cell r="V237">
            <v>450</v>
          </cell>
          <cell r="W237">
            <v>429</v>
          </cell>
          <cell r="Y237">
            <v>0</v>
          </cell>
          <cell r="Z237">
            <v>14.83</v>
          </cell>
          <cell r="AA237">
            <v>1016</v>
          </cell>
          <cell r="AB237">
            <v>19.77</v>
          </cell>
          <cell r="AC237">
            <v>1433</v>
          </cell>
          <cell r="AF237">
            <v>0</v>
          </cell>
          <cell r="AI237">
            <v>0</v>
          </cell>
          <cell r="AK237">
            <v>4516</v>
          </cell>
          <cell r="AL237">
            <v>0</v>
          </cell>
          <cell r="AN237">
            <v>5473</v>
          </cell>
          <cell r="AO237">
            <v>10000</v>
          </cell>
          <cell r="AP237">
            <v>0</v>
          </cell>
          <cell r="AQ237">
            <v>0</v>
          </cell>
          <cell r="AR237">
            <v>0</v>
          </cell>
          <cell r="AU237">
            <v>0</v>
          </cell>
          <cell r="AV237">
            <v>9989</v>
          </cell>
          <cell r="AW237">
            <v>15000</v>
          </cell>
          <cell r="AX237">
            <v>-5011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D237">
            <v>0</v>
          </cell>
          <cell r="BE237">
            <v>4516</v>
          </cell>
          <cell r="BF237">
            <v>4516</v>
          </cell>
          <cell r="BG237">
            <v>0</v>
          </cell>
          <cell r="BI237" t="str">
            <v xml:space="preserve">621 4391 8800 3274 2390 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U237">
            <v>0</v>
          </cell>
        </row>
        <row r="238">
          <cell r="D238" t="str">
            <v>叶春梅</v>
          </cell>
          <cell r="E238" t="str">
            <v>女</v>
          </cell>
          <cell r="F238" t="str">
            <v>450981199512295060</v>
          </cell>
          <cell r="G238" t="str">
            <v>抛光</v>
          </cell>
          <cell r="H238" t="str">
            <v>抛光</v>
          </cell>
          <cell r="M238">
            <v>21</v>
          </cell>
          <cell r="N238">
            <v>21</v>
          </cell>
          <cell r="O238">
            <v>76.5</v>
          </cell>
          <cell r="P238">
            <v>88.5</v>
          </cell>
          <cell r="S238">
            <v>1950</v>
          </cell>
          <cell r="T238">
            <v>1720</v>
          </cell>
          <cell r="U238">
            <v>1720</v>
          </cell>
          <cell r="V238">
            <v>150</v>
          </cell>
          <cell r="W238">
            <v>150</v>
          </cell>
          <cell r="Y238">
            <v>0</v>
          </cell>
          <cell r="Z238">
            <v>14.83</v>
          </cell>
          <cell r="AA238">
            <v>1134</v>
          </cell>
          <cell r="AB238">
            <v>19.77</v>
          </cell>
          <cell r="AC238">
            <v>1750</v>
          </cell>
          <cell r="AF238">
            <v>0</v>
          </cell>
          <cell r="AG238">
            <v>80</v>
          </cell>
          <cell r="AI238">
            <v>0</v>
          </cell>
          <cell r="AK238">
            <v>4834</v>
          </cell>
          <cell r="AL238">
            <v>0</v>
          </cell>
          <cell r="AN238">
            <v>3341</v>
          </cell>
          <cell r="AO238">
            <v>10000</v>
          </cell>
          <cell r="AP238">
            <v>0</v>
          </cell>
          <cell r="AQ238">
            <v>0</v>
          </cell>
          <cell r="AR238">
            <v>0</v>
          </cell>
          <cell r="AU238">
            <v>0</v>
          </cell>
          <cell r="AV238">
            <v>8163.67</v>
          </cell>
          <cell r="AW238">
            <v>15000</v>
          </cell>
          <cell r="AX238">
            <v>-6836.33</v>
          </cell>
          <cell r="AY238">
            <v>0</v>
          </cell>
          <cell r="AZ238">
            <v>0</v>
          </cell>
          <cell r="BA238">
            <v>-11.33</v>
          </cell>
          <cell r="BB238">
            <v>0</v>
          </cell>
          <cell r="BD238">
            <v>-11</v>
          </cell>
          <cell r="BE238">
            <v>4823</v>
          </cell>
          <cell r="BF238">
            <v>4823</v>
          </cell>
          <cell r="BG238">
            <v>0</v>
          </cell>
          <cell r="BI238" t="str">
            <v>621 4391 8800 3267 1656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U238">
            <v>0</v>
          </cell>
        </row>
        <row r="239">
          <cell r="D239" t="str">
            <v>梁晓</v>
          </cell>
          <cell r="E239" t="str">
            <v>女</v>
          </cell>
          <cell r="F239" t="str">
            <v>440983199808291625</v>
          </cell>
          <cell r="G239" t="str">
            <v>抛光</v>
          </cell>
          <cell r="H239" t="str">
            <v>抛光</v>
          </cell>
          <cell r="M239">
            <v>21</v>
          </cell>
          <cell r="N239">
            <v>20.5</v>
          </cell>
          <cell r="O239">
            <v>68</v>
          </cell>
          <cell r="P239">
            <v>84</v>
          </cell>
          <cell r="S239">
            <v>1950</v>
          </cell>
          <cell r="T239">
            <v>1720</v>
          </cell>
          <cell r="U239">
            <v>1679</v>
          </cell>
          <cell r="V239">
            <v>150</v>
          </cell>
          <cell r="W239">
            <v>146</v>
          </cell>
          <cell r="Y239">
            <v>0</v>
          </cell>
          <cell r="Z239">
            <v>14.83</v>
          </cell>
          <cell r="AA239">
            <v>1008</v>
          </cell>
          <cell r="AB239">
            <v>19.77</v>
          </cell>
          <cell r="AC239">
            <v>1661</v>
          </cell>
          <cell r="AF239">
            <v>0</v>
          </cell>
          <cell r="AG239">
            <v>40</v>
          </cell>
          <cell r="AI239">
            <v>0</v>
          </cell>
          <cell r="AK239">
            <v>4534</v>
          </cell>
          <cell r="AL239">
            <v>0</v>
          </cell>
          <cell r="AN239">
            <v>1541</v>
          </cell>
          <cell r="AO239">
            <v>10000</v>
          </cell>
          <cell r="AP239">
            <v>0</v>
          </cell>
          <cell r="AQ239">
            <v>0</v>
          </cell>
          <cell r="AR239">
            <v>0</v>
          </cell>
          <cell r="AU239">
            <v>0</v>
          </cell>
          <cell r="AV239">
            <v>6075</v>
          </cell>
          <cell r="AW239">
            <v>15000</v>
          </cell>
          <cell r="AX239">
            <v>-8925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D239">
            <v>0</v>
          </cell>
          <cell r="BE239">
            <v>4534</v>
          </cell>
          <cell r="BF239">
            <v>4534</v>
          </cell>
          <cell r="BG239">
            <v>0</v>
          </cell>
          <cell r="BI239" t="str">
            <v>621 4391 8800 3274 2929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U239">
            <v>0</v>
          </cell>
        </row>
        <row r="240">
          <cell r="D240" t="str">
            <v>周妹</v>
          </cell>
          <cell r="E240" t="str">
            <v>女</v>
          </cell>
          <cell r="F240" t="str">
            <v>460026199802222423</v>
          </cell>
          <cell r="G240" t="str">
            <v>抛光</v>
          </cell>
          <cell r="H240" t="str">
            <v>抛光</v>
          </cell>
          <cell r="M240">
            <v>21</v>
          </cell>
          <cell r="N240">
            <v>21</v>
          </cell>
          <cell r="O240">
            <v>58</v>
          </cell>
          <cell r="P240">
            <v>75</v>
          </cell>
          <cell r="S240">
            <v>1950</v>
          </cell>
          <cell r="T240">
            <v>1720</v>
          </cell>
          <cell r="U240">
            <v>1720</v>
          </cell>
          <cell r="V240">
            <v>150</v>
          </cell>
          <cell r="W240">
            <v>150</v>
          </cell>
          <cell r="Y240">
            <v>0</v>
          </cell>
          <cell r="Z240">
            <v>14.83</v>
          </cell>
          <cell r="AA240">
            <v>860</v>
          </cell>
          <cell r="AB240">
            <v>19.77</v>
          </cell>
          <cell r="AC240">
            <v>1483</v>
          </cell>
          <cell r="AF240">
            <v>0</v>
          </cell>
          <cell r="AG240">
            <v>80</v>
          </cell>
          <cell r="AI240">
            <v>0</v>
          </cell>
          <cell r="AK240">
            <v>4293</v>
          </cell>
          <cell r="AL240">
            <v>0</v>
          </cell>
          <cell r="AN240">
            <v>3231</v>
          </cell>
          <cell r="AO240">
            <v>10000</v>
          </cell>
          <cell r="AP240">
            <v>0</v>
          </cell>
          <cell r="AQ240">
            <v>0</v>
          </cell>
          <cell r="AR240">
            <v>0</v>
          </cell>
          <cell r="AU240">
            <v>0</v>
          </cell>
          <cell r="AV240">
            <v>7524</v>
          </cell>
          <cell r="AW240">
            <v>15000</v>
          </cell>
          <cell r="AX240">
            <v>-7476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D240">
            <v>0</v>
          </cell>
          <cell r="BE240">
            <v>4293</v>
          </cell>
          <cell r="BF240">
            <v>4293</v>
          </cell>
          <cell r="BG240">
            <v>0</v>
          </cell>
          <cell r="BI240" t="str">
            <v>6214391880032329131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U240">
            <v>0</v>
          </cell>
        </row>
        <row r="241">
          <cell r="D241" t="str">
            <v>张东梅</v>
          </cell>
          <cell r="E241" t="str">
            <v>女</v>
          </cell>
          <cell r="F241" t="str">
            <v>532130198910141765</v>
          </cell>
          <cell r="G241" t="str">
            <v>抛光</v>
          </cell>
          <cell r="H241" t="str">
            <v>抛光</v>
          </cell>
          <cell r="M241">
            <v>21</v>
          </cell>
          <cell r="N241">
            <v>21</v>
          </cell>
          <cell r="O241">
            <v>73</v>
          </cell>
          <cell r="P241">
            <v>88.5</v>
          </cell>
          <cell r="S241">
            <v>1950</v>
          </cell>
          <cell r="T241">
            <v>1720</v>
          </cell>
          <cell r="U241">
            <v>1720</v>
          </cell>
          <cell r="V241">
            <v>150</v>
          </cell>
          <cell r="W241">
            <v>150</v>
          </cell>
          <cell r="Y241">
            <v>0</v>
          </cell>
          <cell r="Z241">
            <v>14.83</v>
          </cell>
          <cell r="AA241">
            <v>1083</v>
          </cell>
          <cell r="AB241">
            <v>19.77</v>
          </cell>
          <cell r="AC241">
            <v>1750</v>
          </cell>
          <cell r="AF241">
            <v>0</v>
          </cell>
          <cell r="AG241">
            <v>80</v>
          </cell>
          <cell r="AI241">
            <v>0</v>
          </cell>
          <cell r="AK241">
            <v>4783</v>
          </cell>
          <cell r="AL241">
            <v>0</v>
          </cell>
          <cell r="AN241">
            <v>1788</v>
          </cell>
          <cell r="AO241">
            <v>10000</v>
          </cell>
          <cell r="AP241">
            <v>0</v>
          </cell>
          <cell r="AQ241">
            <v>0</v>
          </cell>
          <cell r="AR241">
            <v>0</v>
          </cell>
          <cell r="AU241">
            <v>0</v>
          </cell>
          <cell r="AV241">
            <v>6571</v>
          </cell>
          <cell r="AW241">
            <v>15000</v>
          </cell>
          <cell r="AX241">
            <v>-8429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D241">
            <v>0</v>
          </cell>
          <cell r="BE241">
            <v>4783</v>
          </cell>
          <cell r="BF241">
            <v>4783</v>
          </cell>
          <cell r="BG241">
            <v>0</v>
          </cell>
          <cell r="BI241" t="str">
            <v>621 4391 8800 3274 2374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U241">
            <v>0</v>
          </cell>
        </row>
        <row r="242">
          <cell r="D242" t="str">
            <v>谭玉娟</v>
          </cell>
          <cell r="E242" t="str">
            <v>女</v>
          </cell>
          <cell r="F242" t="str">
            <v>450722199802074628</v>
          </cell>
          <cell r="G242" t="str">
            <v>抛光</v>
          </cell>
          <cell r="H242" t="str">
            <v>抛光</v>
          </cell>
          <cell r="M242">
            <v>21</v>
          </cell>
          <cell r="N242">
            <v>19.5</v>
          </cell>
          <cell r="O242">
            <v>45</v>
          </cell>
          <cell r="P242">
            <v>63</v>
          </cell>
          <cell r="S242">
            <v>1950</v>
          </cell>
          <cell r="T242">
            <v>1720</v>
          </cell>
          <cell r="U242">
            <v>1597</v>
          </cell>
          <cell r="V242">
            <v>150</v>
          </cell>
          <cell r="W242">
            <v>139</v>
          </cell>
          <cell r="Y242">
            <v>0</v>
          </cell>
          <cell r="Z242">
            <v>14.83</v>
          </cell>
          <cell r="AA242">
            <v>667</v>
          </cell>
          <cell r="AB242">
            <v>19.77</v>
          </cell>
          <cell r="AC242">
            <v>1246</v>
          </cell>
          <cell r="AF242">
            <v>0</v>
          </cell>
          <cell r="AI242">
            <v>0</v>
          </cell>
          <cell r="AK242">
            <v>3649</v>
          </cell>
          <cell r="AL242">
            <v>0</v>
          </cell>
          <cell r="AN242">
            <v>2731</v>
          </cell>
          <cell r="AO242">
            <v>10000</v>
          </cell>
          <cell r="AP242">
            <v>0</v>
          </cell>
          <cell r="AQ242">
            <v>0</v>
          </cell>
          <cell r="AR242">
            <v>0</v>
          </cell>
          <cell r="AU242">
            <v>0</v>
          </cell>
          <cell r="AV242">
            <v>6216.85</v>
          </cell>
          <cell r="AW242">
            <v>15000</v>
          </cell>
          <cell r="AX242">
            <v>-8783.15</v>
          </cell>
          <cell r="AY242">
            <v>0</v>
          </cell>
          <cell r="AZ242">
            <v>0</v>
          </cell>
          <cell r="BA242">
            <v>-163.15</v>
          </cell>
          <cell r="BB242">
            <v>0</v>
          </cell>
          <cell r="BD242">
            <v>-163</v>
          </cell>
          <cell r="BE242">
            <v>3486</v>
          </cell>
          <cell r="BF242">
            <v>3486</v>
          </cell>
          <cell r="BG242">
            <v>0</v>
          </cell>
          <cell r="BI242" t="str">
            <v>6214391880032123989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U242">
            <v>0</v>
          </cell>
        </row>
        <row r="243">
          <cell r="D243" t="str">
            <v>石丙生</v>
          </cell>
          <cell r="E243" t="str">
            <v>男</v>
          </cell>
          <cell r="F243" t="str">
            <v>452228199005183015</v>
          </cell>
          <cell r="G243" t="str">
            <v>抛光</v>
          </cell>
          <cell r="H243" t="str">
            <v>抛光</v>
          </cell>
          <cell r="AF243">
            <v>5218.65</v>
          </cell>
          <cell r="AI243">
            <v>0</v>
          </cell>
          <cell r="AK243">
            <v>5219</v>
          </cell>
          <cell r="AL243">
            <v>0</v>
          </cell>
          <cell r="AN243">
            <v>64636</v>
          </cell>
          <cell r="AO243">
            <v>45000</v>
          </cell>
          <cell r="AP243">
            <v>0</v>
          </cell>
          <cell r="AQ243">
            <v>0</v>
          </cell>
          <cell r="AR243">
            <v>0</v>
          </cell>
          <cell r="AU243">
            <v>0</v>
          </cell>
          <cell r="AV243">
            <v>69845</v>
          </cell>
          <cell r="AW243">
            <v>50000</v>
          </cell>
          <cell r="AX243">
            <v>19845</v>
          </cell>
          <cell r="AY243">
            <v>589.08</v>
          </cell>
          <cell r="AZ243">
            <v>-6.26999999999998</v>
          </cell>
          <cell r="BA243">
            <v>0</v>
          </cell>
          <cell r="BB243">
            <v>-10</v>
          </cell>
          <cell r="BD243">
            <v>-16</v>
          </cell>
          <cell r="BE243">
            <v>5203</v>
          </cell>
          <cell r="BF243">
            <v>5203</v>
          </cell>
          <cell r="BG243">
            <v>0</v>
          </cell>
          <cell r="BI243" t="str">
            <v>6214391880020218973</v>
          </cell>
          <cell r="BK243">
            <v>86.67</v>
          </cell>
          <cell r="BL243">
            <v>68.37</v>
          </cell>
          <cell r="BM243">
            <v>137.3</v>
          </cell>
          <cell r="BN243">
            <v>173.7</v>
          </cell>
          <cell r="BO243">
            <v>91.69</v>
          </cell>
          <cell r="BP243">
            <v>31.35</v>
          </cell>
          <cell r="BU243">
            <v>589.08</v>
          </cell>
        </row>
        <row r="244">
          <cell r="D244" t="str">
            <v>欧明军</v>
          </cell>
          <cell r="E244" t="str">
            <v>男</v>
          </cell>
          <cell r="F244" t="str">
            <v>430581198510076534</v>
          </cell>
          <cell r="G244" t="str">
            <v>抛光</v>
          </cell>
          <cell r="H244" t="str">
            <v>抛光</v>
          </cell>
          <cell r="AF244">
            <v>7834.41</v>
          </cell>
          <cell r="AI244">
            <v>0</v>
          </cell>
          <cell r="AK244">
            <v>7834</v>
          </cell>
          <cell r="AL244">
            <v>0</v>
          </cell>
          <cell r="AN244">
            <v>66953</v>
          </cell>
          <cell r="AO244">
            <v>45000</v>
          </cell>
          <cell r="AP244">
            <v>16000</v>
          </cell>
          <cell r="AQ244">
            <v>1000</v>
          </cell>
          <cell r="AR244">
            <v>1000</v>
          </cell>
          <cell r="AU244">
            <v>18000</v>
          </cell>
          <cell r="AV244">
            <v>74787</v>
          </cell>
          <cell r="AW244">
            <v>68000</v>
          </cell>
          <cell r="AX244">
            <v>6787</v>
          </cell>
          <cell r="AY244">
            <v>178.59</v>
          </cell>
          <cell r="AZ244">
            <v>-25.02</v>
          </cell>
          <cell r="BA244">
            <v>0</v>
          </cell>
          <cell r="BB244">
            <v>0</v>
          </cell>
          <cell r="BD244">
            <v>-25</v>
          </cell>
          <cell r="BE244">
            <v>7809</v>
          </cell>
          <cell r="BF244">
            <v>7809</v>
          </cell>
          <cell r="BG244">
            <v>0</v>
          </cell>
          <cell r="BI244" t="str">
            <v>6214391880021063899</v>
          </cell>
          <cell r="BK244">
            <v>25.56</v>
          </cell>
          <cell r="BL244">
            <v>0</v>
          </cell>
          <cell r="BM244">
            <v>32.55</v>
          </cell>
          <cell r="BN244">
            <v>140.8</v>
          </cell>
          <cell r="BO244">
            <v>2.84</v>
          </cell>
          <cell r="BP244">
            <v>-23.16</v>
          </cell>
          <cell r="BU244">
            <v>178.59</v>
          </cell>
        </row>
        <row r="245">
          <cell r="D245" t="str">
            <v>潘志林</v>
          </cell>
          <cell r="E245" t="str">
            <v>男</v>
          </cell>
          <cell r="F245" t="str">
            <v>452228198909163012</v>
          </cell>
          <cell r="G245" t="str">
            <v>抛光</v>
          </cell>
          <cell r="H245" t="str">
            <v>抛光</v>
          </cell>
          <cell r="AF245">
            <v>5031.27</v>
          </cell>
          <cell r="AI245">
            <v>0</v>
          </cell>
          <cell r="AK245">
            <v>5031</v>
          </cell>
          <cell r="AL245">
            <v>0</v>
          </cell>
          <cell r="AN245">
            <v>56513</v>
          </cell>
          <cell r="AO245">
            <v>45000</v>
          </cell>
          <cell r="AP245">
            <v>0</v>
          </cell>
          <cell r="AQ245">
            <v>0</v>
          </cell>
          <cell r="AR245">
            <v>0</v>
          </cell>
          <cell r="AU245">
            <v>0</v>
          </cell>
          <cell r="AV245">
            <v>61544</v>
          </cell>
          <cell r="AW245">
            <v>50000</v>
          </cell>
          <cell r="AX245">
            <v>11544</v>
          </cell>
          <cell r="AY245">
            <v>345.39</v>
          </cell>
          <cell r="AZ245">
            <v>-0.930000000000007</v>
          </cell>
          <cell r="BA245">
            <v>0</v>
          </cell>
          <cell r="BB245">
            <v>0</v>
          </cell>
          <cell r="BD245">
            <v>-1</v>
          </cell>
          <cell r="BE245">
            <v>5030</v>
          </cell>
          <cell r="BF245">
            <v>5030</v>
          </cell>
          <cell r="BG245">
            <v>0</v>
          </cell>
          <cell r="BI245" t="str">
            <v>6214391880023261459</v>
          </cell>
          <cell r="BK245">
            <v>127.3</v>
          </cell>
          <cell r="BL245">
            <v>34.83</v>
          </cell>
          <cell r="BM245">
            <v>62.4</v>
          </cell>
          <cell r="BN245">
            <v>76.92</v>
          </cell>
          <cell r="BO245">
            <v>33.05</v>
          </cell>
          <cell r="BP245">
            <v>10.89</v>
          </cell>
          <cell r="BU245">
            <v>345.39</v>
          </cell>
        </row>
        <row r="246">
          <cell r="D246" t="str">
            <v>甘宇宏</v>
          </cell>
          <cell r="E246" t="str">
            <v>男</v>
          </cell>
          <cell r="F246" t="str">
            <v>441622199704094717</v>
          </cell>
          <cell r="G246" t="str">
            <v>抛光</v>
          </cell>
          <cell r="H246" t="str">
            <v>抛光</v>
          </cell>
          <cell r="M246">
            <v>21</v>
          </cell>
          <cell r="N246">
            <v>21</v>
          </cell>
          <cell r="O246">
            <v>74</v>
          </cell>
          <cell r="P246">
            <v>85</v>
          </cell>
          <cell r="S246">
            <v>2850</v>
          </cell>
          <cell r="T246">
            <v>1720</v>
          </cell>
          <cell r="U246">
            <v>1720</v>
          </cell>
          <cell r="V246">
            <v>750</v>
          </cell>
          <cell r="W246">
            <v>750</v>
          </cell>
          <cell r="X246">
            <v>300</v>
          </cell>
          <cell r="Y246">
            <v>300</v>
          </cell>
          <cell r="Z246">
            <v>14.83</v>
          </cell>
          <cell r="AA246">
            <v>1097</v>
          </cell>
          <cell r="AB246">
            <v>19.77</v>
          </cell>
          <cell r="AC246">
            <v>1680</v>
          </cell>
          <cell r="AF246">
            <v>0</v>
          </cell>
          <cell r="AG246">
            <v>80</v>
          </cell>
          <cell r="AI246">
            <v>0</v>
          </cell>
          <cell r="AK246">
            <v>5627</v>
          </cell>
          <cell r="AL246">
            <v>0</v>
          </cell>
          <cell r="AN246">
            <v>46332.4655737705</v>
          </cell>
          <cell r="AO246">
            <v>45000</v>
          </cell>
          <cell r="AP246">
            <v>0</v>
          </cell>
          <cell r="AQ246">
            <v>0</v>
          </cell>
          <cell r="AR246">
            <v>0</v>
          </cell>
          <cell r="AU246">
            <v>0</v>
          </cell>
          <cell r="AV246">
            <v>51866.3155737705</v>
          </cell>
          <cell r="AW246">
            <v>50000</v>
          </cell>
          <cell r="AX246">
            <v>1866.3155737705</v>
          </cell>
          <cell r="AY246">
            <v>39.97</v>
          </cell>
          <cell r="AZ246">
            <v>-16.02</v>
          </cell>
          <cell r="BA246">
            <v>-33.15</v>
          </cell>
          <cell r="BB246">
            <v>-60</v>
          </cell>
          <cell r="BD246">
            <v>-109</v>
          </cell>
          <cell r="BE246">
            <v>5518</v>
          </cell>
          <cell r="BF246">
            <v>5518</v>
          </cell>
          <cell r="BG246">
            <v>0</v>
          </cell>
          <cell r="BI246" t="str">
            <v>6214391880021205532</v>
          </cell>
          <cell r="BK246">
            <v>45</v>
          </cell>
          <cell r="BL246">
            <v>42.51</v>
          </cell>
          <cell r="BM246">
            <v>34.14</v>
          </cell>
          <cell r="BN246">
            <v>27.21</v>
          </cell>
          <cell r="BO246">
            <v>-131.03</v>
          </cell>
          <cell r="BP246">
            <v>22.14</v>
          </cell>
          <cell r="BU246">
            <v>39.97</v>
          </cell>
        </row>
        <row r="247">
          <cell r="D247" t="str">
            <v>苏正田</v>
          </cell>
          <cell r="E247" t="str">
            <v>男</v>
          </cell>
          <cell r="F247" t="str">
            <v>452623198111242731</v>
          </cell>
          <cell r="G247" t="str">
            <v>抛光</v>
          </cell>
          <cell r="H247" t="str">
            <v>抛光</v>
          </cell>
          <cell r="AF247">
            <v>4405.14</v>
          </cell>
          <cell r="AI247">
            <v>0</v>
          </cell>
          <cell r="AK247">
            <v>4405</v>
          </cell>
          <cell r="AL247">
            <v>0</v>
          </cell>
          <cell r="AN247">
            <v>68885</v>
          </cell>
          <cell r="AO247">
            <v>45000</v>
          </cell>
          <cell r="AP247">
            <v>18000</v>
          </cell>
          <cell r="AQ247">
            <v>1000</v>
          </cell>
          <cell r="AR247">
            <v>1000</v>
          </cell>
          <cell r="AU247">
            <v>20000</v>
          </cell>
          <cell r="AV247">
            <v>73290</v>
          </cell>
          <cell r="AW247">
            <v>70000</v>
          </cell>
          <cell r="AX247">
            <v>3290</v>
          </cell>
          <cell r="AY247">
            <v>176.55</v>
          </cell>
          <cell r="AZ247">
            <v>77.85</v>
          </cell>
          <cell r="BA247">
            <v>0</v>
          </cell>
          <cell r="BB247">
            <v>0</v>
          </cell>
          <cell r="BD247">
            <v>78</v>
          </cell>
          <cell r="BE247">
            <v>4483</v>
          </cell>
          <cell r="BF247">
            <v>4483</v>
          </cell>
          <cell r="BG247">
            <v>0</v>
          </cell>
          <cell r="BI247" t="str">
            <v>6214391880021205524</v>
          </cell>
          <cell r="BK247">
            <v>207.1</v>
          </cell>
          <cell r="BL247">
            <v>18.84</v>
          </cell>
          <cell r="BM247">
            <v>75.51</v>
          </cell>
          <cell r="BN247">
            <v>150.4</v>
          </cell>
          <cell r="BO247">
            <v>-242.75</v>
          </cell>
          <cell r="BP247">
            <v>-32.55</v>
          </cell>
          <cell r="BU247">
            <v>176.55</v>
          </cell>
        </row>
        <row r="248">
          <cell r="D248" t="str">
            <v>李建华</v>
          </cell>
          <cell r="E248" t="str">
            <v>男</v>
          </cell>
          <cell r="F248" t="str">
            <v>362421196705128018</v>
          </cell>
          <cell r="G248" t="str">
            <v>抛光</v>
          </cell>
          <cell r="H248" t="str">
            <v>抛光</v>
          </cell>
          <cell r="AF248">
            <v>6584.14</v>
          </cell>
          <cell r="AI248">
            <v>0</v>
          </cell>
          <cell r="AK248">
            <v>6584</v>
          </cell>
          <cell r="AL248">
            <v>0</v>
          </cell>
          <cell r="AN248">
            <v>52696.6701149425</v>
          </cell>
          <cell r="AO248">
            <v>45000</v>
          </cell>
          <cell r="AP248">
            <v>0</v>
          </cell>
          <cell r="AQ248">
            <v>0</v>
          </cell>
          <cell r="AR248">
            <v>0</v>
          </cell>
          <cell r="AU248">
            <v>0</v>
          </cell>
          <cell r="AV248">
            <v>59258.1101149425</v>
          </cell>
          <cell r="AW248">
            <v>50000</v>
          </cell>
          <cell r="AX248">
            <v>9258.1101149425</v>
          </cell>
          <cell r="AY248">
            <v>230.9</v>
          </cell>
          <cell r="AZ248">
            <v>-46.8399999999999</v>
          </cell>
          <cell r="BA248">
            <v>-22.56</v>
          </cell>
          <cell r="BB248">
            <v>0</v>
          </cell>
          <cell r="BD248">
            <v>-69</v>
          </cell>
          <cell r="BE248">
            <v>6515</v>
          </cell>
          <cell r="BF248">
            <v>6515</v>
          </cell>
          <cell r="BG248">
            <v>0</v>
          </cell>
          <cell r="BI248" t="str">
            <v>6214391880026642309</v>
          </cell>
          <cell r="BK248">
            <v>86.61</v>
          </cell>
          <cell r="BL248">
            <v>18.54</v>
          </cell>
          <cell r="BM248">
            <v>66.12</v>
          </cell>
          <cell r="BN248">
            <v>171.8</v>
          </cell>
          <cell r="BO248">
            <v>-69.27</v>
          </cell>
          <cell r="BP248">
            <v>-42.9</v>
          </cell>
          <cell r="BU248">
            <v>230.9</v>
          </cell>
        </row>
        <row r="249">
          <cell r="D249" t="str">
            <v>周小平</v>
          </cell>
          <cell r="E249" t="str">
            <v>男</v>
          </cell>
          <cell r="F249" t="str">
            <v>500231198808124912</v>
          </cell>
          <cell r="G249" t="str">
            <v>抛光</v>
          </cell>
          <cell r="H249" t="str">
            <v>抛光</v>
          </cell>
          <cell r="AF249">
            <v>5282.91</v>
          </cell>
          <cell r="AI249">
            <v>0</v>
          </cell>
          <cell r="AK249">
            <v>5283</v>
          </cell>
          <cell r="AL249">
            <v>0</v>
          </cell>
          <cell r="AN249">
            <v>55852</v>
          </cell>
          <cell r="AO249">
            <v>45000</v>
          </cell>
          <cell r="AP249">
            <v>0</v>
          </cell>
          <cell r="AQ249">
            <v>0</v>
          </cell>
          <cell r="AR249">
            <v>0</v>
          </cell>
          <cell r="AU249">
            <v>0</v>
          </cell>
          <cell r="AV249">
            <v>61135</v>
          </cell>
          <cell r="AW249">
            <v>50000</v>
          </cell>
          <cell r="AX249">
            <v>11135</v>
          </cell>
          <cell r="AY249">
            <v>325.56</v>
          </cell>
          <cell r="AZ249">
            <v>-8.48999999999995</v>
          </cell>
          <cell r="BA249">
            <v>0</v>
          </cell>
          <cell r="BB249">
            <v>0</v>
          </cell>
          <cell r="BD249">
            <v>-8</v>
          </cell>
          <cell r="BE249">
            <v>5275</v>
          </cell>
          <cell r="BF249">
            <v>5275</v>
          </cell>
          <cell r="BG249">
            <v>0</v>
          </cell>
          <cell r="BI249" t="str">
            <v>6214391880026642846</v>
          </cell>
          <cell r="BK249">
            <v>289.7</v>
          </cell>
          <cell r="BL249">
            <v>6.03</v>
          </cell>
          <cell r="BM249">
            <v>0</v>
          </cell>
          <cell r="BN249">
            <v>219.5</v>
          </cell>
          <cell r="BO249">
            <v>-220.54</v>
          </cell>
          <cell r="BP249">
            <v>30.87</v>
          </cell>
          <cell r="BU249">
            <v>325.56</v>
          </cell>
        </row>
        <row r="250">
          <cell r="D250" t="str">
            <v>姜立桂</v>
          </cell>
          <cell r="E250" t="str">
            <v>男</v>
          </cell>
          <cell r="F250" t="str">
            <v>450721198506033011</v>
          </cell>
          <cell r="G250" t="str">
            <v>抛光</v>
          </cell>
          <cell r="H250" t="str">
            <v>抛光</v>
          </cell>
          <cell r="AF250">
            <v>3205.87</v>
          </cell>
          <cell r="AI250">
            <v>0</v>
          </cell>
          <cell r="AK250">
            <v>3206</v>
          </cell>
          <cell r="AL250">
            <v>0</v>
          </cell>
          <cell r="AN250">
            <v>45462.662804878</v>
          </cell>
          <cell r="AO250">
            <v>45000</v>
          </cell>
          <cell r="AP250">
            <v>17000</v>
          </cell>
          <cell r="AQ250">
            <v>1000</v>
          </cell>
          <cell r="AR250">
            <v>1000</v>
          </cell>
          <cell r="AU250">
            <v>19000</v>
          </cell>
          <cell r="AV250">
            <v>48585.652804878</v>
          </cell>
          <cell r="AW250">
            <v>69000</v>
          </cell>
          <cell r="AX250">
            <v>-20414.347195122</v>
          </cell>
          <cell r="AY250">
            <v>0</v>
          </cell>
          <cell r="AZ250">
            <v>0</v>
          </cell>
          <cell r="BA250">
            <v>-83.01</v>
          </cell>
          <cell r="BB250">
            <v>0</v>
          </cell>
          <cell r="BD250">
            <v>-83</v>
          </cell>
          <cell r="BE250">
            <v>3123</v>
          </cell>
          <cell r="BF250">
            <v>3123</v>
          </cell>
          <cell r="BG250">
            <v>0</v>
          </cell>
          <cell r="BI250" t="str">
            <v>6214391880026642820</v>
          </cell>
          <cell r="BK250">
            <v>3.51</v>
          </cell>
          <cell r="BL250">
            <v>0</v>
          </cell>
          <cell r="BM250">
            <v>0</v>
          </cell>
          <cell r="BN250">
            <v>20.02</v>
          </cell>
          <cell r="BO250">
            <v>-23.53</v>
          </cell>
          <cell r="BP250">
            <v>0</v>
          </cell>
          <cell r="BU250">
            <v>0</v>
          </cell>
        </row>
        <row r="251">
          <cell r="D251" t="str">
            <v>涂晓林</v>
          </cell>
          <cell r="E251" t="str">
            <v>男</v>
          </cell>
          <cell r="F251" t="str">
            <v>500234199105144398</v>
          </cell>
          <cell r="G251" t="str">
            <v>抛光</v>
          </cell>
          <cell r="H251" t="str">
            <v>抛光</v>
          </cell>
          <cell r="AF251">
            <v>4730.58</v>
          </cell>
          <cell r="AI251">
            <v>0</v>
          </cell>
          <cell r="AK251">
            <v>4731</v>
          </cell>
          <cell r="AL251">
            <v>0</v>
          </cell>
          <cell r="AN251">
            <v>59754</v>
          </cell>
          <cell r="AO251">
            <v>45000</v>
          </cell>
          <cell r="AP251">
            <v>0</v>
          </cell>
          <cell r="AQ251">
            <v>0</v>
          </cell>
          <cell r="AR251">
            <v>0</v>
          </cell>
          <cell r="AU251">
            <v>0</v>
          </cell>
          <cell r="AV251">
            <v>64485</v>
          </cell>
          <cell r="AW251">
            <v>50000</v>
          </cell>
          <cell r="AX251">
            <v>14485</v>
          </cell>
          <cell r="AY251">
            <v>442.62</v>
          </cell>
          <cell r="AZ251">
            <v>8.06999999999999</v>
          </cell>
          <cell r="BA251">
            <v>0</v>
          </cell>
          <cell r="BB251">
            <v>0</v>
          </cell>
          <cell r="BD251">
            <v>8</v>
          </cell>
          <cell r="BE251">
            <v>4739</v>
          </cell>
          <cell r="BF251">
            <v>4739</v>
          </cell>
          <cell r="BG251">
            <v>0</v>
          </cell>
          <cell r="BI251" t="str">
            <v>6214391880026642366</v>
          </cell>
          <cell r="BK251">
            <v>163.8</v>
          </cell>
          <cell r="BL251">
            <v>16.68</v>
          </cell>
          <cell r="BM251">
            <v>74.79</v>
          </cell>
          <cell r="BN251">
            <v>233.6</v>
          </cell>
          <cell r="BO251">
            <v>-47.45</v>
          </cell>
          <cell r="BP251">
            <v>1.19999999999999</v>
          </cell>
          <cell r="BU251">
            <v>442.62</v>
          </cell>
        </row>
        <row r="252">
          <cell r="D252" t="str">
            <v>陈均</v>
          </cell>
          <cell r="E252" t="str">
            <v>男</v>
          </cell>
          <cell r="F252" t="str">
            <v>510523197202191110</v>
          </cell>
          <cell r="G252" t="str">
            <v>抛光</v>
          </cell>
          <cell r="H252" t="str">
            <v>抛光</v>
          </cell>
          <cell r="AF252">
            <v>3689.2</v>
          </cell>
          <cell r="AI252">
            <v>0</v>
          </cell>
          <cell r="AK252">
            <v>3689</v>
          </cell>
          <cell r="AL252">
            <v>0</v>
          </cell>
          <cell r="AN252">
            <v>45105.47</v>
          </cell>
          <cell r="AO252">
            <v>45000</v>
          </cell>
          <cell r="AP252">
            <v>0</v>
          </cell>
          <cell r="AQ252">
            <v>0</v>
          </cell>
          <cell r="AR252">
            <v>0</v>
          </cell>
          <cell r="AU252">
            <v>0</v>
          </cell>
          <cell r="AV252">
            <v>48761.32</v>
          </cell>
          <cell r="AW252">
            <v>50000</v>
          </cell>
          <cell r="AX252">
            <v>-1238.68</v>
          </cell>
          <cell r="AY252">
            <v>3.16</v>
          </cell>
          <cell r="AZ252">
            <v>3.16</v>
          </cell>
          <cell r="BA252">
            <v>-33.15</v>
          </cell>
          <cell r="BB252">
            <v>0</v>
          </cell>
          <cell r="BD252">
            <v>-30</v>
          </cell>
          <cell r="BE252">
            <v>3659</v>
          </cell>
          <cell r="BF252">
            <v>3659</v>
          </cell>
          <cell r="BG252">
            <v>0</v>
          </cell>
          <cell r="BI252" t="str">
            <v>621 4391 8800 2905 5962</v>
          </cell>
          <cell r="BK252">
            <v>17.88</v>
          </cell>
          <cell r="BL252">
            <v>46.44</v>
          </cell>
          <cell r="BM252">
            <v>37.2</v>
          </cell>
          <cell r="BN252">
            <v>9.15</v>
          </cell>
          <cell r="BO252">
            <v>-16.04</v>
          </cell>
          <cell r="BP252">
            <v>-91.47</v>
          </cell>
          <cell r="BU252">
            <v>3.16</v>
          </cell>
        </row>
        <row r="253">
          <cell r="D253" t="str">
            <v>蓝崇规</v>
          </cell>
          <cell r="E253" t="str">
            <v>男</v>
          </cell>
          <cell r="F253" t="str">
            <v>452702197110162894</v>
          </cell>
          <cell r="G253" t="str">
            <v>抛光</v>
          </cell>
          <cell r="H253" t="str">
            <v>抛光</v>
          </cell>
          <cell r="AF253">
            <v>4912.02</v>
          </cell>
          <cell r="AI253">
            <v>0</v>
          </cell>
          <cell r="AK253">
            <v>4912</v>
          </cell>
          <cell r="AL253">
            <v>0</v>
          </cell>
          <cell r="AN253">
            <v>33692</v>
          </cell>
          <cell r="AO253">
            <v>45000</v>
          </cell>
          <cell r="AP253">
            <v>0</v>
          </cell>
          <cell r="AQ253">
            <v>0</v>
          </cell>
          <cell r="AR253">
            <v>0</v>
          </cell>
          <cell r="AU253">
            <v>0</v>
          </cell>
          <cell r="AV253">
            <v>38604</v>
          </cell>
          <cell r="AW253">
            <v>50000</v>
          </cell>
          <cell r="AX253">
            <v>-11396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D253">
            <v>0</v>
          </cell>
          <cell r="BE253">
            <v>4912</v>
          </cell>
          <cell r="BF253">
            <v>4912</v>
          </cell>
          <cell r="BG253">
            <v>0</v>
          </cell>
          <cell r="BI253" t="str">
            <v>6214391880029055681</v>
          </cell>
          <cell r="BK253">
            <v>0</v>
          </cell>
          <cell r="BL253">
            <v>0</v>
          </cell>
          <cell r="BM253">
            <v>0</v>
          </cell>
          <cell r="BN253">
            <v>7.32</v>
          </cell>
          <cell r="BO253">
            <v>-7.32</v>
          </cell>
          <cell r="BP253">
            <v>0</v>
          </cell>
          <cell r="BU253">
            <v>0</v>
          </cell>
        </row>
        <row r="254">
          <cell r="D254" t="str">
            <v>粟明元</v>
          </cell>
          <cell r="E254" t="str">
            <v>男</v>
          </cell>
          <cell r="F254" t="str">
            <v>51302219870923139X</v>
          </cell>
          <cell r="G254" t="str">
            <v>抛光</v>
          </cell>
          <cell r="H254" t="str">
            <v>抛光</v>
          </cell>
          <cell r="AF254">
            <v>4499.38</v>
          </cell>
          <cell r="AI254">
            <v>0</v>
          </cell>
          <cell r="AK254">
            <v>4499</v>
          </cell>
          <cell r="AL254">
            <v>0</v>
          </cell>
          <cell r="AN254">
            <v>31858.47</v>
          </cell>
          <cell r="AO254">
            <v>40000</v>
          </cell>
          <cell r="AP254">
            <v>0</v>
          </cell>
          <cell r="AQ254">
            <v>0</v>
          </cell>
          <cell r="AR254">
            <v>0</v>
          </cell>
          <cell r="AU254">
            <v>0</v>
          </cell>
          <cell r="AV254">
            <v>36324.32</v>
          </cell>
          <cell r="AW254">
            <v>45000</v>
          </cell>
          <cell r="AX254">
            <v>-8675.68</v>
          </cell>
          <cell r="AY254">
            <v>0</v>
          </cell>
          <cell r="AZ254">
            <v>0</v>
          </cell>
          <cell r="BA254">
            <v>-33.15</v>
          </cell>
          <cell r="BB254">
            <v>0</v>
          </cell>
          <cell r="BD254">
            <v>-33</v>
          </cell>
          <cell r="BE254">
            <v>4466</v>
          </cell>
          <cell r="BF254">
            <v>4466</v>
          </cell>
          <cell r="BG254">
            <v>0</v>
          </cell>
          <cell r="BI254" t="str">
            <v>6214391880029055947</v>
          </cell>
          <cell r="BK254">
            <v>0</v>
          </cell>
          <cell r="BL254">
            <v>0</v>
          </cell>
          <cell r="BM254">
            <v>49.56</v>
          </cell>
          <cell r="BN254">
            <v>33.12</v>
          </cell>
          <cell r="BO254">
            <v>-82.68</v>
          </cell>
          <cell r="BP254">
            <v>0</v>
          </cell>
          <cell r="BU254">
            <v>0</v>
          </cell>
        </row>
        <row r="255">
          <cell r="D255" t="str">
            <v>杨李杰</v>
          </cell>
          <cell r="E255" t="str">
            <v>男</v>
          </cell>
          <cell r="F255" t="str">
            <v>142726197408132717</v>
          </cell>
          <cell r="G255" t="str">
            <v>抛光</v>
          </cell>
          <cell r="H255" t="str">
            <v>抛光</v>
          </cell>
          <cell r="AF255">
            <v>6225.13</v>
          </cell>
          <cell r="AI255">
            <v>0</v>
          </cell>
          <cell r="AK255">
            <v>6225</v>
          </cell>
          <cell r="AL255">
            <v>0</v>
          </cell>
          <cell r="AN255">
            <v>44222.67</v>
          </cell>
          <cell r="AO255">
            <v>40000</v>
          </cell>
          <cell r="AP255">
            <v>20000</v>
          </cell>
          <cell r="AQ255">
            <v>500</v>
          </cell>
          <cell r="AR255">
            <v>2000</v>
          </cell>
          <cell r="AU255">
            <v>22500</v>
          </cell>
          <cell r="AV255">
            <v>50425.11</v>
          </cell>
          <cell r="AW255">
            <v>67500</v>
          </cell>
          <cell r="AX255">
            <v>-17074.89</v>
          </cell>
          <cell r="AY255">
            <v>0</v>
          </cell>
          <cell r="AZ255">
            <v>0</v>
          </cell>
          <cell r="BA255">
            <v>-22.56</v>
          </cell>
          <cell r="BB255">
            <v>0</v>
          </cell>
          <cell r="BD255">
            <v>-23</v>
          </cell>
          <cell r="BE255">
            <v>6202</v>
          </cell>
          <cell r="BF255">
            <v>6202</v>
          </cell>
          <cell r="BG255">
            <v>0</v>
          </cell>
          <cell r="BI255" t="str">
            <v>6214391880029055921</v>
          </cell>
          <cell r="BK255">
            <v>161.6</v>
          </cell>
          <cell r="BL255">
            <v>82.38</v>
          </cell>
          <cell r="BM255">
            <v>74.91</v>
          </cell>
          <cell r="BN255">
            <v>51.75</v>
          </cell>
          <cell r="BO255">
            <v>-370.64</v>
          </cell>
          <cell r="BP255">
            <v>0</v>
          </cell>
          <cell r="BU255">
            <v>0</v>
          </cell>
        </row>
        <row r="256">
          <cell r="D256" t="str">
            <v>潘红兵</v>
          </cell>
          <cell r="E256" t="str">
            <v>男</v>
          </cell>
          <cell r="F256" t="str">
            <v>422432197404104557</v>
          </cell>
          <cell r="G256" t="str">
            <v>抛光</v>
          </cell>
          <cell r="H256" t="str">
            <v>抛光</v>
          </cell>
          <cell r="AF256">
            <v>5359.71</v>
          </cell>
          <cell r="AI256">
            <v>0</v>
          </cell>
          <cell r="AK256">
            <v>5360</v>
          </cell>
          <cell r="AL256">
            <v>0</v>
          </cell>
          <cell r="AN256">
            <v>38018.34</v>
          </cell>
          <cell r="AO256">
            <v>40000</v>
          </cell>
          <cell r="AP256">
            <v>0</v>
          </cell>
          <cell r="AQ256">
            <v>0</v>
          </cell>
          <cell r="AR256">
            <v>0</v>
          </cell>
          <cell r="AU256">
            <v>0</v>
          </cell>
          <cell r="AV256">
            <v>43304.11</v>
          </cell>
          <cell r="AW256">
            <v>45000</v>
          </cell>
          <cell r="AX256">
            <v>-1695.89</v>
          </cell>
          <cell r="AY256">
            <v>0</v>
          </cell>
          <cell r="AZ256">
            <v>0</v>
          </cell>
          <cell r="BA256">
            <v>-74.23</v>
          </cell>
          <cell r="BB256">
            <v>0</v>
          </cell>
          <cell r="BD256">
            <v>-74</v>
          </cell>
          <cell r="BE256">
            <v>5286</v>
          </cell>
          <cell r="BF256">
            <v>5286</v>
          </cell>
          <cell r="BG256">
            <v>0</v>
          </cell>
          <cell r="BI256" t="str">
            <v>6214391880029055897</v>
          </cell>
          <cell r="BK256">
            <v>23.73</v>
          </cell>
          <cell r="BL256">
            <v>11.4</v>
          </cell>
          <cell r="BM256">
            <v>36.42</v>
          </cell>
          <cell r="BN256">
            <v>68.01</v>
          </cell>
          <cell r="BO256">
            <v>-139.56</v>
          </cell>
          <cell r="BP256">
            <v>0</v>
          </cell>
          <cell r="BU256">
            <v>0</v>
          </cell>
        </row>
        <row r="257">
          <cell r="D257" t="str">
            <v>杨秀云</v>
          </cell>
          <cell r="E257" t="str">
            <v>男</v>
          </cell>
          <cell r="F257" t="str">
            <v>522601198601044412</v>
          </cell>
          <cell r="G257" t="str">
            <v>抛光</v>
          </cell>
          <cell r="H257" t="str">
            <v>抛光</v>
          </cell>
          <cell r="AF257">
            <v>6260.5</v>
          </cell>
          <cell r="AI257">
            <v>0</v>
          </cell>
          <cell r="AK257">
            <v>6261</v>
          </cell>
          <cell r="AL257">
            <v>0</v>
          </cell>
          <cell r="AN257">
            <v>40582.47</v>
          </cell>
          <cell r="AO257">
            <v>40000</v>
          </cell>
          <cell r="AP257">
            <v>0</v>
          </cell>
          <cell r="AQ257">
            <v>0</v>
          </cell>
          <cell r="AR257">
            <v>0</v>
          </cell>
          <cell r="AU257">
            <v>0</v>
          </cell>
          <cell r="AV257">
            <v>46810.32</v>
          </cell>
          <cell r="AW257">
            <v>45000</v>
          </cell>
          <cell r="AX257">
            <v>1810.32</v>
          </cell>
          <cell r="AY257">
            <v>17.47</v>
          </cell>
          <cell r="AZ257">
            <v>-36.84</v>
          </cell>
          <cell r="BA257">
            <v>-33.15</v>
          </cell>
          <cell r="BB257">
            <v>0</v>
          </cell>
          <cell r="BD257">
            <v>-70</v>
          </cell>
          <cell r="BE257">
            <v>6191</v>
          </cell>
          <cell r="BF257">
            <v>6191</v>
          </cell>
          <cell r="BG257">
            <v>0</v>
          </cell>
          <cell r="BI257" t="str">
            <v>6214391880029056101</v>
          </cell>
          <cell r="BK257">
            <v>25.77</v>
          </cell>
          <cell r="BL257">
            <v>36.51</v>
          </cell>
          <cell r="BM257">
            <v>54.21</v>
          </cell>
          <cell r="BN257">
            <v>73.92</v>
          </cell>
          <cell r="BO257">
            <v>-170.06</v>
          </cell>
          <cell r="BP257">
            <v>-2.88</v>
          </cell>
          <cell r="BU257">
            <v>17.47</v>
          </cell>
        </row>
        <row r="258">
          <cell r="D258" t="str">
            <v>李鸿金</v>
          </cell>
          <cell r="E258" t="str">
            <v>男</v>
          </cell>
          <cell r="F258" t="str">
            <v>452122198701085496</v>
          </cell>
          <cell r="G258" t="str">
            <v>抛光</v>
          </cell>
          <cell r="H258" t="str">
            <v>抛光</v>
          </cell>
          <cell r="AF258">
            <v>7516.2</v>
          </cell>
          <cell r="AI258">
            <v>0</v>
          </cell>
          <cell r="AK258">
            <v>7516</v>
          </cell>
          <cell r="AL258">
            <v>0</v>
          </cell>
          <cell r="AN258">
            <v>45927</v>
          </cell>
          <cell r="AO258">
            <v>35000</v>
          </cell>
          <cell r="AP258">
            <v>0</v>
          </cell>
          <cell r="AQ258">
            <v>0</v>
          </cell>
          <cell r="AR258">
            <v>0</v>
          </cell>
          <cell r="AU258">
            <v>0</v>
          </cell>
          <cell r="AV258">
            <v>53443</v>
          </cell>
          <cell r="AW258">
            <v>40000</v>
          </cell>
          <cell r="AX258">
            <v>13443</v>
          </cell>
          <cell r="AY258">
            <v>327.81</v>
          </cell>
          <cell r="AZ258">
            <v>-75.48</v>
          </cell>
          <cell r="BA258">
            <v>0</v>
          </cell>
          <cell r="BB258">
            <v>0</v>
          </cell>
          <cell r="BD258">
            <v>-75</v>
          </cell>
          <cell r="BE258">
            <v>7441</v>
          </cell>
          <cell r="BF258">
            <v>7441</v>
          </cell>
          <cell r="BG258">
            <v>0</v>
          </cell>
          <cell r="BI258" t="str">
            <v>621 4391 8800 2984 3573</v>
          </cell>
          <cell r="BK258">
            <v>60.66</v>
          </cell>
          <cell r="BL258">
            <v>44.4</v>
          </cell>
          <cell r="BM258">
            <v>72.54</v>
          </cell>
          <cell r="BN258">
            <v>139.6</v>
          </cell>
          <cell r="BO258">
            <v>-43.18</v>
          </cell>
          <cell r="BP258">
            <v>53.79</v>
          </cell>
          <cell r="BU258">
            <v>327.81</v>
          </cell>
        </row>
        <row r="259">
          <cell r="D259" t="str">
            <v>康美华</v>
          </cell>
          <cell r="E259" t="str">
            <v>男</v>
          </cell>
          <cell r="F259" t="str">
            <v>500234198802293896</v>
          </cell>
          <cell r="G259" t="str">
            <v>抛光</v>
          </cell>
          <cell r="H259" t="str">
            <v>抛光</v>
          </cell>
          <cell r="AF259">
            <v>2232.93</v>
          </cell>
          <cell r="AI259">
            <v>0</v>
          </cell>
          <cell r="AK259">
            <v>2233</v>
          </cell>
          <cell r="AL259">
            <v>0</v>
          </cell>
          <cell r="AN259">
            <v>45748</v>
          </cell>
          <cell r="AO259">
            <v>45000</v>
          </cell>
          <cell r="AP259">
            <v>18000</v>
          </cell>
          <cell r="AQ259">
            <v>2000</v>
          </cell>
          <cell r="AR259">
            <v>0</v>
          </cell>
          <cell r="AU259">
            <v>20000</v>
          </cell>
          <cell r="AV259">
            <v>47981</v>
          </cell>
          <cell r="AW259">
            <v>70000</v>
          </cell>
          <cell r="AX259">
            <v>-22019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D259">
            <v>0</v>
          </cell>
          <cell r="BE259">
            <v>2233</v>
          </cell>
          <cell r="BF259">
            <v>2233</v>
          </cell>
          <cell r="BG259">
            <v>0</v>
          </cell>
          <cell r="BI259" t="str">
            <v>6214391880021063857</v>
          </cell>
          <cell r="BK259">
            <v>127.7</v>
          </cell>
          <cell r="BL259">
            <v>5.01</v>
          </cell>
          <cell r="BM259">
            <v>48.3</v>
          </cell>
          <cell r="BN259">
            <v>57.33</v>
          </cell>
          <cell r="BO259">
            <v>-238.34</v>
          </cell>
          <cell r="BP259">
            <v>0</v>
          </cell>
          <cell r="BU259">
            <v>0</v>
          </cell>
        </row>
        <row r="260">
          <cell r="D260" t="str">
            <v>吴永山</v>
          </cell>
          <cell r="E260" t="str">
            <v>男</v>
          </cell>
          <cell r="F260" t="str">
            <v>522601198311114435</v>
          </cell>
          <cell r="G260" t="str">
            <v>抛光</v>
          </cell>
          <cell r="H260" t="str">
            <v>抛光</v>
          </cell>
          <cell r="AF260">
            <v>5332.18</v>
          </cell>
          <cell r="AI260">
            <v>0</v>
          </cell>
          <cell r="AK260">
            <v>5332</v>
          </cell>
          <cell r="AL260">
            <v>0</v>
          </cell>
          <cell r="AN260">
            <v>41390.47</v>
          </cell>
          <cell r="AO260">
            <v>45000</v>
          </cell>
          <cell r="AP260">
            <v>18000</v>
          </cell>
          <cell r="AQ260">
            <v>1000</v>
          </cell>
          <cell r="AR260">
            <v>1000</v>
          </cell>
          <cell r="AU260">
            <v>20000</v>
          </cell>
          <cell r="AV260">
            <v>46722.47</v>
          </cell>
          <cell r="AW260">
            <v>70000</v>
          </cell>
          <cell r="AX260">
            <v>-23277.53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D260">
            <v>0</v>
          </cell>
          <cell r="BE260">
            <v>5332</v>
          </cell>
          <cell r="BF260">
            <v>5332</v>
          </cell>
          <cell r="BG260">
            <v>0</v>
          </cell>
          <cell r="BI260" t="str">
            <v>6214391880026642333</v>
          </cell>
          <cell r="BK260">
            <v>177.1</v>
          </cell>
          <cell r="BL260">
            <v>48.3</v>
          </cell>
          <cell r="BM260">
            <v>66.72</v>
          </cell>
          <cell r="BN260">
            <v>0</v>
          </cell>
          <cell r="BO260">
            <v>-292.12</v>
          </cell>
          <cell r="BP260">
            <v>0</v>
          </cell>
          <cell r="BU260">
            <v>0</v>
          </cell>
        </row>
        <row r="261">
          <cell r="D261" t="str">
            <v>唐佳郴</v>
          </cell>
          <cell r="E261" t="str">
            <v>男</v>
          </cell>
          <cell r="F261" t="str">
            <v>511622199805067011</v>
          </cell>
          <cell r="G261" t="str">
            <v>抛光</v>
          </cell>
          <cell r="H261" t="str">
            <v>抛光</v>
          </cell>
          <cell r="AF261">
            <v>6378.5</v>
          </cell>
          <cell r="AI261">
            <v>0</v>
          </cell>
          <cell r="AK261">
            <v>6379</v>
          </cell>
          <cell r="AL261">
            <v>0</v>
          </cell>
          <cell r="AN261">
            <v>28677.8285714286</v>
          </cell>
          <cell r="AO261">
            <v>25000</v>
          </cell>
          <cell r="AP261">
            <v>0</v>
          </cell>
          <cell r="AQ261">
            <v>0</v>
          </cell>
          <cell r="AR261">
            <v>0</v>
          </cell>
          <cell r="AU261">
            <v>0</v>
          </cell>
          <cell r="AV261">
            <v>35056.8285714286</v>
          </cell>
          <cell r="AW261">
            <v>30000</v>
          </cell>
          <cell r="AX261">
            <v>5056.8285714286</v>
          </cell>
          <cell r="AY261">
            <v>110.33</v>
          </cell>
          <cell r="AZ261">
            <v>-41.37</v>
          </cell>
          <cell r="BA261">
            <v>0</v>
          </cell>
          <cell r="BB261">
            <v>0</v>
          </cell>
          <cell r="BD261">
            <v>-41</v>
          </cell>
          <cell r="BE261">
            <v>6338</v>
          </cell>
          <cell r="BF261">
            <v>6338</v>
          </cell>
          <cell r="BG261">
            <v>0</v>
          </cell>
          <cell r="BI261" t="str">
            <v>621 4391 8800 2664 2903</v>
          </cell>
          <cell r="BK261">
            <v>0</v>
          </cell>
          <cell r="BL261">
            <v>0</v>
          </cell>
          <cell r="BM261">
            <v>62.4</v>
          </cell>
          <cell r="BN261">
            <v>86.28</v>
          </cell>
          <cell r="BO261">
            <v>-49.72</v>
          </cell>
          <cell r="BP261">
            <v>11.37</v>
          </cell>
          <cell r="BU261">
            <v>110.33</v>
          </cell>
        </row>
        <row r="262">
          <cell r="D262" t="str">
            <v>肖爱勇</v>
          </cell>
          <cell r="E262" t="str">
            <v>男</v>
          </cell>
          <cell r="F262" t="str">
            <v>430523197606262317</v>
          </cell>
          <cell r="G262" t="str">
            <v>抛光</v>
          </cell>
          <cell r="H262" t="str">
            <v>抛光</v>
          </cell>
          <cell r="AF262">
            <v>7468.1</v>
          </cell>
          <cell r="AI262">
            <v>0</v>
          </cell>
          <cell r="AK262">
            <v>7468</v>
          </cell>
          <cell r="AL262">
            <v>0</v>
          </cell>
          <cell r="AN262">
            <v>33695</v>
          </cell>
          <cell r="AO262">
            <v>30000</v>
          </cell>
          <cell r="AP262">
            <v>0</v>
          </cell>
          <cell r="AQ262">
            <v>0</v>
          </cell>
          <cell r="AR262">
            <v>0</v>
          </cell>
          <cell r="AU262">
            <v>0</v>
          </cell>
          <cell r="AV262">
            <v>41163</v>
          </cell>
          <cell r="AW262">
            <v>35000</v>
          </cell>
          <cell r="AX262">
            <v>6163</v>
          </cell>
          <cell r="AY262">
            <v>110.85</v>
          </cell>
          <cell r="AZ262">
            <v>-74.04</v>
          </cell>
          <cell r="BA262">
            <v>0</v>
          </cell>
          <cell r="BB262">
            <v>0</v>
          </cell>
          <cell r="BD262">
            <v>-74</v>
          </cell>
          <cell r="BE262">
            <v>7394</v>
          </cell>
          <cell r="BF262">
            <v>7394</v>
          </cell>
          <cell r="BG262">
            <v>0</v>
          </cell>
          <cell r="BI262" t="str">
            <v>621 4391 8800 3015 7658</v>
          </cell>
          <cell r="BK262">
            <v>0</v>
          </cell>
          <cell r="BL262">
            <v>0</v>
          </cell>
          <cell r="BM262">
            <v>0</v>
          </cell>
          <cell r="BN262">
            <v>122.1</v>
          </cell>
          <cell r="BO262">
            <v>-114.15</v>
          </cell>
          <cell r="BP262">
            <v>102.9</v>
          </cell>
          <cell r="BU262">
            <v>110.85</v>
          </cell>
        </row>
        <row r="263">
          <cell r="D263" t="str">
            <v>李育道</v>
          </cell>
          <cell r="E263" t="str">
            <v>男</v>
          </cell>
          <cell r="F263" t="str">
            <v>441624197304186114</v>
          </cell>
          <cell r="G263" t="str">
            <v>抛光</v>
          </cell>
          <cell r="H263" t="str">
            <v>抛光</v>
          </cell>
          <cell r="AF263">
            <v>9407.3</v>
          </cell>
          <cell r="AI263">
            <v>0</v>
          </cell>
          <cell r="AK263">
            <v>9407</v>
          </cell>
          <cell r="AL263">
            <v>0</v>
          </cell>
          <cell r="AN263">
            <v>42300.8</v>
          </cell>
          <cell r="AO263">
            <v>30000</v>
          </cell>
          <cell r="AP263">
            <v>20000</v>
          </cell>
          <cell r="AQ263">
            <v>2000</v>
          </cell>
          <cell r="AR263">
            <v>2000</v>
          </cell>
          <cell r="AU263">
            <v>24000</v>
          </cell>
          <cell r="AV263">
            <v>51632.92</v>
          </cell>
          <cell r="AW263">
            <v>59000</v>
          </cell>
          <cell r="AX263">
            <v>-7367.07999999999</v>
          </cell>
          <cell r="AY263">
            <v>0</v>
          </cell>
          <cell r="AZ263">
            <v>0</v>
          </cell>
          <cell r="BA263">
            <v>-74.88</v>
          </cell>
          <cell r="BB263">
            <v>0</v>
          </cell>
          <cell r="BD263">
            <v>-75</v>
          </cell>
          <cell r="BE263">
            <v>9332</v>
          </cell>
          <cell r="BF263">
            <v>9332</v>
          </cell>
          <cell r="BG263">
            <v>0</v>
          </cell>
          <cell r="BI263" t="str">
            <v>621 4391 8800 3016 0900</v>
          </cell>
          <cell r="BK263">
            <v>0</v>
          </cell>
          <cell r="BL263">
            <v>0</v>
          </cell>
          <cell r="BM263">
            <v>350.5</v>
          </cell>
          <cell r="BN263">
            <v>45.72</v>
          </cell>
          <cell r="BO263">
            <v>-396.22</v>
          </cell>
          <cell r="BP263">
            <v>0</v>
          </cell>
          <cell r="BU263">
            <v>0</v>
          </cell>
        </row>
        <row r="264">
          <cell r="D264" t="str">
            <v>李亚焦</v>
          </cell>
          <cell r="E264" t="str">
            <v>男</v>
          </cell>
          <cell r="F264" t="str">
            <v>441624198010116115</v>
          </cell>
          <cell r="G264" t="str">
            <v>抛光</v>
          </cell>
          <cell r="H264" t="str">
            <v>抛光</v>
          </cell>
          <cell r="AF264">
            <v>6984</v>
          </cell>
          <cell r="AI264">
            <v>0</v>
          </cell>
          <cell r="AK264">
            <v>6984</v>
          </cell>
          <cell r="AL264">
            <v>0</v>
          </cell>
          <cell r="AN264">
            <v>32027.8</v>
          </cell>
          <cell r="AO264">
            <v>30000</v>
          </cell>
          <cell r="AP264">
            <v>0</v>
          </cell>
          <cell r="AQ264">
            <v>0</v>
          </cell>
          <cell r="AR264">
            <v>0</v>
          </cell>
          <cell r="AU264">
            <v>0</v>
          </cell>
          <cell r="AV264">
            <v>38936.92</v>
          </cell>
          <cell r="AW264">
            <v>35000</v>
          </cell>
          <cell r="AX264">
            <v>3936.92</v>
          </cell>
          <cell r="AY264">
            <v>60.83</v>
          </cell>
          <cell r="AZ264">
            <v>-57.28</v>
          </cell>
          <cell r="BA264">
            <v>-74.88</v>
          </cell>
          <cell r="BB264">
            <v>0</v>
          </cell>
          <cell r="BD264">
            <v>-132</v>
          </cell>
          <cell r="BE264">
            <v>6852</v>
          </cell>
          <cell r="BF264">
            <v>6852</v>
          </cell>
          <cell r="BG264">
            <v>0</v>
          </cell>
          <cell r="BI264" t="str">
            <v>621 4391 8800 3036 3314</v>
          </cell>
          <cell r="BK264">
            <v>0</v>
          </cell>
          <cell r="BL264">
            <v>0</v>
          </cell>
          <cell r="BM264">
            <v>133.7</v>
          </cell>
          <cell r="BN264">
            <v>144.6</v>
          </cell>
          <cell r="BO264">
            <v>-251.16</v>
          </cell>
          <cell r="BP264">
            <v>33.69</v>
          </cell>
          <cell r="BU264">
            <v>60.83</v>
          </cell>
        </row>
        <row r="265">
          <cell r="D265" t="str">
            <v>李文明</v>
          </cell>
          <cell r="E265" t="str">
            <v>男</v>
          </cell>
          <cell r="F265" t="str">
            <v>341221198705061339</v>
          </cell>
          <cell r="G265" t="str">
            <v>抛光</v>
          </cell>
          <cell r="H265" t="str">
            <v>抛光</v>
          </cell>
          <cell r="AF265">
            <v>11846.8</v>
          </cell>
          <cell r="AI265">
            <v>0</v>
          </cell>
          <cell r="AK265">
            <v>11847</v>
          </cell>
          <cell r="AL265">
            <v>0</v>
          </cell>
          <cell r="AN265">
            <v>35276.58</v>
          </cell>
          <cell r="AO265">
            <v>30000</v>
          </cell>
          <cell r="AP265">
            <v>0</v>
          </cell>
          <cell r="AQ265">
            <v>0</v>
          </cell>
          <cell r="AR265">
            <v>0</v>
          </cell>
          <cell r="AU265">
            <v>0</v>
          </cell>
          <cell r="AV265">
            <v>46811.72</v>
          </cell>
          <cell r="AW265">
            <v>35000</v>
          </cell>
          <cell r="AX265">
            <v>11811.72</v>
          </cell>
          <cell r="AY265">
            <v>158.3</v>
          </cell>
          <cell r="AZ265">
            <v>-196.05</v>
          </cell>
          <cell r="BA265">
            <v>-301.86</v>
          </cell>
          <cell r="BB265">
            <v>-10</v>
          </cell>
          <cell r="BD265">
            <v>-508</v>
          </cell>
          <cell r="BE265">
            <v>11339</v>
          </cell>
          <cell r="BF265">
            <v>11339</v>
          </cell>
          <cell r="BG265">
            <v>0</v>
          </cell>
          <cell r="BI265" t="str">
            <v>621 4391 8800 3016 0892</v>
          </cell>
          <cell r="BK265">
            <v>0</v>
          </cell>
          <cell r="BL265">
            <v>0</v>
          </cell>
          <cell r="BM265">
            <v>346.5</v>
          </cell>
          <cell r="BN265">
            <v>240.5</v>
          </cell>
          <cell r="BO265">
            <v>-571.05</v>
          </cell>
          <cell r="BP265">
            <v>142.35</v>
          </cell>
          <cell r="BU265">
            <v>158.3</v>
          </cell>
        </row>
        <row r="266">
          <cell r="D266" t="str">
            <v>何中全</v>
          </cell>
          <cell r="E266" t="str">
            <v>男</v>
          </cell>
          <cell r="F266" t="str">
            <v>431124198707032051</v>
          </cell>
          <cell r="G266" t="str">
            <v>抛光</v>
          </cell>
          <cell r="H266" t="str">
            <v>抛光</v>
          </cell>
          <cell r="AF266">
            <v>8715.1</v>
          </cell>
          <cell r="AI266">
            <v>0</v>
          </cell>
          <cell r="AK266">
            <v>8715</v>
          </cell>
          <cell r="AL266">
            <v>0</v>
          </cell>
          <cell r="AN266">
            <v>37872</v>
          </cell>
          <cell r="AO266">
            <v>30000</v>
          </cell>
          <cell r="AP266">
            <v>0</v>
          </cell>
          <cell r="AQ266">
            <v>0</v>
          </cell>
          <cell r="AR266">
            <v>0</v>
          </cell>
          <cell r="AU266">
            <v>0</v>
          </cell>
          <cell r="AV266">
            <v>46587</v>
          </cell>
          <cell r="AW266">
            <v>35000</v>
          </cell>
          <cell r="AX266">
            <v>11587</v>
          </cell>
          <cell r="AY266">
            <v>236.16</v>
          </cell>
          <cell r="AZ266">
            <v>-111.45</v>
          </cell>
          <cell r="BA266">
            <v>0</v>
          </cell>
          <cell r="BB266">
            <v>0</v>
          </cell>
          <cell r="BD266">
            <v>-111</v>
          </cell>
          <cell r="BE266">
            <v>8604</v>
          </cell>
          <cell r="BF266">
            <v>8604</v>
          </cell>
          <cell r="BG266">
            <v>0</v>
          </cell>
          <cell r="BI266" t="str">
            <v>621 4391 8800 2975 0117</v>
          </cell>
          <cell r="BK266">
            <v>0</v>
          </cell>
          <cell r="BL266">
            <v>0</v>
          </cell>
          <cell r="BM266">
            <v>304.2</v>
          </cell>
          <cell r="BN266">
            <v>388.2</v>
          </cell>
          <cell r="BO266">
            <v>-491.01</v>
          </cell>
          <cell r="BP266">
            <v>34.77</v>
          </cell>
          <cell r="BU266">
            <v>236.16</v>
          </cell>
        </row>
        <row r="267">
          <cell r="D267" t="str">
            <v>冉令文</v>
          </cell>
          <cell r="E267" t="str">
            <v>男</v>
          </cell>
          <cell r="F267" t="str">
            <v>512222196801077074</v>
          </cell>
          <cell r="G267" t="str">
            <v>抛光</v>
          </cell>
          <cell r="H267" t="str">
            <v>抛光</v>
          </cell>
          <cell r="AF267">
            <v>10679.85</v>
          </cell>
          <cell r="AI267">
            <v>0</v>
          </cell>
          <cell r="AK267">
            <v>10680</v>
          </cell>
          <cell r="AL267">
            <v>0</v>
          </cell>
          <cell r="AN267">
            <v>38003.8</v>
          </cell>
          <cell r="AO267">
            <v>25000</v>
          </cell>
          <cell r="AP267">
            <v>0</v>
          </cell>
          <cell r="AQ267">
            <v>0</v>
          </cell>
          <cell r="AR267">
            <v>0</v>
          </cell>
          <cell r="AU267">
            <v>0</v>
          </cell>
          <cell r="AV267">
            <v>48608.92</v>
          </cell>
          <cell r="AW267">
            <v>30000</v>
          </cell>
          <cell r="AX267">
            <v>18608.92</v>
          </cell>
          <cell r="AY267">
            <v>390.11</v>
          </cell>
          <cell r="AZ267">
            <v>-168.16</v>
          </cell>
          <cell r="BA267">
            <v>-74.88</v>
          </cell>
          <cell r="BB267">
            <v>0</v>
          </cell>
          <cell r="BD267">
            <v>-243</v>
          </cell>
          <cell r="BE267">
            <v>10437</v>
          </cell>
          <cell r="BF267">
            <v>10437</v>
          </cell>
          <cell r="BG267">
            <v>0</v>
          </cell>
          <cell r="BI267" t="str">
            <v>621 4391 8800 3016 0926</v>
          </cell>
          <cell r="BK267">
            <v>0</v>
          </cell>
          <cell r="BL267">
            <v>0</v>
          </cell>
          <cell r="BM267">
            <v>30.12</v>
          </cell>
          <cell r="BN267">
            <v>220.7</v>
          </cell>
          <cell r="BO267">
            <v>-32.1</v>
          </cell>
          <cell r="BP267">
            <v>171.39</v>
          </cell>
          <cell r="BU267">
            <v>390.11</v>
          </cell>
        </row>
        <row r="268">
          <cell r="D268" t="str">
            <v>李威勇</v>
          </cell>
          <cell r="E268" t="str">
            <v>男</v>
          </cell>
          <cell r="F268" t="str">
            <v>44162419741206611X</v>
          </cell>
          <cell r="G268" t="str">
            <v>抛光</v>
          </cell>
          <cell r="H268" t="str">
            <v>抛光</v>
          </cell>
          <cell r="AF268">
            <v>11515.4</v>
          </cell>
          <cell r="AI268">
            <v>0</v>
          </cell>
          <cell r="AK268">
            <v>11515</v>
          </cell>
          <cell r="AL268">
            <v>0</v>
          </cell>
          <cell r="AN268">
            <v>31122.8</v>
          </cell>
          <cell r="AO268">
            <v>25000</v>
          </cell>
          <cell r="AP268">
            <v>0</v>
          </cell>
          <cell r="AQ268">
            <v>0</v>
          </cell>
          <cell r="AR268">
            <v>0</v>
          </cell>
          <cell r="AU268">
            <v>0</v>
          </cell>
          <cell r="AV268">
            <v>42562.92</v>
          </cell>
          <cell r="AW268">
            <v>30000</v>
          </cell>
          <cell r="AX268">
            <v>12562.92</v>
          </cell>
          <cell r="AY268">
            <v>183.68</v>
          </cell>
          <cell r="AZ268">
            <v>-193.21</v>
          </cell>
          <cell r="BA268">
            <v>-74.88</v>
          </cell>
          <cell r="BB268">
            <v>0</v>
          </cell>
          <cell r="BD268">
            <v>-268</v>
          </cell>
          <cell r="BE268">
            <v>11247</v>
          </cell>
          <cell r="BF268">
            <v>11247</v>
          </cell>
          <cell r="BG268">
            <v>0</v>
          </cell>
          <cell r="BI268" t="str">
            <v>621 4391 8800 3015 9373</v>
          </cell>
          <cell r="BK268">
            <v>0</v>
          </cell>
          <cell r="BL268">
            <v>0</v>
          </cell>
          <cell r="BM268">
            <v>13.8</v>
          </cell>
          <cell r="BN268">
            <v>188.7</v>
          </cell>
          <cell r="BO268">
            <v>-46.66</v>
          </cell>
          <cell r="BP268">
            <v>27.84</v>
          </cell>
          <cell r="BU268">
            <v>183.68</v>
          </cell>
        </row>
        <row r="269">
          <cell r="D269" t="str">
            <v>谭术均</v>
          </cell>
          <cell r="E269" t="str">
            <v>男</v>
          </cell>
          <cell r="F269" t="str">
            <v>512222197402026012</v>
          </cell>
          <cell r="G269" t="str">
            <v>抛光</v>
          </cell>
          <cell r="H269" t="str">
            <v>抛光</v>
          </cell>
          <cell r="AF269">
            <v>11778</v>
          </cell>
          <cell r="AI269">
            <v>0</v>
          </cell>
          <cell r="AK269">
            <v>11778</v>
          </cell>
          <cell r="AL269">
            <v>-300.76</v>
          </cell>
          <cell r="AN269">
            <v>30630.97</v>
          </cell>
          <cell r="AO269">
            <v>25000</v>
          </cell>
          <cell r="AP269">
            <v>0</v>
          </cell>
          <cell r="AQ269">
            <v>0</v>
          </cell>
          <cell r="AR269">
            <v>0</v>
          </cell>
          <cell r="AU269">
            <v>300.76</v>
          </cell>
          <cell r="AV269">
            <v>42320.89</v>
          </cell>
          <cell r="AW269">
            <v>30300.76</v>
          </cell>
          <cell r="AX269">
            <v>12020.13</v>
          </cell>
          <cell r="AY269">
            <v>168.93</v>
          </cell>
          <cell r="AZ269">
            <v>-191.67</v>
          </cell>
          <cell r="BA269">
            <v>-88.08</v>
          </cell>
          <cell r="BB269">
            <v>0</v>
          </cell>
          <cell r="BD269">
            <v>-581</v>
          </cell>
          <cell r="BE269">
            <v>11197</v>
          </cell>
          <cell r="BF269">
            <v>11197</v>
          </cell>
          <cell r="BG269">
            <v>0</v>
          </cell>
          <cell r="BI269" t="str">
            <v>621 4391 8800 3036 1946</v>
          </cell>
          <cell r="BK269">
            <v>0</v>
          </cell>
          <cell r="BL269">
            <v>0</v>
          </cell>
          <cell r="BM269">
            <v>0</v>
          </cell>
          <cell r="BN269">
            <v>281.8</v>
          </cell>
          <cell r="BO269">
            <v>-175.78</v>
          </cell>
          <cell r="BP269">
            <v>62.91</v>
          </cell>
          <cell r="BU269">
            <v>168.93</v>
          </cell>
        </row>
        <row r="270">
          <cell r="D270" t="str">
            <v>齐上英</v>
          </cell>
          <cell r="E270" t="str">
            <v>男</v>
          </cell>
          <cell r="F270" t="str">
            <v>431124199003181619</v>
          </cell>
          <cell r="G270" t="str">
            <v>抛光</v>
          </cell>
          <cell r="H270" t="str">
            <v>抛光</v>
          </cell>
          <cell r="AF270">
            <v>5858.5</v>
          </cell>
          <cell r="AI270">
            <v>0</v>
          </cell>
          <cell r="AK270">
            <v>5859</v>
          </cell>
          <cell r="AL270">
            <v>0</v>
          </cell>
          <cell r="AN270">
            <v>32042</v>
          </cell>
          <cell r="AO270">
            <v>25000</v>
          </cell>
          <cell r="AP270">
            <v>0</v>
          </cell>
          <cell r="AQ270">
            <v>0</v>
          </cell>
          <cell r="AR270">
            <v>0</v>
          </cell>
          <cell r="AU270">
            <v>0</v>
          </cell>
          <cell r="AV270">
            <v>37901</v>
          </cell>
          <cell r="AW270">
            <v>30000</v>
          </cell>
          <cell r="AX270">
            <v>7901</v>
          </cell>
          <cell r="AY270">
            <v>211.26</v>
          </cell>
          <cell r="AZ270">
            <v>-25.77</v>
          </cell>
          <cell r="BA270">
            <v>0</v>
          </cell>
          <cell r="BB270">
            <v>0</v>
          </cell>
          <cell r="BD270">
            <v>-26</v>
          </cell>
          <cell r="BE270">
            <v>5833</v>
          </cell>
          <cell r="BF270">
            <v>5833</v>
          </cell>
          <cell r="BG270">
            <v>0</v>
          </cell>
          <cell r="BI270" t="str">
            <v>621 4391 8800 3036 1714</v>
          </cell>
          <cell r="BK270">
            <v>0</v>
          </cell>
          <cell r="BL270">
            <v>0</v>
          </cell>
          <cell r="BM270">
            <v>0</v>
          </cell>
          <cell r="BN270">
            <v>321.6</v>
          </cell>
          <cell r="BO270">
            <v>-144.87</v>
          </cell>
          <cell r="BP270">
            <v>34.53</v>
          </cell>
          <cell r="BU270">
            <v>211.26</v>
          </cell>
        </row>
        <row r="271">
          <cell r="D271" t="str">
            <v>陈小明</v>
          </cell>
          <cell r="E271" t="str">
            <v>男</v>
          </cell>
          <cell r="F271" t="str">
            <v>513031197401287313</v>
          </cell>
          <cell r="G271" t="str">
            <v>抛光</v>
          </cell>
          <cell r="H271" t="str">
            <v>抛光</v>
          </cell>
          <cell r="AF271">
            <v>10702.75</v>
          </cell>
          <cell r="AI271">
            <v>0</v>
          </cell>
          <cell r="AK271">
            <v>10703</v>
          </cell>
          <cell r="AL271">
            <v>0</v>
          </cell>
          <cell r="AN271">
            <v>36879.7</v>
          </cell>
          <cell r="AO271">
            <v>25000</v>
          </cell>
          <cell r="AP271">
            <v>0</v>
          </cell>
          <cell r="AQ271">
            <v>0</v>
          </cell>
          <cell r="AR271">
            <v>0</v>
          </cell>
          <cell r="AU271">
            <v>0</v>
          </cell>
          <cell r="AV271">
            <v>47461.8</v>
          </cell>
          <cell r="AW271">
            <v>30000</v>
          </cell>
          <cell r="AX271">
            <v>17461.8</v>
          </cell>
          <cell r="AY271">
            <v>356.39</v>
          </cell>
          <cell r="AZ271">
            <v>-167.46</v>
          </cell>
          <cell r="BA271">
            <v>-120.9</v>
          </cell>
          <cell r="BB271">
            <v>0</v>
          </cell>
          <cell r="BD271">
            <v>-288</v>
          </cell>
          <cell r="BE271">
            <v>10415</v>
          </cell>
          <cell r="BF271">
            <v>10415</v>
          </cell>
          <cell r="BG271">
            <v>0</v>
          </cell>
          <cell r="BI271" t="str">
            <v>621 4391 8800 3036 3298</v>
          </cell>
          <cell r="BK271">
            <v>0</v>
          </cell>
          <cell r="BL271">
            <v>0</v>
          </cell>
          <cell r="BM271">
            <v>49.98</v>
          </cell>
          <cell r="BN271">
            <v>348.2</v>
          </cell>
          <cell r="BO271">
            <v>-146.01</v>
          </cell>
          <cell r="BP271">
            <v>104.22</v>
          </cell>
          <cell r="BU271">
            <v>356.39</v>
          </cell>
        </row>
        <row r="272">
          <cell r="D272" t="str">
            <v>冉应伍</v>
          </cell>
          <cell r="E272" t="str">
            <v>男</v>
          </cell>
          <cell r="F272" t="str">
            <v>511221198211137059</v>
          </cell>
          <cell r="G272" t="str">
            <v>抛光</v>
          </cell>
          <cell r="H272" t="str">
            <v>抛光</v>
          </cell>
          <cell r="AF272">
            <v>8100</v>
          </cell>
          <cell r="AI272">
            <v>0</v>
          </cell>
          <cell r="AK272">
            <v>8100</v>
          </cell>
          <cell r="AL272">
            <v>0</v>
          </cell>
          <cell r="AN272">
            <v>31666.7</v>
          </cell>
          <cell r="AO272">
            <v>30000</v>
          </cell>
          <cell r="AP272">
            <v>0</v>
          </cell>
          <cell r="AQ272">
            <v>0</v>
          </cell>
          <cell r="AR272">
            <v>0</v>
          </cell>
          <cell r="AU272">
            <v>0</v>
          </cell>
          <cell r="AV272">
            <v>39645.8</v>
          </cell>
          <cell r="AW272">
            <v>35000</v>
          </cell>
          <cell r="AX272">
            <v>4645.8</v>
          </cell>
          <cell r="AY272">
            <v>50</v>
          </cell>
          <cell r="AZ272">
            <v>-89.37</v>
          </cell>
          <cell r="BA272">
            <v>-120.9</v>
          </cell>
          <cell r="BB272">
            <v>0</v>
          </cell>
          <cell r="BD272">
            <v>-210</v>
          </cell>
          <cell r="BE272">
            <v>7890</v>
          </cell>
          <cell r="BF272">
            <v>7890</v>
          </cell>
          <cell r="BG272">
            <v>0</v>
          </cell>
          <cell r="BI272" t="str">
            <v>621 4391 8800 3000 8281</v>
          </cell>
          <cell r="BK272">
            <v>0</v>
          </cell>
          <cell r="BL272">
            <v>0</v>
          </cell>
          <cell r="BM272">
            <v>51.69</v>
          </cell>
          <cell r="BN272">
            <v>70.29</v>
          </cell>
          <cell r="BO272">
            <v>-121.98</v>
          </cell>
          <cell r="BP272">
            <v>50</v>
          </cell>
          <cell r="BU272">
            <v>50</v>
          </cell>
        </row>
        <row r="273">
          <cell r="D273" t="str">
            <v>邢定</v>
          </cell>
          <cell r="E273" t="str">
            <v>男</v>
          </cell>
          <cell r="F273" t="str">
            <v>411325199102209078</v>
          </cell>
          <cell r="G273" t="str">
            <v>抛光</v>
          </cell>
          <cell r="H273" t="str">
            <v>抛光</v>
          </cell>
          <cell r="AF273">
            <v>9022.6</v>
          </cell>
          <cell r="AI273">
            <v>0</v>
          </cell>
          <cell r="AK273">
            <v>9023</v>
          </cell>
          <cell r="AL273">
            <v>0</v>
          </cell>
          <cell r="AN273">
            <v>48128.5833333333</v>
          </cell>
          <cell r="AO273">
            <v>45000</v>
          </cell>
          <cell r="AP273">
            <v>0</v>
          </cell>
          <cell r="AQ273">
            <v>0</v>
          </cell>
          <cell r="AR273">
            <v>0</v>
          </cell>
          <cell r="AU273">
            <v>0</v>
          </cell>
          <cell r="AV273">
            <v>56659.0233333333</v>
          </cell>
          <cell r="AW273">
            <v>50000</v>
          </cell>
          <cell r="AX273">
            <v>6659.0233333333</v>
          </cell>
          <cell r="AY273">
            <v>93.86</v>
          </cell>
          <cell r="AZ273">
            <v>-105.91</v>
          </cell>
          <cell r="BA273">
            <v>-301.86</v>
          </cell>
          <cell r="BB273">
            <v>-230</v>
          </cell>
          <cell r="BC273">
            <v>39.3</v>
          </cell>
          <cell r="BD273">
            <v>-598</v>
          </cell>
          <cell r="BE273">
            <v>8425</v>
          </cell>
          <cell r="BF273">
            <v>8425</v>
          </cell>
          <cell r="BG273">
            <v>0</v>
          </cell>
          <cell r="BI273" t="str">
            <v>6214391880029056093</v>
          </cell>
          <cell r="BK273">
            <v>21.99</v>
          </cell>
          <cell r="BL273">
            <v>20.85</v>
          </cell>
          <cell r="BM273">
            <v>290</v>
          </cell>
          <cell r="BN273">
            <v>0</v>
          </cell>
          <cell r="BO273">
            <v>-332.84</v>
          </cell>
          <cell r="BP273">
            <v>93.86</v>
          </cell>
          <cell r="BU273">
            <v>93.86</v>
          </cell>
        </row>
        <row r="274">
          <cell r="D274" t="str">
            <v>李斌</v>
          </cell>
          <cell r="E274" t="str">
            <v>男</v>
          </cell>
          <cell r="F274" t="str">
            <v>511225197811252254</v>
          </cell>
          <cell r="G274" t="str">
            <v>抛光</v>
          </cell>
          <cell r="H274" t="str">
            <v>抛光</v>
          </cell>
          <cell r="AF274">
            <v>10857.35</v>
          </cell>
          <cell r="AI274">
            <v>0</v>
          </cell>
          <cell r="AK274">
            <v>10857</v>
          </cell>
          <cell r="AL274">
            <v>-301</v>
          </cell>
          <cell r="AN274">
            <v>33297.97</v>
          </cell>
          <cell r="AO274">
            <v>25000</v>
          </cell>
          <cell r="AP274">
            <v>20000</v>
          </cell>
          <cell r="AQ274">
            <v>2000</v>
          </cell>
          <cell r="AR274">
            <v>2000</v>
          </cell>
          <cell r="AU274">
            <v>24301</v>
          </cell>
          <cell r="AV274">
            <v>44066.89</v>
          </cell>
          <cell r="AW274">
            <v>54301</v>
          </cell>
          <cell r="AX274">
            <v>-10234.11</v>
          </cell>
          <cell r="AY274">
            <v>0</v>
          </cell>
          <cell r="AZ274">
            <v>0</v>
          </cell>
          <cell r="BA274">
            <v>-88.08</v>
          </cell>
          <cell r="BB274">
            <v>0</v>
          </cell>
          <cell r="BD274">
            <v>-389</v>
          </cell>
          <cell r="BE274">
            <v>10468</v>
          </cell>
          <cell r="BF274">
            <v>10468</v>
          </cell>
          <cell r="BG274">
            <v>0</v>
          </cell>
          <cell r="BI274" t="str">
            <v>621 4391 8800 3022 9879</v>
          </cell>
          <cell r="BK274">
            <v>0</v>
          </cell>
          <cell r="BL274">
            <v>0</v>
          </cell>
          <cell r="BM274">
            <v>0</v>
          </cell>
          <cell r="BN274">
            <v>184.3</v>
          </cell>
          <cell r="BO274">
            <v>-184.3</v>
          </cell>
          <cell r="BP274">
            <v>0</v>
          </cell>
          <cell r="BU274">
            <v>0</v>
          </cell>
        </row>
        <row r="275">
          <cell r="D275" t="str">
            <v>伍应平</v>
          </cell>
          <cell r="E275" t="str">
            <v>男</v>
          </cell>
          <cell r="F275" t="str">
            <v>513023197303091819</v>
          </cell>
          <cell r="G275" t="str">
            <v>抛光</v>
          </cell>
          <cell r="H275" t="str">
            <v>抛光</v>
          </cell>
          <cell r="AF275">
            <v>9824.1</v>
          </cell>
          <cell r="AI275">
            <v>0</v>
          </cell>
          <cell r="AK275">
            <v>9824</v>
          </cell>
          <cell r="AL275">
            <v>0</v>
          </cell>
          <cell r="AN275">
            <v>26859.8</v>
          </cell>
          <cell r="AO275">
            <v>20000</v>
          </cell>
          <cell r="AP275">
            <v>0</v>
          </cell>
          <cell r="AQ275">
            <v>0</v>
          </cell>
          <cell r="AR275">
            <v>0</v>
          </cell>
          <cell r="AU275">
            <v>0</v>
          </cell>
          <cell r="AV275">
            <v>36608.92</v>
          </cell>
          <cell r="AW275">
            <v>25000</v>
          </cell>
          <cell r="AX275">
            <v>11608.92</v>
          </cell>
          <cell r="AY275">
            <v>205.79</v>
          </cell>
          <cell r="AZ275">
            <v>-142.48</v>
          </cell>
          <cell r="BA275">
            <v>-74.88</v>
          </cell>
          <cell r="BB275">
            <v>0</v>
          </cell>
          <cell r="BD275">
            <v>-217</v>
          </cell>
          <cell r="BE275">
            <v>9607</v>
          </cell>
          <cell r="BF275">
            <v>9607</v>
          </cell>
          <cell r="BG275">
            <v>0</v>
          </cell>
          <cell r="BI275" t="str">
            <v>6214391880030160934</v>
          </cell>
          <cell r="BK275">
            <v>0</v>
          </cell>
          <cell r="BL275">
            <v>0</v>
          </cell>
          <cell r="BM275">
            <v>0</v>
          </cell>
          <cell r="BN275">
            <v>59.25</v>
          </cell>
          <cell r="BO275">
            <v>53.33</v>
          </cell>
          <cell r="BP275">
            <v>93.21</v>
          </cell>
          <cell r="BU275">
            <v>205.79</v>
          </cell>
        </row>
        <row r="276">
          <cell r="D276" t="str">
            <v>李留成</v>
          </cell>
          <cell r="E276" t="str">
            <v>男</v>
          </cell>
          <cell r="F276" t="str">
            <v>411329198105013135</v>
          </cell>
          <cell r="G276" t="str">
            <v>抛光</v>
          </cell>
          <cell r="H276" t="str">
            <v>抛光</v>
          </cell>
          <cell r="I276" t="str">
            <v>抛光员</v>
          </cell>
          <cell r="J276">
            <v>43620</v>
          </cell>
          <cell r="AF276">
            <v>5926.3</v>
          </cell>
          <cell r="AI276">
            <v>0</v>
          </cell>
          <cell r="AK276">
            <v>5926</v>
          </cell>
          <cell r="AL276">
            <v>0</v>
          </cell>
          <cell r="AN276">
            <v>19914.97</v>
          </cell>
          <cell r="AO276">
            <v>20000</v>
          </cell>
          <cell r="AP276">
            <v>0</v>
          </cell>
          <cell r="AQ276">
            <v>0</v>
          </cell>
          <cell r="AR276">
            <v>0</v>
          </cell>
          <cell r="AU276">
            <v>0</v>
          </cell>
          <cell r="AV276">
            <v>25752.89</v>
          </cell>
          <cell r="AW276">
            <v>25000</v>
          </cell>
          <cell r="AX276">
            <v>752.889999999999</v>
          </cell>
          <cell r="AY276">
            <v>0</v>
          </cell>
          <cell r="AZ276">
            <v>-22.59</v>
          </cell>
          <cell r="BA276">
            <v>-88.08</v>
          </cell>
          <cell r="BB276">
            <v>0</v>
          </cell>
          <cell r="BD276">
            <v>-111</v>
          </cell>
          <cell r="BE276">
            <v>5815</v>
          </cell>
          <cell r="BF276">
            <v>5815</v>
          </cell>
          <cell r="BG276">
            <v>0</v>
          </cell>
          <cell r="BI276" t="str">
            <v>621 4391 8800 3016 1783</v>
          </cell>
          <cell r="BK276">
            <v>0</v>
          </cell>
          <cell r="BL276">
            <v>0</v>
          </cell>
          <cell r="BM276">
            <v>0</v>
          </cell>
          <cell r="BN276">
            <v>53.79</v>
          </cell>
          <cell r="BO276">
            <v>18.06</v>
          </cell>
          <cell r="BP276">
            <v>-71.85</v>
          </cell>
          <cell r="BU276">
            <v>0</v>
          </cell>
        </row>
        <row r="277">
          <cell r="D277" t="str">
            <v>毕强</v>
          </cell>
          <cell r="E277" t="str">
            <v>男</v>
          </cell>
          <cell r="F277" t="str">
            <v>412824197710091432</v>
          </cell>
          <cell r="G277" t="str">
            <v>抛光</v>
          </cell>
          <cell r="H277" t="str">
            <v>抛光</v>
          </cell>
          <cell r="I277" t="str">
            <v>抛光员</v>
          </cell>
          <cell r="J277">
            <v>43644</v>
          </cell>
          <cell r="AF277">
            <v>9945.3</v>
          </cell>
          <cell r="AI277">
            <v>0</v>
          </cell>
          <cell r="AK277">
            <v>9945</v>
          </cell>
          <cell r="AL277">
            <v>0</v>
          </cell>
          <cell r="AN277">
            <v>15305.58</v>
          </cell>
          <cell r="AO277">
            <v>20000</v>
          </cell>
          <cell r="AP277">
            <v>0</v>
          </cell>
          <cell r="AQ277">
            <v>0</v>
          </cell>
          <cell r="AR277">
            <v>0</v>
          </cell>
          <cell r="AU277">
            <v>0</v>
          </cell>
          <cell r="AV277">
            <v>24948.72</v>
          </cell>
          <cell r="AW277">
            <v>25000</v>
          </cell>
          <cell r="AX277">
            <v>-51.2799999999988</v>
          </cell>
          <cell r="AY277">
            <v>0</v>
          </cell>
          <cell r="AZ277">
            <v>0</v>
          </cell>
          <cell r="BA277">
            <v>-301.86</v>
          </cell>
          <cell r="BB277">
            <v>0</v>
          </cell>
          <cell r="BD277">
            <v>-302</v>
          </cell>
          <cell r="BE277">
            <v>9643</v>
          </cell>
          <cell r="BF277">
            <v>9643</v>
          </cell>
          <cell r="BG277">
            <v>0</v>
          </cell>
          <cell r="BI277" t="str">
            <v>6214391880030996386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U277">
            <v>0</v>
          </cell>
        </row>
        <row r="278">
          <cell r="D278" t="str">
            <v>潘运军</v>
          </cell>
          <cell r="E278" t="str">
            <v>男</v>
          </cell>
          <cell r="F278" t="str">
            <v>452228199208033017</v>
          </cell>
          <cell r="G278" t="str">
            <v>抛光</v>
          </cell>
          <cell r="H278" t="str">
            <v>抛光</v>
          </cell>
          <cell r="I278" t="str">
            <v>抛光员</v>
          </cell>
          <cell r="J278">
            <v>43551</v>
          </cell>
          <cell r="M278">
            <v>21</v>
          </cell>
          <cell r="N278">
            <v>13</v>
          </cell>
          <cell r="O278">
            <v>27</v>
          </cell>
          <cell r="P278">
            <v>73</v>
          </cell>
          <cell r="S278">
            <v>1950</v>
          </cell>
          <cell r="T278">
            <v>1720</v>
          </cell>
          <cell r="U278">
            <v>1065</v>
          </cell>
          <cell r="V278">
            <v>150</v>
          </cell>
          <cell r="W278">
            <v>93</v>
          </cell>
          <cell r="Z278">
            <v>14.83</v>
          </cell>
          <cell r="AA278">
            <v>400</v>
          </cell>
          <cell r="AB278">
            <v>19.77</v>
          </cell>
          <cell r="AC278">
            <v>1443</v>
          </cell>
          <cell r="AF278">
            <v>1603.44</v>
          </cell>
          <cell r="AI278">
            <v>0</v>
          </cell>
          <cell r="AK278">
            <v>4604</v>
          </cell>
          <cell r="AL278">
            <v>0</v>
          </cell>
          <cell r="AN278">
            <v>33003</v>
          </cell>
          <cell r="AO278">
            <v>35000</v>
          </cell>
          <cell r="AP278">
            <v>0</v>
          </cell>
          <cell r="AQ278">
            <v>0</v>
          </cell>
          <cell r="AR278">
            <v>0</v>
          </cell>
          <cell r="AU278">
            <v>0</v>
          </cell>
          <cell r="AV278">
            <v>38407</v>
          </cell>
          <cell r="AW278">
            <v>40000</v>
          </cell>
          <cell r="AX278">
            <v>-1593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800</v>
          </cell>
          <cell r="BD278">
            <v>800</v>
          </cell>
          <cell r="BE278">
            <v>5404</v>
          </cell>
          <cell r="BF278">
            <v>5404</v>
          </cell>
          <cell r="BG278">
            <v>0</v>
          </cell>
          <cell r="BI278" t="str">
            <v>621 4391 8800 2980 3783</v>
          </cell>
          <cell r="BK278">
            <v>0</v>
          </cell>
          <cell r="BL278">
            <v>30.84</v>
          </cell>
          <cell r="BM278">
            <v>47.58</v>
          </cell>
          <cell r="BN278">
            <v>107.8</v>
          </cell>
          <cell r="BO278">
            <v>-166.15</v>
          </cell>
          <cell r="BP278">
            <v>-20.07</v>
          </cell>
          <cell r="BU278">
            <v>0</v>
          </cell>
        </row>
        <row r="279">
          <cell r="D279" t="str">
            <v>罗方武</v>
          </cell>
          <cell r="E279" t="str">
            <v>男</v>
          </cell>
          <cell r="F279" t="str">
            <v>433031197307031215</v>
          </cell>
          <cell r="G279" t="str">
            <v>抛光</v>
          </cell>
          <cell r="H279" t="str">
            <v>抛光</v>
          </cell>
          <cell r="M279">
            <v>21</v>
          </cell>
          <cell r="N279">
            <v>21</v>
          </cell>
          <cell r="O279">
            <v>76.5</v>
          </cell>
          <cell r="P279">
            <v>90.5</v>
          </cell>
          <cell r="S279">
            <v>1950</v>
          </cell>
          <cell r="T279">
            <v>1720</v>
          </cell>
          <cell r="U279">
            <v>1720</v>
          </cell>
          <cell r="V279">
            <v>150</v>
          </cell>
          <cell r="W279">
            <v>150</v>
          </cell>
          <cell r="Z279">
            <v>14.83</v>
          </cell>
          <cell r="AA279">
            <v>1134</v>
          </cell>
          <cell r="AB279">
            <v>19.77</v>
          </cell>
          <cell r="AC279">
            <v>1789</v>
          </cell>
          <cell r="AF279">
            <v>0</v>
          </cell>
          <cell r="AG279">
            <v>80</v>
          </cell>
          <cell r="AI279">
            <v>0</v>
          </cell>
          <cell r="AK279">
            <v>4873</v>
          </cell>
          <cell r="AL279">
            <v>0</v>
          </cell>
          <cell r="AN279">
            <v>9277</v>
          </cell>
          <cell r="AO279">
            <v>10000</v>
          </cell>
          <cell r="AP279">
            <v>0</v>
          </cell>
          <cell r="AQ279">
            <v>0</v>
          </cell>
          <cell r="AR279">
            <v>0</v>
          </cell>
          <cell r="AU279">
            <v>0</v>
          </cell>
          <cell r="AV279">
            <v>14150</v>
          </cell>
          <cell r="AW279">
            <v>15000</v>
          </cell>
          <cell r="AX279">
            <v>-850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D279">
            <v>0</v>
          </cell>
          <cell r="BE279">
            <v>4873</v>
          </cell>
          <cell r="BF279">
            <v>4873</v>
          </cell>
          <cell r="BG279">
            <v>0</v>
          </cell>
          <cell r="BI279" t="str">
            <v>621 4391 8800 3274 2366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U279">
            <v>0</v>
          </cell>
        </row>
        <row r="280">
          <cell r="D280" t="str">
            <v>余鸿福</v>
          </cell>
          <cell r="E280" t="str">
            <v>男</v>
          </cell>
          <cell r="F280" t="str">
            <v>511023199711119291</v>
          </cell>
          <cell r="G280" t="str">
            <v>抛光</v>
          </cell>
          <cell r="H280" t="str">
            <v>抛光</v>
          </cell>
          <cell r="M280">
            <v>21</v>
          </cell>
          <cell r="N280">
            <v>20</v>
          </cell>
          <cell r="O280">
            <v>60.5</v>
          </cell>
          <cell r="P280">
            <v>74</v>
          </cell>
          <cell r="S280">
            <v>1950</v>
          </cell>
          <cell r="T280">
            <v>1720</v>
          </cell>
          <cell r="U280">
            <v>1638</v>
          </cell>
          <cell r="V280">
            <v>150</v>
          </cell>
          <cell r="W280">
            <v>143</v>
          </cell>
          <cell r="Z280">
            <v>14.83</v>
          </cell>
          <cell r="AA280">
            <v>897</v>
          </cell>
          <cell r="AB280">
            <v>19.77</v>
          </cell>
          <cell r="AC280">
            <v>1463</v>
          </cell>
          <cell r="AF280">
            <v>0</v>
          </cell>
          <cell r="AI280">
            <v>0</v>
          </cell>
          <cell r="AK280">
            <v>4141</v>
          </cell>
          <cell r="AL280">
            <v>0</v>
          </cell>
          <cell r="AN280">
            <v>10203.0781609195</v>
          </cell>
          <cell r="AO280">
            <v>10000</v>
          </cell>
          <cell r="AP280">
            <v>0</v>
          </cell>
          <cell r="AQ280">
            <v>0</v>
          </cell>
          <cell r="AR280">
            <v>0</v>
          </cell>
          <cell r="AU280">
            <v>0</v>
          </cell>
          <cell r="AV280">
            <v>14321.5181609195</v>
          </cell>
          <cell r="AW280">
            <v>15000</v>
          </cell>
          <cell r="AX280">
            <v>-678.481839080501</v>
          </cell>
          <cell r="AY280">
            <v>6.09</v>
          </cell>
          <cell r="AZ280">
            <v>6.09</v>
          </cell>
          <cell r="BA280">
            <v>-22.56</v>
          </cell>
          <cell r="BB280">
            <v>0</v>
          </cell>
          <cell r="BD280">
            <v>-16</v>
          </cell>
          <cell r="BE280">
            <v>4125</v>
          </cell>
          <cell r="BF280">
            <v>4125</v>
          </cell>
          <cell r="BG280">
            <v>0</v>
          </cell>
          <cell r="BI280" t="str">
            <v>6214391880031399721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18.63</v>
          </cell>
          <cell r="BP280">
            <v>-12.54</v>
          </cell>
          <cell r="BU280">
            <v>6.09</v>
          </cell>
        </row>
        <row r="281">
          <cell r="D281" t="str">
            <v>马周发</v>
          </cell>
          <cell r="E281" t="str">
            <v>男</v>
          </cell>
          <cell r="F281" t="str">
            <v>532529199506151831</v>
          </cell>
          <cell r="G281" t="str">
            <v>抛光</v>
          </cell>
          <cell r="H281" t="str">
            <v>抛光</v>
          </cell>
          <cell r="M281">
            <v>21</v>
          </cell>
          <cell r="N281">
            <v>20.5</v>
          </cell>
          <cell r="O281">
            <v>67.5</v>
          </cell>
          <cell r="P281">
            <v>80.5</v>
          </cell>
          <cell r="S281">
            <v>1950</v>
          </cell>
          <cell r="T281">
            <v>1720</v>
          </cell>
          <cell r="U281">
            <v>1679</v>
          </cell>
          <cell r="V281">
            <v>150</v>
          </cell>
          <cell r="W281">
            <v>146</v>
          </cell>
          <cell r="Z281">
            <v>14.83</v>
          </cell>
          <cell r="AA281">
            <v>1001</v>
          </cell>
          <cell r="AB281">
            <v>19.77</v>
          </cell>
          <cell r="AC281">
            <v>1591</v>
          </cell>
          <cell r="AF281">
            <v>0</v>
          </cell>
          <cell r="AG281">
            <v>40</v>
          </cell>
          <cell r="AI281">
            <v>0</v>
          </cell>
          <cell r="AK281">
            <v>4457</v>
          </cell>
          <cell r="AL281">
            <v>0</v>
          </cell>
          <cell r="AN281">
            <v>5847</v>
          </cell>
          <cell r="AO281">
            <v>10000</v>
          </cell>
          <cell r="AP281">
            <v>0</v>
          </cell>
          <cell r="AQ281">
            <v>0</v>
          </cell>
          <cell r="AR281">
            <v>0</v>
          </cell>
          <cell r="AU281">
            <v>0</v>
          </cell>
          <cell r="AV281">
            <v>10304</v>
          </cell>
          <cell r="AW281">
            <v>15000</v>
          </cell>
          <cell r="AX281">
            <v>-4696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D281">
            <v>0</v>
          </cell>
          <cell r="BE281">
            <v>4457</v>
          </cell>
          <cell r="BF281">
            <v>4457</v>
          </cell>
          <cell r="BG281">
            <v>0</v>
          </cell>
          <cell r="BI281" t="str">
            <v>6214391880031240743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U281">
            <v>0</v>
          </cell>
        </row>
        <row r="282">
          <cell r="D282" t="str">
            <v>杜明友</v>
          </cell>
          <cell r="E282" t="str">
            <v>男</v>
          </cell>
          <cell r="F282" t="str">
            <v>511227197707082091</v>
          </cell>
          <cell r="G282" t="str">
            <v>抛光</v>
          </cell>
          <cell r="H282" t="str">
            <v>抛光</v>
          </cell>
          <cell r="M282">
            <v>21</v>
          </cell>
          <cell r="N282">
            <v>21</v>
          </cell>
          <cell r="O282">
            <v>75</v>
          </cell>
          <cell r="P282">
            <v>90.5</v>
          </cell>
          <cell r="S282">
            <v>1950</v>
          </cell>
          <cell r="T282">
            <v>1720</v>
          </cell>
          <cell r="U282">
            <v>1720</v>
          </cell>
          <cell r="V282">
            <v>150</v>
          </cell>
          <cell r="W282">
            <v>150</v>
          </cell>
          <cell r="Z282">
            <v>14.83</v>
          </cell>
          <cell r="AA282">
            <v>1112</v>
          </cell>
          <cell r="AB282">
            <v>19.77</v>
          </cell>
          <cell r="AC282">
            <v>1789</v>
          </cell>
          <cell r="AF282">
            <v>0</v>
          </cell>
          <cell r="AG282">
            <v>80</v>
          </cell>
          <cell r="AI282">
            <v>0</v>
          </cell>
          <cell r="AK282">
            <v>4851</v>
          </cell>
          <cell r="AL282">
            <v>0</v>
          </cell>
          <cell r="AN282">
            <v>4211</v>
          </cell>
          <cell r="AO282">
            <v>10000</v>
          </cell>
          <cell r="AP282">
            <v>0</v>
          </cell>
          <cell r="AQ282">
            <v>0</v>
          </cell>
          <cell r="AR282">
            <v>0</v>
          </cell>
          <cell r="AU282">
            <v>0</v>
          </cell>
          <cell r="AV282">
            <v>9062</v>
          </cell>
          <cell r="AW282">
            <v>15000</v>
          </cell>
          <cell r="AX282">
            <v>-5938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D282">
            <v>0</v>
          </cell>
          <cell r="BE282">
            <v>4851</v>
          </cell>
          <cell r="BF282">
            <v>4851</v>
          </cell>
          <cell r="BG282">
            <v>0</v>
          </cell>
          <cell r="BI282" t="str">
            <v>621 4391 8800 3234 0963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U282">
            <v>0</v>
          </cell>
        </row>
        <row r="283">
          <cell r="D283" t="str">
            <v>邓德兵</v>
          </cell>
          <cell r="E283" t="str">
            <v>男</v>
          </cell>
          <cell r="F283" t="str">
            <v>511221198206026311</v>
          </cell>
          <cell r="G283" t="str">
            <v>抛光</v>
          </cell>
          <cell r="H283" t="str">
            <v>抛光</v>
          </cell>
          <cell r="N283">
            <v>2</v>
          </cell>
          <cell r="O283">
            <v>4</v>
          </cell>
          <cell r="P283">
            <v>18</v>
          </cell>
          <cell r="U283">
            <v>332.8</v>
          </cell>
          <cell r="Z283">
            <v>20.8</v>
          </cell>
          <cell r="AA283">
            <v>83.2</v>
          </cell>
          <cell r="AB283">
            <v>20.8</v>
          </cell>
          <cell r="AC283">
            <v>374.4</v>
          </cell>
          <cell r="AF283">
            <v>1758.2</v>
          </cell>
          <cell r="AI283">
            <v>0</v>
          </cell>
          <cell r="AK283">
            <v>2549</v>
          </cell>
          <cell r="AL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U283">
            <v>0</v>
          </cell>
          <cell r="AV283">
            <v>2549</v>
          </cell>
          <cell r="AW283">
            <v>5000</v>
          </cell>
          <cell r="AX283">
            <v>-2451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D283">
            <v>0</v>
          </cell>
          <cell r="BE283">
            <v>2549</v>
          </cell>
          <cell r="BF283">
            <v>2549</v>
          </cell>
          <cell r="BG283">
            <v>0</v>
          </cell>
          <cell r="BI283" t="str">
            <v>621 4391 8800 3234 0484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U283">
            <v>0</v>
          </cell>
        </row>
        <row r="284">
          <cell r="D284" t="str">
            <v>雷登华</v>
          </cell>
          <cell r="E284" t="str">
            <v>男</v>
          </cell>
          <cell r="F284" t="str">
            <v>50023419910504467X</v>
          </cell>
          <cell r="G284" t="str">
            <v>抛光</v>
          </cell>
          <cell r="H284" t="str">
            <v>抛光</v>
          </cell>
          <cell r="N284">
            <v>1</v>
          </cell>
          <cell r="O284">
            <v>2</v>
          </cell>
          <cell r="P284">
            <v>18</v>
          </cell>
          <cell r="U284">
            <v>166.4</v>
          </cell>
          <cell r="Z284">
            <v>20.8</v>
          </cell>
          <cell r="AA284">
            <v>41.6</v>
          </cell>
          <cell r="AB284">
            <v>20.8</v>
          </cell>
          <cell r="AC284">
            <v>374.4</v>
          </cell>
          <cell r="AF284">
            <v>2557</v>
          </cell>
          <cell r="AI284">
            <v>0</v>
          </cell>
          <cell r="AK284">
            <v>3139</v>
          </cell>
          <cell r="AL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U284">
            <v>0</v>
          </cell>
          <cell r="AV284">
            <v>3038.38</v>
          </cell>
          <cell r="AW284">
            <v>5000</v>
          </cell>
          <cell r="AX284">
            <v>-1961.62</v>
          </cell>
          <cell r="AY284">
            <v>0</v>
          </cell>
          <cell r="AZ284">
            <v>0</v>
          </cell>
          <cell r="BA284">
            <v>-100.62</v>
          </cell>
          <cell r="BB284">
            <v>0</v>
          </cell>
          <cell r="BD284">
            <v>-101</v>
          </cell>
          <cell r="BE284">
            <v>3038</v>
          </cell>
          <cell r="BF284">
            <v>3038</v>
          </cell>
          <cell r="BG284">
            <v>0</v>
          </cell>
          <cell r="BI284" t="str">
            <v>621 4391 8800 3274 2903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U284">
            <v>0</v>
          </cell>
        </row>
        <row r="285">
          <cell r="D285" t="str">
            <v>李明志</v>
          </cell>
          <cell r="E285" t="str">
            <v>男</v>
          </cell>
          <cell r="F285" t="str">
            <v>500234198509194979</v>
          </cell>
          <cell r="G285" t="str">
            <v>抛光</v>
          </cell>
          <cell r="H285" t="str">
            <v>抛光</v>
          </cell>
          <cell r="N285">
            <v>1</v>
          </cell>
          <cell r="O285">
            <v>2</v>
          </cell>
          <cell r="P285">
            <v>18</v>
          </cell>
          <cell r="U285">
            <v>166.4</v>
          </cell>
          <cell r="Z285">
            <v>20.8</v>
          </cell>
          <cell r="AA285">
            <v>41.6</v>
          </cell>
          <cell r="AB285">
            <v>20.8</v>
          </cell>
          <cell r="AC285">
            <v>374.4</v>
          </cell>
          <cell r="AF285">
            <v>2463</v>
          </cell>
          <cell r="AI285">
            <v>0</v>
          </cell>
          <cell r="AK285">
            <v>3045</v>
          </cell>
          <cell r="AL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U285">
            <v>0</v>
          </cell>
          <cell r="AV285">
            <v>3045</v>
          </cell>
          <cell r="AW285">
            <v>5000</v>
          </cell>
          <cell r="AX285">
            <v>-1955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D285">
            <v>0</v>
          </cell>
          <cell r="BE285">
            <v>3045</v>
          </cell>
          <cell r="BF285">
            <v>3045</v>
          </cell>
          <cell r="BG285">
            <v>0</v>
          </cell>
          <cell r="BI285" t="str">
            <v>621 4391 8800 3274 4412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U285">
            <v>0</v>
          </cell>
        </row>
        <row r="286">
          <cell r="D286" t="str">
            <v>杨清强</v>
          </cell>
          <cell r="E286" t="str">
            <v>男</v>
          </cell>
          <cell r="F286" t="str">
            <v>41292919770408863X</v>
          </cell>
          <cell r="G286" t="str">
            <v>抛光</v>
          </cell>
          <cell r="H286" t="str">
            <v>抛光</v>
          </cell>
          <cell r="N286">
            <v>2</v>
          </cell>
          <cell r="O286">
            <v>5</v>
          </cell>
          <cell r="P286">
            <v>19</v>
          </cell>
          <cell r="U286">
            <v>332.8</v>
          </cell>
          <cell r="Z286">
            <v>20.8</v>
          </cell>
          <cell r="AA286">
            <v>104</v>
          </cell>
          <cell r="AB286">
            <v>20.8</v>
          </cell>
          <cell r="AC286">
            <v>395.2</v>
          </cell>
          <cell r="AF286">
            <v>2103.3</v>
          </cell>
          <cell r="AI286">
            <v>0</v>
          </cell>
          <cell r="AK286">
            <v>2935</v>
          </cell>
          <cell r="AL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U286">
            <v>0</v>
          </cell>
          <cell r="AV286">
            <v>2935</v>
          </cell>
          <cell r="AW286">
            <v>5000</v>
          </cell>
          <cell r="AX286">
            <v>-2065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D286">
            <v>0</v>
          </cell>
          <cell r="BE286">
            <v>2935</v>
          </cell>
          <cell r="BF286">
            <v>2935</v>
          </cell>
          <cell r="BG286">
            <v>0</v>
          </cell>
          <cell r="BI286" t="str">
            <v>621 4391 8800 3274 2945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U286">
            <v>0</v>
          </cell>
        </row>
        <row r="287">
          <cell r="D287" t="str">
            <v>李日增</v>
          </cell>
          <cell r="E287" t="str">
            <v>男</v>
          </cell>
          <cell r="F287" t="str">
            <v>441624197308266111</v>
          </cell>
          <cell r="G287" t="str">
            <v>抛光</v>
          </cell>
          <cell r="H287" t="str">
            <v>抛光</v>
          </cell>
          <cell r="N287">
            <v>2</v>
          </cell>
          <cell r="O287">
            <v>6</v>
          </cell>
          <cell r="P287">
            <v>19</v>
          </cell>
          <cell r="U287">
            <v>332.8</v>
          </cell>
          <cell r="Z287">
            <v>20.8</v>
          </cell>
          <cell r="AA287">
            <v>124.8</v>
          </cell>
          <cell r="AB287">
            <v>20.8</v>
          </cell>
          <cell r="AC287">
            <v>395.2</v>
          </cell>
          <cell r="AF287">
            <v>1433</v>
          </cell>
          <cell r="AI287">
            <v>0</v>
          </cell>
          <cell r="AK287">
            <v>2286</v>
          </cell>
          <cell r="AL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U287">
            <v>0</v>
          </cell>
          <cell r="AV287">
            <v>2286</v>
          </cell>
          <cell r="AW287">
            <v>5000</v>
          </cell>
          <cell r="AX287">
            <v>-2714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D287">
            <v>0</v>
          </cell>
          <cell r="BE287">
            <v>2286</v>
          </cell>
          <cell r="BF287">
            <v>2286</v>
          </cell>
          <cell r="BG287">
            <v>0</v>
          </cell>
          <cell r="BI287" t="str">
            <v>621 4391 8800 3234 0369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U287">
            <v>0</v>
          </cell>
        </row>
        <row r="288">
          <cell r="D288" t="str">
            <v>肖遥</v>
          </cell>
          <cell r="E288" t="str">
            <v>男</v>
          </cell>
          <cell r="F288" t="str">
            <v>430523199204112331</v>
          </cell>
          <cell r="G288" t="str">
            <v>抛光</v>
          </cell>
          <cell r="H288" t="str">
            <v>抛光</v>
          </cell>
          <cell r="N288">
            <v>4.5</v>
          </cell>
          <cell r="O288">
            <v>10</v>
          </cell>
          <cell r="P288">
            <v>19</v>
          </cell>
          <cell r="U288">
            <v>748.8</v>
          </cell>
          <cell r="Z288">
            <v>20.8</v>
          </cell>
          <cell r="AA288">
            <v>208</v>
          </cell>
          <cell r="AB288">
            <v>20.8</v>
          </cell>
          <cell r="AC288">
            <v>395.2</v>
          </cell>
          <cell r="AF288">
            <v>6013</v>
          </cell>
          <cell r="AI288">
            <v>0</v>
          </cell>
          <cell r="AK288">
            <v>7365</v>
          </cell>
          <cell r="AL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U288">
            <v>0</v>
          </cell>
          <cell r="AV288">
            <v>7346.2</v>
          </cell>
          <cell r="AW288">
            <v>5000</v>
          </cell>
          <cell r="AX288">
            <v>2346.2</v>
          </cell>
          <cell r="AY288">
            <v>0</v>
          </cell>
          <cell r="AZ288">
            <v>-70.39</v>
          </cell>
          <cell r="BA288">
            <v>-18.8</v>
          </cell>
          <cell r="BB288">
            <v>0</v>
          </cell>
          <cell r="BD288">
            <v>-89</v>
          </cell>
          <cell r="BE288">
            <v>7276</v>
          </cell>
          <cell r="BF288">
            <v>7276</v>
          </cell>
          <cell r="BG288">
            <v>0</v>
          </cell>
          <cell r="BI288" t="str">
            <v>621 4391 8800 3274 3042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U288">
            <v>0</v>
          </cell>
        </row>
        <row r="289">
          <cell r="D289" t="str">
            <v>熊珍文</v>
          </cell>
          <cell r="E289" t="str">
            <v>男</v>
          </cell>
          <cell r="F289" t="str">
            <v>450327199405181235</v>
          </cell>
          <cell r="G289" t="str">
            <v>抛光</v>
          </cell>
          <cell r="H289" t="str">
            <v>抛光</v>
          </cell>
          <cell r="M289">
            <v>21</v>
          </cell>
          <cell r="N289">
            <v>16</v>
          </cell>
          <cell r="O289">
            <v>29</v>
          </cell>
          <cell r="P289">
            <v>57.5</v>
          </cell>
          <cell r="S289">
            <v>1950</v>
          </cell>
          <cell r="T289">
            <v>1720</v>
          </cell>
          <cell r="U289">
            <v>1310</v>
          </cell>
          <cell r="V289">
            <v>150</v>
          </cell>
          <cell r="W289">
            <v>114</v>
          </cell>
          <cell r="Z289">
            <v>14.83</v>
          </cell>
          <cell r="AA289">
            <v>430</v>
          </cell>
          <cell r="AB289">
            <v>19.77</v>
          </cell>
          <cell r="AC289">
            <v>1137</v>
          </cell>
          <cell r="AF289">
            <v>0</v>
          </cell>
          <cell r="AI289">
            <v>0</v>
          </cell>
          <cell r="AK289">
            <v>2991</v>
          </cell>
          <cell r="AL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U289">
            <v>0</v>
          </cell>
          <cell r="AV289">
            <v>2991</v>
          </cell>
          <cell r="AW289">
            <v>5000</v>
          </cell>
          <cell r="AX289">
            <v>-2009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D289">
            <v>0</v>
          </cell>
          <cell r="BE289">
            <v>2991</v>
          </cell>
          <cell r="BF289">
            <v>2991</v>
          </cell>
          <cell r="BG289">
            <v>0</v>
          </cell>
          <cell r="BI289" t="str">
            <v>621 4391 8800 3274 3034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U289">
            <v>0</v>
          </cell>
        </row>
        <row r="290">
          <cell r="D290" t="str">
            <v>袁振浪</v>
          </cell>
          <cell r="E290" t="str">
            <v>男</v>
          </cell>
          <cell r="F290" t="str">
            <v>522627198510154097</v>
          </cell>
          <cell r="G290" t="str">
            <v>抛光</v>
          </cell>
          <cell r="H290" t="str">
            <v>抛光</v>
          </cell>
          <cell r="N290">
            <v>3</v>
          </cell>
          <cell r="O290">
            <v>9</v>
          </cell>
          <cell r="P290">
            <v>19</v>
          </cell>
          <cell r="U290">
            <v>499.2</v>
          </cell>
          <cell r="Z290">
            <v>20.8</v>
          </cell>
          <cell r="AA290">
            <v>187.2</v>
          </cell>
          <cell r="AB290">
            <v>20.8</v>
          </cell>
          <cell r="AC290">
            <v>395.2</v>
          </cell>
          <cell r="AF290">
            <v>1919.8</v>
          </cell>
          <cell r="AI290">
            <v>0</v>
          </cell>
          <cell r="AK290">
            <v>3001</v>
          </cell>
          <cell r="AL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U290">
            <v>0</v>
          </cell>
          <cell r="AV290">
            <v>3001</v>
          </cell>
          <cell r="AW290">
            <v>5000</v>
          </cell>
          <cell r="AX290">
            <v>-1999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D290">
            <v>0</v>
          </cell>
          <cell r="BE290">
            <v>3001</v>
          </cell>
          <cell r="BF290">
            <v>3001</v>
          </cell>
          <cell r="BG290">
            <v>0</v>
          </cell>
          <cell r="BI290" t="str">
            <v>621 4391 8800 3274 2911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U290">
            <v>0</v>
          </cell>
        </row>
        <row r="291">
          <cell r="D291" t="str">
            <v>部门合计</v>
          </cell>
          <cell r="O291">
            <v>1341</v>
          </cell>
          <cell r="P291">
            <v>1717.5</v>
          </cell>
          <cell r="Q291">
            <v>0</v>
          </cell>
          <cell r="R291">
            <v>0</v>
          </cell>
          <cell r="U291">
            <v>35258.2</v>
          </cell>
          <cell r="W291">
            <v>6137</v>
          </cell>
          <cell r="Y291">
            <v>620</v>
          </cell>
          <cell r="AA291">
            <v>20110.4</v>
          </cell>
          <cell r="AC291">
            <v>34090</v>
          </cell>
          <cell r="AD291">
            <v>0</v>
          </cell>
          <cell r="AE291">
            <v>0</v>
          </cell>
          <cell r="AF291">
            <v>263180.91</v>
          </cell>
          <cell r="AG291">
            <v>960</v>
          </cell>
          <cell r="AH291">
            <v>331</v>
          </cell>
          <cell r="AI291">
            <v>0</v>
          </cell>
          <cell r="AJ291">
            <v>0</v>
          </cell>
          <cell r="AK291">
            <v>360686</v>
          </cell>
          <cell r="AL291">
            <v>-902.76</v>
          </cell>
          <cell r="AM291">
            <v>0</v>
          </cell>
          <cell r="AN291">
            <v>1669704.49522594</v>
          </cell>
          <cell r="AO291">
            <v>1565000</v>
          </cell>
          <cell r="AP291">
            <v>147000</v>
          </cell>
          <cell r="AQ291">
            <v>10500</v>
          </cell>
          <cell r="AR291">
            <v>10000</v>
          </cell>
          <cell r="AS291">
            <v>0</v>
          </cell>
          <cell r="AT291">
            <v>0</v>
          </cell>
          <cell r="AU291">
            <v>168402.76</v>
          </cell>
          <cell r="AV291">
            <v>2028237.16522594</v>
          </cell>
          <cell r="AW291">
            <v>2038402.76</v>
          </cell>
          <cell r="AX291">
            <v>-10165.5947740609</v>
          </cell>
          <cell r="AY291">
            <v>5030</v>
          </cell>
          <cell r="AZ291">
            <v>-1794.36</v>
          </cell>
          <cell r="BA291">
            <v>-2662.63</v>
          </cell>
          <cell r="BB291">
            <v>-330</v>
          </cell>
          <cell r="BC291">
            <v>839.3</v>
          </cell>
          <cell r="BD291">
            <v>-4845</v>
          </cell>
          <cell r="BE291">
            <v>355841</v>
          </cell>
          <cell r="BF291">
            <v>355841</v>
          </cell>
          <cell r="BG291">
            <v>0</v>
          </cell>
        </row>
        <row r="292">
          <cell r="D292" t="str">
            <v>本月合计</v>
          </cell>
          <cell r="O292">
            <v>13716</v>
          </cell>
          <cell r="P292">
            <v>18653.5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364606.2</v>
          </cell>
          <cell r="V292">
            <v>0</v>
          </cell>
          <cell r="W292">
            <v>57425</v>
          </cell>
          <cell r="X292">
            <v>0</v>
          </cell>
          <cell r="Y292">
            <v>2081</v>
          </cell>
          <cell r="Z292">
            <v>0</v>
          </cell>
          <cell r="AA292">
            <v>203624.4</v>
          </cell>
          <cell r="AB292">
            <v>0</v>
          </cell>
          <cell r="AC292">
            <v>368919</v>
          </cell>
          <cell r="AD292">
            <v>0</v>
          </cell>
          <cell r="AE292">
            <v>0</v>
          </cell>
          <cell r="AF292">
            <v>263180.91</v>
          </cell>
          <cell r="AG292">
            <v>10240</v>
          </cell>
          <cell r="AH292">
            <v>2286</v>
          </cell>
          <cell r="AI292">
            <v>10501</v>
          </cell>
          <cell r="AJ292">
            <v>0</v>
          </cell>
          <cell r="AK292">
            <v>1282862</v>
          </cell>
          <cell r="AL292">
            <v>-2106.76</v>
          </cell>
          <cell r="AM292">
            <v>0</v>
          </cell>
          <cell r="AN292">
            <v>5292201.97876891</v>
          </cell>
          <cell r="AO292">
            <v>7125000</v>
          </cell>
          <cell r="AP292">
            <v>154647.52</v>
          </cell>
          <cell r="AQ292">
            <v>10500</v>
          </cell>
          <cell r="AR292">
            <v>10000</v>
          </cell>
          <cell r="AS292">
            <v>0</v>
          </cell>
          <cell r="AT292">
            <v>0</v>
          </cell>
          <cell r="AU292">
            <v>177254.28</v>
          </cell>
          <cell r="AV292">
            <v>6577521.85876891</v>
          </cell>
          <cell r="AW292">
            <v>8697254.28</v>
          </cell>
          <cell r="AX292">
            <v>-2119732.42123109</v>
          </cell>
          <cell r="AY292">
            <v>5202.8</v>
          </cell>
          <cell r="AZ292">
            <v>-1824.12</v>
          </cell>
          <cell r="BA292">
            <v>-6026.57</v>
          </cell>
          <cell r="BB292">
            <v>7640.32</v>
          </cell>
          <cell r="BC292">
            <v>844.13</v>
          </cell>
          <cell r="BD292">
            <v>-1464</v>
          </cell>
          <cell r="BE292">
            <v>1281398</v>
          </cell>
          <cell r="BF292">
            <v>1277550</v>
          </cell>
          <cell r="BG292">
            <v>3848</v>
          </cell>
        </row>
        <row r="293">
          <cell r="AB293" t="str">
            <v>核准：</v>
          </cell>
          <cell r="BD293" t="str">
            <v>制表人：梁雪霞</v>
          </cell>
        </row>
        <row r="307">
          <cell r="K307">
            <v>0</v>
          </cell>
        </row>
      </sheetData>
      <sheetData sheetId="1"/>
      <sheetData sheetId="2"/>
      <sheetData sheetId="3"/>
      <sheetData sheetId="4">
        <row r="4">
          <cell r="D4" t="str">
            <v>姓名</v>
          </cell>
          <cell r="BE4" t="str">
            <v>实发工资</v>
          </cell>
        </row>
        <row r="5">
          <cell r="D5" t="str">
            <v>陈兰林</v>
          </cell>
          <cell r="BE5">
            <v>4524</v>
          </cell>
        </row>
        <row r="6">
          <cell r="D6" t="str">
            <v>朱其锋</v>
          </cell>
          <cell r="BE6">
            <v>1047</v>
          </cell>
        </row>
        <row r="7">
          <cell r="D7" t="str">
            <v>王龙</v>
          </cell>
          <cell r="BE7">
            <v>4407</v>
          </cell>
        </row>
        <row r="8">
          <cell r="D8" t="str">
            <v>王杨</v>
          </cell>
          <cell r="BE8">
            <v>4295</v>
          </cell>
        </row>
        <row r="9">
          <cell r="D9" t="str">
            <v>益穷</v>
          </cell>
          <cell r="BE9">
            <v>2826</v>
          </cell>
        </row>
        <row r="10">
          <cell r="D10" t="str">
            <v>刘志军</v>
          </cell>
          <cell r="BE10">
            <v>4579</v>
          </cell>
        </row>
        <row r="11">
          <cell r="D11" t="str">
            <v>尔多</v>
          </cell>
          <cell r="BE11">
            <v>2848</v>
          </cell>
        </row>
        <row r="12">
          <cell r="D12" t="str">
            <v>覃棋新</v>
          </cell>
          <cell r="BE12">
            <v>909</v>
          </cell>
        </row>
        <row r="13">
          <cell r="D13" t="str">
            <v>冉令中</v>
          </cell>
          <cell r="BE13">
            <v>11367</v>
          </cell>
        </row>
        <row r="14">
          <cell r="D14" t="str">
            <v>徐恒</v>
          </cell>
          <cell r="BE14">
            <v>4389</v>
          </cell>
        </row>
        <row r="15">
          <cell r="D15" t="str">
            <v>李云燕</v>
          </cell>
          <cell r="BE15">
            <v>4503</v>
          </cell>
        </row>
        <row r="16">
          <cell r="D16" t="str">
            <v>本月合计</v>
          </cell>
          <cell r="BE16">
            <v>45694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topLeftCell="A1" workbookViewId="0">
      <pane xSplit="3" ySplit="4" topLeftCell="F5" activePane="bottomRight" state="frozen"/>
      <selection pane="topRight" activeCell="A1" sqref="A1"/>
      <selection pane="bottomLeft" activeCell="A1" sqref="A1"/>
      <selection pane="bottomRight" activeCell="A15" sqref="A15:XFD15"/>
    </sheetView>
  </sheetViews>
  <sheetFormatPr baseColWidth="8" defaultColWidth="9.00390625" defaultRowHeight="15"/>
  <cols>
    <col width="3.140625" customWidth="1" style="101" min="1" max="1"/>
    <col width="7.140625" customWidth="1" style="101" min="2" max="2"/>
    <col width="7.57421875" customWidth="1" style="101" min="3" max="3"/>
    <col width="6.140625" customWidth="1" style="101" min="4" max="7"/>
    <col width="6.421875" customWidth="1" style="101" min="8" max="8"/>
    <col width="5.00390625" customWidth="1" style="101" min="9" max="9"/>
    <col width="6.57421875" customWidth="1" style="101" min="10" max="10"/>
    <col width="6.140625" customWidth="1" style="101" min="11" max="11"/>
    <col width="6.57421875" customWidth="1" style="101" min="12" max="12"/>
    <col width="6.140625" customWidth="1" style="101" min="13" max="13"/>
    <col width="6.7109375" customWidth="1" style="101" min="14" max="17"/>
    <col width="7.421875" customWidth="1" style="102" min="18" max="18"/>
    <col width="5.421875" customWidth="1" style="101" min="19" max="19"/>
    <col width="6.421875" customWidth="1" style="101" min="20" max="20"/>
    <col width="6.8515625" customWidth="1" style="166" min="21" max="21"/>
    <col width="5.7109375" customWidth="1" style="166" min="22" max="22"/>
    <col width="7.421875" customWidth="1" style="102" min="23" max="23"/>
    <col width="15.421875" customWidth="1" style="101" min="24" max="24"/>
    <col width="9.00390625" customWidth="1" style="101" min="25" max="16384"/>
  </cols>
  <sheetData>
    <row r="1" ht="49.5" customHeight="1" s="6">
      <c r="A1" s="104" t="inlineStr">
        <is>
          <t>March 2020 Salary Calculation Detail Table</t>
        </is>
      </c>
    </row>
    <row r="2" ht="6" customHeight="1" s="6">
      <c r="A2" s="105" t="n"/>
      <c r="C2" s="106" t="n"/>
      <c r="D2" s="106" t="n"/>
      <c r="E2" s="107" t="n"/>
      <c r="F2" s="167" t="n"/>
      <c r="G2" s="167" t="n"/>
      <c r="H2" s="167" t="n"/>
      <c r="I2" s="134" t="n"/>
      <c r="J2" s="135" t="n"/>
      <c r="K2" s="136" t="n"/>
      <c r="L2" s="168" t="n"/>
      <c r="M2" s="136" t="n"/>
      <c r="N2" s="136" t="n"/>
      <c r="O2" s="134" t="n"/>
      <c r="P2" s="169" t="n"/>
      <c r="Q2" s="170" t="n"/>
      <c r="R2" s="148" t="n"/>
      <c r="S2" s="107" t="n"/>
      <c r="T2" s="136" t="n"/>
      <c r="U2" s="168" t="n"/>
      <c r="V2" s="171" t="n"/>
      <c r="W2" s="150" t="n"/>
      <c r="X2" s="151" t="n"/>
    </row>
    <row r="3" ht="24" customHeight="1" s="6">
      <c r="A3" s="109" t="inlineStr">
        <is>
          <t>Serial Number</t>
        </is>
      </c>
      <c r="B3" s="152" t="inlineStr">
        <is>
          <t>Name</t>
        </is>
      </c>
      <c r="C3" s="152" t="inlineStr">
        <is>
          <t>Position</t>
        </is>
      </c>
      <c r="D3" s="152" t="inlineStr">
        <is>
          <t>Attendance</t>
        </is>
      </c>
      <c r="E3" s="172" t="n"/>
      <c r="F3" s="172" t="n"/>
      <c r="G3" s="173" t="n"/>
      <c r="H3" s="174" t="inlineStr">
        <is>
          <t>Salary Total</t>
        </is>
      </c>
      <c r="I3" s="175" t="inlineStr">
        <is>
          <t>Full Attendance Allowance</t>
        </is>
      </c>
      <c r="J3" s="174" t="inlineStr">
        <is>
          <t>Base Salary</t>
        </is>
      </c>
      <c r="K3" s="173" t="n"/>
      <c r="L3" s="152" t="inlineStr">
        <is>
          <t>Allowance</t>
        </is>
      </c>
      <c r="M3" s="173" t="n"/>
      <c r="N3" s="175" t="inlineStr">
        <is>
          <t>Overtime</t>
        </is>
      </c>
      <c r="O3" s="172" t="n"/>
      <c r="P3" s="172" t="n"/>
      <c r="Q3" s="173" t="n"/>
      <c r="R3" s="152" t="inlineStr">
        <is>
          <t>Gross Salary</t>
        </is>
      </c>
      <c r="S3" s="152" t="inlineStr">
        <is>
          <t>Deduction</t>
        </is>
      </c>
      <c r="T3" s="172" t="n"/>
      <c r="U3" s="173" t="n"/>
      <c r="V3" s="176" t="inlineStr">
        <is>
          <t>Total Deductions</t>
        </is>
      </c>
      <c r="W3" s="176" t="inlineStr">
        <is>
          <t>Net Salary</t>
        </is>
      </c>
      <c r="X3" s="154" t="inlineStr">
        <is>
          <t>Employee Signature</t>
        </is>
      </c>
    </row>
    <row r="4" ht="33" customFormat="1" customHeight="1" s="101">
      <c r="A4" s="177" t="n"/>
      <c r="B4" s="178" t="n"/>
      <c r="C4" s="178" t="n"/>
      <c r="D4" s="155" t="inlineStr">
        <is>
          <t>Full Attendance Days</t>
        </is>
      </c>
      <c r="E4" s="155" t="inlineStr">
        <is>
          <t>Attendance Days</t>
        </is>
      </c>
      <c r="F4" s="155" t="inlineStr">
        <is>
          <t>Ordinary day overtime</t>
        </is>
      </c>
      <c r="G4" s="179" t="inlineStr">
        <is>
          <t>Holiday Overtime</t>
        </is>
      </c>
      <c r="H4" s="178" t="n"/>
      <c r="I4" s="178" t="n"/>
      <c r="J4" s="155" t="inlineStr">
        <is>
          <t>Base Salary</t>
        </is>
      </c>
      <c r="K4" s="180" t="inlineStr">
        <is>
          <t>Basic Salary</t>
        </is>
      </c>
      <c r="L4" s="155" t="inlineStr">
        <is>
          <t>Position Allowance</t>
        </is>
      </c>
      <c r="M4" s="155" t="inlineStr">
        <is>
          <t>Allowance Actual Disbursement</t>
        </is>
      </c>
      <c r="N4" s="181" t="inlineStr">
        <is>
          <t>Overtime Unit Price</t>
        </is>
      </c>
      <c r="O4" s="180" t="inlineStr">
        <is>
          <t>Regular Overtime Pay</t>
        </is>
      </c>
      <c r="P4" s="180" t="inlineStr">
        <is>
          <t>Holiday Unit Price</t>
        </is>
      </c>
      <c r="Q4" s="180" t="inlineStr">
        <is>
          <t>Holiday Overtime Pay</t>
        </is>
      </c>
      <c r="R4" s="178" t="n"/>
      <c r="S4" s="155" t="inlineStr">
        <is>
          <t>Withheld Social Security</t>
        </is>
      </c>
      <c r="T4" s="155" t="inlineStr">
        <is>
          <t>Housing Fund</t>
        </is>
      </c>
      <c r="U4" s="180" t="inlineStr">
        <is>
          <t>Withholding Individual Income Tax</t>
        </is>
      </c>
      <c r="V4" s="178" t="n"/>
      <c r="W4" s="178" t="n"/>
      <c r="X4" s="182" t="n"/>
    </row>
    <row r="5" ht="27" customHeight="1" s="6">
      <c r="A5" s="117" t="n">
        <v>1</v>
      </c>
      <c r="B5" s="118" t="inlineStr">
        <is>
          <t>Xiaoming</t>
        </is>
      </c>
      <c r="C5" s="119" t="inlineStr">
        <is>
          <t>Operator</t>
        </is>
      </c>
      <c r="D5" s="120" t="n">
        <v>21</v>
      </c>
      <c r="E5" s="120" t="n">
        <v>19</v>
      </c>
      <c r="F5" s="120" t="n">
        <v>36</v>
      </c>
      <c r="G5" s="120" t="n">
        <v>45</v>
      </c>
      <c r="H5" s="183" t="n">
        <v>5000</v>
      </c>
      <c r="I5" s="120" t="n">
        <v>80</v>
      </c>
      <c r="J5" s="183" t="n">
        <v>1720</v>
      </c>
      <c r="K5" s="119">
        <f>_xlfn.IFERROR(ROUND(J5/$D5*$E5,0),0)</f>
        <v/>
      </c>
      <c r="L5" s="184">
        <f>H5-I5-J5</f>
        <v/>
      </c>
      <c r="M5" s="119">
        <f>_xlfn.IFERROR(ROUND(L5/$D5*$E5,0),0)</f>
        <v/>
      </c>
      <c r="N5" s="118" t="n">
        <v>14.83</v>
      </c>
      <c r="O5" s="119">
        <f>_xlfn.IFERROR(ROUND(F5*N5,0),0)</f>
        <v/>
      </c>
      <c r="P5" s="185" t="n">
        <v>19.77</v>
      </c>
      <c r="Q5" s="119">
        <f>_xlfn.IFERROR(ROUND(G5*P5,0),0)</f>
        <v/>
      </c>
      <c r="R5" s="186">
        <f>ROUND(K5+M5+O5+Q5+I5,0)</f>
        <v/>
      </c>
      <c r="S5" s="184" t="n">
        <v>301</v>
      </c>
      <c r="T5" s="184" t="n"/>
      <c r="U5" s="184">
        <f>ROUND(MAX((R5)*{0.03;0.1;0.2;0.25;0.3;0.35;0.45}-{0;2520;16920;31920;52920;85920;193920},0),2)</f>
        <v/>
      </c>
      <c r="V5" s="186">
        <f>S5+T5+U5</f>
        <v/>
      </c>
      <c r="W5" s="184">
        <f>R5-V5</f>
        <v/>
      </c>
      <c r="X5" s="159" t="n"/>
    </row>
    <row r="6" ht="27" customHeight="1" s="6">
      <c r="A6" s="122" t="n">
        <v>2</v>
      </c>
      <c r="B6" s="123" t="inlineStr">
        <is>
          <t>Xiaohuang</t>
        </is>
      </c>
      <c r="C6" s="124" t="inlineStr">
        <is>
          <t>Operator</t>
        </is>
      </c>
      <c r="D6" s="125" t="n">
        <v>21</v>
      </c>
      <c r="E6" s="125" t="n">
        <v>20.5</v>
      </c>
      <c r="F6" s="125" t="n">
        <v>46</v>
      </c>
      <c r="G6" s="125" t="n">
        <v>36</v>
      </c>
      <c r="H6" s="187" t="n">
        <v>5000</v>
      </c>
      <c r="I6" s="125" t="n">
        <v>80</v>
      </c>
      <c r="J6" s="187" t="n">
        <v>1720</v>
      </c>
      <c r="K6" s="124">
        <f>_xlfn.IFERROR(ROUND(J6/$D6*$E6,0),0)</f>
        <v/>
      </c>
      <c r="L6" s="188">
        <f>H6-I6-J6</f>
        <v/>
      </c>
      <c r="M6" s="124">
        <f>_xlfn.IFERROR(ROUND(L6/$D6*$E6,0),0)</f>
        <v/>
      </c>
      <c r="N6" s="123" t="n">
        <v>14.83</v>
      </c>
      <c r="O6" s="124">
        <f>_xlfn.IFERROR(ROUND(F6*N6,0),0)</f>
        <v/>
      </c>
      <c r="P6" s="189" t="n">
        <v>19.77</v>
      </c>
      <c r="Q6" s="124">
        <f>_xlfn.IFERROR(ROUND(G6*P6,0),0)</f>
        <v/>
      </c>
      <c r="R6" s="190">
        <f>ROUND(K6+M6+O6+Q6+I6,0)</f>
        <v/>
      </c>
      <c r="S6" s="188" t="n">
        <v>301</v>
      </c>
      <c r="T6" s="188" t="n"/>
      <c r="U6" s="188">
        <f>ROUND(MAX((R6)*{0.03;0.1;0.2;0.25;0.3;0.35;0.45}-{0;2520;16920;31920;52920;85920;193920},0),2)</f>
        <v/>
      </c>
      <c r="V6" s="190">
        <f>S6+T6+U6</f>
        <v/>
      </c>
      <c r="W6" s="188">
        <f>R6-V6</f>
        <v/>
      </c>
      <c r="X6" s="161" t="n"/>
    </row>
    <row r="7" ht="27" customHeight="1" s="6">
      <c r="A7" s="117" t="n">
        <v>3</v>
      </c>
      <c r="B7" s="118" t="inlineStr">
        <is>
          <t>Xiaoluo</t>
        </is>
      </c>
      <c r="C7" s="119" t="inlineStr">
        <is>
          <t>Operator</t>
        </is>
      </c>
      <c r="D7" s="120" t="n">
        <v>21</v>
      </c>
      <c r="E7" s="120" t="n">
        <v>21</v>
      </c>
      <c r="F7" s="120" t="n">
        <v>37</v>
      </c>
      <c r="G7" s="120" t="n">
        <v>34</v>
      </c>
      <c r="H7" s="183" t="n">
        <v>3500</v>
      </c>
      <c r="I7" s="120" t="n">
        <v>80</v>
      </c>
      <c r="J7" s="183" t="n">
        <v>1720</v>
      </c>
      <c r="K7" s="119">
        <f>_xlfn.IFERROR(ROUND(J7/$D7*$E7,0),0)</f>
        <v/>
      </c>
      <c r="L7" s="184">
        <f>H7-I7-J7</f>
        <v/>
      </c>
      <c r="M7" s="119">
        <f>_xlfn.IFERROR(ROUND(L7/$D7*$E7,0),0)</f>
        <v/>
      </c>
      <c r="N7" s="118" t="n">
        <v>14.83</v>
      </c>
      <c r="O7" s="119">
        <f>_xlfn.IFERROR(ROUND(F7*N7,0),0)</f>
        <v/>
      </c>
      <c r="P7" s="185" t="n">
        <v>19.77</v>
      </c>
      <c r="Q7" s="119">
        <f>_xlfn.IFERROR(ROUND(G7*P7,0),0)</f>
        <v/>
      </c>
      <c r="R7" s="186">
        <f>ROUND(K7+M7+O7+Q7+I7,0)</f>
        <v/>
      </c>
      <c r="S7" s="184" t="n">
        <v>301</v>
      </c>
      <c r="T7" s="184" t="n"/>
      <c r="U7" s="184">
        <f>ROUND(MAX((R7)*{0.03;0.1;0.2;0.25;0.3;0.35;0.45}-{0;2520;16920;31920;52920;85920;193920},0),2)</f>
        <v/>
      </c>
      <c r="V7" s="186">
        <f>S7+T7+U7</f>
        <v/>
      </c>
      <c r="W7" s="184">
        <f>R7-V7</f>
        <v/>
      </c>
      <c r="X7" s="159" t="n"/>
    </row>
    <row r="8" ht="27" customHeight="1" s="6">
      <c r="A8" s="122" t="n">
        <v>4</v>
      </c>
      <c r="B8" s="123" t="inlineStr">
        <is>
          <t>Xiaofang</t>
        </is>
      </c>
      <c r="C8" s="124" t="inlineStr">
        <is>
          <t>Operator</t>
        </is>
      </c>
      <c r="D8" s="125" t="n">
        <v>21</v>
      </c>
      <c r="E8" s="125" t="n">
        <v>21</v>
      </c>
      <c r="F8" s="125" t="n">
        <v>48</v>
      </c>
      <c r="G8" s="125" t="n">
        <v>37</v>
      </c>
      <c r="H8" s="187" t="n">
        <v>3500</v>
      </c>
      <c r="I8" s="125" t="n">
        <v>80</v>
      </c>
      <c r="J8" s="187" t="n">
        <v>1720</v>
      </c>
      <c r="K8" s="124">
        <f>_xlfn.IFERROR(ROUND(J8/$D8*$E8,0),0)</f>
        <v/>
      </c>
      <c r="L8" s="188">
        <f>H8-I8-J8</f>
        <v/>
      </c>
      <c r="M8" s="124">
        <f>_xlfn.IFERROR(ROUND(L8/$D8*$E8,0),0)</f>
        <v/>
      </c>
      <c r="N8" s="123" t="n">
        <v>14.83</v>
      </c>
      <c r="O8" s="124">
        <f>_xlfn.IFERROR(ROUND(F8*N8,0),0)</f>
        <v/>
      </c>
      <c r="P8" s="189" t="n">
        <v>19.77</v>
      </c>
      <c r="Q8" s="124">
        <f>_xlfn.IFERROR(ROUND(G8*P8,0),0)</f>
        <v/>
      </c>
      <c r="R8" s="190">
        <f>ROUND(K8+M8+O8+Q8+I8,0)</f>
        <v/>
      </c>
      <c r="S8" s="188" t="n">
        <v>301</v>
      </c>
      <c r="T8" s="188" t="n"/>
      <c r="U8" s="188">
        <f>ROUND(MAX((R8)*{0.03;0.1;0.2;0.25;0.3;0.35;0.45}-{0;2520;16920;31920;52920;85920;193920},0),2)</f>
        <v/>
      </c>
      <c r="V8" s="190">
        <f>S8+T8+U8</f>
        <v/>
      </c>
      <c r="W8" s="188">
        <f>R8-V8</f>
        <v/>
      </c>
      <c r="X8" s="161" t="n"/>
    </row>
    <row r="9" ht="27" customHeight="1" s="6">
      <c r="A9" s="117" t="n">
        <v>5</v>
      </c>
      <c r="B9" s="118" t="inlineStr">
        <is>
          <t>Xiaoyang</t>
        </is>
      </c>
      <c r="C9" s="119" t="inlineStr">
        <is>
          <t>Operator</t>
        </is>
      </c>
      <c r="D9" s="120" t="n">
        <v>21</v>
      </c>
      <c r="E9" s="120" t="n">
        <v>21</v>
      </c>
      <c r="F9" s="120" t="n">
        <v>49</v>
      </c>
      <c r="G9" s="120" t="n">
        <v>36</v>
      </c>
      <c r="H9" s="183" t="n">
        <v>3500</v>
      </c>
      <c r="I9" s="120" t="n">
        <v>80</v>
      </c>
      <c r="J9" s="183" t="n">
        <v>1720</v>
      </c>
      <c r="K9" s="119">
        <f>_xlfn.IFERROR(ROUND(J9/$D9*$E9,0),0)</f>
        <v/>
      </c>
      <c r="L9" s="184">
        <f>H9-I9-J9</f>
        <v/>
      </c>
      <c r="M9" s="119">
        <f>_xlfn.IFERROR(ROUND(L9/$D9*$E9,0),0)</f>
        <v/>
      </c>
      <c r="N9" s="118" t="n">
        <v>14.83</v>
      </c>
      <c r="O9" s="119">
        <f>_xlfn.IFERROR(ROUND(F9*N9,0),0)</f>
        <v/>
      </c>
      <c r="P9" s="185" t="n">
        <v>19.77</v>
      </c>
      <c r="Q9" s="119">
        <f>_xlfn.IFERROR(ROUND(G9*P9,0),0)</f>
        <v/>
      </c>
      <c r="R9" s="186">
        <f>ROUND(K9+M9+O9+Q9+I9,0)</f>
        <v/>
      </c>
      <c r="S9" s="184" t="n">
        <v>301</v>
      </c>
      <c r="T9" s="184" t="n"/>
      <c r="U9" s="184">
        <f>ROUND(MAX((R9)*{0.03;0.1;0.2;0.25;0.3;0.35;0.45}-{0;2520;16920;31920;52920;85920;193920},0),2)</f>
        <v/>
      </c>
      <c r="V9" s="186">
        <f>S9+T9+U9</f>
        <v/>
      </c>
      <c r="W9" s="184">
        <f>R9-V9</f>
        <v/>
      </c>
      <c r="X9" s="159" t="n"/>
    </row>
    <row r="10" ht="27" customHeight="1" s="6">
      <c r="A10" s="122" t="n">
        <v>6</v>
      </c>
      <c r="B10" s="123" t="inlineStr">
        <is>
          <t>Xiaowen</t>
        </is>
      </c>
      <c r="C10" s="124" t="inlineStr">
        <is>
          <t>Operator</t>
        </is>
      </c>
      <c r="D10" s="125" t="n">
        <v>21</v>
      </c>
      <c r="E10" s="125" t="n">
        <v>20</v>
      </c>
      <c r="F10" s="125" t="n">
        <v>56</v>
      </c>
      <c r="G10" s="125" t="n">
        <v>25.5</v>
      </c>
      <c r="H10" s="187" t="n">
        <v>3500</v>
      </c>
      <c r="I10" s="125" t="n">
        <v>80</v>
      </c>
      <c r="J10" s="187" t="n">
        <v>1720</v>
      </c>
      <c r="K10" s="124">
        <f>_xlfn.IFERROR(ROUND(J10/$D10*$E10,0),0)</f>
        <v/>
      </c>
      <c r="L10" s="188">
        <f>H10-I10-J10</f>
        <v/>
      </c>
      <c r="M10" s="124">
        <f>_xlfn.IFERROR(ROUND(L10/$D10*$E10,0),0)</f>
        <v/>
      </c>
      <c r="N10" s="123" t="n">
        <v>14.83</v>
      </c>
      <c r="O10" s="124">
        <f>_xlfn.IFERROR(ROUND(F10*N10,0),0)</f>
        <v/>
      </c>
      <c r="P10" s="189" t="n">
        <v>19.77</v>
      </c>
      <c r="Q10" s="124">
        <f>_xlfn.IFERROR(ROUND(G10*P10,0),0)</f>
        <v/>
      </c>
      <c r="R10" s="190">
        <f>ROUND(K10+M10+O10+Q10+I10,0)</f>
        <v/>
      </c>
      <c r="S10" s="188" t="n">
        <v>301</v>
      </c>
      <c r="T10" s="188" t="n"/>
      <c r="U10" s="188">
        <f>ROUND(MAX((R10)*{0.03;0.1;0.2;0.25;0.3;0.35;0.45}-{0;2520;16920;31920;52920;85920;193920},0),2)</f>
        <v/>
      </c>
      <c r="V10" s="190">
        <f>S10+T10+U10</f>
        <v/>
      </c>
      <c r="W10" s="188">
        <f>R10-V10</f>
        <v/>
      </c>
      <c r="X10" s="161" t="n"/>
    </row>
    <row r="11" ht="27" customHeight="1" s="6">
      <c r="A11" s="117" t="n">
        <v>7</v>
      </c>
      <c r="B11" s="118" t="inlineStr">
        <is>
          <t>Xiaoling</t>
        </is>
      </c>
      <c r="C11" s="119" t="inlineStr">
        <is>
          <t>Operator</t>
        </is>
      </c>
      <c r="D11" s="120" t="n">
        <v>21</v>
      </c>
      <c r="E11" s="120" t="n">
        <v>19.5</v>
      </c>
      <c r="F11" s="120" t="n">
        <v>50</v>
      </c>
      <c r="G11" s="120" t="n">
        <v>20</v>
      </c>
      <c r="H11" s="183" t="n">
        <v>3500</v>
      </c>
      <c r="I11" s="120" t="n">
        <v>80</v>
      </c>
      <c r="J11" s="183" t="n">
        <v>1720</v>
      </c>
      <c r="K11" s="119">
        <f>_xlfn.IFERROR(ROUND(J11/$D11*$E11,0),0)</f>
        <v/>
      </c>
      <c r="L11" s="184">
        <f>H11-I11-J11</f>
        <v/>
      </c>
      <c r="M11" s="119">
        <f>_xlfn.IFERROR(ROUND(L11/$D11*$E11,0),0)</f>
        <v/>
      </c>
      <c r="N11" s="118" t="n">
        <v>14.83</v>
      </c>
      <c r="O11" s="119">
        <f>_xlfn.IFERROR(ROUND(F11*N11,0),0)</f>
        <v/>
      </c>
      <c r="P11" s="185" t="n">
        <v>19.77</v>
      </c>
      <c r="Q11" s="119">
        <f>_xlfn.IFERROR(ROUND(G11*P11,0),0)</f>
        <v/>
      </c>
      <c r="R11" s="186">
        <f>ROUND(K11+M11+O11+Q11+I11,0)</f>
        <v/>
      </c>
      <c r="S11" s="184" t="n">
        <v>301</v>
      </c>
      <c r="T11" s="184" t="n"/>
      <c r="U11" s="184">
        <f>ROUND(MAX((R11)*{0.03;0.1;0.2;0.25;0.3;0.35;0.45}-{0;2520;16920;31920;52920;85920;193920},0),2)</f>
        <v/>
      </c>
      <c r="V11" s="186">
        <f>S11+T11+U11</f>
        <v/>
      </c>
      <c r="W11" s="184">
        <f>R11-V11</f>
        <v/>
      </c>
      <c r="X11" s="159" t="n"/>
    </row>
    <row r="12" ht="27" customHeight="1" s="6">
      <c r="A12" s="122" t="n">
        <v>8</v>
      </c>
      <c r="B12" s="123" t="inlineStr">
        <is>
          <t>Xiaoye</t>
        </is>
      </c>
      <c r="C12" s="124" t="inlineStr">
        <is>
          <t>Operator</t>
        </is>
      </c>
      <c r="D12" s="125" t="n">
        <v>21</v>
      </c>
      <c r="E12" s="125" t="n">
        <v>19.5</v>
      </c>
      <c r="F12" s="125" t="n">
        <v>38</v>
      </c>
      <c r="G12" s="125" t="n">
        <v>36</v>
      </c>
      <c r="H12" s="187" t="n">
        <v>3500</v>
      </c>
      <c r="I12" s="125" t="n">
        <v>0</v>
      </c>
      <c r="J12" s="187" t="n">
        <v>1720</v>
      </c>
      <c r="K12" s="124">
        <f>_xlfn.IFERROR(ROUND(J12/$D12*$E12,0),0)</f>
        <v/>
      </c>
      <c r="L12" s="188">
        <f>H12-I12-J12</f>
        <v/>
      </c>
      <c r="M12" s="124">
        <f>_xlfn.IFERROR(ROUND(L12/$D12*$E12,0),0)</f>
        <v/>
      </c>
      <c r="N12" s="123" t="n">
        <v>14.83</v>
      </c>
      <c r="O12" s="124">
        <f>_xlfn.IFERROR(ROUND(F12*N12,0),0)</f>
        <v/>
      </c>
      <c r="P12" s="189" t="n">
        <v>19.77</v>
      </c>
      <c r="Q12" s="124">
        <f>_xlfn.IFERROR(ROUND(G12*P12,0),0)</f>
        <v/>
      </c>
      <c r="R12" s="190">
        <f>ROUND(K12+M12+O12+Q12+I12,0)</f>
        <v/>
      </c>
      <c r="S12" s="188" t="n">
        <v>301</v>
      </c>
      <c r="T12" s="188" t="n"/>
      <c r="U12" s="188">
        <f>ROUND(MAX((R12)*{0.03;0.1;0.2;0.25;0.3;0.35;0.45}-{0;2520;16920;31920;52920;85920;193920},0),2)</f>
        <v/>
      </c>
      <c r="V12" s="190">
        <f>S12+T12+U12</f>
        <v/>
      </c>
      <c r="W12" s="188">
        <f>R12-V12</f>
        <v/>
      </c>
      <c r="X12" s="161" t="n"/>
    </row>
    <row r="13" ht="27" customHeight="1" s="6">
      <c r="A13" s="117" t="n">
        <v>9</v>
      </c>
      <c r="B13" s="118" t="inlineStr">
        <is>
          <t>Xiao Qiang</t>
        </is>
      </c>
      <c r="C13" s="119" t="inlineStr">
        <is>
          <t>Operator</t>
        </is>
      </c>
      <c r="D13" s="120" t="n">
        <v>21</v>
      </c>
      <c r="E13" s="120" t="n">
        <v>21</v>
      </c>
      <c r="F13" s="120" t="n">
        <v>49</v>
      </c>
      <c r="G13" s="120" t="n">
        <v>24</v>
      </c>
      <c r="H13" s="183" t="n">
        <v>3500</v>
      </c>
      <c r="I13" s="120" t="n">
        <v>80</v>
      </c>
      <c r="J13" s="183" t="n">
        <v>1720</v>
      </c>
      <c r="K13" s="119">
        <f>_xlfn.IFERROR(ROUND(J13/$D13*$E13,0),0)</f>
        <v/>
      </c>
      <c r="L13" s="184">
        <f>H13-I13-J13</f>
        <v/>
      </c>
      <c r="M13" s="119">
        <f>_xlfn.IFERROR(ROUND(L13/$D13*$E13,0),0)</f>
        <v/>
      </c>
      <c r="N13" s="118" t="n">
        <v>14.83</v>
      </c>
      <c r="O13" s="119">
        <f>_xlfn.IFERROR(ROUND(F13*N13,0),0)</f>
        <v/>
      </c>
      <c r="P13" s="185" t="n">
        <v>19.77</v>
      </c>
      <c r="Q13" s="119">
        <f>_xlfn.IFERROR(ROUND(G13*P13,0),0)</f>
        <v/>
      </c>
      <c r="R13" s="186">
        <f>ROUND(K13+M13+O13+Q13+I13,0)</f>
        <v/>
      </c>
      <c r="S13" s="184" t="n">
        <v>301</v>
      </c>
      <c r="T13" s="184" t="n"/>
      <c r="U13" s="184">
        <f>ROUND(MAX((R13)*{0.03;0.1;0.2;0.25;0.3;0.35;0.45}-{0;2520;16920;31920;52920;85920;193920},0),2)</f>
        <v/>
      </c>
      <c r="V13" s="186">
        <f>S13+T13+U13</f>
        <v/>
      </c>
      <c r="W13" s="184">
        <f>R13-V13</f>
        <v/>
      </c>
      <c r="X13" s="159" t="n"/>
    </row>
    <row r="14" ht="27" customHeight="1" s="6">
      <c r="A14" s="122" t="n">
        <v>10</v>
      </c>
      <c r="B14" s="123" t="inlineStr">
        <is>
          <t>Xiaohua</t>
        </is>
      </c>
      <c r="C14" s="124" t="inlineStr">
        <is>
          <t>Operator</t>
        </is>
      </c>
      <c r="D14" s="125" t="n">
        <v>21</v>
      </c>
      <c r="E14" s="125" t="n">
        <v>21</v>
      </c>
      <c r="F14" s="125" t="n">
        <v>36</v>
      </c>
      <c r="G14" s="125" t="n">
        <v>16</v>
      </c>
      <c r="H14" s="187" t="n">
        <v>3500</v>
      </c>
      <c r="I14" s="125" t="n">
        <v>80</v>
      </c>
      <c r="J14" s="187" t="n">
        <v>1720</v>
      </c>
      <c r="K14" s="124">
        <f>_xlfn.IFERROR(ROUND(J14/$D14*$E14,0),0)</f>
        <v/>
      </c>
      <c r="L14" s="188">
        <f>H14-I14-J14</f>
        <v/>
      </c>
      <c r="M14" s="124">
        <f>_xlfn.IFERROR(ROUND(L14/$D14*$E14,0),0)</f>
        <v/>
      </c>
      <c r="N14" s="123" t="n">
        <v>14.83</v>
      </c>
      <c r="O14" s="124">
        <f>_xlfn.IFERROR(ROUND(F14*N14,0),0)</f>
        <v/>
      </c>
      <c r="P14" s="189" t="n">
        <v>19.77</v>
      </c>
      <c r="Q14" s="124">
        <f>_xlfn.IFERROR(ROUND(G14*P14,0),0)</f>
        <v/>
      </c>
      <c r="R14" s="190">
        <f>ROUND(K14+M14+O14+Q14+I14,0)</f>
        <v/>
      </c>
      <c r="S14" s="188" t="n">
        <v>301</v>
      </c>
      <c r="T14" s="188" t="n"/>
      <c r="U14" s="188">
        <f>ROUND(MAX((R14)*{0.03;0.1;0.2;0.25;0.3;0.35;0.45}-{0;2520;16920;31920;52920;85920;193920},0),2)</f>
        <v/>
      </c>
      <c r="V14" s="190">
        <f>S14+T14+U14</f>
        <v/>
      </c>
      <c r="W14" s="188">
        <f>R14-V14</f>
        <v/>
      </c>
      <c r="X14" s="161" t="n"/>
    </row>
    <row r="15" ht="27" customHeight="1" s="6">
      <c r="A15" s="127" t="n"/>
      <c r="B15" s="128" t="inlineStr">
        <is>
          <t>Total for this month</t>
        </is>
      </c>
      <c r="C15" s="129" t="n"/>
      <c r="D15" s="130" t="n"/>
      <c r="E15" s="130" t="n"/>
      <c r="F15" s="131">
        <f>SUM(F5:F14)</f>
        <v/>
      </c>
      <c r="G15" s="131">
        <f>SUM(G5:G14)</f>
        <v/>
      </c>
      <c r="H15" s="131">
        <f>SUM(H5:H14)</f>
        <v/>
      </c>
      <c r="I15" s="131">
        <f>SUM(I5:I14)</f>
        <v/>
      </c>
      <c r="J15" s="131">
        <f>SUM(J5:J14)</f>
        <v/>
      </c>
      <c r="K15" s="131">
        <f>SUM(K5:K14)</f>
        <v/>
      </c>
      <c r="L15" s="131">
        <f>SUM(L5:L14)</f>
        <v/>
      </c>
      <c r="M15" s="131">
        <f>SUM(M5:M14)</f>
        <v/>
      </c>
      <c r="N15" s="131">
        <f>SUM(N5:N14)</f>
        <v/>
      </c>
      <c r="O15" s="131">
        <f>SUM(O5:O14)</f>
        <v/>
      </c>
      <c r="P15" s="131">
        <f>SUM(P5:P14)</f>
        <v/>
      </c>
      <c r="Q15" s="131">
        <f>SUM(Q5:Q14)</f>
        <v/>
      </c>
      <c r="R15" s="131">
        <f>SUM(R5:R14)</f>
        <v/>
      </c>
      <c r="S15" s="131">
        <f>SUM(S5:S14)</f>
        <v/>
      </c>
      <c r="T15" s="131">
        <f>SUM(T5:T14)</f>
        <v/>
      </c>
      <c r="U15" s="131">
        <f>SUM(U5:U14)</f>
        <v/>
      </c>
      <c r="V15" s="131">
        <f>SUM(V5:V14)</f>
        <v/>
      </c>
      <c r="W15" s="131">
        <f>SUM(W5:W14)</f>
        <v/>
      </c>
      <c r="X15" s="162" t="n"/>
    </row>
    <row r="16" ht="15" customHeight="1" s="6">
      <c r="D16" s="191" t="n"/>
    </row>
    <row r="17" ht="15" customHeight="1" s="6">
      <c r="D17" s="191" t="n"/>
    </row>
    <row r="18" ht="15" customHeight="1" s="6">
      <c r="D18" s="191" t="n"/>
    </row>
    <row r="19" ht="15" customHeight="1" s="6">
      <c r="D19" s="191" t="n"/>
    </row>
    <row r="20" ht="15" customHeight="1" s="6">
      <c r="D20" s="133" t="n"/>
    </row>
  </sheetData>
  <mergeCells count="16">
    <mergeCell ref="L3:M3"/>
    <mergeCell ref="J3:K3"/>
    <mergeCell ref="D3:G3"/>
    <mergeCell ref="D19:E19"/>
    <mergeCell ref="C3:C4"/>
    <mergeCell ref="A3:A4"/>
    <mergeCell ref="B3:B4"/>
    <mergeCell ref="V3:V4"/>
    <mergeCell ref="N3:Q3"/>
    <mergeCell ref="H3:H4"/>
    <mergeCell ref="I3:I4"/>
    <mergeCell ref="R3:R4"/>
    <mergeCell ref="S3:U3"/>
    <mergeCell ref="W3:W4"/>
    <mergeCell ref="A1:X1"/>
    <mergeCell ref="X3:X4"/>
  </mergeCells>
  <conditionalFormatting sqref="B3">
    <cfRule type="duplicateValues" priority="1" dxfId="0">
      <formula>AND(COUNTIF($B$3:$B$3,B3)&gt;1,NOT(ISBLANK(B3)))</formula>
    </cfRule>
  </conditionalFormatting>
  <conditionalFormatting sqref="A15">
    <cfRule type="expression" priority="192" dxfId="1" stopIfTrue="1">
      <formula>AND(SUMPRODUCT(1*((#REF!&amp;"x")=(A15&amp;"x")))&gt;1,NOT(ISBLANK(A15)))</formula>
    </cfRule>
  </conditionalFormatting>
  <conditionalFormatting sqref="A5:A14">
    <cfRule type="expression" priority="206" dxfId="1" stopIfTrue="1">
      <formula>AND(SUMPRODUCT(1*((#REF!&amp;"x")=(A5&amp;"x")))&gt;1,NOT(ISBLANK(A5)))</formula>
    </cfRule>
  </conditionalFormatting>
  <conditionalFormatting sqref="B2 B5:B1048576">
    <cfRule type="duplicateValues" priority="207" dxfId="0">
      <formula>AND(COUNTIF($B$5:$B$1048576,B2)+COUNTIF($B$2:$B$2,B2)&gt;1,NOT(ISBLANK(B2)))</formula>
    </cfRule>
  </conditionalFormatting>
  <pageMargins left="0.236111111111111" right="0.275" top="0.354166666666667" bottom="0" header="0.432638888888889" footer="0.511805555555556"/>
  <pageSetup orientation="landscape" paperSize="9" scale="90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topLeftCell="A1" workbookViewId="0">
      <selection activeCell="D2" sqref="D2:D27"/>
    </sheetView>
  </sheetViews>
  <sheetFormatPr baseColWidth="8" defaultColWidth="9.00390625" defaultRowHeight="15"/>
  <sheetData>
    <row r="1" ht="15" customHeight="1" s="6">
      <c r="A1" t="inlineStr">
        <is>
          <t>Name</t>
        </is>
      </c>
      <c r="B1" t="inlineStr">
        <is>
          <t>Amount</t>
        </is>
      </c>
    </row>
    <row r="2" ht="15" customHeight="1" s="6">
      <c r="A2" t="inlineStr">
        <is>
          <t>Wu Kunjing</t>
        </is>
      </c>
      <c r="B2" t="n">
        <v>23</v>
      </c>
      <c r="D2">
        <f>SUMIF(Payroll_Table!B:B,A:A,Payroll_Table!#REF!)</f>
        <v/>
      </c>
    </row>
    <row r="3" ht="15" customHeight="1" s="6">
      <c r="A3" t="inlineStr">
        <is>
          <t>彭小洋 translates to "Peng Xiaoyang" in English.</t>
        </is>
      </c>
      <c r="B3" t="n">
        <v>24</v>
      </c>
      <c r="D3">
        <f>SUMIF(Payroll_Table!B:B,A:A,Payroll_Table!#REF!)</f>
        <v/>
      </c>
    </row>
    <row r="4" ht="15" customHeight="1" s="6">
      <c r="A4" t="inlineStr">
        <is>
          <t>Qin Yongjin</t>
        </is>
      </c>
      <c r="B4" t="n">
        <v>25</v>
      </c>
      <c r="D4">
        <f>SUMIF(Payroll_Table!B:B,A:A,Payroll_Table!#REF!)</f>
        <v/>
      </c>
    </row>
    <row r="5" ht="15" customHeight="1" s="6">
      <c r="A5" t="inlineStr">
        <is>
          <t>Chen Lanlin</t>
        </is>
      </c>
      <c r="B5" t="n">
        <v>26</v>
      </c>
      <c r="D5">
        <f>SUMIF(Payroll_Table!B:B,A:A,Payroll_Table!#REF!)</f>
        <v/>
      </c>
    </row>
    <row r="6" ht="15" customHeight="1" s="6">
      <c r="A6" t="inlineStr">
        <is>
          <t>Zhu Qifeng</t>
        </is>
      </c>
      <c r="B6" t="n">
        <v>27</v>
      </c>
      <c r="D6">
        <f>SUMIF(Payroll_Table!B:B,A:A,Payroll_Table!#REF!)</f>
        <v/>
      </c>
    </row>
    <row r="7" ht="15" customHeight="1" s="6">
      <c r="A7" t="inlineStr">
        <is>
          <t>Chen Lanquan</t>
        </is>
      </c>
      <c r="B7" t="n">
        <v>28</v>
      </c>
      <c r="D7">
        <f>SUMIF(Payroll_Table!B:B,A:A,Payroll_Table!#REF!)</f>
        <v/>
      </c>
    </row>
    <row r="8" ht="15" customHeight="1" s="6">
      <c r="A8" t="inlineStr">
        <is>
          <t>Li Changhui</t>
        </is>
      </c>
      <c r="B8" t="n">
        <v>29</v>
      </c>
      <c r="D8">
        <f>SUMIF(Payroll_Table!B:B,A:A,Payroll_Table!#REF!)</f>
        <v/>
      </c>
    </row>
    <row r="9" ht="15" customHeight="1" s="6">
      <c r="A9" t="inlineStr">
        <is>
          <t>Liu Ping</t>
        </is>
      </c>
      <c r="B9" t="n">
        <v>30</v>
      </c>
      <c r="D9">
        <f>SUMIF(Payroll_Table!B:B,A:A,Payroll_Table!#REF!)</f>
        <v/>
      </c>
    </row>
    <row r="10" ht="15" customHeight="1" s="6">
      <c r="A10" t="inlineStr">
        <is>
          <t>Xue Qiongying</t>
        </is>
      </c>
      <c r="B10" t="n">
        <v>31</v>
      </c>
      <c r="D10">
        <f>SUMIF(Payroll_Table!B:B,A:A,Payroll_Table!#REF!)</f>
        <v/>
      </c>
    </row>
    <row r="11" ht="15" customHeight="1" s="6">
      <c r="A11" t="inlineStr">
        <is>
          <t>Li Zhifu</t>
        </is>
      </c>
      <c r="B11" t="n">
        <v>32</v>
      </c>
      <c r="D11">
        <f>SUMIF(Payroll_Table!B:B,A:A,Payroll_Table!#REF!)</f>
        <v/>
      </c>
    </row>
    <row r="12" ht="15" customHeight="1" s="6">
      <c r="A12" t="inlineStr">
        <is>
          <t>Xie Guang</t>
        </is>
      </c>
      <c r="B12" t="n">
        <v>33</v>
      </c>
      <c r="D12">
        <f>SUMIF(Payroll_Table!B:B,A:A,Payroll_Table!#REF!)</f>
        <v/>
      </c>
    </row>
    <row r="13" ht="15" customHeight="1" s="6">
      <c r="A13" t="inlineStr">
        <is>
          <t>Luo Miaoling</t>
        </is>
      </c>
      <c r="B13" t="n">
        <v>34</v>
      </c>
      <c r="D13">
        <f>SUMIF(Payroll_Table!B:B,A:A,Payroll_Table!#REF!)</f>
        <v/>
      </c>
    </row>
    <row r="14" ht="15" customHeight="1" s="6">
      <c r="A14" t="inlineStr">
        <is>
          <t>Cen Ban</t>
        </is>
      </c>
      <c r="B14" t="n">
        <v>35</v>
      </c>
      <c r="D14">
        <f>SUMIF(Payroll_Table!B:B,A:A,Payroll_Table!#REF!)</f>
        <v/>
      </c>
    </row>
    <row r="15" ht="15" customHeight="1" s="6">
      <c r="A15" t="inlineStr">
        <is>
          <t>Wang Long</t>
        </is>
      </c>
      <c r="B15" t="n">
        <v>36</v>
      </c>
      <c r="D15">
        <f>SUMIF(Payroll_Table!B:B,A:A,Payroll_Table!#REF!)</f>
        <v/>
      </c>
    </row>
    <row r="16" ht="15" customHeight="1" s="6">
      <c r="A16" t="inlineStr">
        <is>
          <t>Wang Yang</t>
        </is>
      </c>
      <c r="B16" t="n">
        <v>37</v>
      </c>
      <c r="D16">
        <f>SUMIF(Payroll_Table!B:B,A:A,Payroll_Table!#REF!)</f>
        <v/>
      </c>
    </row>
    <row r="17" ht="15" customHeight="1" s="6">
      <c r="A17" t="inlineStr">
        <is>
          <t>Poverty Relief</t>
        </is>
      </c>
      <c r="B17" t="n">
        <v>38</v>
      </c>
      <c r="D17">
        <f>SUMIF(Payroll_Table!B:B,A:A,Payroll_Table!#REF!)</f>
        <v/>
      </c>
    </row>
    <row r="18" ht="15" customHeight="1" s="6">
      <c r="A18" t="inlineStr">
        <is>
          <t>Erdos</t>
        </is>
      </c>
      <c r="B18" t="n">
        <v>39</v>
      </c>
      <c r="D18">
        <f>SUMIF(Payroll_Table!B:B,A:A,Payroll_Table!#REF!)</f>
        <v/>
      </c>
    </row>
    <row r="19" ht="15" customHeight="1" s="6">
      <c r="A19" t="inlineStr">
        <is>
          <t>Qin Qixin</t>
        </is>
      </c>
      <c r="B19" t="n">
        <v>40</v>
      </c>
      <c r="D19">
        <f>SUMIF(Payroll_Table!B:B,A:A,Payroll_Table!#REF!)</f>
        <v/>
      </c>
    </row>
    <row r="20" ht="15" customHeight="1" s="6">
      <c r="A20" t="inlineStr">
        <is>
          <t>Chen XinXin</t>
        </is>
      </c>
      <c r="B20" t="n">
        <v>41</v>
      </c>
      <c r="D20">
        <f>SUMIF(Payroll_Table!B:B,A:A,Payroll_Table!#REF!)</f>
        <v/>
      </c>
    </row>
    <row r="21" ht="15" customHeight="1" s="6">
      <c r="A21" t="inlineStr">
        <is>
          <t>Wu Shuiyan</t>
        </is>
      </c>
      <c r="B21" t="n">
        <v>42</v>
      </c>
      <c r="D21">
        <f>SUMIF(Payroll_Table!B:B,A:A,Payroll_Table!#REF!)</f>
        <v/>
      </c>
    </row>
    <row r="22" ht="15" customHeight="1" s="6">
      <c r="A22" t="inlineStr">
        <is>
          <t>Qiu Youdi</t>
        </is>
      </c>
      <c r="B22" t="n">
        <v>43</v>
      </c>
      <c r="D22">
        <f>SUMIF(Payroll_Table!B:B,A:A,Payroll_Table!#REF!)</f>
        <v/>
      </c>
    </row>
    <row r="23" ht="15" customHeight="1" s="6">
      <c r="A23" t="inlineStr">
        <is>
          <t>Cai Qing</t>
        </is>
      </c>
      <c r="B23" t="n">
        <v>44</v>
      </c>
      <c r="D23">
        <f>SUMIF(Payroll_Table!B:B,A:A,Payroll_Table!#REF!)</f>
        <v/>
      </c>
    </row>
    <row r="24" ht="15" customHeight="1" s="6">
      <c r="A24" t="inlineStr">
        <is>
          <t>Tang Fangyan</t>
        </is>
      </c>
      <c r="B24" t="n">
        <v>45</v>
      </c>
      <c r="D24">
        <f>SUMIF(Payroll_Table!B:B,A:A,Payroll_Table!#REF!)</f>
        <v/>
      </c>
    </row>
    <row r="25" ht="15" customHeight="1" s="6">
      <c r="A25" t="inlineStr">
        <is>
          <t>Ran Lingzhong</t>
        </is>
      </c>
      <c r="B25" t="n">
        <v>46</v>
      </c>
      <c r="D25">
        <f>SUMIF(Payroll_Table!B:B,A:A,Payroll_Table!#REF!)</f>
        <v/>
      </c>
    </row>
    <row r="26" ht="15" customHeight="1" s="6">
      <c r="A26" t="inlineStr">
        <is>
          <t>Xu Heng</t>
        </is>
      </c>
      <c r="B26" t="n">
        <v>47</v>
      </c>
      <c r="D26">
        <f>SUMIF(Payroll_Table!B:B,A:A,Payroll_Table!#REF!)</f>
        <v/>
      </c>
    </row>
    <row r="27" ht="15" customHeight="1" s="6">
      <c r="A27" t="inlineStr">
        <is>
          <t>Li Yunyan</t>
        </is>
      </c>
      <c r="B27" t="n">
        <v>48</v>
      </c>
      <c r="D27">
        <f>SUMIF(Payroll_Table!B:B,A:A,Payroll_Table!#REF!)</f>
        <v/>
      </c>
    </row>
  </sheetData>
  <pageMargins left="0.75" right="0.75" top="1" bottom="1" header="0.5" footer="0.5"/>
  <pageSetup orientation="portrait" paperSize="9" horizontalDpi="600" vertic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EW30"/>
  <sheetViews>
    <sheetView topLeftCell="A1" workbookViewId="0">
      <pane xSplit="18" ySplit="4" topLeftCell="S5" activePane="bottomRight" state="frozen"/>
      <selection pane="topRight" activeCell="A1" sqref="A1"/>
      <selection pane="bottomLeft" activeCell="A1" sqref="A1"/>
      <selection pane="bottomRight" activeCell="U19" sqref="U19"/>
    </sheetView>
  </sheetViews>
  <sheetFormatPr baseColWidth="8" defaultColWidth="9.00390625" defaultRowHeight="15"/>
  <cols>
    <col width="3.421875" customWidth="1" style="6" min="1" max="1"/>
    <col hidden="1" width="9.00390625" customWidth="1" style="6" min="2" max="2"/>
    <col hidden="1" width="7.421875" customWidth="1" style="6" min="3" max="3"/>
    <col width="7.00390625" customWidth="1" style="6" min="4" max="4"/>
    <col hidden="1" width="5.421875" customWidth="1" style="6" min="5" max="5"/>
    <col hidden="1" width="18.28125" customWidth="1" style="6" min="6" max="6"/>
    <col hidden="1" width="7.8515625" customWidth="1" style="6" min="7" max="7"/>
    <col width="7.8515625" customWidth="1" style="6" min="8" max="8"/>
    <col hidden="1" width="7.140625" customWidth="1" style="6" min="9" max="9"/>
    <col hidden="1" width="8.28125" customWidth="1" style="6" min="10" max="10"/>
    <col hidden="1" width="9.00390625" customWidth="1" style="6" min="11" max="11"/>
    <col hidden="1" width="7.140625" customWidth="1" style="6" min="12" max="12"/>
    <col width="4.421875" customWidth="1" style="6" min="13" max="13"/>
    <col width="5.140625" customWidth="1" style="6" min="14" max="14"/>
    <col width="5.28125" customWidth="1" style="6" min="15" max="15"/>
    <col width="5.421875" customWidth="1" style="6" min="16" max="16"/>
    <col width="4.8515625" customWidth="1" style="6" min="17" max="18"/>
    <col width="5.7109375" customWidth="1" style="6" min="19" max="20"/>
    <col width="5.57421875" customWidth="1" style="6" min="21" max="21"/>
    <col width="5.140625" customWidth="1" style="6" min="22" max="22"/>
    <col width="6.140625" customWidth="1" style="6" min="23" max="23"/>
    <col width="5.140625" customWidth="1" style="6" min="24" max="24"/>
    <col width="6.00390625" customWidth="1" style="6" min="25" max="25"/>
    <col width="5.57421875" customWidth="1" style="6" min="26" max="26"/>
    <col width="6.140625" customWidth="1" style="6" min="27" max="27"/>
    <col width="5.57421875" customWidth="1" style="6" min="28" max="28"/>
    <col width="6.00390625" customWidth="1" style="6" min="29" max="29"/>
    <col width="4.8515625" customWidth="1" style="6" min="30" max="30"/>
    <col hidden="1" width="11.7109375" customWidth="1" style="6" min="31" max="31"/>
    <col width="5.7109375" customWidth="1" style="6" min="32" max="32"/>
    <col width="5.00390625" customWidth="1" style="6" min="33" max="33"/>
    <col width="4.57421875" customWidth="1" style="6" min="34" max="34"/>
    <col width="5.00390625" customWidth="1" style="6" min="35" max="35"/>
    <col hidden="1" width="5.00390625" customWidth="1" style="6" min="36" max="36"/>
    <col width="7.8515625" customWidth="1" style="6" min="37" max="37"/>
    <col width="5.421875" customWidth="1" style="6" min="38" max="38"/>
    <col hidden="1" width="5.421875" customWidth="1" style="6" min="39" max="39"/>
    <col hidden="1" width="8.140625" customWidth="1" style="192" min="40" max="40"/>
    <col hidden="1" width="5.8515625" customWidth="1" style="192" min="41" max="41"/>
    <col hidden="1" width="5.421875" customWidth="1" style="6" min="42" max="42"/>
    <col hidden="1" width="5.8515625" customWidth="1" style="6" min="43" max="49"/>
    <col hidden="1" width="7.7109375" customWidth="1" style="6" min="50" max="50"/>
    <col hidden="1" width="5.8515625" customWidth="1" style="192" min="51" max="51"/>
    <col width="5.421875" customWidth="1" style="192" min="52" max="52"/>
    <col width="6.421875" customWidth="1" style="192" min="53" max="53"/>
    <col width="5.28125" customWidth="1" style="192" min="54" max="54"/>
    <col width="5.28125" customWidth="1" style="193" min="55" max="55"/>
    <col width="5.57421875" customWidth="1" style="192" min="56" max="56"/>
    <col width="7.8515625" customWidth="1" style="2" min="57" max="57"/>
    <col width="7.421875" customWidth="1" style="2" min="58" max="58"/>
    <col width="6.421875" customWidth="1" style="2" min="59" max="59"/>
    <col width="11.8515625" customWidth="1" style="2" min="60" max="60"/>
    <col hidden="1" width="24.8515625" customWidth="1" style="6" min="61" max="61"/>
    <col width="5.8515625" customWidth="1" style="6" min="62" max="63"/>
    <col width="12.7109375" customWidth="1" style="6" min="64" max="64"/>
    <col width="9.57421875" customWidth="1" style="6" min="65" max="65"/>
    <col width="9.00390625" customWidth="1" style="6" min="66" max="66"/>
    <col width="9.421875" customWidth="1" style="6" min="67" max="69"/>
    <col width="9.00390625" customWidth="1" style="6" min="70" max="16375"/>
  </cols>
  <sheetData>
    <row r="1" ht="21" customHeight="1" s="6">
      <c r="A1" s="7" t="n"/>
      <c r="B1" s="10" t="n"/>
      <c r="C1" s="10" t="n"/>
      <c r="D1" s="10" t="n"/>
      <c r="E1" s="10" t="n"/>
      <c r="F1" s="10" t="n"/>
      <c r="G1" s="10" t="n"/>
      <c r="H1" s="9" t="n"/>
      <c r="I1" s="9" t="n"/>
      <c r="L1" s="9" t="n"/>
      <c r="M1" s="28" t="n"/>
      <c r="N1" s="28" t="n"/>
      <c r="O1" s="29" t="n"/>
      <c r="P1" s="29" t="n"/>
      <c r="Q1" s="29" t="n"/>
      <c r="R1" s="29" t="n"/>
      <c r="S1" s="29" t="n"/>
      <c r="T1" s="28" t="n"/>
      <c r="U1" s="29" t="n"/>
      <c r="V1" s="194" t="n"/>
      <c r="W1" s="29" t="n"/>
      <c r="X1" s="29" t="n"/>
      <c r="Y1" s="29" t="n"/>
      <c r="Z1" s="29" t="n"/>
      <c r="AA1" s="195" t="n"/>
      <c r="AB1" s="194" t="n"/>
      <c r="AC1" s="194" t="n"/>
      <c r="AD1" s="194" t="n"/>
      <c r="AE1" s="194" t="n"/>
      <c r="AF1" s="29" t="n"/>
      <c r="AG1" s="29" t="n"/>
      <c r="AH1" s="195" t="n"/>
      <c r="AI1" s="195" t="n"/>
      <c r="AJ1" s="195" t="n"/>
      <c r="AK1" s="29" t="n"/>
      <c r="AL1" s="28" t="n"/>
      <c r="AM1" s="29" t="n"/>
      <c r="AN1" s="194" t="n"/>
      <c r="AO1" s="194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194" t="n"/>
      <c r="AZ1" s="194" t="n"/>
      <c r="BA1" s="196" t="n"/>
      <c r="BB1" s="196" t="n"/>
      <c r="BC1" s="197" t="n"/>
      <c r="BD1" s="198" t="n"/>
      <c r="BE1" s="89" t="n"/>
      <c r="BF1" s="89" t="n"/>
      <c r="BG1" s="89" t="n"/>
      <c r="BH1" s="90" t="n"/>
    </row>
    <row r="2" ht="14.25" customHeight="1" s="6">
      <c r="A2" s="7" t="n"/>
      <c r="B2" s="10" t="n"/>
      <c r="C2" s="10" t="n"/>
      <c r="F2" s="11" t="n"/>
      <c r="I2" s="9" t="n"/>
      <c r="J2" s="199" t="n"/>
      <c r="K2" s="199" t="n"/>
      <c r="L2" s="9" t="n"/>
      <c r="M2" s="200" t="inlineStr">
        <is>
          <t xml:space="preserve">   东莞市纳百川电子科技有限公司</t>
        </is>
      </c>
      <c r="N2" s="28" t="n"/>
      <c r="O2" s="29" t="n"/>
      <c r="P2" s="29" t="n"/>
      <c r="Q2" s="29" t="n"/>
      <c r="R2" s="29" t="n"/>
      <c r="S2" s="29" t="n"/>
      <c r="T2" s="28" t="n"/>
      <c r="U2" s="29" t="n"/>
      <c r="V2" s="194" t="n"/>
      <c r="W2" s="29" t="n"/>
      <c r="X2" s="29" t="n"/>
      <c r="Y2" s="29" t="n"/>
      <c r="Z2" s="29" t="n"/>
      <c r="AA2" s="195" t="n"/>
      <c r="AB2" s="194" t="n"/>
      <c r="AC2" s="194" t="n"/>
      <c r="AD2" s="194" t="n"/>
      <c r="AE2" s="194" t="n"/>
      <c r="AF2" s="29" t="n"/>
      <c r="AG2" s="29" t="n"/>
      <c r="AH2" s="195" t="n"/>
      <c r="AI2" s="195" t="n"/>
      <c r="AJ2" s="195" t="n"/>
      <c r="AK2" s="29" t="n"/>
      <c r="AL2" s="28" t="n"/>
      <c r="AM2" s="29" t="n"/>
      <c r="AN2" s="194" t="n"/>
      <c r="AO2" s="194" t="n"/>
      <c r="AP2" s="29" t="n"/>
      <c r="AQ2" s="29" t="n"/>
      <c r="AR2" s="29" t="n"/>
      <c r="AS2" s="29" t="n"/>
      <c r="AT2" s="29" t="n"/>
      <c r="AU2" s="29" t="n"/>
      <c r="AV2" s="29" t="n"/>
      <c r="AW2" s="29" t="n"/>
      <c r="AX2" s="29" t="n"/>
      <c r="AY2" s="194" t="n"/>
      <c r="AZ2" s="194" t="n"/>
      <c r="BA2" s="196" t="n"/>
      <c r="BB2" s="196" t="n"/>
      <c r="BC2" s="197" t="n"/>
      <c r="BD2" s="198" t="n"/>
      <c r="BE2" s="89" t="n"/>
      <c r="BF2" s="89" t="n"/>
      <c r="BG2" s="89" t="n"/>
      <c r="BH2" s="90" t="n"/>
    </row>
    <row r="3" ht="15" customHeight="1" s="6">
      <c r="A3" s="7" t="n"/>
      <c r="B3" s="10" t="n"/>
      <c r="C3" s="10" t="n"/>
      <c r="F3" s="12" t="n"/>
      <c r="I3" s="12" t="n"/>
      <c r="J3" s="12" t="n"/>
      <c r="K3" s="12" t="n"/>
      <c r="L3" s="12" t="n"/>
      <c r="M3" s="12" t="inlineStr">
        <is>
          <t xml:space="preserve">   2019年9月工资</t>
        </is>
      </c>
      <c r="N3" s="28" t="n"/>
      <c r="O3" s="201" t="n"/>
      <c r="P3" s="201" t="n"/>
      <c r="Q3" s="201" t="n"/>
      <c r="R3" s="201" t="n"/>
      <c r="S3" s="201" t="n"/>
      <c r="T3" s="49" t="n"/>
      <c r="U3" s="29" t="n"/>
      <c r="V3" s="194" t="n"/>
      <c r="W3" s="29" t="n"/>
      <c r="X3" s="29" t="n"/>
      <c r="Y3" s="29" t="n"/>
      <c r="Z3" s="29" t="n"/>
      <c r="AA3" s="58" t="n"/>
      <c r="AB3" s="202" t="n"/>
      <c r="AC3" s="203" t="n"/>
      <c r="AD3" s="204" t="n"/>
      <c r="AE3" s="204" t="n"/>
      <c r="AF3" s="58" t="n"/>
      <c r="AG3" s="58" t="n"/>
      <c r="AH3" s="195" t="n"/>
      <c r="AI3" s="195" t="n"/>
      <c r="AJ3" s="195" t="n"/>
      <c r="AK3" s="29" t="n"/>
      <c r="AL3" s="28" t="n"/>
      <c r="AM3" s="29" t="n"/>
      <c r="AN3" s="194" t="n"/>
      <c r="AO3" s="194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194" t="n"/>
      <c r="AZ3" s="194" t="n"/>
      <c r="BA3" s="196" t="n"/>
      <c r="BB3" s="196" t="n"/>
      <c r="BC3" s="197" t="n"/>
      <c r="BD3" s="198" t="n"/>
      <c r="BE3" s="89" t="n"/>
      <c r="BF3" s="89" t="n"/>
      <c r="BG3" s="89" t="n"/>
      <c r="BH3" s="90" t="n"/>
    </row>
    <row r="4" ht="34.5" customHeight="1" s="6">
      <c r="A4" s="13" t="inlineStr">
        <is>
          <t>Serial Number</t>
        </is>
      </c>
      <c r="B4" s="14" t="inlineStr">
        <is>
          <t>工号</t>
        </is>
      </c>
      <c r="C4" s="14" t="n"/>
      <c r="D4" s="14" t="inlineStr">
        <is>
          <t>Name</t>
        </is>
      </c>
      <c r="E4" s="14" t="inlineStr">
        <is>
          <t>Gender</t>
        </is>
      </c>
      <c r="F4" s="14" t="inlineStr">
        <is>
          <t>身份证号码</t>
        </is>
      </c>
      <c r="G4" s="14" t="inlineStr">
        <is>
          <t>工职类别</t>
        </is>
      </c>
      <c r="H4" s="14" t="inlineStr">
        <is>
          <t>Department</t>
        </is>
      </c>
      <c r="I4" s="14" t="inlineStr">
        <is>
          <t>现任职称</t>
        </is>
      </c>
      <c r="J4" s="205" t="inlineStr">
        <is>
          <t>进厂日期</t>
        </is>
      </c>
      <c r="K4" s="205" t="inlineStr">
        <is>
          <t>离职日期</t>
        </is>
      </c>
      <c r="L4" s="14" t="inlineStr">
        <is>
          <t>等级</t>
        </is>
      </c>
      <c r="M4" s="14" t="inlineStr">
        <is>
          <t>Full Attendance Days</t>
        </is>
      </c>
      <c r="N4" s="14" t="inlineStr">
        <is>
          <t>Attendance Days</t>
        </is>
      </c>
      <c r="O4" s="34" t="inlineStr">
        <is>
          <t>平时加班小时</t>
        </is>
      </c>
      <c r="P4" s="206" t="inlineStr">
        <is>
          <t>假日加班小时</t>
        </is>
      </c>
      <c r="Q4" s="206" t="inlineStr">
        <is>
          <t>法定假加班小时</t>
        </is>
      </c>
      <c r="R4" s="206" t="inlineStr">
        <is>
          <t>固定加班小时</t>
        </is>
      </c>
      <c r="S4" s="206" t="inlineStr">
        <is>
          <t>薪资总额</t>
        </is>
      </c>
      <c r="T4" s="14" t="inlineStr">
        <is>
          <t>Base Salary</t>
        </is>
      </c>
      <c r="U4" s="207" t="inlineStr">
        <is>
          <t>Basic Salary</t>
        </is>
      </c>
      <c r="V4" s="67" t="inlineStr">
        <is>
          <t>职务津贴</t>
        </is>
      </c>
      <c r="W4" s="67" t="inlineStr">
        <is>
          <t>职务实发</t>
        </is>
      </c>
      <c r="X4" s="67" t="inlineStr">
        <is>
          <t>绩效奖金</t>
        </is>
      </c>
      <c r="Y4" s="67" t="inlineStr">
        <is>
          <t>实发绩效</t>
        </is>
      </c>
      <c r="Z4" s="208" t="inlineStr">
        <is>
          <t>平时加班率</t>
        </is>
      </c>
      <c r="AA4" s="207" t="inlineStr">
        <is>
          <t>Regular Overtime Pay</t>
        </is>
      </c>
      <c r="AB4" s="207" t="inlineStr">
        <is>
          <t>假日加班率</t>
        </is>
      </c>
      <c r="AC4" s="207" t="inlineStr">
        <is>
          <t>Holiday Overtime Pay</t>
        </is>
      </c>
      <c r="AD4" s="207" t="inlineStr">
        <is>
          <t>法定假加班费</t>
        </is>
      </c>
      <c r="AE4" s="67" t="inlineStr">
        <is>
          <t>固定加班费</t>
        </is>
      </c>
      <c r="AF4" s="67" t="inlineStr">
        <is>
          <t>计件工资</t>
        </is>
      </c>
      <c r="AG4" s="208" t="inlineStr">
        <is>
          <t>Full Attendance Allowance</t>
        </is>
      </c>
      <c r="AH4" s="208" t="inlineStr">
        <is>
          <t>工龄奖</t>
        </is>
      </c>
      <c r="AI4" s="67" t="inlineStr">
        <is>
          <t>补助合计</t>
        </is>
      </c>
      <c r="AJ4" s="68" t="inlineStr">
        <is>
          <t>年终奖</t>
        </is>
      </c>
      <c r="AK4" s="14" t="inlineStr">
        <is>
          <t>应发薪资</t>
        </is>
      </c>
      <c r="AL4" s="67" t="inlineStr">
        <is>
          <t>Withheld Social Security</t>
        </is>
      </c>
      <c r="AM4" s="67" t="inlineStr">
        <is>
          <t>住房公积金</t>
        </is>
      </c>
      <c r="AN4" s="209" t="inlineStr">
        <is>
          <t>上月累计收入额</t>
        </is>
      </c>
      <c r="AO4" s="210" t="inlineStr">
        <is>
          <t>上月累计减除费用</t>
        </is>
      </c>
      <c r="AP4" s="76" t="inlineStr">
        <is>
          <t>上月专项累计减除费用</t>
        </is>
      </c>
      <c r="AQ4" s="67" t="inlineStr">
        <is>
          <t>子女教育</t>
        </is>
      </c>
      <c r="AR4" s="67" t="inlineStr">
        <is>
          <t>赡养老人</t>
        </is>
      </c>
      <c r="AS4" s="67" t="inlineStr">
        <is>
          <t>住房贷款</t>
        </is>
      </c>
      <c r="AT4" s="67" t="inlineStr">
        <is>
          <t>租金</t>
        </is>
      </c>
      <c r="AU4" s="68" t="inlineStr">
        <is>
          <t>本年专项扣除累计</t>
        </is>
      </c>
      <c r="AV4" s="77" t="inlineStr">
        <is>
          <t>本年累计收入额</t>
        </is>
      </c>
      <c r="AW4" s="68" t="inlineStr">
        <is>
          <t>税前扣除总额</t>
        </is>
      </c>
      <c r="AX4" s="68" t="inlineStr">
        <is>
          <t>应纳税额</t>
        </is>
      </c>
      <c r="AY4" s="211" t="inlineStr">
        <is>
          <t>本年已扣税金</t>
        </is>
      </c>
      <c r="AZ4" s="212" t="inlineStr">
        <is>
          <t>Withholding Individual Income Tax</t>
        </is>
      </c>
      <c r="BA4" s="212" t="inlineStr">
        <is>
          <t>电费</t>
        </is>
      </c>
      <c r="BB4" s="213" t="inlineStr">
        <is>
          <t>奖罚</t>
        </is>
      </c>
      <c r="BC4" s="214" t="inlineStr">
        <is>
          <t>补上月</t>
        </is>
      </c>
      <c r="BD4" s="215" t="inlineStr">
        <is>
          <t>Total Deductions</t>
        </is>
      </c>
      <c r="BE4" s="216" t="inlineStr">
        <is>
          <t>实发工资</t>
        </is>
      </c>
      <c r="BF4" s="217" t="inlineStr">
        <is>
          <t>银行代发</t>
        </is>
      </c>
      <c r="BG4" s="217" t="inlineStr">
        <is>
          <t>现金发放</t>
        </is>
      </c>
      <c r="BH4" s="93" t="inlineStr">
        <is>
          <t>Employee Signature</t>
        </is>
      </c>
      <c r="BI4" t="inlineStr">
        <is>
          <t>卡号</t>
        </is>
      </c>
      <c r="BM4" t="inlineStr">
        <is>
          <t>1-3月税金</t>
        </is>
      </c>
      <c r="BN4" t="inlineStr">
        <is>
          <t>4月税金</t>
        </is>
      </c>
      <c r="BO4" t="inlineStr">
        <is>
          <t>5月税金</t>
        </is>
      </c>
      <c r="BP4" t="inlineStr">
        <is>
          <t>6月税金</t>
        </is>
      </c>
      <c r="BQ4" t="inlineStr">
        <is>
          <t>7月税金</t>
        </is>
      </c>
      <c r="BR4" t="inlineStr">
        <is>
          <t>8月税金</t>
        </is>
      </c>
      <c r="BS4" t="inlineStr">
        <is>
          <t>9月税金</t>
        </is>
      </c>
      <c r="BT4" t="inlineStr">
        <is>
          <t>10月税金</t>
        </is>
      </c>
      <c r="BU4" t="inlineStr">
        <is>
          <t>11月税金</t>
        </is>
      </c>
      <c r="BV4" t="inlineStr">
        <is>
          <t>12月税金</t>
        </is>
      </c>
      <c r="BW4" s="100" t="inlineStr">
        <is>
          <t>已扣税金合计</t>
        </is>
      </c>
    </row>
    <row r="5" ht="27" customHeight="1" s="6">
      <c r="A5" s="15" t="n">
        <v>1</v>
      </c>
      <c r="B5" s="17" t="n">
        <v>191832</v>
      </c>
      <c r="C5" s="17">
        <f>COUNTIF(D:D,D5)</f>
        <v/>
      </c>
      <c r="D5" s="18" t="inlineStr">
        <is>
          <t>Chen Lanlin</t>
        </is>
      </c>
      <c r="E5" s="17" t="inlineStr">
        <is>
          <t>Male</t>
        </is>
      </c>
      <c r="F5" s="19" t="inlineStr">
        <is>
          <t>450721199703190934</t>
        </is>
      </c>
      <c r="G5" s="17" t="inlineStr">
        <is>
          <t>直工</t>
        </is>
      </c>
      <c r="H5" s="20" t="inlineStr">
        <is>
          <t>五金二楼</t>
        </is>
      </c>
      <c r="I5" s="23" t="n"/>
      <c r="J5" s="218" t="n"/>
      <c r="K5" s="219" t="n"/>
      <c r="L5" s="23" t="n"/>
      <c r="M5" s="38" t="n">
        <v>21</v>
      </c>
      <c r="N5" s="38">
        <f>SUMIF(#REF!,D:D,#REF!)</f>
        <v/>
      </c>
      <c r="O5" s="38">
        <f>SUMIF(#REF!,D:D,#REF!)</f>
        <v/>
      </c>
      <c r="P5" s="38">
        <f>SUMIF(#REF!,D:D,#REF!)</f>
        <v/>
      </c>
      <c r="Q5" s="38" t="n"/>
      <c r="R5" s="38" t="n"/>
      <c r="S5" s="220">
        <f>T5+V5+X5+80</f>
        <v/>
      </c>
      <c r="T5" s="220" t="n">
        <v>1720</v>
      </c>
      <c r="U5" s="23">
        <f>_xlfn.IFERROR(ROUND(T5/$M5*$N5,0),0)</f>
        <v/>
      </c>
      <c r="V5" s="221" t="n">
        <v>150</v>
      </c>
      <c r="W5" s="23">
        <f>_xlfn.IFERROR(ROUND(V5/$M5*$N5,0),0)</f>
        <v/>
      </c>
      <c r="X5" s="38" t="n"/>
      <c r="Y5" s="38" t="n"/>
      <c r="Z5" s="18" t="n">
        <v>14.83</v>
      </c>
      <c r="AA5" s="23">
        <f>_xlfn.IFERROR(ROUND(O5*Z5,0),0)</f>
        <v/>
      </c>
      <c r="AB5" s="222" t="n">
        <v>19.77</v>
      </c>
      <c r="AC5" s="23">
        <f>_xlfn.IFERROR(ROUND(P5*AB5,0),0)</f>
        <v/>
      </c>
      <c r="AD5" s="38" t="n"/>
      <c r="AE5" s="38" t="n"/>
      <c r="AF5" s="38" t="n"/>
      <c r="AG5" s="38" t="n">
        <v>80</v>
      </c>
      <c r="AH5" s="38" t="n"/>
      <c r="AI5" s="70">
        <f>SUMIF(#REF!,D:D,#REF!)</f>
        <v/>
      </c>
      <c r="AJ5" s="70" t="n"/>
      <c r="AK5" s="223">
        <f>ROUND(U5+W5+Y5+AA5+AC5+AD5+AE5+AF5+AG5+AH5+AI5+AJ5,0)</f>
        <v/>
      </c>
      <c r="AL5" s="221" t="n">
        <v>0</v>
      </c>
      <c r="AM5" s="221" t="n"/>
      <c r="AN5" s="221" t="n">
        <v>834</v>
      </c>
      <c r="AO5" s="221" t="n">
        <v>10000</v>
      </c>
      <c r="AP5" s="221" t="n">
        <v>0</v>
      </c>
      <c r="AQ5" s="221" t="n">
        <v>0</v>
      </c>
      <c r="AR5" s="221" t="n">
        <v>0</v>
      </c>
      <c r="AS5" s="221" t="n"/>
      <c r="AT5" s="221" t="n"/>
      <c r="AU5" s="221">
        <f>SUM(AP5:AT5)-AL5-AM5</f>
        <v/>
      </c>
      <c r="AV5" s="221">
        <f>AK5+BA5+BB5+BC5+AN5</f>
        <v/>
      </c>
      <c r="AW5" s="221">
        <f>AO5+5000+AU5</f>
        <v/>
      </c>
      <c r="AX5" s="221">
        <f>AV5-AW5</f>
        <v/>
      </c>
      <c r="AY5" s="221">
        <f>BW5</f>
        <v/>
      </c>
      <c r="AZ5" s="221">
        <f>-ROUND(MAX((AX5)*{0.03;0.1;0.2;0.25;0.3;0.35;0.45}-{0;2520;16920;31920;52920;85920;193920},0),2)+AY5</f>
        <v/>
      </c>
      <c r="BA5" s="221" t="n">
        <v>-83.01000000000001</v>
      </c>
      <c r="BB5" s="221">
        <f>SUMIF(#REF!,D:D,#REF!)</f>
        <v/>
      </c>
      <c r="BC5" s="224" t="n"/>
      <c r="BD5" s="223">
        <f>ROUND(AL5+AM5+AZ5+BC5+BA5+BB5,0)</f>
        <v/>
      </c>
      <c r="BE5" s="225">
        <f>ROUND(AK5+BD5,0)</f>
        <v/>
      </c>
      <c r="BF5" s="226">
        <f>SUMIF('[1]日薪'!$E:$E,D:D,'[1]日薪'!$G:$G)</f>
        <v/>
      </c>
      <c r="BG5" s="226">
        <f>BE5-BF5</f>
        <v/>
      </c>
      <c r="BH5" s="95" t="n"/>
      <c r="BI5" t="inlineStr"/>
      <c r="BJ5" s="97">
        <f>SUMIF('[2]直工（银行代发）'!$D:$DD,D:D,'[2]直工（银行代发）'!$BE:$BE)</f>
        <v/>
      </c>
      <c r="BK5" s="97">
        <f>SUMIF('[2]没有银行卡'!$D:$D,D:D,'[2]没有银行卡'!$BE:$BE)</f>
        <v/>
      </c>
      <c r="BL5" s="97">
        <f>BE5-BJ5-BK5</f>
        <v/>
      </c>
      <c r="BM5" s="227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W5">
        <f>SUM(BM5:BV5)</f>
        <v/>
      </c>
    </row>
    <row r="6" ht="27" customHeight="1" s="6">
      <c r="A6" s="15">
        <f>A5+1</f>
        <v/>
      </c>
      <c r="B6" s="17" t="n">
        <v>191909</v>
      </c>
      <c r="C6" s="17">
        <f>COUNTIF(D:D,D6)</f>
        <v/>
      </c>
      <c r="D6" s="18" t="inlineStr">
        <is>
          <t>Zhu Qifeng</t>
        </is>
      </c>
      <c r="E6" s="17" t="inlineStr">
        <is>
          <t>Male</t>
        </is>
      </c>
      <c r="F6" s="19" t="inlineStr">
        <is>
          <t>450923199502053793</t>
        </is>
      </c>
      <c r="G6" s="17" t="inlineStr">
        <is>
          <t>直工</t>
        </is>
      </c>
      <c r="H6" s="20" t="inlineStr">
        <is>
          <t>五金二楼</t>
        </is>
      </c>
      <c r="I6" s="23" t="n"/>
      <c r="J6" s="218" t="n"/>
      <c r="K6" s="219" t="n"/>
      <c r="L6" s="23" t="n"/>
      <c r="M6" s="38" t="n">
        <v>21</v>
      </c>
      <c r="N6" s="38">
        <f>SUMIF(#REF!,D:D,#REF!)</f>
        <v/>
      </c>
      <c r="O6" s="38">
        <f>SUMIF(#REF!,D:D,#REF!)</f>
        <v/>
      </c>
      <c r="P6" s="38">
        <f>SUMIF(#REF!,D:D,#REF!)</f>
        <v/>
      </c>
      <c r="Q6" s="38" t="n"/>
      <c r="R6" s="38" t="n"/>
      <c r="S6" s="220">
        <f>T6+V6+X6+80</f>
        <v/>
      </c>
      <c r="T6" s="220" t="n">
        <v>1720</v>
      </c>
      <c r="U6" s="23">
        <f>_xlfn.IFERROR(ROUND(T6/$M6*$N6,0),0)</f>
        <v/>
      </c>
      <c r="V6" s="221" t="n">
        <v>150</v>
      </c>
      <c r="W6" s="23">
        <f>_xlfn.IFERROR(ROUND(V6/$M6*$N6,0),0)</f>
        <v/>
      </c>
      <c r="X6" s="38" t="n"/>
      <c r="Y6" s="38" t="n"/>
      <c r="Z6" s="18" t="n">
        <v>14.83</v>
      </c>
      <c r="AA6" s="23">
        <f>_xlfn.IFERROR(ROUND(O6*Z6,0),0)</f>
        <v/>
      </c>
      <c r="AB6" s="222" t="n">
        <v>19.77</v>
      </c>
      <c r="AC6" s="23">
        <f>_xlfn.IFERROR(ROUND(P6*AB6,0),0)</f>
        <v/>
      </c>
      <c r="AD6" s="38" t="n"/>
      <c r="AE6" s="38" t="n"/>
      <c r="AF6" s="38" t="n"/>
      <c r="AG6" s="38" t="n"/>
      <c r="AH6" s="38" t="n"/>
      <c r="AI6" s="70">
        <f>SUMIF(#REF!,D:D,#REF!)</f>
        <v/>
      </c>
      <c r="AJ6" s="70" t="n"/>
      <c r="AK6" s="223">
        <f>ROUND(U6+W6+Y6+AA6+AC6+AD6+AE6+AF6+AG6+AH6+AI6+AJ6,0)</f>
        <v/>
      </c>
      <c r="AL6" s="221" t="n">
        <v>0</v>
      </c>
      <c r="AM6" s="221" t="n"/>
      <c r="AN6" s="221" t="n">
        <v>0</v>
      </c>
      <c r="AO6" s="221" t="n">
        <v>0</v>
      </c>
      <c r="AP6" s="221" t="n">
        <v>0</v>
      </c>
      <c r="AQ6" s="221" t="n">
        <v>0</v>
      </c>
      <c r="AR6" s="221" t="n">
        <v>0</v>
      </c>
      <c r="AS6" s="221" t="n"/>
      <c r="AT6" s="221" t="n"/>
      <c r="AU6" s="221">
        <f>SUM(AP6:AT6)-AL6-AM6</f>
        <v/>
      </c>
      <c r="AV6" s="221">
        <f>AK6+BA6+BB6+BC6+AN6</f>
        <v/>
      </c>
      <c r="AW6" s="221">
        <f>AO6+5000+AU6</f>
        <v/>
      </c>
      <c r="AX6" s="221">
        <f>AV6-AW6</f>
        <v/>
      </c>
      <c r="AY6" s="221">
        <f>BW6</f>
        <v/>
      </c>
      <c r="AZ6" s="221">
        <f>-ROUND(MAX((AX6)*{0.03;0.1;0.2;0.25;0.3;0.35;0.45}-{0;2520;16920;31920;52920;85920;193920},0),2)+AY6</f>
        <v/>
      </c>
      <c r="BA6" s="221" t="n">
        <v>0</v>
      </c>
      <c r="BB6" s="221">
        <f>SUMIF(#REF!,D:D,#REF!)</f>
        <v/>
      </c>
      <c r="BC6" s="224" t="n"/>
      <c r="BD6" s="223">
        <f>ROUND(AL6+AM6+AZ6+BC6+BA6+BB6,0)</f>
        <v/>
      </c>
      <c r="BE6" s="225">
        <f>ROUND(AK6+BD6,0)</f>
        <v/>
      </c>
      <c r="BF6" s="226">
        <f>SUMIF('[1]日薪'!$E:$E,D:D,'[1]日薪'!$G:$G)</f>
        <v/>
      </c>
      <c r="BG6" s="226">
        <f>BE6-BF6</f>
        <v/>
      </c>
      <c r="BH6" s="95" t="n"/>
      <c r="BI6" t="inlineStr"/>
      <c r="BJ6" s="97">
        <f>SUMIF('[2]直工（银行代发）'!$D:$DD,D:D,'[2]直工（银行代发）'!$BE:$BE)</f>
        <v/>
      </c>
      <c r="BK6" s="97">
        <f>SUMIF('[2]没有银行卡'!$D:$D,D:D,'[2]没有银行卡'!$BE:$BE)</f>
        <v/>
      </c>
      <c r="BL6" s="97">
        <f>BE6-BJ6-BK6</f>
        <v/>
      </c>
      <c r="BM6" s="227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W6">
        <f>SUM(BM6:BV6)</f>
        <v/>
      </c>
    </row>
    <row r="7" ht="27" customHeight="1" s="6">
      <c r="A7" s="15">
        <f>A6+1</f>
        <v/>
      </c>
      <c r="B7" s="17" t="n">
        <v>190083</v>
      </c>
      <c r="C7" s="17">
        <f>COUNTIF(D:D,D7)</f>
        <v/>
      </c>
      <c r="D7" s="18" t="inlineStr">
        <is>
          <t>Wang Long</t>
        </is>
      </c>
      <c r="E7" s="17" t="inlineStr">
        <is>
          <t>Male</t>
        </is>
      </c>
      <c r="F7" s="19" t="inlineStr">
        <is>
          <t>511725200011126534</t>
        </is>
      </c>
      <c r="G7" s="17" t="inlineStr">
        <is>
          <t>直工</t>
        </is>
      </c>
      <c r="H7" s="21" t="inlineStr">
        <is>
          <t>五金三楼</t>
        </is>
      </c>
      <c r="I7" s="23" t="inlineStr">
        <is>
          <t>Operator</t>
        </is>
      </c>
      <c r="J7" s="218" t="n">
        <v>43521</v>
      </c>
      <c r="K7" s="219" t="n"/>
      <c r="L7" s="23" t="n"/>
      <c r="M7" s="38" t="n">
        <v>21</v>
      </c>
      <c r="N7" s="38">
        <f>SUMIF(#REF!,D:D,#REF!)</f>
        <v/>
      </c>
      <c r="O7" s="38">
        <f>SUMIF(#REF!,D:D,#REF!)</f>
        <v/>
      </c>
      <c r="P7" s="38">
        <f>SUMIF(#REF!,D:D,#REF!)</f>
        <v/>
      </c>
      <c r="Q7" s="38" t="n"/>
      <c r="R7" s="38" t="n"/>
      <c r="S7" s="220">
        <f>T7+V7+X7+80</f>
        <v/>
      </c>
      <c r="T7" s="220" t="n">
        <v>1720</v>
      </c>
      <c r="U7" s="23">
        <f>_xlfn.IFERROR(ROUND(T7/$M7*$N7,0),0)</f>
        <v/>
      </c>
      <c r="V7" s="221" t="n">
        <v>150</v>
      </c>
      <c r="W7" s="23">
        <f>_xlfn.IFERROR(ROUND(V7/$M7*$N7,0),0)</f>
        <v/>
      </c>
      <c r="X7" s="38" t="n"/>
      <c r="Y7" s="38" t="n"/>
      <c r="Z7" s="18" t="n">
        <v>14.83</v>
      </c>
      <c r="AA7" s="23">
        <f>_xlfn.IFERROR(ROUND(O7*Z7,0),0)</f>
        <v/>
      </c>
      <c r="AB7" s="222" t="n">
        <v>19.77</v>
      </c>
      <c r="AC7" s="23">
        <f>_xlfn.IFERROR(ROUND(P7*AB7,0),0)</f>
        <v/>
      </c>
      <c r="AD7" s="38" t="n"/>
      <c r="AE7" s="38" t="n"/>
      <c r="AF7" s="38" t="n"/>
      <c r="AG7" s="38" t="n">
        <v>80</v>
      </c>
      <c r="AH7" s="38" t="n"/>
      <c r="AI7" s="70">
        <f>SUMIF(#REF!,D:D,#REF!)</f>
        <v/>
      </c>
      <c r="AJ7" s="70" t="n"/>
      <c r="AK7" s="223">
        <f>ROUND(U7+W7+Y7+AA7+AC7+AD7+AE7+AF7+AG7+AH7+AI7+AJ7,0)</f>
        <v/>
      </c>
      <c r="AL7" s="221" t="n">
        <v>0</v>
      </c>
      <c r="AM7" s="221" t="n"/>
      <c r="AN7" s="221" t="n">
        <v>25551</v>
      </c>
      <c r="AO7" s="221" t="n">
        <v>40000</v>
      </c>
      <c r="AP7" s="221" t="n">
        <v>0</v>
      </c>
      <c r="AQ7" s="221" t="n">
        <v>0</v>
      </c>
      <c r="AR7" s="221" t="n">
        <v>0</v>
      </c>
      <c r="AS7" s="221" t="n"/>
      <c r="AT7" s="221" t="n"/>
      <c r="AU7" s="221">
        <f>SUM(AP7:AT7)-AL7-AM7</f>
        <v/>
      </c>
      <c r="AV7" s="221">
        <f>AK7+BA7+BB7+BC7+AN7</f>
        <v/>
      </c>
      <c r="AW7" s="221">
        <f>AO7+5000+AU7</f>
        <v/>
      </c>
      <c r="AX7" s="221">
        <f>AV7-AW7</f>
        <v/>
      </c>
      <c r="AY7" s="221">
        <f>BW7</f>
        <v/>
      </c>
      <c r="AZ7" s="221">
        <f>-ROUND(MAX((AX7)*{0.03;0.1;0.2;0.25;0.3;0.35;0.45}-{0;2520;16920;31920;52920;85920;193920},0),2)+AY7</f>
        <v/>
      </c>
      <c r="BA7" s="221" t="n">
        <v>0</v>
      </c>
      <c r="BB7" s="221">
        <f>SUMIF(#REF!,D:D,#REF!)</f>
        <v/>
      </c>
      <c r="BC7" s="224" t="n"/>
      <c r="BD7" s="223">
        <f>ROUND(AL7+AM7+AZ7+BC7+BA7+BB7,0)</f>
        <v/>
      </c>
      <c r="BE7" s="225">
        <f>ROUND(AK7+BD7,0)</f>
        <v/>
      </c>
      <c r="BF7" s="226">
        <f>SUMIF('[1]日薪'!$E:$E,D:D,'[1]日薪'!$G:$G)</f>
        <v/>
      </c>
      <c r="BG7" s="226">
        <f>BE7-BF7</f>
        <v/>
      </c>
      <c r="BH7" s="95" t="n"/>
      <c r="BI7" t="inlineStr"/>
      <c r="BJ7" s="97">
        <f>SUMIF('[2]直工（银行代发）'!$D:$DD,D:D,'[2]直工（银行代发）'!$BE:$BE)</f>
        <v/>
      </c>
      <c r="BK7" s="97">
        <f>SUMIF('[2]没有银行卡'!$D:$D,D:D,'[2]没有银行卡'!$BE:$BE)</f>
        <v/>
      </c>
      <c r="BL7" s="97">
        <f>BE7-BJ7-BK7</f>
        <v/>
      </c>
      <c r="BM7" s="22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W7">
        <f>SUM(BM7:BV7)</f>
        <v/>
      </c>
    </row>
    <row r="8" ht="27" customHeight="1" s="6">
      <c r="A8" s="15">
        <f>A7+1</f>
        <v/>
      </c>
      <c r="B8" s="17" t="n">
        <v>190084</v>
      </c>
      <c r="C8" s="17">
        <f>COUNTIF(D:D,D8)</f>
        <v/>
      </c>
      <c r="D8" s="18" t="inlineStr">
        <is>
          <t>Wang Yang</t>
        </is>
      </c>
      <c r="E8" s="17" t="inlineStr">
        <is>
          <t>Male</t>
        </is>
      </c>
      <c r="F8" s="19" t="inlineStr">
        <is>
          <t>511725200011126518</t>
        </is>
      </c>
      <c r="G8" s="17" t="inlineStr">
        <is>
          <t>直工</t>
        </is>
      </c>
      <c r="H8" s="21" t="inlineStr">
        <is>
          <t>五金三楼</t>
        </is>
      </c>
      <c r="I8" s="23" t="inlineStr">
        <is>
          <t>Operator</t>
        </is>
      </c>
      <c r="J8" s="218" t="n">
        <v>43521</v>
      </c>
      <c r="K8" s="219" t="n"/>
      <c r="L8" s="23" t="n"/>
      <c r="M8" s="38" t="n">
        <v>21</v>
      </c>
      <c r="N8" s="38">
        <f>SUMIF(#REF!,D:D,#REF!)</f>
        <v/>
      </c>
      <c r="O8" s="38">
        <f>SUMIF(#REF!,D:D,#REF!)</f>
        <v/>
      </c>
      <c r="P8" s="38">
        <f>SUMIF(#REF!,D:D,#REF!)</f>
        <v/>
      </c>
      <c r="Q8" s="38" t="n"/>
      <c r="R8" s="38" t="n"/>
      <c r="S8" s="220">
        <f>T8+V8+X8+80</f>
        <v/>
      </c>
      <c r="T8" s="220" t="n">
        <v>1720</v>
      </c>
      <c r="U8" s="23">
        <f>_xlfn.IFERROR(ROUND(T8/$M8*$N8,0),0)</f>
        <v/>
      </c>
      <c r="V8" s="221" t="n">
        <v>150</v>
      </c>
      <c r="W8" s="23">
        <f>_xlfn.IFERROR(ROUND(V8/$M8*$N8,0),0)</f>
        <v/>
      </c>
      <c r="X8" s="38" t="n"/>
      <c r="Y8" s="38" t="n"/>
      <c r="Z8" s="18" t="n">
        <v>14.83</v>
      </c>
      <c r="AA8" s="23">
        <f>_xlfn.IFERROR(ROUND(O8*Z8,0),0)</f>
        <v/>
      </c>
      <c r="AB8" s="222" t="n">
        <v>19.77</v>
      </c>
      <c r="AC8" s="23">
        <f>_xlfn.IFERROR(ROUND(P8*AB8,0),0)</f>
        <v/>
      </c>
      <c r="AD8" s="38" t="n"/>
      <c r="AE8" s="38" t="n"/>
      <c r="AF8" s="38" t="n"/>
      <c r="AG8" s="38" t="n">
        <v>80</v>
      </c>
      <c r="AH8" s="38" t="n"/>
      <c r="AI8" s="70">
        <f>SUMIF(#REF!,D:D,#REF!)</f>
        <v/>
      </c>
      <c r="AJ8" s="70" t="n"/>
      <c r="AK8" s="223">
        <f>ROUND(U8+W8+Y8+AA8+AC8+AD8+AE8+AF8+AG8+AH8+AI8+AJ8,0)</f>
        <v/>
      </c>
      <c r="AL8" s="221" t="n">
        <v>0</v>
      </c>
      <c r="AM8" s="221" t="n"/>
      <c r="AN8" s="221" t="n">
        <v>25292</v>
      </c>
      <c r="AO8" s="221" t="n">
        <v>40000</v>
      </c>
      <c r="AP8" s="221" t="n">
        <v>0</v>
      </c>
      <c r="AQ8" s="221" t="n">
        <v>0</v>
      </c>
      <c r="AR8" s="221" t="n">
        <v>0</v>
      </c>
      <c r="AS8" s="221" t="n"/>
      <c r="AT8" s="221" t="n"/>
      <c r="AU8" s="221">
        <f>SUM(AP8:AT8)-AL8-AM8</f>
        <v/>
      </c>
      <c r="AV8" s="221">
        <f>AK8+BA8+BB8+BC8+AN8</f>
        <v/>
      </c>
      <c r="AW8" s="221">
        <f>AO8+5000+AU8</f>
        <v/>
      </c>
      <c r="AX8" s="221">
        <f>AV8-AW8</f>
        <v/>
      </c>
      <c r="AY8" s="221">
        <f>BW8</f>
        <v/>
      </c>
      <c r="AZ8" s="221">
        <f>-ROUND(MAX((AX8)*{0.03;0.1;0.2;0.25;0.3;0.35;0.45}-{0;2520;16920;31920;52920;85920;193920},0),2)+AY8</f>
        <v/>
      </c>
      <c r="BA8" s="221" t="n">
        <v>0</v>
      </c>
      <c r="BB8" s="221">
        <f>SUMIF(#REF!,D:D,#REF!)</f>
        <v/>
      </c>
      <c r="BC8" s="224" t="n"/>
      <c r="BD8" s="223">
        <f>ROUND(AL8+AM8+AZ8+BC8+BA8+BB8,0)</f>
        <v/>
      </c>
      <c r="BE8" s="225">
        <f>ROUND(AK8+BD8,0)</f>
        <v/>
      </c>
      <c r="BF8" s="226">
        <f>SUMIF('[1]日薪'!$E:$E,D:D,'[1]日薪'!$G:$G)</f>
        <v/>
      </c>
      <c r="BG8" s="226">
        <f>BE8-BF8</f>
        <v/>
      </c>
      <c r="BH8" s="95" t="n"/>
      <c r="BI8" t="inlineStr"/>
      <c r="BJ8" s="97">
        <f>SUMIF('[2]直工（银行代发）'!$D:$DD,D:D,'[2]直工（银行代发）'!$BE:$BE)</f>
        <v/>
      </c>
      <c r="BK8" s="97">
        <f>SUMIF('[2]没有银行卡'!$D:$D,D:D,'[2]没有银行卡'!$BE:$BE)</f>
        <v/>
      </c>
      <c r="BL8" s="97">
        <f>BE8-BJ8-BK8</f>
        <v/>
      </c>
      <c r="BM8" s="227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W8">
        <f>SUM(BM8:BV8)</f>
        <v/>
      </c>
    </row>
    <row r="9" ht="27" customHeight="1" s="6">
      <c r="A9" s="15">
        <f>A8+1</f>
        <v/>
      </c>
      <c r="B9" s="17" t="n">
        <v>191793</v>
      </c>
      <c r="C9" s="17">
        <f>COUNTIF(D:D,D9)</f>
        <v/>
      </c>
      <c r="D9" s="18" t="inlineStr">
        <is>
          <t>刘志军</t>
        </is>
      </c>
      <c r="E9" s="17" t="inlineStr">
        <is>
          <t>Male</t>
        </is>
      </c>
      <c r="F9" s="19" t="inlineStr">
        <is>
          <t>360121199304135837</t>
        </is>
      </c>
      <c r="G9" s="17" t="inlineStr">
        <is>
          <t>直工</t>
        </is>
      </c>
      <c r="H9" s="21" t="inlineStr">
        <is>
          <t>五金三楼</t>
        </is>
      </c>
      <c r="I9" s="23" t="n"/>
      <c r="J9" s="218" t="n"/>
      <c r="K9" s="219" t="n"/>
      <c r="L9" s="23" t="n"/>
      <c r="M9" s="38" t="n">
        <v>21</v>
      </c>
      <c r="N9" s="38">
        <f>SUMIF(#REF!,D:D,#REF!)</f>
        <v/>
      </c>
      <c r="O9" s="38">
        <f>SUMIF(#REF!,D:D,#REF!)</f>
        <v/>
      </c>
      <c r="P9" s="38">
        <f>SUMIF(#REF!,D:D,#REF!)</f>
        <v/>
      </c>
      <c r="Q9" s="38" t="n"/>
      <c r="R9" s="38" t="n"/>
      <c r="S9" s="220">
        <f>T9+V9+X9+80</f>
        <v/>
      </c>
      <c r="T9" s="220" t="n">
        <v>1720</v>
      </c>
      <c r="U9" s="23">
        <f>_xlfn.IFERROR(ROUND(T9/$M9*$N9,0),0)</f>
        <v/>
      </c>
      <c r="V9" s="221" t="n">
        <v>150</v>
      </c>
      <c r="W9" s="23">
        <f>_xlfn.IFERROR(ROUND(V9/$M9*$N9,0),0)</f>
        <v/>
      </c>
      <c r="X9" s="38" t="n"/>
      <c r="Y9" s="38" t="n"/>
      <c r="Z9" s="18" t="n">
        <v>14.83</v>
      </c>
      <c r="AA9" s="23">
        <f>_xlfn.IFERROR(ROUND(O9*Z9,0),0)</f>
        <v/>
      </c>
      <c r="AB9" s="222" t="n">
        <v>19.77</v>
      </c>
      <c r="AC9" s="23">
        <f>_xlfn.IFERROR(ROUND(P9*AB9,0),0)</f>
        <v/>
      </c>
      <c r="AD9" s="38" t="n"/>
      <c r="AE9" s="38" t="n"/>
      <c r="AF9" s="38" t="n"/>
      <c r="AG9" s="38" t="n">
        <v>80</v>
      </c>
      <c r="AH9" s="38" t="n"/>
      <c r="AI9" s="70">
        <f>SUMIF(#REF!,D:D,#REF!)</f>
        <v/>
      </c>
      <c r="AJ9" s="70" t="n"/>
      <c r="AK9" s="223">
        <f>ROUND(U9+W9+Y9+AA9+AC9+AD9+AE9+AF9+AG9+AH9+AI9+AJ9,0)</f>
        <v/>
      </c>
      <c r="AL9" s="221" t="n">
        <v>0</v>
      </c>
      <c r="AM9" s="221" t="n"/>
      <c r="AN9" s="221" t="n">
        <v>3026</v>
      </c>
      <c r="AO9" s="221" t="n">
        <v>10000</v>
      </c>
      <c r="AP9" s="221" t="n">
        <v>0</v>
      </c>
      <c r="AQ9" s="221" t="n">
        <v>0</v>
      </c>
      <c r="AR9" s="221" t="n">
        <v>0</v>
      </c>
      <c r="AS9" s="221" t="n"/>
      <c r="AT9" s="221" t="n"/>
      <c r="AU9" s="221">
        <f>SUM(AP9:AT9)-AL9-AM9</f>
        <v/>
      </c>
      <c r="AV9" s="221">
        <f>AK9+BA9+BB9+BC9+AN9</f>
        <v/>
      </c>
      <c r="AW9" s="221">
        <f>AO9+5000+AU9</f>
        <v/>
      </c>
      <c r="AX9" s="221">
        <f>AV9-AW9</f>
        <v/>
      </c>
      <c r="AY9" s="221">
        <f>BW9</f>
        <v/>
      </c>
      <c r="AZ9" s="221">
        <f>-ROUND(MAX((AX9)*{0.03;0.1;0.2;0.25;0.3;0.35;0.45}-{0;2520;16920;31920;52920;85920;193920},0),2)+AY9</f>
        <v/>
      </c>
      <c r="BA9" s="221" t="n">
        <v>0</v>
      </c>
      <c r="BB9" s="221">
        <f>SUMIF(#REF!,D:D,#REF!)</f>
        <v/>
      </c>
      <c r="BC9" s="224" t="n"/>
      <c r="BD9" s="223">
        <f>ROUND(AL9+AM9+AZ9+BC9+BA9+BB9,0)</f>
        <v/>
      </c>
      <c r="BE9" s="225">
        <f>ROUND(AK9+BD9,0)</f>
        <v/>
      </c>
      <c r="BF9" s="226">
        <f>SUMIF('[1]日薪'!$E:$E,D:D,'[1]日薪'!$G:$G)</f>
        <v/>
      </c>
      <c r="BG9" s="226">
        <f>BE9-BF9</f>
        <v/>
      </c>
      <c r="BH9" s="95" t="n"/>
      <c r="BI9" t="inlineStr"/>
      <c r="BJ9" s="97">
        <f>SUMIF('[2]直工（银行代发）'!$D:$DD,D:D,'[2]直工（银行代发）'!$BE:$BE)</f>
        <v/>
      </c>
      <c r="BK9" s="97">
        <f>SUMIF('[2]没有银行卡'!$D:$D,D:D,'[2]没有银行卡'!$BE:$BE)</f>
        <v/>
      </c>
      <c r="BL9" s="97">
        <f>BE9-BJ9-BK9</f>
        <v/>
      </c>
      <c r="BM9" s="227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W9">
        <f>SUM(BM9:BV9)</f>
        <v/>
      </c>
    </row>
    <row r="10" ht="27" customHeight="1" s="6">
      <c r="A10" s="15">
        <f>A9+1</f>
        <v/>
      </c>
      <c r="B10" s="17" t="n">
        <v>191853</v>
      </c>
      <c r="C10" s="17">
        <f>COUNTIF(D:D,D10)</f>
        <v/>
      </c>
      <c r="D10" s="18" t="inlineStr">
        <is>
          <t>Erdos</t>
        </is>
      </c>
      <c r="E10" s="17" t="inlineStr">
        <is>
          <t>Male</t>
        </is>
      </c>
      <c r="F10" s="19" t="inlineStr">
        <is>
          <t>513332199404161814</t>
        </is>
      </c>
      <c r="G10" s="17" t="inlineStr">
        <is>
          <t>直工</t>
        </is>
      </c>
      <c r="H10" s="21" t="inlineStr">
        <is>
          <t>五金三楼</t>
        </is>
      </c>
      <c r="I10" s="23" t="n"/>
      <c r="J10" s="218" t="n"/>
      <c r="K10" s="219" t="n"/>
      <c r="L10" s="23" t="n"/>
      <c r="M10" s="38" t="n">
        <v>21</v>
      </c>
      <c r="N10" s="38">
        <f>SUMIF(#REF!,D:D,#REF!)</f>
        <v/>
      </c>
      <c r="O10" s="38">
        <f>SUMIF(#REF!,D:D,#REF!)</f>
        <v/>
      </c>
      <c r="P10" s="38">
        <f>SUMIF(#REF!,D:D,#REF!)</f>
        <v/>
      </c>
      <c r="Q10" s="38" t="n"/>
      <c r="R10" s="38" t="n"/>
      <c r="S10" s="220">
        <f>T10+V10+X10+80</f>
        <v/>
      </c>
      <c r="T10" s="220" t="n">
        <v>1720</v>
      </c>
      <c r="U10" s="23">
        <f>_xlfn.IFERROR(ROUND(T10/$M10*$N10,0),0)</f>
        <v/>
      </c>
      <c r="V10" s="221" t="n">
        <v>150</v>
      </c>
      <c r="W10" s="23">
        <f>_xlfn.IFERROR(ROUND(V10/$M10*$N10,0),0)</f>
        <v/>
      </c>
      <c r="X10" s="38" t="n"/>
      <c r="Y10" s="38" t="n"/>
      <c r="Z10" s="18" t="n">
        <v>14.83</v>
      </c>
      <c r="AA10" s="23">
        <f>_xlfn.IFERROR(ROUND(O10*Z10,0),0)</f>
        <v/>
      </c>
      <c r="AB10" s="222" t="n">
        <v>19.77</v>
      </c>
      <c r="AC10" s="23">
        <f>_xlfn.IFERROR(ROUND(P10*AB10,0),0)</f>
        <v/>
      </c>
      <c r="AD10" s="38" t="n"/>
      <c r="AE10" s="38" t="n"/>
      <c r="AF10" s="38" t="n"/>
      <c r="AG10" s="38" t="n"/>
      <c r="AH10" s="38" t="n"/>
      <c r="AI10" s="70">
        <f>SUMIF(#REF!,D:D,#REF!)</f>
        <v/>
      </c>
      <c r="AJ10" s="70" t="n"/>
      <c r="AK10" s="223">
        <f>ROUND(U10+W10+Y10+AA10+AC10+AD10+AE10+AF10+AG10+AH10+AI10+AJ10,0)</f>
        <v/>
      </c>
      <c r="AL10" s="221" t="n">
        <v>0</v>
      </c>
      <c r="AM10" s="221" t="n"/>
      <c r="AN10" s="221" t="n">
        <v>0</v>
      </c>
      <c r="AO10" s="221" t="n">
        <v>0</v>
      </c>
      <c r="AP10" s="221" t="n">
        <v>0</v>
      </c>
      <c r="AQ10" s="221" t="n">
        <v>0</v>
      </c>
      <c r="AR10" s="221" t="n">
        <v>0</v>
      </c>
      <c r="AS10" s="221" t="n"/>
      <c r="AT10" s="221" t="n"/>
      <c r="AU10" s="221">
        <f>SUM(AP10:AT10)-AL10-AM10</f>
        <v/>
      </c>
      <c r="AV10" s="221">
        <f>AK10+BA10+BB10+BC10+AN10</f>
        <v/>
      </c>
      <c r="AW10" s="221">
        <f>AO10+5000+AU10</f>
        <v/>
      </c>
      <c r="AX10" s="221">
        <f>AV10-AW10</f>
        <v/>
      </c>
      <c r="AY10" s="221">
        <f>BW10</f>
        <v/>
      </c>
      <c r="AZ10" s="221">
        <f>-ROUND(MAX((AX10)*{0.03;0.1;0.2;0.25;0.3;0.35;0.45}-{0;2520;16920;31920;52920;85920;193920},0),2)+AY10</f>
        <v/>
      </c>
      <c r="BA10" s="221" t="n">
        <v>0</v>
      </c>
      <c r="BB10" s="221">
        <f>SUMIF(#REF!,D:D,#REF!)</f>
        <v/>
      </c>
      <c r="BC10" s="224" t="n"/>
      <c r="BD10" s="223">
        <f>ROUND(AL10+AM10+AZ10+BC10+BA10+BB10,0)</f>
        <v/>
      </c>
      <c r="BE10" s="225">
        <f>ROUND(AK10+BD10,0)</f>
        <v/>
      </c>
      <c r="BF10" s="226">
        <f>SUMIF('[1]日薪'!$E:$E,D:D,'[1]日薪'!$G:$G)</f>
        <v/>
      </c>
      <c r="BG10" s="226">
        <f>BE10-BF10</f>
        <v/>
      </c>
      <c r="BH10" s="95" t="n"/>
      <c r="BI10" t="inlineStr"/>
      <c r="BJ10" s="97">
        <f>SUMIF('[2]直工（银行代发）'!$D:$DD,D:D,'[2]直工（银行代发）'!$BE:$BE)</f>
        <v/>
      </c>
      <c r="BK10" s="97">
        <f>SUMIF('[2]没有银行卡'!$D:$D,D:D,'[2]没有银行卡'!$BE:$BE)</f>
        <v/>
      </c>
      <c r="BL10" s="97">
        <f>BE10-BJ10-BK10</f>
        <v/>
      </c>
      <c r="BM10" s="227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W10">
        <f>SUM(BM10:BV10)</f>
        <v/>
      </c>
    </row>
    <row r="11" ht="27" customHeight="1" s="6">
      <c r="A11" s="15">
        <f>A10+1</f>
        <v/>
      </c>
      <c r="B11" s="17" t="n">
        <v>191914</v>
      </c>
      <c r="C11" s="17">
        <f>COUNTIF(D:D,D11)</f>
        <v/>
      </c>
      <c r="D11" s="18" t="inlineStr">
        <is>
          <t>Qin Qixin</t>
        </is>
      </c>
      <c r="E11" s="17" t="inlineStr">
        <is>
          <t>Male</t>
        </is>
      </c>
      <c r="F11" s="19" t="inlineStr">
        <is>
          <t>450821199710280431</t>
        </is>
      </c>
      <c r="G11" s="17" t="inlineStr">
        <is>
          <t>直工</t>
        </is>
      </c>
      <c r="H11" s="21" t="inlineStr">
        <is>
          <t>五金三楼</t>
        </is>
      </c>
      <c r="I11" s="23" t="n"/>
      <c r="J11" s="218" t="n"/>
      <c r="K11" s="219" t="n"/>
      <c r="L11" s="23" t="n"/>
      <c r="M11" s="38" t="n">
        <v>21</v>
      </c>
      <c r="N11" s="38">
        <f>SUMIF(#REF!,D:D,#REF!)</f>
        <v/>
      </c>
      <c r="O11" s="38">
        <f>SUMIF(#REF!,D:D,#REF!)</f>
        <v/>
      </c>
      <c r="P11" s="38">
        <f>SUMIF(#REF!,D:D,#REF!)</f>
        <v/>
      </c>
      <c r="Q11" s="38" t="n"/>
      <c r="R11" s="38" t="n"/>
      <c r="S11" s="220">
        <f>T11+V11+X11+80</f>
        <v/>
      </c>
      <c r="T11" s="220" t="n">
        <v>1720</v>
      </c>
      <c r="U11" s="23">
        <f>_xlfn.IFERROR(ROUND(T11/$M11*$N11,0),0)</f>
        <v/>
      </c>
      <c r="V11" s="221" t="n">
        <v>150</v>
      </c>
      <c r="W11" s="23">
        <f>_xlfn.IFERROR(ROUND(V11/$M11*$N11,0),0)</f>
        <v/>
      </c>
      <c r="X11" s="38" t="n"/>
      <c r="Y11" s="38" t="n"/>
      <c r="Z11" s="18" t="n">
        <v>14.83</v>
      </c>
      <c r="AA11" s="23">
        <f>_xlfn.IFERROR(ROUND(O11*Z11,0),0)</f>
        <v/>
      </c>
      <c r="AB11" s="222" t="n">
        <v>19.77</v>
      </c>
      <c r="AC11" s="23">
        <f>_xlfn.IFERROR(ROUND(P11*AB11,0),0)</f>
        <v/>
      </c>
      <c r="AD11" s="38" t="n"/>
      <c r="AE11" s="38" t="n"/>
      <c r="AF11" s="38" t="n"/>
      <c r="AG11" s="38" t="n"/>
      <c r="AH11" s="38" t="n"/>
      <c r="AI11" s="70">
        <f>SUMIF(#REF!,D:D,#REF!)</f>
        <v/>
      </c>
      <c r="AJ11" s="70" t="n"/>
      <c r="AK11" s="223">
        <f>ROUND(U11+W11+Y11+AA11+AC11+AD11+AE11+AF11+AG11+AH11+AI11+AJ11,0)</f>
        <v/>
      </c>
      <c r="AL11" s="221" t="n">
        <v>0</v>
      </c>
      <c r="AM11" s="221" t="n"/>
      <c r="AN11" s="221" t="n">
        <v>0</v>
      </c>
      <c r="AO11" s="221" t="n">
        <v>0</v>
      </c>
      <c r="AP11" s="221" t="n">
        <v>0</v>
      </c>
      <c r="AQ11" s="221" t="n">
        <v>0</v>
      </c>
      <c r="AR11" s="221" t="n">
        <v>0</v>
      </c>
      <c r="AS11" s="221" t="n"/>
      <c r="AT11" s="221" t="n"/>
      <c r="AU11" s="221">
        <f>SUM(AP11:AT11)-AL11-AM11</f>
        <v/>
      </c>
      <c r="AV11" s="221">
        <f>AK11+BA11+BB11+BC11+AN11</f>
        <v/>
      </c>
      <c r="AW11" s="221">
        <f>AO11+5000+AU11</f>
        <v/>
      </c>
      <c r="AX11" s="221">
        <f>AV11-AW11</f>
        <v/>
      </c>
      <c r="AY11" s="221">
        <f>BW11</f>
        <v/>
      </c>
      <c r="AZ11" s="221">
        <f>-ROUND(MAX((AX11)*{0.03;0.1;0.2;0.25;0.3;0.35;0.45}-{0;2520;16920;31920;52920;85920;193920},0),2)+AY11</f>
        <v/>
      </c>
      <c r="BA11" s="221" t="n">
        <v>0</v>
      </c>
      <c r="BB11" s="221">
        <f>SUMIF(#REF!,D:D,#REF!)</f>
        <v/>
      </c>
      <c r="BC11" s="224" t="n"/>
      <c r="BD11" s="223">
        <f>ROUND(AL11+AM11+AZ11+BC11+BA11+BB11,0)</f>
        <v/>
      </c>
      <c r="BE11" s="225">
        <f>ROUND(AK11+BD11,0)</f>
        <v/>
      </c>
      <c r="BF11" s="226">
        <f>SUMIF('[1]日薪'!$E:$E,D:D,'[1]日薪'!$G:$G)</f>
        <v/>
      </c>
      <c r="BG11" s="226">
        <f>BE11-BF11</f>
        <v/>
      </c>
      <c r="BH11" s="95" t="n"/>
      <c r="BI11" t="inlineStr"/>
      <c r="BJ11" s="97">
        <f>SUMIF('[2]直工（银行代发）'!$D:$DD,D:D,'[2]直工（银行代发）'!$BE:$BE)</f>
        <v/>
      </c>
      <c r="BK11" s="97">
        <f>SUMIF('[2]没有银行卡'!$D:$D,D:D,'[2]没有银行卡'!$BE:$BE)</f>
        <v/>
      </c>
      <c r="BL11" s="97">
        <f>BE11-BJ11-BK11</f>
        <v/>
      </c>
      <c r="BM11" s="227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W11">
        <f>SUM(BM11:BV11)</f>
        <v/>
      </c>
    </row>
    <row r="12" ht="27" customHeight="1" s="6">
      <c r="A12" s="15">
        <f>A11+1</f>
        <v/>
      </c>
      <c r="B12" s="17" t="n">
        <v>191080</v>
      </c>
      <c r="C12" s="17">
        <f>COUNTIF(D:D,D12)</f>
        <v/>
      </c>
      <c r="D12" s="22" t="inlineStr">
        <is>
          <t>Ran Lingzhong</t>
        </is>
      </c>
      <c r="E12" s="17" t="inlineStr">
        <is>
          <t>Male</t>
        </is>
      </c>
      <c r="F12" s="19" t="inlineStr">
        <is>
          <t>512222197101047071</t>
        </is>
      </c>
      <c r="G12" s="23" t="inlineStr">
        <is>
          <t>抛光</t>
        </is>
      </c>
      <c r="H12" s="23" t="inlineStr">
        <is>
          <t>抛光</t>
        </is>
      </c>
      <c r="I12" s="39" t="n"/>
      <c r="J12" s="228" t="n"/>
      <c r="K12" s="229" t="n"/>
      <c r="L12" s="39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45" t="n"/>
      <c r="AE12" s="45" t="n"/>
      <c r="AF12" s="230" t="n">
        <v>11564.1</v>
      </c>
      <c r="AG12" s="45" t="n"/>
      <c r="AH12" s="45" t="n"/>
      <c r="AI12" s="70">
        <f>SUMIF(#REF!,D:D,#REF!)</f>
        <v/>
      </c>
      <c r="AJ12" s="45" t="n"/>
      <c r="AK12" s="223">
        <f>ROUND(U12+W12+Y12+AA12+AC12+AD12+AE12+AF12+AG12+AH12+AI12+AJ12,0)</f>
        <v/>
      </c>
      <c r="AL12" s="221" t="n">
        <v>0</v>
      </c>
      <c r="AM12" s="45" t="n"/>
      <c r="AN12" s="221" t="n">
        <v>38482</v>
      </c>
      <c r="AO12" s="221" t="n">
        <v>25000</v>
      </c>
      <c r="AP12" s="221" t="n">
        <v>0</v>
      </c>
      <c r="AQ12" s="221" t="n">
        <v>0</v>
      </c>
      <c r="AR12" s="221" t="n">
        <v>0</v>
      </c>
      <c r="AS12" s="221" t="n"/>
      <c r="AT12" s="45" t="n"/>
      <c r="AU12" s="221">
        <f>SUM(AP12:AT12)-AL12-AM12</f>
        <v/>
      </c>
      <c r="AV12" s="221">
        <f>AK12+BA12+BB12+BC12+AN12</f>
        <v/>
      </c>
      <c r="AW12" s="221">
        <f>AO12+5000+AU12</f>
        <v/>
      </c>
      <c r="AX12" s="221">
        <f>AV12-AW12</f>
        <v/>
      </c>
      <c r="AY12" s="221">
        <f>BW12</f>
        <v/>
      </c>
      <c r="AZ12" s="221">
        <f>-ROUND(MAX((AX12)*{0.03;0.1;0.2;0.25;0.3;0.35;0.45}-{0;2520;16920;31920;52920;85920;193920},0),2)+AY12</f>
        <v/>
      </c>
      <c r="BA12" s="221" t="n">
        <v>0</v>
      </c>
      <c r="BB12" s="221">
        <f>SUMIF(#REF!,D:D,#REF!)</f>
        <v/>
      </c>
      <c r="BC12" s="224" t="n"/>
      <c r="BD12" s="223">
        <f>ROUND(AL12+AM12+AZ12+BC12+BA12+BB12,0)</f>
        <v/>
      </c>
      <c r="BE12" s="225">
        <f>ROUND(AK12+BD12,0)</f>
        <v/>
      </c>
      <c r="BF12" s="226">
        <f>SUMIF('[1]日薪'!$E:$E,D:D,'[1]日薪'!$G:$G)</f>
        <v/>
      </c>
      <c r="BG12" s="226">
        <f>BE12-BF12</f>
        <v/>
      </c>
      <c r="BH12" s="95" t="n"/>
      <c r="BI12" t="inlineStr"/>
      <c r="BJ12" s="97">
        <f>SUMIF('[2]直工（银行代发）'!$D:$DD,D:D,'[2]直工（银行代发）'!$BE:$BE)</f>
        <v/>
      </c>
      <c r="BK12" s="97">
        <f>SUMIF('[2]没有银行卡'!$D:$D,D:D,'[2]没有银行卡'!$BE:$BE)</f>
        <v/>
      </c>
      <c r="BL12" s="97">
        <f>BE12-BJ12-BK12</f>
        <v/>
      </c>
      <c r="BM12" s="227" t="n">
        <v>0</v>
      </c>
      <c r="BN12" t="n">
        <v>0</v>
      </c>
      <c r="BO12" t="n">
        <v>55.47</v>
      </c>
      <c r="BP12" t="n">
        <v>309.8</v>
      </c>
      <c r="BQ12" t="n">
        <v>-119.9</v>
      </c>
      <c r="BR12" t="n">
        <v>159.09</v>
      </c>
      <c r="BW12">
        <f>SUM(BM12:BV12)</f>
        <v/>
      </c>
    </row>
    <row r="13" ht="27" customFormat="1" customHeight="1" s="2">
      <c r="A13" s="15">
        <f>A12+1</f>
        <v/>
      </c>
      <c r="B13" s="17" t="n">
        <v>191807</v>
      </c>
      <c r="C13" s="17">
        <f>COUNTIF(D:D,D13)</f>
        <v/>
      </c>
      <c r="D13" s="18" t="inlineStr">
        <is>
          <t>Xu Heng</t>
        </is>
      </c>
      <c r="E13" s="24" t="inlineStr">
        <is>
          <t>Male</t>
        </is>
      </c>
      <c r="F13" s="19" t="inlineStr">
        <is>
          <t>522426200008218334</t>
        </is>
      </c>
      <c r="G13" s="23" t="inlineStr">
        <is>
          <t>抛光</t>
        </is>
      </c>
      <c r="H13" s="23" t="inlineStr">
        <is>
          <t>抛光</t>
        </is>
      </c>
      <c r="I13" s="42" t="n"/>
      <c r="J13" s="231" t="n"/>
      <c r="K13" s="232" t="n"/>
      <c r="L13" s="42" t="n"/>
      <c r="M13" s="38" t="n">
        <v>21</v>
      </c>
      <c r="N13" s="38">
        <f>SUMIF(#REF!,D:D,#REF!)</f>
        <v/>
      </c>
      <c r="O13" s="38">
        <f>SUMIF(#REF!,D:D,#REF!)</f>
        <v/>
      </c>
      <c r="P13" s="38">
        <f>SUMIF(#REF!,D:D,#REF!)</f>
        <v/>
      </c>
      <c r="Q13" s="54" t="n"/>
      <c r="R13" s="54" t="n"/>
      <c r="S13" s="233">
        <f>T13+V13+X13+80</f>
        <v/>
      </c>
      <c r="T13" s="233" t="n">
        <v>1720</v>
      </c>
      <c r="U13" s="42">
        <f>_xlfn.IFERROR(ROUND(T13/$M13*$N13,0),0)</f>
        <v/>
      </c>
      <c r="V13" s="225" t="n">
        <v>150</v>
      </c>
      <c r="W13" s="42">
        <f>_xlfn.IFERROR(ROUND(V13/$M13*$N13,0),0)</f>
        <v/>
      </c>
      <c r="X13" s="38" t="n"/>
      <c r="Y13" s="54" t="n"/>
      <c r="Z13" s="65" t="n">
        <v>14.83</v>
      </c>
      <c r="AA13" s="42">
        <f>_xlfn.IFERROR(ROUND(O13*Z13,0),0)</f>
        <v/>
      </c>
      <c r="AB13" s="234" t="n">
        <v>19.77</v>
      </c>
      <c r="AC13" s="42">
        <f>_xlfn.IFERROR(ROUND(P13*AB13,0),0)</f>
        <v/>
      </c>
      <c r="AD13" s="54" t="n"/>
      <c r="AE13" s="54" t="n"/>
      <c r="AF13" s="230" t="n">
        <v>0</v>
      </c>
      <c r="AG13" s="38" t="n"/>
      <c r="AH13" s="54" t="n"/>
      <c r="AI13" s="70">
        <f>SUMIF(#REF!,D:D,#REF!)</f>
        <v/>
      </c>
      <c r="AJ13" s="72" t="n"/>
      <c r="AK13" s="223">
        <f>ROUND(U13+W13+Y13+AA13+AC13+AD13+AE13+AF13+AG13+AH13+AI13+AJ13,0)</f>
        <v/>
      </c>
      <c r="AL13" s="221" t="n">
        <v>0</v>
      </c>
      <c r="AM13" s="225" t="n"/>
      <c r="AN13" s="221" t="n">
        <v>2729</v>
      </c>
      <c r="AO13" s="221" t="n">
        <v>10000</v>
      </c>
      <c r="AP13" s="221" t="n">
        <v>0</v>
      </c>
      <c r="AQ13" s="221" t="n">
        <v>0</v>
      </c>
      <c r="AR13" s="221" t="n">
        <v>0</v>
      </c>
      <c r="AS13" s="221" t="n"/>
      <c r="AT13" s="221" t="n"/>
      <c r="AU13" s="221">
        <f>SUM(AP13:AT13)-AL13-AM13</f>
        <v/>
      </c>
      <c r="AV13" s="221">
        <f>AK13+BA13+BB13+BC13+AN13</f>
        <v/>
      </c>
      <c r="AW13" s="221">
        <f>AO13+5000+AU13</f>
        <v/>
      </c>
      <c r="AX13" s="221">
        <f>AV13-AW13</f>
        <v/>
      </c>
      <c r="AY13" s="221">
        <f>BW13</f>
        <v/>
      </c>
      <c r="AZ13" s="221">
        <f>-ROUND(MAX((AX13)*{0.03;0.1;0.2;0.25;0.3;0.35;0.45}-{0;2520;16920;31920;52920;85920;193920},0),2)+AY13</f>
        <v/>
      </c>
      <c r="BA13" s="221" t="n">
        <v>-144.92</v>
      </c>
      <c r="BB13" s="221">
        <f>SUMIF(#REF!,D:D,#REF!)</f>
        <v/>
      </c>
      <c r="BC13" s="224" t="n"/>
      <c r="BD13" s="223">
        <f>ROUND(AL13+AM13+AZ13+BC13+BA13+BB13,0)</f>
        <v/>
      </c>
      <c r="BE13" s="225">
        <f>ROUND(AK13+BD13,0)</f>
        <v/>
      </c>
      <c r="BF13" s="226">
        <f>SUMIF('[1]日薪'!$E:$E,D:D,'[1]日薪'!$G:$G)</f>
        <v/>
      </c>
      <c r="BG13" s="226">
        <f>BE13-BF13</f>
        <v/>
      </c>
      <c r="BH13" s="95" t="n"/>
      <c r="BI13" t="inlineStr"/>
      <c r="BJ13" s="97">
        <f>SUMIF('[2]直工（银行代发）'!$D:$DD,D:D,'[2]直工（银行代发）'!$BE:$BE)</f>
        <v/>
      </c>
      <c r="BK13" s="97">
        <f>SUMIF('[2]没有银行卡'!$D:$D,D:D,'[2]没有银行卡'!$BE:$BE)</f>
        <v/>
      </c>
      <c r="BL13" s="97">
        <f>BE13-BJ13-BK13</f>
        <v/>
      </c>
      <c r="BM13" s="227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s="2" t="n"/>
      <c r="BT13" s="2" t="n"/>
      <c r="BU13" s="2" t="n"/>
      <c r="BV13" s="2" t="n"/>
      <c r="BW13">
        <f>SUM(BM13:BV13)</f>
        <v/>
      </c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2" t="n"/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2" t="n"/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2" t="n"/>
      <c r="IH13" s="2" t="n"/>
      <c r="II13" s="2" t="n"/>
      <c r="IJ13" s="2" t="n"/>
      <c r="IK13" s="2" t="n"/>
      <c r="IL13" s="2" t="n"/>
      <c r="IM13" s="2" t="n"/>
      <c r="IN13" s="2" t="n"/>
      <c r="IO13" s="2" t="n"/>
      <c r="IP13" s="2" t="n"/>
      <c r="IQ13" s="2" t="n"/>
      <c r="IR13" s="2" t="n"/>
      <c r="IS13" s="2" t="n"/>
      <c r="IT13" s="2" t="n"/>
      <c r="IU13" s="2" t="n"/>
      <c r="IV13" s="2" t="n"/>
      <c r="IW13" s="2" t="n"/>
      <c r="IX13" s="2" t="n"/>
      <c r="IY13" s="2" t="n"/>
      <c r="IZ13" s="2" t="n"/>
      <c r="JA13" s="2" t="n"/>
      <c r="JB13" s="2" t="n"/>
      <c r="JC13" s="2" t="n"/>
      <c r="JD13" s="2" t="n"/>
      <c r="JE13" s="2" t="n"/>
      <c r="JF13" s="2" t="n"/>
      <c r="JG13" s="2" t="n"/>
      <c r="JH13" s="2" t="n"/>
      <c r="JI13" s="2" t="n"/>
      <c r="JJ13" s="2" t="n"/>
      <c r="JK13" s="2" t="n"/>
      <c r="JL13" s="2" t="n"/>
      <c r="JM13" s="2" t="n"/>
      <c r="JN13" s="2" t="n"/>
      <c r="JO13" s="2" t="n"/>
      <c r="JP13" s="2" t="n"/>
      <c r="JQ13" s="2" t="n"/>
      <c r="JR13" s="2" t="n"/>
      <c r="JS13" s="2" t="n"/>
      <c r="JT13" s="2" t="n"/>
      <c r="JU13" s="2" t="n"/>
      <c r="JV13" s="2" t="n"/>
      <c r="JW13" s="2" t="n"/>
      <c r="JX13" s="2" t="n"/>
      <c r="JY13" s="2" t="n"/>
      <c r="JZ13" s="2" t="n"/>
      <c r="KA13" s="2" t="n"/>
      <c r="KB13" s="2" t="n"/>
      <c r="KC13" s="2" t="n"/>
      <c r="KD13" s="2" t="n"/>
      <c r="KE13" s="2" t="n"/>
      <c r="KF13" s="2" t="n"/>
      <c r="KG13" s="2" t="n"/>
      <c r="KH13" s="2" t="n"/>
      <c r="KI13" s="2" t="n"/>
      <c r="KJ13" s="2" t="n"/>
      <c r="KK13" s="2" t="n"/>
      <c r="KL13" s="2" t="n"/>
      <c r="KM13" s="2" t="n"/>
      <c r="KN13" s="2" t="n"/>
      <c r="KO13" s="2" t="n"/>
      <c r="KP13" s="2" t="n"/>
      <c r="KQ13" s="2" t="n"/>
      <c r="KR13" s="2" t="n"/>
      <c r="KS13" s="2" t="n"/>
      <c r="KT13" s="2" t="n"/>
      <c r="KU13" s="2" t="n"/>
      <c r="KV13" s="2" t="n"/>
      <c r="KW13" s="2" t="n"/>
      <c r="KX13" s="2" t="n"/>
      <c r="KY13" s="2" t="n"/>
      <c r="KZ13" s="2" t="n"/>
      <c r="LA13" s="2" t="n"/>
      <c r="LB13" s="2" t="n"/>
      <c r="LC13" s="2" t="n"/>
      <c r="LD13" s="2" t="n"/>
      <c r="LE13" s="2" t="n"/>
      <c r="LF13" s="2" t="n"/>
      <c r="LG13" s="2" t="n"/>
      <c r="LH13" s="2" t="n"/>
      <c r="LI13" s="2" t="n"/>
      <c r="LJ13" s="2" t="n"/>
      <c r="LK13" s="2" t="n"/>
      <c r="LL13" s="2" t="n"/>
      <c r="LM13" s="2" t="n"/>
      <c r="LN13" s="2" t="n"/>
      <c r="LO13" s="2" t="n"/>
      <c r="LP13" s="2" t="n"/>
      <c r="LQ13" s="2" t="n"/>
      <c r="LR13" s="2" t="n"/>
      <c r="LS13" s="2" t="n"/>
      <c r="LT13" s="2" t="n"/>
      <c r="LU13" s="2" t="n"/>
      <c r="LV13" s="2" t="n"/>
      <c r="LW13" s="2" t="n"/>
      <c r="LX13" s="2" t="n"/>
      <c r="LY13" s="2" t="n"/>
      <c r="LZ13" s="2" t="n"/>
      <c r="MA13" s="2" t="n"/>
      <c r="MB13" s="2" t="n"/>
      <c r="MC13" s="2" t="n"/>
      <c r="MD13" s="2" t="n"/>
      <c r="ME13" s="2" t="n"/>
      <c r="MF13" s="2" t="n"/>
      <c r="MG13" s="2" t="n"/>
      <c r="MH13" s="2" t="n"/>
      <c r="MI13" s="2" t="n"/>
      <c r="MJ13" s="2" t="n"/>
      <c r="MK13" s="2" t="n"/>
      <c r="ML13" s="2" t="n"/>
      <c r="MM13" s="2" t="n"/>
      <c r="MN13" s="2" t="n"/>
      <c r="MO13" s="2" t="n"/>
      <c r="MP13" s="2" t="n"/>
      <c r="MQ13" s="2" t="n"/>
      <c r="MR13" s="2" t="n"/>
      <c r="MS13" s="2" t="n"/>
      <c r="MT13" s="2" t="n"/>
      <c r="MU13" s="2" t="n"/>
      <c r="MV13" s="2" t="n"/>
      <c r="MW13" s="2" t="n"/>
      <c r="MX13" s="2" t="n"/>
      <c r="MY13" s="2" t="n"/>
      <c r="MZ13" s="2" t="n"/>
      <c r="NA13" s="2" t="n"/>
      <c r="NB13" s="2" t="n"/>
      <c r="NC13" s="2" t="n"/>
      <c r="ND13" s="2" t="n"/>
      <c r="NE13" s="2" t="n"/>
      <c r="NF13" s="2" t="n"/>
      <c r="NG13" s="2" t="n"/>
      <c r="NH13" s="2" t="n"/>
      <c r="NI13" s="2" t="n"/>
      <c r="NJ13" s="2" t="n"/>
      <c r="NK13" s="2" t="n"/>
      <c r="NL13" s="2" t="n"/>
      <c r="NM13" s="2" t="n"/>
      <c r="NN13" s="2" t="n"/>
      <c r="NO13" s="2" t="n"/>
      <c r="NP13" s="2" t="n"/>
      <c r="NQ13" s="2" t="n"/>
      <c r="NR13" s="2" t="n"/>
      <c r="NS13" s="2" t="n"/>
      <c r="NT13" s="2" t="n"/>
      <c r="NU13" s="2" t="n"/>
      <c r="NV13" s="2" t="n"/>
      <c r="NW13" s="2" t="n"/>
      <c r="NX13" s="2" t="n"/>
      <c r="NY13" s="2" t="n"/>
      <c r="NZ13" s="2" t="n"/>
      <c r="OA13" s="2" t="n"/>
      <c r="OB13" s="2" t="n"/>
      <c r="OC13" s="2" t="n"/>
      <c r="OD13" s="2" t="n"/>
      <c r="OE13" s="2" t="n"/>
      <c r="OF13" s="2" t="n"/>
      <c r="OG13" s="2" t="n"/>
      <c r="OH13" s="2" t="n"/>
      <c r="OI13" s="2" t="n"/>
      <c r="OJ13" s="2" t="n"/>
      <c r="OK13" s="2" t="n"/>
      <c r="OL13" s="2" t="n"/>
      <c r="OM13" s="2" t="n"/>
      <c r="ON13" s="2" t="n"/>
      <c r="OO13" s="2" t="n"/>
      <c r="OP13" s="2" t="n"/>
      <c r="OQ13" s="2" t="n"/>
      <c r="OR13" s="2" t="n"/>
      <c r="OS13" s="2" t="n"/>
      <c r="OT13" s="2" t="n"/>
      <c r="OU13" s="2" t="n"/>
      <c r="OV13" s="2" t="n"/>
      <c r="OW13" s="2" t="n"/>
      <c r="OX13" s="2" t="n"/>
      <c r="OY13" s="2" t="n"/>
      <c r="OZ13" s="2" t="n"/>
      <c r="PA13" s="2" t="n"/>
      <c r="PB13" s="2" t="n"/>
      <c r="PC13" s="2" t="n"/>
      <c r="PD13" s="2" t="n"/>
      <c r="PE13" s="2" t="n"/>
      <c r="PF13" s="2" t="n"/>
      <c r="PG13" s="2" t="n"/>
      <c r="PH13" s="2" t="n"/>
      <c r="PI13" s="2" t="n"/>
      <c r="PJ13" s="2" t="n"/>
      <c r="PK13" s="2" t="n"/>
      <c r="PL13" s="2" t="n"/>
      <c r="PM13" s="2" t="n"/>
      <c r="PN13" s="2" t="n"/>
      <c r="PO13" s="2" t="n"/>
      <c r="PP13" s="2" t="n"/>
      <c r="PQ13" s="2" t="n"/>
      <c r="PR13" s="2" t="n"/>
      <c r="PS13" s="2" t="n"/>
      <c r="PT13" s="2" t="n"/>
      <c r="PU13" s="2" t="n"/>
      <c r="PV13" s="2" t="n"/>
      <c r="PW13" s="2" t="n"/>
      <c r="PX13" s="2" t="n"/>
      <c r="PY13" s="2" t="n"/>
      <c r="PZ13" s="2" t="n"/>
      <c r="QA13" s="2" t="n"/>
      <c r="QB13" s="2" t="n"/>
      <c r="QC13" s="2" t="n"/>
      <c r="QD13" s="2" t="n"/>
      <c r="QE13" s="2" t="n"/>
      <c r="QF13" s="2" t="n"/>
      <c r="QG13" s="2" t="n"/>
      <c r="QH13" s="2" t="n"/>
      <c r="QI13" s="2" t="n"/>
      <c r="QJ13" s="2" t="n"/>
      <c r="QK13" s="2" t="n"/>
      <c r="QL13" s="2" t="n"/>
      <c r="QM13" s="2" t="n"/>
      <c r="QN13" s="2" t="n"/>
      <c r="QO13" s="2" t="n"/>
      <c r="QP13" s="2" t="n"/>
      <c r="QQ13" s="2" t="n"/>
      <c r="QR13" s="2" t="n"/>
      <c r="QS13" s="2" t="n"/>
      <c r="QT13" s="2" t="n"/>
      <c r="QU13" s="2" t="n"/>
      <c r="QV13" s="2" t="n"/>
      <c r="QW13" s="2" t="n"/>
      <c r="QX13" s="2" t="n"/>
      <c r="QY13" s="2" t="n"/>
      <c r="QZ13" s="2" t="n"/>
      <c r="RA13" s="2" t="n"/>
      <c r="RB13" s="2" t="n"/>
      <c r="RC13" s="2" t="n"/>
      <c r="RD13" s="2" t="n"/>
      <c r="RE13" s="2" t="n"/>
      <c r="RF13" s="2" t="n"/>
      <c r="RG13" s="2" t="n"/>
      <c r="RH13" s="2" t="n"/>
      <c r="RI13" s="2" t="n"/>
      <c r="RJ13" s="2" t="n"/>
      <c r="RK13" s="2" t="n"/>
      <c r="RL13" s="2" t="n"/>
      <c r="RM13" s="2" t="n"/>
      <c r="RN13" s="2" t="n"/>
      <c r="RO13" s="2" t="n"/>
      <c r="RP13" s="2" t="n"/>
      <c r="RQ13" s="2" t="n"/>
      <c r="RR13" s="2" t="n"/>
      <c r="RS13" s="2" t="n"/>
      <c r="RT13" s="2" t="n"/>
      <c r="RU13" s="2" t="n"/>
      <c r="RV13" s="2" t="n"/>
      <c r="RW13" s="2" t="n"/>
      <c r="RX13" s="2" t="n"/>
      <c r="RY13" s="2" t="n"/>
      <c r="RZ13" s="2" t="n"/>
      <c r="SA13" s="2" t="n"/>
      <c r="SB13" s="2" t="n"/>
      <c r="SC13" s="2" t="n"/>
      <c r="SD13" s="2" t="n"/>
      <c r="SE13" s="2" t="n"/>
      <c r="SF13" s="2" t="n"/>
      <c r="SG13" s="2" t="n"/>
      <c r="SH13" s="2" t="n"/>
      <c r="SI13" s="2" t="n"/>
      <c r="SJ13" s="2" t="n"/>
      <c r="SK13" s="2" t="n"/>
      <c r="SL13" s="2" t="n"/>
      <c r="SM13" s="2" t="n"/>
      <c r="SN13" s="2" t="n"/>
      <c r="SO13" s="2" t="n"/>
      <c r="SP13" s="2" t="n"/>
      <c r="SQ13" s="2" t="n"/>
      <c r="SR13" s="2" t="n"/>
      <c r="SS13" s="2" t="n"/>
      <c r="ST13" s="2" t="n"/>
      <c r="SU13" s="2" t="n"/>
      <c r="SV13" s="2" t="n"/>
      <c r="SW13" s="2" t="n"/>
      <c r="SX13" s="2" t="n"/>
      <c r="SY13" s="2" t="n"/>
      <c r="SZ13" s="2" t="n"/>
      <c r="TA13" s="2" t="n"/>
      <c r="TB13" s="2" t="n"/>
      <c r="TC13" s="2" t="n"/>
      <c r="TD13" s="2" t="n"/>
      <c r="TE13" s="2" t="n"/>
      <c r="TF13" s="2" t="n"/>
      <c r="TG13" s="2" t="n"/>
      <c r="TH13" s="2" t="n"/>
      <c r="TI13" s="2" t="n"/>
      <c r="TJ13" s="2" t="n"/>
      <c r="TK13" s="2" t="n"/>
      <c r="TL13" s="2" t="n"/>
      <c r="TM13" s="2" t="n"/>
      <c r="TN13" s="2" t="n"/>
      <c r="TO13" s="2" t="n"/>
      <c r="TP13" s="2" t="n"/>
      <c r="TQ13" s="2" t="n"/>
      <c r="TR13" s="2" t="n"/>
      <c r="TS13" s="2" t="n"/>
      <c r="TT13" s="2" t="n"/>
      <c r="TU13" s="2" t="n"/>
      <c r="TV13" s="2" t="n"/>
      <c r="TW13" s="2" t="n"/>
      <c r="TX13" s="2" t="n"/>
      <c r="TY13" s="2" t="n"/>
      <c r="TZ13" s="2" t="n"/>
      <c r="UA13" s="2" t="n"/>
      <c r="UB13" s="2" t="n"/>
      <c r="UC13" s="2" t="n"/>
      <c r="UD13" s="2" t="n"/>
      <c r="UE13" s="2" t="n"/>
      <c r="UF13" s="2" t="n"/>
      <c r="UG13" s="2" t="n"/>
      <c r="UH13" s="2" t="n"/>
      <c r="UI13" s="2" t="n"/>
      <c r="UJ13" s="2" t="n"/>
      <c r="UK13" s="2" t="n"/>
      <c r="UL13" s="2" t="n"/>
      <c r="UM13" s="2" t="n"/>
      <c r="UN13" s="2" t="n"/>
      <c r="UO13" s="2" t="n"/>
      <c r="UP13" s="2" t="n"/>
      <c r="UQ13" s="2" t="n"/>
      <c r="UR13" s="2" t="n"/>
      <c r="US13" s="2" t="n"/>
      <c r="UT13" s="2" t="n"/>
      <c r="UU13" s="2" t="n"/>
      <c r="UV13" s="2" t="n"/>
      <c r="UW13" s="2" t="n"/>
      <c r="UX13" s="2" t="n"/>
      <c r="UY13" s="2" t="n"/>
      <c r="UZ13" s="2" t="n"/>
      <c r="VA13" s="2" t="n"/>
      <c r="VB13" s="2" t="n"/>
      <c r="VC13" s="2" t="n"/>
      <c r="VD13" s="2" t="n"/>
      <c r="VE13" s="2" t="n"/>
      <c r="VF13" s="2" t="n"/>
      <c r="VG13" s="2" t="n"/>
      <c r="VH13" s="2" t="n"/>
      <c r="VI13" s="2" t="n"/>
      <c r="VJ13" s="2" t="n"/>
      <c r="VK13" s="2" t="n"/>
      <c r="VL13" s="2" t="n"/>
      <c r="VM13" s="2" t="n"/>
      <c r="VN13" s="2" t="n"/>
      <c r="VO13" s="2" t="n"/>
      <c r="VP13" s="2" t="n"/>
      <c r="VQ13" s="2" t="n"/>
      <c r="VR13" s="2" t="n"/>
      <c r="VS13" s="2" t="n"/>
      <c r="VT13" s="2" t="n"/>
      <c r="VU13" s="2" t="n"/>
      <c r="VV13" s="2" t="n"/>
      <c r="VW13" s="2" t="n"/>
      <c r="VX13" s="2" t="n"/>
      <c r="VY13" s="2" t="n"/>
      <c r="VZ13" s="2" t="n"/>
      <c r="WA13" s="2" t="n"/>
      <c r="WB13" s="2" t="n"/>
      <c r="WC13" s="2" t="n"/>
      <c r="WD13" s="2" t="n"/>
      <c r="WE13" s="2" t="n"/>
      <c r="WF13" s="2" t="n"/>
      <c r="WG13" s="2" t="n"/>
      <c r="WH13" s="2" t="n"/>
      <c r="WI13" s="2" t="n"/>
      <c r="WJ13" s="2" t="n"/>
      <c r="WK13" s="2" t="n"/>
      <c r="WL13" s="2" t="n"/>
      <c r="WM13" s="2" t="n"/>
      <c r="WN13" s="2" t="n"/>
      <c r="WO13" s="2" t="n"/>
      <c r="WP13" s="2" t="n"/>
      <c r="WQ13" s="2" t="n"/>
      <c r="WR13" s="2" t="n"/>
      <c r="WS13" s="2" t="n"/>
      <c r="WT13" s="2" t="n"/>
      <c r="WU13" s="2" t="n"/>
      <c r="WV13" s="2" t="n"/>
      <c r="WW13" s="2" t="n"/>
      <c r="WX13" s="2" t="n"/>
      <c r="WY13" s="2" t="n"/>
      <c r="WZ13" s="2" t="n"/>
      <c r="XA13" s="2" t="n"/>
      <c r="XB13" s="2" t="n"/>
      <c r="XC13" s="2" t="n"/>
      <c r="XD13" s="2" t="n"/>
      <c r="XE13" s="2" t="n"/>
      <c r="XF13" s="2" t="n"/>
      <c r="XG13" s="2" t="n"/>
      <c r="XH13" s="2" t="n"/>
      <c r="XI13" s="2" t="n"/>
      <c r="XJ13" s="2" t="n"/>
      <c r="XK13" s="2" t="n"/>
      <c r="XL13" s="2" t="n"/>
      <c r="XM13" s="2" t="n"/>
      <c r="XN13" s="2" t="n"/>
      <c r="XO13" s="2" t="n"/>
      <c r="XP13" s="2" t="n"/>
      <c r="XQ13" s="2" t="n"/>
      <c r="XR13" s="2" t="n"/>
      <c r="XS13" s="2" t="n"/>
      <c r="XT13" s="2" t="n"/>
      <c r="XU13" s="2" t="n"/>
      <c r="XV13" s="2" t="n"/>
      <c r="XW13" s="2" t="n"/>
      <c r="XX13" s="2" t="n"/>
      <c r="XY13" s="2" t="n"/>
      <c r="XZ13" s="2" t="n"/>
      <c r="YA13" s="2" t="n"/>
      <c r="YB13" s="2" t="n"/>
      <c r="YC13" s="2" t="n"/>
      <c r="YD13" s="2" t="n"/>
      <c r="YE13" s="2" t="n"/>
      <c r="YF13" s="2" t="n"/>
      <c r="YG13" s="2" t="n"/>
      <c r="YH13" s="2" t="n"/>
      <c r="YI13" s="2" t="n"/>
      <c r="YJ13" s="2" t="n"/>
      <c r="YK13" s="2" t="n"/>
      <c r="YL13" s="2" t="n"/>
      <c r="YM13" s="2" t="n"/>
      <c r="YN13" s="2" t="n"/>
      <c r="YO13" s="2" t="n"/>
      <c r="YP13" s="2" t="n"/>
      <c r="YQ13" s="2" t="n"/>
      <c r="YR13" s="2" t="n"/>
      <c r="YS13" s="2" t="n"/>
      <c r="YT13" s="2" t="n"/>
      <c r="YU13" s="2" t="n"/>
      <c r="YV13" s="2" t="n"/>
      <c r="YW13" s="2" t="n"/>
      <c r="YX13" s="2" t="n"/>
      <c r="YY13" s="2" t="n"/>
      <c r="YZ13" s="2" t="n"/>
      <c r="ZA13" s="2" t="n"/>
      <c r="ZB13" s="2" t="n"/>
      <c r="ZC13" s="2" t="n"/>
      <c r="ZD13" s="2" t="n"/>
      <c r="ZE13" s="2" t="n"/>
      <c r="ZF13" s="2" t="n"/>
      <c r="ZG13" s="2" t="n"/>
      <c r="ZH13" s="2" t="n"/>
      <c r="ZI13" s="2" t="n"/>
      <c r="ZJ13" s="2" t="n"/>
      <c r="ZK13" s="2" t="n"/>
      <c r="ZL13" s="2" t="n"/>
      <c r="ZM13" s="2" t="n"/>
      <c r="ZN13" s="2" t="n"/>
      <c r="ZO13" s="2" t="n"/>
      <c r="ZP13" s="2" t="n"/>
      <c r="ZQ13" s="2" t="n"/>
      <c r="ZR13" s="2" t="n"/>
      <c r="ZS13" s="2" t="n"/>
      <c r="ZT13" s="2" t="n"/>
      <c r="ZU13" s="2" t="n"/>
      <c r="ZV13" s="2" t="n"/>
      <c r="ZW13" s="2" t="n"/>
      <c r="ZX13" s="2" t="n"/>
      <c r="ZY13" s="2" t="n"/>
      <c r="ZZ13" s="2" t="n"/>
      <c r="AAA13" s="2" t="n"/>
      <c r="AAB13" s="2" t="n"/>
      <c r="AAC13" s="2" t="n"/>
      <c r="AAD13" s="2" t="n"/>
      <c r="AAE13" s="2" t="n"/>
      <c r="AAF13" s="2" t="n"/>
      <c r="AAG13" s="2" t="n"/>
      <c r="AAH13" s="2" t="n"/>
      <c r="AAI13" s="2" t="n"/>
      <c r="AAJ13" s="2" t="n"/>
      <c r="AAK13" s="2" t="n"/>
      <c r="AAL13" s="2" t="n"/>
      <c r="AAM13" s="2" t="n"/>
      <c r="AAN13" s="2" t="n"/>
      <c r="AAO13" s="2" t="n"/>
      <c r="AAP13" s="2" t="n"/>
      <c r="AAQ13" s="2" t="n"/>
      <c r="AAR13" s="2" t="n"/>
      <c r="AAS13" s="2" t="n"/>
      <c r="AAT13" s="2" t="n"/>
      <c r="AAU13" s="2" t="n"/>
      <c r="AAV13" s="2" t="n"/>
      <c r="AAW13" s="2" t="n"/>
      <c r="AAX13" s="2" t="n"/>
      <c r="AAY13" s="2" t="n"/>
      <c r="AAZ13" s="2" t="n"/>
      <c r="ABA13" s="2" t="n"/>
      <c r="ABB13" s="2" t="n"/>
      <c r="ABC13" s="2" t="n"/>
      <c r="ABD13" s="2" t="n"/>
      <c r="ABE13" s="2" t="n"/>
      <c r="ABF13" s="2" t="n"/>
      <c r="ABG13" s="2" t="n"/>
      <c r="ABH13" s="2" t="n"/>
      <c r="ABI13" s="2" t="n"/>
      <c r="ABJ13" s="2" t="n"/>
      <c r="ABK13" s="2" t="n"/>
      <c r="ABL13" s="2" t="n"/>
      <c r="ABM13" s="2" t="n"/>
      <c r="ABN13" s="2" t="n"/>
      <c r="ABO13" s="2" t="n"/>
      <c r="ABP13" s="2" t="n"/>
      <c r="ABQ13" s="2" t="n"/>
      <c r="ABR13" s="2" t="n"/>
      <c r="ABS13" s="2" t="n"/>
      <c r="ABT13" s="2" t="n"/>
      <c r="ABU13" s="2" t="n"/>
      <c r="ABV13" s="2" t="n"/>
      <c r="ABW13" s="2" t="n"/>
      <c r="ABX13" s="2" t="n"/>
      <c r="ABY13" s="2" t="n"/>
      <c r="ABZ13" s="2" t="n"/>
      <c r="ACA13" s="2" t="n"/>
      <c r="ACB13" s="2" t="n"/>
      <c r="ACC13" s="2" t="n"/>
      <c r="ACD13" s="2" t="n"/>
      <c r="ACE13" s="2" t="n"/>
      <c r="ACF13" s="2" t="n"/>
      <c r="ACG13" s="2" t="n"/>
      <c r="ACH13" s="2" t="n"/>
      <c r="ACI13" s="2" t="n"/>
      <c r="ACJ13" s="2" t="n"/>
      <c r="ACK13" s="2" t="n"/>
      <c r="ACL13" s="2" t="n"/>
      <c r="ACM13" s="2" t="n"/>
      <c r="ACN13" s="2" t="n"/>
      <c r="ACO13" s="2" t="n"/>
      <c r="ACP13" s="2" t="n"/>
      <c r="ACQ13" s="2" t="n"/>
      <c r="ACR13" s="2" t="n"/>
      <c r="ACS13" s="2" t="n"/>
      <c r="ACT13" s="2" t="n"/>
      <c r="ACU13" s="2" t="n"/>
      <c r="ACV13" s="2" t="n"/>
      <c r="ACW13" s="2" t="n"/>
      <c r="ACX13" s="2" t="n"/>
      <c r="ACY13" s="2" t="n"/>
      <c r="ACZ13" s="2" t="n"/>
      <c r="ADA13" s="2" t="n"/>
      <c r="ADB13" s="2" t="n"/>
      <c r="ADC13" s="2" t="n"/>
      <c r="ADD13" s="2" t="n"/>
      <c r="ADE13" s="2" t="n"/>
      <c r="ADF13" s="2" t="n"/>
      <c r="ADG13" s="2" t="n"/>
      <c r="ADH13" s="2" t="n"/>
      <c r="ADI13" s="2" t="n"/>
      <c r="ADJ13" s="2" t="n"/>
      <c r="ADK13" s="2" t="n"/>
      <c r="ADL13" s="2" t="n"/>
      <c r="ADM13" s="2" t="n"/>
      <c r="ADN13" s="2" t="n"/>
      <c r="ADO13" s="2" t="n"/>
      <c r="ADP13" s="2" t="n"/>
      <c r="ADQ13" s="2" t="n"/>
      <c r="ADR13" s="2" t="n"/>
      <c r="ADS13" s="2" t="n"/>
      <c r="ADT13" s="2" t="n"/>
      <c r="ADU13" s="2" t="n"/>
      <c r="ADV13" s="2" t="n"/>
      <c r="ADW13" s="2" t="n"/>
      <c r="ADX13" s="2" t="n"/>
      <c r="ADY13" s="2" t="n"/>
      <c r="ADZ13" s="2" t="n"/>
      <c r="AEA13" s="2" t="n"/>
      <c r="AEB13" s="2" t="n"/>
      <c r="AEC13" s="2" t="n"/>
      <c r="AED13" s="2" t="n"/>
      <c r="AEE13" s="2" t="n"/>
      <c r="AEF13" s="2" t="n"/>
      <c r="AEG13" s="2" t="n"/>
      <c r="AEH13" s="2" t="n"/>
      <c r="AEI13" s="2" t="n"/>
      <c r="AEJ13" s="2" t="n"/>
      <c r="AEK13" s="2" t="n"/>
      <c r="AEL13" s="2" t="n"/>
      <c r="AEM13" s="2" t="n"/>
      <c r="AEN13" s="2" t="n"/>
      <c r="AEO13" s="2" t="n"/>
      <c r="AEP13" s="2" t="n"/>
      <c r="AEQ13" s="2" t="n"/>
      <c r="AER13" s="2" t="n"/>
      <c r="AES13" s="2" t="n"/>
      <c r="AET13" s="2" t="n"/>
      <c r="AEU13" s="2" t="n"/>
      <c r="AEV13" s="2" t="n"/>
      <c r="AEW13" s="2" t="n"/>
      <c r="AEX13" s="2" t="n"/>
      <c r="AEY13" s="2" t="n"/>
      <c r="AEZ13" s="2" t="n"/>
      <c r="AFA13" s="2" t="n"/>
      <c r="AFB13" s="2" t="n"/>
      <c r="AFC13" s="2" t="n"/>
      <c r="AFD13" s="2" t="n"/>
      <c r="AFE13" s="2" t="n"/>
      <c r="AFF13" s="2" t="n"/>
      <c r="AFG13" s="2" t="n"/>
      <c r="AFH13" s="2" t="n"/>
      <c r="AFI13" s="2" t="n"/>
      <c r="AFJ13" s="2" t="n"/>
      <c r="AFK13" s="2" t="n"/>
      <c r="AFL13" s="2" t="n"/>
      <c r="AFM13" s="2" t="n"/>
      <c r="AFN13" s="2" t="n"/>
      <c r="AFO13" s="2" t="n"/>
      <c r="AFP13" s="2" t="n"/>
      <c r="AFQ13" s="2" t="n"/>
      <c r="AFR13" s="2" t="n"/>
      <c r="AFS13" s="2" t="n"/>
      <c r="AFT13" s="2" t="n"/>
      <c r="AFU13" s="2" t="n"/>
      <c r="AFV13" s="2" t="n"/>
      <c r="AFW13" s="2" t="n"/>
      <c r="AFX13" s="2" t="n"/>
      <c r="AFY13" s="2" t="n"/>
      <c r="AFZ13" s="2" t="n"/>
      <c r="AGA13" s="2" t="n"/>
      <c r="AGB13" s="2" t="n"/>
      <c r="AGC13" s="2" t="n"/>
      <c r="AGD13" s="2" t="n"/>
      <c r="AGE13" s="2" t="n"/>
      <c r="AGF13" s="2" t="n"/>
      <c r="AGG13" s="2" t="n"/>
      <c r="AGH13" s="2" t="n"/>
      <c r="AGI13" s="2" t="n"/>
      <c r="AGJ13" s="2" t="n"/>
      <c r="AGK13" s="2" t="n"/>
      <c r="AGL13" s="2" t="n"/>
      <c r="AGM13" s="2" t="n"/>
      <c r="AGN13" s="2" t="n"/>
      <c r="AGO13" s="2" t="n"/>
      <c r="AGP13" s="2" t="n"/>
      <c r="AGQ13" s="2" t="n"/>
      <c r="AGR13" s="2" t="n"/>
      <c r="AGS13" s="2" t="n"/>
      <c r="AGT13" s="2" t="n"/>
      <c r="AGU13" s="2" t="n"/>
      <c r="AGV13" s="2" t="n"/>
      <c r="AGW13" s="2" t="n"/>
      <c r="AGX13" s="2" t="n"/>
      <c r="AGY13" s="2" t="n"/>
      <c r="AGZ13" s="2" t="n"/>
      <c r="AHA13" s="2" t="n"/>
      <c r="AHB13" s="2" t="n"/>
      <c r="AHC13" s="2" t="n"/>
      <c r="AHD13" s="2" t="n"/>
      <c r="AHE13" s="2" t="n"/>
      <c r="AHF13" s="2" t="n"/>
      <c r="AHG13" s="2" t="n"/>
      <c r="AHH13" s="2" t="n"/>
      <c r="AHI13" s="2" t="n"/>
      <c r="AHJ13" s="2" t="n"/>
      <c r="AHK13" s="2" t="n"/>
      <c r="AHL13" s="2" t="n"/>
      <c r="AHM13" s="2" t="n"/>
      <c r="AHN13" s="2" t="n"/>
      <c r="AHO13" s="2" t="n"/>
      <c r="AHP13" s="2" t="n"/>
      <c r="AHQ13" s="2" t="n"/>
      <c r="AHR13" s="2" t="n"/>
      <c r="AHS13" s="2" t="n"/>
      <c r="AHT13" s="2" t="n"/>
      <c r="AHU13" s="2" t="n"/>
      <c r="AHV13" s="2" t="n"/>
      <c r="AHW13" s="2" t="n"/>
      <c r="AHX13" s="2" t="n"/>
      <c r="AHY13" s="2" t="n"/>
      <c r="AHZ13" s="2" t="n"/>
      <c r="AIA13" s="2" t="n"/>
      <c r="AIB13" s="2" t="n"/>
      <c r="AIC13" s="2" t="n"/>
      <c r="AID13" s="2" t="n"/>
      <c r="AIE13" s="2" t="n"/>
      <c r="AIF13" s="2" t="n"/>
      <c r="AIG13" s="2" t="n"/>
      <c r="AIH13" s="2" t="n"/>
      <c r="AII13" s="2" t="n"/>
      <c r="AIJ13" s="2" t="n"/>
      <c r="AIK13" s="2" t="n"/>
      <c r="AIL13" s="2" t="n"/>
      <c r="AIM13" s="2" t="n"/>
      <c r="AIN13" s="2" t="n"/>
      <c r="AIO13" s="2" t="n"/>
      <c r="AIP13" s="2" t="n"/>
      <c r="AIQ13" s="2" t="n"/>
      <c r="AIR13" s="2" t="n"/>
      <c r="AIS13" s="2" t="n"/>
      <c r="AIT13" s="2" t="n"/>
      <c r="AIU13" s="2" t="n"/>
      <c r="AIV13" s="2" t="n"/>
      <c r="AIW13" s="2" t="n"/>
      <c r="AIX13" s="2" t="n"/>
      <c r="AIY13" s="2" t="n"/>
      <c r="AIZ13" s="2" t="n"/>
      <c r="AJA13" s="2" t="n"/>
      <c r="AJB13" s="2" t="n"/>
      <c r="AJC13" s="2" t="n"/>
      <c r="AJD13" s="2" t="n"/>
      <c r="AJE13" s="2" t="n"/>
      <c r="AJF13" s="2" t="n"/>
      <c r="AJG13" s="2" t="n"/>
      <c r="AJH13" s="2" t="n"/>
      <c r="AJI13" s="2" t="n"/>
      <c r="AJJ13" s="2" t="n"/>
      <c r="AJK13" s="2" t="n"/>
      <c r="AJL13" s="2" t="n"/>
      <c r="AJM13" s="2" t="n"/>
      <c r="AJN13" s="2" t="n"/>
      <c r="AJO13" s="2" t="n"/>
      <c r="AJP13" s="2" t="n"/>
      <c r="AJQ13" s="2" t="n"/>
      <c r="AJR13" s="2" t="n"/>
      <c r="AJS13" s="2" t="n"/>
      <c r="AJT13" s="2" t="n"/>
      <c r="AJU13" s="2" t="n"/>
      <c r="AJV13" s="2" t="n"/>
      <c r="AJW13" s="2" t="n"/>
      <c r="AJX13" s="2" t="n"/>
      <c r="AJY13" s="2" t="n"/>
      <c r="AJZ13" s="2" t="n"/>
      <c r="AKA13" s="2" t="n"/>
      <c r="AKB13" s="2" t="n"/>
      <c r="AKC13" s="2" t="n"/>
      <c r="AKD13" s="2" t="n"/>
      <c r="AKE13" s="2" t="n"/>
      <c r="AKF13" s="2" t="n"/>
      <c r="AKG13" s="2" t="n"/>
      <c r="AKH13" s="2" t="n"/>
      <c r="AKI13" s="2" t="n"/>
      <c r="AKJ13" s="2" t="n"/>
      <c r="AKK13" s="2" t="n"/>
      <c r="AKL13" s="2" t="n"/>
      <c r="AKM13" s="2" t="n"/>
      <c r="AKN13" s="2" t="n"/>
      <c r="AKO13" s="2" t="n"/>
      <c r="AKP13" s="2" t="n"/>
      <c r="AKQ13" s="2" t="n"/>
      <c r="AKR13" s="2" t="n"/>
      <c r="AKS13" s="2" t="n"/>
      <c r="AKT13" s="2" t="n"/>
      <c r="AKU13" s="2" t="n"/>
      <c r="AKV13" s="2" t="n"/>
      <c r="AKW13" s="2" t="n"/>
      <c r="AKX13" s="2" t="n"/>
      <c r="AKY13" s="2" t="n"/>
      <c r="AKZ13" s="2" t="n"/>
      <c r="ALA13" s="2" t="n"/>
      <c r="ALB13" s="2" t="n"/>
      <c r="ALC13" s="2" t="n"/>
      <c r="ALD13" s="2" t="n"/>
      <c r="ALE13" s="2" t="n"/>
      <c r="ALF13" s="2" t="n"/>
      <c r="ALG13" s="2" t="n"/>
      <c r="ALH13" s="2" t="n"/>
      <c r="ALI13" s="2" t="n"/>
      <c r="ALJ13" s="2" t="n"/>
      <c r="ALK13" s="2" t="n"/>
      <c r="ALL13" s="2" t="n"/>
      <c r="ALM13" s="2" t="n"/>
      <c r="ALN13" s="2" t="n"/>
      <c r="ALO13" s="2" t="n"/>
      <c r="ALP13" s="2" t="n"/>
      <c r="ALQ13" s="2" t="n"/>
      <c r="ALR13" s="2" t="n"/>
      <c r="ALS13" s="2" t="n"/>
      <c r="ALT13" s="2" t="n"/>
      <c r="ALU13" s="2" t="n"/>
      <c r="ALV13" s="2" t="n"/>
      <c r="ALW13" s="2" t="n"/>
      <c r="ALX13" s="2" t="n"/>
      <c r="ALY13" s="2" t="n"/>
      <c r="ALZ13" s="2" t="n"/>
      <c r="AMA13" s="2" t="n"/>
      <c r="AMB13" s="2" t="n"/>
      <c r="AMC13" s="2" t="n"/>
      <c r="AMD13" s="2" t="n"/>
      <c r="AME13" s="2" t="n"/>
      <c r="AMF13" s="2" t="n"/>
      <c r="AMG13" s="2" t="n"/>
      <c r="AMH13" s="2" t="n"/>
      <c r="AMI13" s="2" t="n"/>
      <c r="AMJ13" s="2" t="n"/>
      <c r="AMK13" s="2" t="n"/>
      <c r="AML13" s="2" t="n"/>
      <c r="AMM13" s="2" t="n"/>
      <c r="AMN13" s="2" t="n"/>
      <c r="AMO13" s="2" t="n"/>
      <c r="AMP13" s="2" t="n"/>
      <c r="AMQ13" s="2" t="n"/>
      <c r="AMR13" s="2" t="n"/>
      <c r="AMS13" s="2" t="n"/>
      <c r="AMT13" s="2" t="n"/>
      <c r="AMU13" s="2" t="n"/>
      <c r="AMV13" s="2" t="n"/>
      <c r="AMW13" s="2" t="n"/>
      <c r="AMX13" s="2" t="n"/>
      <c r="AMY13" s="2" t="n"/>
      <c r="AMZ13" s="2" t="n"/>
      <c r="ANA13" s="2" t="n"/>
      <c r="ANB13" s="2" t="n"/>
      <c r="ANC13" s="2" t="n"/>
      <c r="AND13" s="2" t="n"/>
      <c r="ANE13" s="2" t="n"/>
      <c r="ANF13" s="2" t="n"/>
      <c r="ANG13" s="2" t="n"/>
      <c r="ANH13" s="2" t="n"/>
      <c r="ANI13" s="2" t="n"/>
      <c r="ANJ13" s="2" t="n"/>
      <c r="ANK13" s="2" t="n"/>
      <c r="ANL13" s="2" t="n"/>
      <c r="ANM13" s="2" t="n"/>
      <c r="ANN13" s="2" t="n"/>
      <c r="ANO13" s="2" t="n"/>
      <c r="ANP13" s="2" t="n"/>
      <c r="ANQ13" s="2" t="n"/>
      <c r="ANR13" s="2" t="n"/>
      <c r="ANS13" s="2" t="n"/>
      <c r="ANT13" s="2" t="n"/>
      <c r="ANU13" s="2" t="n"/>
      <c r="ANV13" s="2" t="n"/>
      <c r="ANW13" s="2" t="n"/>
      <c r="ANX13" s="2" t="n"/>
      <c r="ANY13" s="2" t="n"/>
      <c r="ANZ13" s="2" t="n"/>
      <c r="AOA13" s="2" t="n"/>
      <c r="AOB13" s="2" t="n"/>
      <c r="AOC13" s="2" t="n"/>
      <c r="AOD13" s="2" t="n"/>
      <c r="AOE13" s="2" t="n"/>
      <c r="AOF13" s="2" t="n"/>
      <c r="AOG13" s="2" t="n"/>
      <c r="AOH13" s="2" t="n"/>
      <c r="AOI13" s="2" t="n"/>
      <c r="AOJ13" s="2" t="n"/>
      <c r="AOK13" s="2" t="n"/>
      <c r="AOL13" s="2" t="n"/>
      <c r="AOM13" s="2" t="n"/>
      <c r="AON13" s="2" t="n"/>
      <c r="AOO13" s="2" t="n"/>
      <c r="AOP13" s="2" t="n"/>
      <c r="AOQ13" s="2" t="n"/>
      <c r="AOR13" s="2" t="n"/>
      <c r="AOS13" s="2" t="n"/>
      <c r="AOT13" s="2" t="n"/>
      <c r="AOU13" s="2" t="n"/>
      <c r="AOV13" s="2" t="n"/>
      <c r="AOW13" s="2" t="n"/>
      <c r="AOX13" s="2" t="n"/>
      <c r="AOY13" s="2" t="n"/>
      <c r="AOZ13" s="2" t="n"/>
      <c r="APA13" s="2" t="n"/>
      <c r="APB13" s="2" t="n"/>
      <c r="APC13" s="2" t="n"/>
      <c r="APD13" s="2" t="n"/>
      <c r="APE13" s="2" t="n"/>
      <c r="APF13" s="2" t="n"/>
      <c r="APG13" s="2" t="n"/>
      <c r="APH13" s="2" t="n"/>
      <c r="API13" s="2" t="n"/>
      <c r="APJ13" s="2" t="n"/>
      <c r="APK13" s="2" t="n"/>
      <c r="APL13" s="2" t="n"/>
      <c r="APM13" s="2" t="n"/>
      <c r="APN13" s="2" t="n"/>
      <c r="APO13" s="2" t="n"/>
      <c r="APP13" s="2" t="n"/>
      <c r="APQ13" s="2" t="n"/>
      <c r="APR13" s="2" t="n"/>
      <c r="APS13" s="2" t="n"/>
      <c r="APT13" s="2" t="n"/>
      <c r="APU13" s="2" t="n"/>
      <c r="APV13" s="2" t="n"/>
      <c r="APW13" s="2" t="n"/>
      <c r="APX13" s="2" t="n"/>
      <c r="APY13" s="2" t="n"/>
      <c r="APZ13" s="2" t="n"/>
      <c r="AQA13" s="2" t="n"/>
      <c r="AQB13" s="2" t="n"/>
      <c r="AQC13" s="2" t="n"/>
      <c r="AQD13" s="2" t="n"/>
      <c r="AQE13" s="2" t="n"/>
      <c r="AQF13" s="2" t="n"/>
      <c r="AQG13" s="2" t="n"/>
      <c r="AQH13" s="2" t="n"/>
      <c r="AQI13" s="2" t="n"/>
      <c r="AQJ13" s="2" t="n"/>
      <c r="AQK13" s="2" t="n"/>
      <c r="AQL13" s="2" t="n"/>
      <c r="AQM13" s="2" t="n"/>
      <c r="AQN13" s="2" t="n"/>
      <c r="AQO13" s="2" t="n"/>
      <c r="AQP13" s="2" t="n"/>
      <c r="AQQ13" s="2" t="n"/>
      <c r="AQR13" s="2" t="n"/>
      <c r="AQS13" s="2" t="n"/>
      <c r="AQT13" s="2" t="n"/>
      <c r="AQU13" s="2" t="n"/>
      <c r="AQV13" s="2" t="n"/>
      <c r="AQW13" s="2" t="n"/>
      <c r="AQX13" s="2" t="n"/>
      <c r="AQY13" s="2" t="n"/>
      <c r="AQZ13" s="2" t="n"/>
      <c r="ARA13" s="2" t="n"/>
      <c r="ARB13" s="2" t="n"/>
      <c r="ARC13" s="2" t="n"/>
      <c r="ARD13" s="2" t="n"/>
      <c r="ARE13" s="2" t="n"/>
      <c r="ARF13" s="2" t="n"/>
      <c r="ARG13" s="2" t="n"/>
      <c r="ARH13" s="2" t="n"/>
      <c r="ARI13" s="2" t="n"/>
      <c r="ARJ13" s="2" t="n"/>
      <c r="ARK13" s="2" t="n"/>
      <c r="ARL13" s="2" t="n"/>
      <c r="ARM13" s="2" t="n"/>
      <c r="ARN13" s="2" t="n"/>
      <c r="ARO13" s="2" t="n"/>
      <c r="ARP13" s="2" t="n"/>
      <c r="ARQ13" s="2" t="n"/>
      <c r="ARR13" s="2" t="n"/>
      <c r="ARS13" s="2" t="n"/>
      <c r="ART13" s="2" t="n"/>
      <c r="ARU13" s="2" t="n"/>
      <c r="ARV13" s="2" t="n"/>
      <c r="ARW13" s="2" t="n"/>
      <c r="ARX13" s="2" t="n"/>
      <c r="ARY13" s="2" t="n"/>
      <c r="ARZ13" s="2" t="n"/>
      <c r="ASA13" s="2" t="n"/>
      <c r="ASB13" s="2" t="n"/>
      <c r="ASC13" s="2" t="n"/>
      <c r="ASD13" s="2" t="n"/>
      <c r="ASE13" s="2" t="n"/>
      <c r="ASF13" s="2" t="n"/>
      <c r="ASG13" s="2" t="n"/>
      <c r="ASH13" s="2" t="n"/>
      <c r="ASI13" s="2" t="n"/>
      <c r="ASJ13" s="2" t="n"/>
      <c r="ASK13" s="2" t="n"/>
      <c r="ASL13" s="2" t="n"/>
      <c r="ASM13" s="2" t="n"/>
      <c r="ASN13" s="2" t="n"/>
      <c r="ASO13" s="2" t="n"/>
      <c r="ASP13" s="2" t="n"/>
      <c r="ASQ13" s="2" t="n"/>
      <c r="ASR13" s="2" t="n"/>
      <c r="ASS13" s="2" t="n"/>
      <c r="AST13" s="2" t="n"/>
      <c r="ASU13" s="2" t="n"/>
      <c r="ASV13" s="2" t="n"/>
      <c r="ASW13" s="2" t="n"/>
      <c r="ASX13" s="2" t="n"/>
      <c r="ASY13" s="2" t="n"/>
      <c r="ASZ13" s="2" t="n"/>
      <c r="ATA13" s="2" t="n"/>
      <c r="ATB13" s="2" t="n"/>
      <c r="ATC13" s="2" t="n"/>
      <c r="ATD13" s="2" t="n"/>
      <c r="ATE13" s="2" t="n"/>
      <c r="ATF13" s="2" t="n"/>
      <c r="ATG13" s="2" t="n"/>
      <c r="ATH13" s="2" t="n"/>
      <c r="ATI13" s="2" t="n"/>
      <c r="ATJ13" s="2" t="n"/>
      <c r="ATK13" s="2" t="n"/>
      <c r="ATL13" s="2" t="n"/>
      <c r="ATM13" s="2" t="n"/>
      <c r="ATN13" s="2" t="n"/>
      <c r="ATO13" s="2" t="n"/>
      <c r="ATP13" s="2" t="n"/>
      <c r="ATQ13" s="2" t="n"/>
      <c r="ATR13" s="2" t="n"/>
      <c r="ATS13" s="2" t="n"/>
      <c r="ATT13" s="2" t="n"/>
      <c r="ATU13" s="2" t="n"/>
      <c r="ATV13" s="2" t="n"/>
      <c r="ATW13" s="2" t="n"/>
      <c r="ATX13" s="2" t="n"/>
      <c r="ATY13" s="2" t="n"/>
      <c r="ATZ13" s="2" t="n"/>
      <c r="AUA13" s="2" t="n"/>
      <c r="AUB13" s="2" t="n"/>
      <c r="AUC13" s="2" t="n"/>
      <c r="AUD13" s="2" t="n"/>
      <c r="AUE13" s="2" t="n"/>
      <c r="AUF13" s="2" t="n"/>
      <c r="AUG13" s="2" t="n"/>
      <c r="AUH13" s="2" t="n"/>
      <c r="AUI13" s="2" t="n"/>
      <c r="AUJ13" s="2" t="n"/>
      <c r="AUK13" s="2" t="n"/>
      <c r="AUL13" s="2" t="n"/>
      <c r="AUM13" s="2" t="n"/>
      <c r="AUN13" s="2" t="n"/>
      <c r="AUO13" s="2" t="n"/>
      <c r="AUP13" s="2" t="n"/>
      <c r="AUQ13" s="2" t="n"/>
      <c r="AUR13" s="2" t="n"/>
      <c r="AUS13" s="2" t="n"/>
      <c r="AUT13" s="2" t="n"/>
      <c r="AUU13" s="2" t="n"/>
      <c r="AUV13" s="2" t="n"/>
      <c r="AUW13" s="2" t="n"/>
      <c r="AUX13" s="2" t="n"/>
      <c r="AUY13" s="2" t="n"/>
      <c r="AUZ13" s="2" t="n"/>
      <c r="AVA13" s="2" t="n"/>
      <c r="AVB13" s="2" t="n"/>
      <c r="AVC13" s="2" t="n"/>
      <c r="AVD13" s="2" t="n"/>
      <c r="AVE13" s="2" t="n"/>
      <c r="AVF13" s="2" t="n"/>
      <c r="AVG13" s="2" t="n"/>
      <c r="AVH13" s="2" t="n"/>
      <c r="AVI13" s="2" t="n"/>
      <c r="AVJ13" s="2" t="n"/>
      <c r="AVK13" s="2" t="n"/>
      <c r="AVL13" s="2" t="n"/>
      <c r="AVM13" s="2" t="n"/>
      <c r="AVN13" s="2" t="n"/>
      <c r="AVO13" s="2" t="n"/>
      <c r="AVP13" s="2" t="n"/>
      <c r="AVQ13" s="2" t="n"/>
      <c r="AVR13" s="2" t="n"/>
      <c r="AVS13" s="2" t="n"/>
      <c r="AVT13" s="2" t="n"/>
      <c r="AVU13" s="2" t="n"/>
      <c r="AVV13" s="2" t="n"/>
      <c r="AVW13" s="2" t="n"/>
      <c r="AVX13" s="2" t="n"/>
      <c r="AVY13" s="2" t="n"/>
      <c r="AVZ13" s="2" t="n"/>
      <c r="AWA13" s="2" t="n"/>
      <c r="AWB13" s="2" t="n"/>
      <c r="AWC13" s="2" t="n"/>
      <c r="AWD13" s="2" t="n"/>
      <c r="AWE13" s="2" t="n"/>
      <c r="AWF13" s="2" t="n"/>
      <c r="AWG13" s="2" t="n"/>
      <c r="AWH13" s="2" t="n"/>
      <c r="AWI13" s="2" t="n"/>
      <c r="AWJ13" s="2" t="n"/>
      <c r="AWK13" s="2" t="n"/>
      <c r="AWL13" s="2" t="n"/>
      <c r="AWM13" s="2" t="n"/>
      <c r="AWN13" s="2" t="n"/>
      <c r="AWO13" s="2" t="n"/>
      <c r="AWP13" s="2" t="n"/>
      <c r="AWQ13" s="2" t="n"/>
      <c r="AWR13" s="2" t="n"/>
      <c r="AWS13" s="2" t="n"/>
      <c r="AWT13" s="2" t="n"/>
      <c r="AWU13" s="2" t="n"/>
      <c r="AWV13" s="2" t="n"/>
      <c r="AWW13" s="2" t="n"/>
      <c r="AWX13" s="2" t="n"/>
      <c r="AWY13" s="2" t="n"/>
      <c r="AWZ13" s="2" t="n"/>
      <c r="AXA13" s="2" t="n"/>
      <c r="AXB13" s="2" t="n"/>
      <c r="AXC13" s="2" t="n"/>
      <c r="AXD13" s="2" t="n"/>
      <c r="AXE13" s="2" t="n"/>
      <c r="AXF13" s="2" t="n"/>
      <c r="AXG13" s="2" t="n"/>
      <c r="AXH13" s="2" t="n"/>
      <c r="AXI13" s="2" t="n"/>
      <c r="AXJ13" s="2" t="n"/>
      <c r="AXK13" s="2" t="n"/>
      <c r="AXL13" s="2" t="n"/>
      <c r="AXM13" s="2" t="n"/>
      <c r="AXN13" s="2" t="n"/>
      <c r="AXO13" s="2" t="n"/>
      <c r="AXP13" s="2" t="n"/>
      <c r="AXQ13" s="2" t="n"/>
      <c r="AXR13" s="2" t="n"/>
      <c r="AXS13" s="2" t="n"/>
      <c r="AXT13" s="2" t="n"/>
      <c r="AXU13" s="2" t="n"/>
      <c r="AXV13" s="2" t="n"/>
      <c r="AXW13" s="2" t="n"/>
      <c r="AXX13" s="2" t="n"/>
      <c r="AXY13" s="2" t="n"/>
      <c r="AXZ13" s="2" t="n"/>
      <c r="AYA13" s="2" t="n"/>
      <c r="AYB13" s="2" t="n"/>
      <c r="AYC13" s="2" t="n"/>
      <c r="AYD13" s="2" t="n"/>
      <c r="AYE13" s="2" t="n"/>
      <c r="AYF13" s="2" t="n"/>
      <c r="AYG13" s="2" t="n"/>
      <c r="AYH13" s="2" t="n"/>
      <c r="AYI13" s="2" t="n"/>
      <c r="AYJ13" s="2" t="n"/>
      <c r="AYK13" s="2" t="n"/>
      <c r="AYL13" s="2" t="n"/>
      <c r="AYM13" s="2" t="n"/>
      <c r="AYN13" s="2" t="n"/>
      <c r="AYO13" s="2" t="n"/>
      <c r="AYP13" s="2" t="n"/>
      <c r="AYQ13" s="2" t="n"/>
      <c r="AYR13" s="2" t="n"/>
      <c r="AYS13" s="2" t="n"/>
      <c r="AYT13" s="2" t="n"/>
      <c r="AYU13" s="2" t="n"/>
      <c r="AYV13" s="2" t="n"/>
      <c r="AYW13" s="2" t="n"/>
      <c r="AYX13" s="2" t="n"/>
      <c r="AYY13" s="2" t="n"/>
      <c r="AYZ13" s="2" t="n"/>
      <c r="AZA13" s="2" t="n"/>
      <c r="AZB13" s="2" t="n"/>
      <c r="AZC13" s="2" t="n"/>
      <c r="AZD13" s="2" t="n"/>
      <c r="AZE13" s="2" t="n"/>
      <c r="AZF13" s="2" t="n"/>
      <c r="AZG13" s="2" t="n"/>
      <c r="AZH13" s="2" t="n"/>
      <c r="AZI13" s="2" t="n"/>
      <c r="AZJ13" s="2" t="n"/>
      <c r="AZK13" s="2" t="n"/>
      <c r="AZL13" s="2" t="n"/>
      <c r="AZM13" s="2" t="n"/>
      <c r="AZN13" s="2" t="n"/>
      <c r="AZO13" s="2" t="n"/>
      <c r="AZP13" s="2" t="n"/>
      <c r="AZQ13" s="2" t="n"/>
      <c r="AZR13" s="2" t="n"/>
      <c r="AZS13" s="2" t="n"/>
      <c r="AZT13" s="2" t="n"/>
      <c r="AZU13" s="2" t="n"/>
      <c r="AZV13" s="2" t="n"/>
      <c r="AZW13" s="2" t="n"/>
      <c r="AZX13" s="2" t="n"/>
      <c r="AZY13" s="2" t="n"/>
      <c r="AZZ13" s="2" t="n"/>
      <c r="BAA13" s="2" t="n"/>
      <c r="BAB13" s="2" t="n"/>
      <c r="BAC13" s="2" t="n"/>
      <c r="BAD13" s="2" t="n"/>
      <c r="BAE13" s="2" t="n"/>
      <c r="BAF13" s="2" t="n"/>
      <c r="BAG13" s="2" t="n"/>
      <c r="BAH13" s="2" t="n"/>
      <c r="BAI13" s="2" t="n"/>
      <c r="BAJ13" s="2" t="n"/>
      <c r="BAK13" s="2" t="n"/>
      <c r="BAL13" s="2" t="n"/>
      <c r="BAM13" s="2" t="n"/>
      <c r="BAN13" s="2" t="n"/>
      <c r="BAO13" s="2" t="n"/>
      <c r="BAP13" s="2" t="n"/>
      <c r="BAQ13" s="2" t="n"/>
      <c r="BAR13" s="2" t="n"/>
      <c r="BAS13" s="2" t="n"/>
      <c r="BAT13" s="2" t="n"/>
      <c r="BAU13" s="2" t="n"/>
      <c r="BAV13" s="2" t="n"/>
      <c r="BAW13" s="2" t="n"/>
      <c r="BAX13" s="2" t="n"/>
      <c r="BAY13" s="2" t="n"/>
      <c r="BAZ13" s="2" t="n"/>
      <c r="BBA13" s="2" t="n"/>
      <c r="BBB13" s="2" t="n"/>
      <c r="BBC13" s="2" t="n"/>
      <c r="BBD13" s="2" t="n"/>
      <c r="BBE13" s="2" t="n"/>
      <c r="BBF13" s="2" t="n"/>
      <c r="BBG13" s="2" t="n"/>
      <c r="BBH13" s="2" t="n"/>
      <c r="BBI13" s="2" t="n"/>
      <c r="BBJ13" s="2" t="n"/>
      <c r="BBK13" s="2" t="n"/>
      <c r="BBL13" s="2" t="n"/>
      <c r="BBM13" s="2" t="n"/>
      <c r="BBN13" s="2" t="n"/>
      <c r="BBO13" s="2" t="n"/>
      <c r="BBP13" s="2" t="n"/>
      <c r="BBQ13" s="2" t="n"/>
      <c r="BBR13" s="2" t="n"/>
      <c r="BBS13" s="2" t="n"/>
      <c r="BBT13" s="2" t="n"/>
      <c r="BBU13" s="2" t="n"/>
      <c r="BBV13" s="2" t="n"/>
      <c r="BBW13" s="2" t="n"/>
      <c r="BBX13" s="2" t="n"/>
      <c r="BBY13" s="2" t="n"/>
      <c r="BBZ13" s="2" t="n"/>
      <c r="BCA13" s="2" t="n"/>
      <c r="BCB13" s="2" t="n"/>
      <c r="BCC13" s="2" t="n"/>
      <c r="BCD13" s="2" t="n"/>
      <c r="BCE13" s="2" t="n"/>
      <c r="BCF13" s="2" t="n"/>
      <c r="BCG13" s="2" t="n"/>
      <c r="BCH13" s="2" t="n"/>
      <c r="BCI13" s="2" t="n"/>
      <c r="BCJ13" s="2" t="n"/>
      <c r="BCK13" s="2" t="n"/>
      <c r="BCL13" s="2" t="n"/>
      <c r="BCM13" s="2" t="n"/>
      <c r="BCN13" s="2" t="n"/>
      <c r="BCO13" s="2" t="n"/>
      <c r="BCP13" s="2" t="n"/>
      <c r="BCQ13" s="2" t="n"/>
      <c r="BCR13" s="2" t="n"/>
      <c r="BCS13" s="2" t="n"/>
      <c r="BCT13" s="2" t="n"/>
      <c r="BCU13" s="2" t="n"/>
      <c r="BCV13" s="2" t="n"/>
      <c r="BCW13" s="2" t="n"/>
      <c r="BCX13" s="2" t="n"/>
      <c r="BCY13" s="2" t="n"/>
      <c r="BCZ13" s="2" t="n"/>
      <c r="BDA13" s="2" t="n"/>
      <c r="BDB13" s="2" t="n"/>
      <c r="BDC13" s="2" t="n"/>
      <c r="BDD13" s="2" t="n"/>
      <c r="BDE13" s="2" t="n"/>
      <c r="BDF13" s="2" t="n"/>
      <c r="BDG13" s="2" t="n"/>
      <c r="BDH13" s="2" t="n"/>
      <c r="BDI13" s="2" t="n"/>
      <c r="BDJ13" s="2" t="n"/>
      <c r="BDK13" s="2" t="n"/>
      <c r="BDL13" s="2" t="n"/>
      <c r="BDM13" s="2" t="n"/>
      <c r="BDN13" s="2" t="n"/>
      <c r="BDO13" s="2" t="n"/>
      <c r="BDP13" s="2" t="n"/>
      <c r="BDQ13" s="2" t="n"/>
      <c r="BDR13" s="2" t="n"/>
      <c r="BDS13" s="2" t="n"/>
      <c r="BDT13" s="2" t="n"/>
      <c r="BDU13" s="2" t="n"/>
      <c r="BDV13" s="2" t="n"/>
      <c r="BDW13" s="2" t="n"/>
      <c r="BDX13" s="2" t="n"/>
      <c r="BDY13" s="2" t="n"/>
      <c r="BDZ13" s="2" t="n"/>
      <c r="BEA13" s="2" t="n"/>
      <c r="BEB13" s="2" t="n"/>
      <c r="BEC13" s="2" t="n"/>
      <c r="BED13" s="2" t="n"/>
      <c r="BEE13" s="2" t="n"/>
      <c r="BEF13" s="2" t="n"/>
      <c r="BEG13" s="2" t="n"/>
      <c r="BEH13" s="2" t="n"/>
      <c r="BEI13" s="2" t="n"/>
      <c r="BEJ13" s="2" t="n"/>
      <c r="BEK13" s="2" t="n"/>
      <c r="BEL13" s="2" t="n"/>
      <c r="BEM13" s="2" t="n"/>
      <c r="BEN13" s="2" t="n"/>
      <c r="BEO13" s="2" t="n"/>
      <c r="BEP13" s="2" t="n"/>
      <c r="BEQ13" s="2" t="n"/>
      <c r="BER13" s="2" t="n"/>
      <c r="BES13" s="2" t="n"/>
      <c r="BET13" s="2" t="n"/>
      <c r="BEU13" s="2" t="n"/>
      <c r="BEV13" s="2" t="n"/>
      <c r="BEW13" s="2" t="n"/>
      <c r="BEX13" s="2" t="n"/>
      <c r="BEY13" s="2" t="n"/>
      <c r="BEZ13" s="2" t="n"/>
      <c r="BFA13" s="2" t="n"/>
      <c r="BFB13" s="2" t="n"/>
      <c r="BFC13" s="2" t="n"/>
      <c r="BFD13" s="2" t="n"/>
      <c r="BFE13" s="2" t="n"/>
      <c r="BFF13" s="2" t="n"/>
      <c r="BFG13" s="2" t="n"/>
      <c r="BFH13" s="2" t="n"/>
      <c r="BFI13" s="2" t="n"/>
      <c r="BFJ13" s="2" t="n"/>
      <c r="BFK13" s="2" t="n"/>
      <c r="BFL13" s="2" t="n"/>
      <c r="BFM13" s="2" t="n"/>
      <c r="BFN13" s="2" t="n"/>
      <c r="BFO13" s="2" t="n"/>
      <c r="BFP13" s="2" t="n"/>
      <c r="BFQ13" s="2" t="n"/>
      <c r="BFR13" s="2" t="n"/>
      <c r="BFS13" s="2" t="n"/>
      <c r="BFT13" s="2" t="n"/>
      <c r="BFU13" s="2" t="n"/>
      <c r="BFV13" s="2" t="n"/>
      <c r="BFW13" s="2" t="n"/>
      <c r="BFX13" s="2" t="n"/>
      <c r="BFY13" s="2" t="n"/>
      <c r="BFZ13" s="2" t="n"/>
      <c r="BGA13" s="2" t="n"/>
      <c r="BGB13" s="2" t="n"/>
      <c r="BGC13" s="2" t="n"/>
      <c r="BGD13" s="2" t="n"/>
      <c r="BGE13" s="2" t="n"/>
      <c r="BGF13" s="2" t="n"/>
      <c r="BGG13" s="2" t="n"/>
      <c r="BGH13" s="2" t="n"/>
      <c r="BGI13" s="2" t="n"/>
      <c r="BGJ13" s="2" t="n"/>
      <c r="BGK13" s="2" t="n"/>
      <c r="BGL13" s="2" t="n"/>
      <c r="BGM13" s="2" t="n"/>
      <c r="BGN13" s="2" t="n"/>
      <c r="BGO13" s="2" t="n"/>
      <c r="BGP13" s="2" t="n"/>
      <c r="BGQ13" s="2" t="n"/>
      <c r="BGR13" s="2" t="n"/>
      <c r="BGS13" s="2" t="n"/>
      <c r="BGT13" s="2" t="n"/>
      <c r="BGU13" s="2" t="n"/>
      <c r="BGV13" s="2" t="n"/>
      <c r="BGW13" s="2" t="n"/>
      <c r="BGX13" s="2" t="n"/>
      <c r="BGY13" s="2" t="n"/>
      <c r="BGZ13" s="2" t="n"/>
      <c r="BHA13" s="2" t="n"/>
      <c r="BHB13" s="2" t="n"/>
      <c r="BHC13" s="2" t="n"/>
      <c r="BHD13" s="2" t="n"/>
      <c r="BHE13" s="2" t="n"/>
      <c r="BHF13" s="2" t="n"/>
      <c r="BHG13" s="2" t="n"/>
      <c r="BHH13" s="2" t="n"/>
      <c r="BHI13" s="2" t="n"/>
      <c r="BHJ13" s="2" t="n"/>
      <c r="BHK13" s="2" t="n"/>
      <c r="BHL13" s="2" t="n"/>
      <c r="BHM13" s="2" t="n"/>
      <c r="BHN13" s="2" t="n"/>
      <c r="BHO13" s="2" t="n"/>
      <c r="BHP13" s="2" t="n"/>
      <c r="BHQ13" s="2" t="n"/>
      <c r="BHR13" s="2" t="n"/>
      <c r="BHS13" s="2" t="n"/>
      <c r="BHT13" s="2" t="n"/>
      <c r="BHU13" s="2" t="n"/>
      <c r="BHV13" s="2" t="n"/>
      <c r="BHW13" s="2" t="n"/>
      <c r="BHX13" s="2" t="n"/>
      <c r="BHY13" s="2" t="n"/>
      <c r="BHZ13" s="2" t="n"/>
      <c r="BIA13" s="2" t="n"/>
      <c r="BIB13" s="2" t="n"/>
      <c r="BIC13" s="2" t="n"/>
      <c r="BID13" s="2" t="n"/>
      <c r="BIE13" s="2" t="n"/>
      <c r="BIF13" s="2" t="n"/>
      <c r="BIG13" s="2" t="n"/>
      <c r="BIH13" s="2" t="n"/>
      <c r="BII13" s="2" t="n"/>
      <c r="BIJ13" s="2" t="n"/>
      <c r="BIK13" s="2" t="n"/>
      <c r="BIL13" s="2" t="n"/>
      <c r="BIM13" s="2" t="n"/>
      <c r="BIN13" s="2" t="n"/>
      <c r="BIO13" s="2" t="n"/>
      <c r="BIP13" s="2" t="n"/>
      <c r="BIQ13" s="2" t="n"/>
      <c r="BIR13" s="2" t="n"/>
      <c r="BIS13" s="2" t="n"/>
      <c r="BIT13" s="2" t="n"/>
      <c r="BIU13" s="2" t="n"/>
      <c r="BIV13" s="2" t="n"/>
      <c r="BIW13" s="2" t="n"/>
      <c r="BIX13" s="2" t="n"/>
      <c r="BIY13" s="2" t="n"/>
      <c r="BIZ13" s="2" t="n"/>
      <c r="BJA13" s="2" t="n"/>
      <c r="BJB13" s="2" t="n"/>
      <c r="BJC13" s="2" t="n"/>
      <c r="BJD13" s="2" t="n"/>
      <c r="BJE13" s="2" t="n"/>
      <c r="BJF13" s="2" t="n"/>
      <c r="BJG13" s="2" t="n"/>
      <c r="BJH13" s="2" t="n"/>
      <c r="BJI13" s="2" t="n"/>
      <c r="BJJ13" s="2" t="n"/>
      <c r="BJK13" s="2" t="n"/>
      <c r="BJL13" s="2" t="n"/>
      <c r="BJM13" s="2" t="n"/>
      <c r="BJN13" s="2" t="n"/>
      <c r="BJO13" s="2" t="n"/>
      <c r="BJP13" s="2" t="n"/>
      <c r="BJQ13" s="2" t="n"/>
      <c r="BJR13" s="2" t="n"/>
      <c r="BJS13" s="2" t="n"/>
      <c r="BJT13" s="2" t="n"/>
      <c r="BJU13" s="2" t="n"/>
      <c r="BJV13" s="2" t="n"/>
      <c r="BJW13" s="2" t="n"/>
      <c r="BJX13" s="2" t="n"/>
      <c r="BJY13" s="2" t="n"/>
      <c r="BJZ13" s="2" t="n"/>
      <c r="BKA13" s="2" t="n"/>
      <c r="BKB13" s="2" t="n"/>
      <c r="BKC13" s="2" t="n"/>
      <c r="BKD13" s="2" t="n"/>
      <c r="BKE13" s="2" t="n"/>
      <c r="BKF13" s="2" t="n"/>
      <c r="BKG13" s="2" t="n"/>
      <c r="BKH13" s="2" t="n"/>
      <c r="BKI13" s="2" t="n"/>
      <c r="BKJ13" s="2" t="n"/>
      <c r="BKK13" s="2" t="n"/>
      <c r="BKL13" s="2" t="n"/>
      <c r="BKM13" s="2" t="n"/>
      <c r="BKN13" s="2" t="n"/>
      <c r="BKO13" s="2" t="n"/>
      <c r="BKP13" s="2" t="n"/>
      <c r="BKQ13" s="2" t="n"/>
      <c r="BKR13" s="2" t="n"/>
      <c r="BKS13" s="2" t="n"/>
      <c r="BKT13" s="2" t="n"/>
      <c r="BKU13" s="2" t="n"/>
      <c r="BKV13" s="2" t="n"/>
      <c r="BKW13" s="2" t="n"/>
      <c r="BKX13" s="2" t="n"/>
      <c r="BKY13" s="2" t="n"/>
      <c r="BKZ13" s="2" t="n"/>
      <c r="BLA13" s="2" t="n"/>
      <c r="BLB13" s="2" t="n"/>
      <c r="BLC13" s="2" t="n"/>
      <c r="BLD13" s="2" t="n"/>
      <c r="BLE13" s="2" t="n"/>
      <c r="BLF13" s="2" t="n"/>
      <c r="BLG13" s="2" t="n"/>
      <c r="BLH13" s="2" t="n"/>
      <c r="BLI13" s="2" t="n"/>
      <c r="BLJ13" s="2" t="n"/>
      <c r="BLK13" s="2" t="n"/>
      <c r="BLL13" s="2" t="n"/>
      <c r="BLM13" s="2" t="n"/>
      <c r="BLN13" s="2" t="n"/>
      <c r="BLO13" s="2" t="n"/>
      <c r="BLP13" s="2" t="n"/>
      <c r="BLQ13" s="2" t="n"/>
      <c r="BLR13" s="2" t="n"/>
      <c r="BLS13" s="2" t="n"/>
      <c r="BLT13" s="2" t="n"/>
      <c r="BLU13" s="2" t="n"/>
      <c r="BLV13" s="2" t="n"/>
      <c r="BLW13" s="2" t="n"/>
      <c r="BLX13" s="2" t="n"/>
      <c r="BLY13" s="2" t="n"/>
      <c r="BLZ13" s="2" t="n"/>
      <c r="BMA13" s="2" t="n"/>
      <c r="BMB13" s="2" t="n"/>
      <c r="BMC13" s="2" t="n"/>
      <c r="BMD13" s="2" t="n"/>
      <c r="BME13" s="2" t="n"/>
      <c r="BMF13" s="2" t="n"/>
      <c r="BMG13" s="2" t="n"/>
      <c r="BMH13" s="2" t="n"/>
      <c r="BMI13" s="2" t="n"/>
      <c r="BMJ13" s="2" t="n"/>
      <c r="BMK13" s="2" t="n"/>
      <c r="BML13" s="2" t="n"/>
      <c r="BMM13" s="2" t="n"/>
      <c r="BMN13" s="2" t="n"/>
      <c r="BMO13" s="2" t="n"/>
      <c r="BMP13" s="2" t="n"/>
      <c r="BMQ13" s="2" t="n"/>
      <c r="BMR13" s="2" t="n"/>
      <c r="BMS13" s="2" t="n"/>
      <c r="BMT13" s="2" t="n"/>
      <c r="BMU13" s="2" t="n"/>
      <c r="BMV13" s="2" t="n"/>
      <c r="BMW13" s="2" t="n"/>
      <c r="BMX13" s="2" t="n"/>
      <c r="BMY13" s="2" t="n"/>
      <c r="BMZ13" s="2" t="n"/>
      <c r="BNA13" s="2" t="n"/>
      <c r="BNB13" s="2" t="n"/>
      <c r="BNC13" s="2" t="n"/>
      <c r="BND13" s="2" t="n"/>
      <c r="BNE13" s="2" t="n"/>
      <c r="BNF13" s="2" t="n"/>
      <c r="BNG13" s="2" t="n"/>
      <c r="BNH13" s="2" t="n"/>
      <c r="BNI13" s="2" t="n"/>
      <c r="BNJ13" s="2" t="n"/>
      <c r="BNK13" s="2" t="n"/>
      <c r="BNL13" s="2" t="n"/>
      <c r="BNM13" s="2" t="n"/>
      <c r="BNN13" s="2" t="n"/>
      <c r="BNO13" s="2" t="n"/>
      <c r="BNP13" s="2" t="n"/>
      <c r="BNQ13" s="2" t="n"/>
      <c r="BNR13" s="2" t="n"/>
      <c r="BNS13" s="2" t="n"/>
      <c r="BNT13" s="2" t="n"/>
      <c r="BNU13" s="2" t="n"/>
      <c r="BNV13" s="2" t="n"/>
      <c r="BNW13" s="2" t="n"/>
      <c r="BNX13" s="2" t="n"/>
      <c r="BNY13" s="2" t="n"/>
      <c r="BNZ13" s="2" t="n"/>
      <c r="BOA13" s="2" t="n"/>
      <c r="BOB13" s="2" t="n"/>
      <c r="BOC13" s="2" t="n"/>
      <c r="BOD13" s="2" t="n"/>
      <c r="BOE13" s="2" t="n"/>
      <c r="BOF13" s="2" t="n"/>
      <c r="BOG13" s="2" t="n"/>
      <c r="BOH13" s="2" t="n"/>
      <c r="BOI13" s="2" t="n"/>
      <c r="BOJ13" s="2" t="n"/>
      <c r="BOK13" s="2" t="n"/>
      <c r="BOL13" s="2" t="n"/>
      <c r="BOM13" s="2" t="n"/>
      <c r="BON13" s="2" t="n"/>
      <c r="BOO13" s="2" t="n"/>
      <c r="BOP13" s="2" t="n"/>
      <c r="BOQ13" s="2" t="n"/>
      <c r="BOR13" s="2" t="n"/>
      <c r="BOS13" s="2" t="n"/>
      <c r="BOT13" s="2" t="n"/>
      <c r="BOU13" s="2" t="n"/>
      <c r="BOV13" s="2" t="n"/>
      <c r="BOW13" s="2" t="n"/>
      <c r="BOX13" s="2" t="n"/>
      <c r="BOY13" s="2" t="n"/>
      <c r="BOZ13" s="2" t="n"/>
      <c r="BPA13" s="2" t="n"/>
      <c r="BPB13" s="2" t="n"/>
      <c r="BPC13" s="2" t="n"/>
      <c r="BPD13" s="2" t="n"/>
      <c r="BPE13" s="2" t="n"/>
      <c r="BPF13" s="2" t="n"/>
      <c r="BPG13" s="2" t="n"/>
      <c r="BPH13" s="2" t="n"/>
      <c r="BPI13" s="2" t="n"/>
      <c r="BPJ13" s="2" t="n"/>
      <c r="BPK13" s="2" t="n"/>
      <c r="BPL13" s="2" t="n"/>
      <c r="BPM13" s="2" t="n"/>
      <c r="BPN13" s="2" t="n"/>
      <c r="BPO13" s="2" t="n"/>
      <c r="BPP13" s="2" t="n"/>
      <c r="BPQ13" s="2" t="n"/>
      <c r="BPR13" s="2" t="n"/>
      <c r="BPS13" s="2" t="n"/>
      <c r="BPT13" s="2" t="n"/>
      <c r="BPU13" s="2" t="n"/>
      <c r="BPV13" s="2" t="n"/>
      <c r="BPW13" s="2" t="n"/>
      <c r="BPX13" s="2" t="n"/>
      <c r="BPY13" s="2" t="n"/>
      <c r="BPZ13" s="2" t="n"/>
      <c r="BQA13" s="2" t="n"/>
      <c r="BQB13" s="2" t="n"/>
      <c r="BQC13" s="2" t="n"/>
      <c r="BQD13" s="2" t="n"/>
      <c r="BQE13" s="2" t="n"/>
      <c r="BQF13" s="2" t="n"/>
      <c r="BQG13" s="2" t="n"/>
      <c r="BQH13" s="2" t="n"/>
      <c r="BQI13" s="2" t="n"/>
      <c r="BQJ13" s="2" t="n"/>
      <c r="BQK13" s="2" t="n"/>
      <c r="BQL13" s="2" t="n"/>
      <c r="BQM13" s="2" t="n"/>
      <c r="BQN13" s="2" t="n"/>
      <c r="BQO13" s="2" t="n"/>
      <c r="BQP13" s="2" t="n"/>
      <c r="BQQ13" s="2" t="n"/>
      <c r="BQR13" s="2" t="n"/>
      <c r="BQS13" s="2" t="n"/>
      <c r="BQT13" s="2" t="n"/>
      <c r="BQU13" s="2" t="n"/>
      <c r="BQV13" s="2" t="n"/>
      <c r="BQW13" s="2" t="n"/>
      <c r="BQX13" s="2" t="n"/>
      <c r="BQY13" s="2" t="n"/>
      <c r="BQZ13" s="2" t="n"/>
      <c r="BRA13" s="2" t="n"/>
      <c r="BRB13" s="2" t="n"/>
      <c r="BRC13" s="2" t="n"/>
      <c r="BRD13" s="2" t="n"/>
      <c r="BRE13" s="2" t="n"/>
      <c r="BRF13" s="2" t="n"/>
      <c r="BRG13" s="2" t="n"/>
      <c r="BRH13" s="2" t="n"/>
      <c r="BRI13" s="2" t="n"/>
      <c r="BRJ13" s="2" t="n"/>
      <c r="BRK13" s="2" t="n"/>
      <c r="BRL13" s="2" t="n"/>
      <c r="BRM13" s="2" t="n"/>
      <c r="BRN13" s="2" t="n"/>
      <c r="BRO13" s="2" t="n"/>
      <c r="BRP13" s="2" t="n"/>
      <c r="BRQ13" s="2" t="n"/>
      <c r="BRR13" s="2" t="n"/>
      <c r="BRS13" s="2" t="n"/>
      <c r="BRT13" s="2" t="n"/>
      <c r="BRU13" s="2" t="n"/>
      <c r="BRV13" s="2" t="n"/>
      <c r="BRW13" s="2" t="n"/>
      <c r="BRX13" s="2" t="n"/>
      <c r="BRY13" s="2" t="n"/>
      <c r="BRZ13" s="2" t="n"/>
      <c r="BSA13" s="2" t="n"/>
      <c r="BSB13" s="2" t="n"/>
      <c r="BSC13" s="2" t="n"/>
      <c r="BSD13" s="2" t="n"/>
      <c r="BSE13" s="2" t="n"/>
      <c r="BSF13" s="2" t="n"/>
      <c r="BSG13" s="2" t="n"/>
      <c r="BSH13" s="2" t="n"/>
      <c r="BSI13" s="2" t="n"/>
      <c r="BSJ13" s="2" t="n"/>
      <c r="BSK13" s="2" t="n"/>
      <c r="BSL13" s="2" t="n"/>
      <c r="BSM13" s="2" t="n"/>
      <c r="BSN13" s="2" t="n"/>
      <c r="BSO13" s="2" t="n"/>
      <c r="BSP13" s="2" t="n"/>
      <c r="BSQ13" s="2" t="n"/>
      <c r="BSR13" s="2" t="n"/>
      <c r="BSS13" s="2" t="n"/>
      <c r="BST13" s="2" t="n"/>
      <c r="BSU13" s="2" t="n"/>
      <c r="BSV13" s="2" t="n"/>
      <c r="BSW13" s="2" t="n"/>
      <c r="BSX13" s="2" t="n"/>
      <c r="BSY13" s="2" t="n"/>
      <c r="BSZ13" s="2" t="n"/>
      <c r="BTA13" s="2" t="n"/>
      <c r="BTB13" s="2" t="n"/>
      <c r="BTC13" s="2" t="n"/>
      <c r="BTD13" s="2" t="n"/>
      <c r="BTE13" s="2" t="n"/>
      <c r="BTF13" s="2" t="n"/>
      <c r="BTG13" s="2" t="n"/>
      <c r="BTH13" s="2" t="n"/>
      <c r="BTI13" s="2" t="n"/>
      <c r="BTJ13" s="2" t="n"/>
      <c r="BTK13" s="2" t="n"/>
      <c r="BTL13" s="2" t="n"/>
      <c r="BTM13" s="2" t="n"/>
      <c r="BTN13" s="2" t="n"/>
      <c r="BTO13" s="2" t="n"/>
      <c r="BTP13" s="2" t="n"/>
      <c r="BTQ13" s="2" t="n"/>
      <c r="BTR13" s="2" t="n"/>
      <c r="BTS13" s="2" t="n"/>
      <c r="BTT13" s="2" t="n"/>
      <c r="BTU13" s="2" t="n"/>
      <c r="BTV13" s="2" t="n"/>
      <c r="BTW13" s="2" t="n"/>
      <c r="BTX13" s="2" t="n"/>
      <c r="BTY13" s="2" t="n"/>
      <c r="BTZ13" s="2" t="n"/>
      <c r="BUA13" s="2" t="n"/>
      <c r="BUB13" s="2" t="n"/>
      <c r="BUC13" s="2" t="n"/>
      <c r="BUD13" s="2" t="n"/>
      <c r="BUE13" s="2" t="n"/>
      <c r="BUF13" s="2" t="n"/>
      <c r="BUG13" s="2" t="n"/>
      <c r="BUH13" s="2" t="n"/>
      <c r="BUI13" s="2" t="n"/>
      <c r="BUJ13" s="2" t="n"/>
      <c r="BUK13" s="2" t="n"/>
      <c r="BUL13" s="2" t="n"/>
      <c r="BUM13" s="2" t="n"/>
      <c r="BUN13" s="2" t="n"/>
      <c r="BUO13" s="2" t="n"/>
      <c r="BUP13" s="2" t="n"/>
      <c r="BUQ13" s="2" t="n"/>
      <c r="BUR13" s="2" t="n"/>
      <c r="BUS13" s="2" t="n"/>
      <c r="BUT13" s="2" t="n"/>
      <c r="BUU13" s="2" t="n"/>
      <c r="BUV13" s="2" t="n"/>
      <c r="BUW13" s="2" t="n"/>
      <c r="BUX13" s="2" t="n"/>
      <c r="BUY13" s="2" t="n"/>
      <c r="BUZ13" s="2" t="n"/>
      <c r="BVA13" s="2" t="n"/>
      <c r="BVB13" s="2" t="n"/>
      <c r="BVC13" s="2" t="n"/>
      <c r="BVD13" s="2" t="n"/>
      <c r="BVE13" s="2" t="n"/>
      <c r="BVF13" s="2" t="n"/>
      <c r="BVG13" s="2" t="n"/>
      <c r="BVH13" s="2" t="n"/>
      <c r="BVI13" s="2" t="n"/>
      <c r="BVJ13" s="2" t="n"/>
      <c r="BVK13" s="2" t="n"/>
      <c r="BVL13" s="2" t="n"/>
      <c r="BVM13" s="2" t="n"/>
      <c r="BVN13" s="2" t="n"/>
      <c r="BVO13" s="2" t="n"/>
      <c r="BVP13" s="2" t="n"/>
      <c r="BVQ13" s="2" t="n"/>
      <c r="BVR13" s="2" t="n"/>
      <c r="BVS13" s="2" t="n"/>
      <c r="BVT13" s="2" t="n"/>
      <c r="BVU13" s="2" t="n"/>
      <c r="BVV13" s="2" t="n"/>
      <c r="BVW13" s="2" t="n"/>
      <c r="BVX13" s="2" t="n"/>
      <c r="BVY13" s="2" t="n"/>
      <c r="BVZ13" s="2" t="n"/>
      <c r="BWA13" s="2" t="n"/>
      <c r="BWB13" s="2" t="n"/>
      <c r="BWC13" s="2" t="n"/>
      <c r="BWD13" s="2" t="n"/>
      <c r="BWE13" s="2" t="n"/>
      <c r="BWF13" s="2" t="n"/>
      <c r="BWG13" s="2" t="n"/>
      <c r="BWH13" s="2" t="n"/>
      <c r="BWI13" s="2" t="n"/>
      <c r="BWJ13" s="2" t="n"/>
      <c r="BWK13" s="2" t="n"/>
      <c r="BWL13" s="2" t="n"/>
      <c r="BWM13" s="2" t="n"/>
      <c r="BWN13" s="2" t="n"/>
      <c r="BWO13" s="2" t="n"/>
      <c r="BWP13" s="2" t="n"/>
      <c r="BWQ13" s="2" t="n"/>
      <c r="BWR13" s="2" t="n"/>
      <c r="BWS13" s="2" t="n"/>
      <c r="BWT13" s="2" t="n"/>
      <c r="BWU13" s="2" t="n"/>
      <c r="BWV13" s="2" t="n"/>
      <c r="BWW13" s="2" t="n"/>
      <c r="BWX13" s="2" t="n"/>
      <c r="BWY13" s="2" t="n"/>
      <c r="BWZ13" s="2" t="n"/>
      <c r="BXA13" s="2" t="n"/>
      <c r="BXB13" s="2" t="n"/>
      <c r="BXC13" s="2" t="n"/>
      <c r="BXD13" s="2" t="n"/>
      <c r="BXE13" s="2" t="n"/>
      <c r="BXF13" s="2" t="n"/>
      <c r="BXG13" s="2" t="n"/>
      <c r="BXH13" s="2" t="n"/>
      <c r="BXI13" s="2" t="n"/>
      <c r="BXJ13" s="2" t="n"/>
      <c r="BXK13" s="2" t="n"/>
      <c r="BXL13" s="2" t="n"/>
      <c r="BXM13" s="2" t="n"/>
      <c r="BXN13" s="2" t="n"/>
      <c r="BXO13" s="2" t="n"/>
      <c r="BXP13" s="2" t="n"/>
      <c r="BXQ13" s="2" t="n"/>
      <c r="BXR13" s="2" t="n"/>
      <c r="BXS13" s="2" t="n"/>
      <c r="BXT13" s="2" t="n"/>
      <c r="BXU13" s="2" t="n"/>
      <c r="BXV13" s="2" t="n"/>
      <c r="BXW13" s="2" t="n"/>
      <c r="BXX13" s="2" t="n"/>
      <c r="BXY13" s="2" t="n"/>
      <c r="BXZ13" s="2" t="n"/>
      <c r="BYA13" s="2" t="n"/>
      <c r="BYB13" s="2" t="n"/>
      <c r="BYC13" s="2" t="n"/>
      <c r="BYD13" s="2" t="n"/>
      <c r="BYE13" s="2" t="n"/>
      <c r="BYF13" s="2" t="n"/>
      <c r="BYG13" s="2" t="n"/>
      <c r="BYH13" s="2" t="n"/>
      <c r="BYI13" s="2" t="n"/>
      <c r="BYJ13" s="2" t="n"/>
      <c r="BYK13" s="2" t="n"/>
      <c r="BYL13" s="2" t="n"/>
      <c r="BYM13" s="2" t="n"/>
      <c r="BYN13" s="2" t="n"/>
      <c r="BYO13" s="2" t="n"/>
      <c r="BYP13" s="2" t="n"/>
      <c r="BYQ13" s="2" t="n"/>
      <c r="BYR13" s="2" t="n"/>
      <c r="BYS13" s="2" t="n"/>
      <c r="BYT13" s="2" t="n"/>
      <c r="BYU13" s="2" t="n"/>
      <c r="BYV13" s="2" t="n"/>
      <c r="BYW13" s="2" t="n"/>
      <c r="BYX13" s="2" t="n"/>
      <c r="BYY13" s="2" t="n"/>
      <c r="BYZ13" s="2" t="n"/>
      <c r="BZA13" s="2" t="n"/>
      <c r="BZB13" s="2" t="n"/>
      <c r="BZC13" s="2" t="n"/>
      <c r="BZD13" s="2" t="n"/>
      <c r="BZE13" s="2" t="n"/>
      <c r="BZF13" s="2" t="n"/>
      <c r="BZG13" s="2" t="n"/>
      <c r="BZH13" s="2" t="n"/>
      <c r="BZI13" s="2" t="n"/>
      <c r="BZJ13" s="2" t="n"/>
      <c r="BZK13" s="2" t="n"/>
      <c r="BZL13" s="2" t="n"/>
      <c r="BZM13" s="2" t="n"/>
      <c r="BZN13" s="2" t="n"/>
      <c r="BZO13" s="2" t="n"/>
      <c r="BZP13" s="2" t="n"/>
      <c r="BZQ13" s="2" t="n"/>
      <c r="BZR13" s="2" t="n"/>
      <c r="BZS13" s="2" t="n"/>
      <c r="BZT13" s="2" t="n"/>
      <c r="BZU13" s="2" t="n"/>
      <c r="BZV13" s="2" t="n"/>
      <c r="BZW13" s="2" t="n"/>
      <c r="BZX13" s="2" t="n"/>
      <c r="BZY13" s="2" t="n"/>
      <c r="BZZ13" s="2" t="n"/>
      <c r="CAA13" s="2" t="n"/>
      <c r="CAB13" s="2" t="n"/>
      <c r="CAC13" s="2" t="n"/>
      <c r="CAD13" s="2" t="n"/>
      <c r="CAE13" s="2" t="n"/>
      <c r="CAF13" s="2" t="n"/>
      <c r="CAG13" s="2" t="n"/>
      <c r="CAH13" s="2" t="n"/>
      <c r="CAI13" s="2" t="n"/>
      <c r="CAJ13" s="2" t="n"/>
      <c r="CAK13" s="2" t="n"/>
      <c r="CAL13" s="2" t="n"/>
      <c r="CAM13" s="2" t="n"/>
      <c r="CAN13" s="2" t="n"/>
      <c r="CAO13" s="2" t="n"/>
      <c r="CAP13" s="2" t="n"/>
      <c r="CAQ13" s="2" t="n"/>
      <c r="CAR13" s="2" t="n"/>
      <c r="CAS13" s="2" t="n"/>
      <c r="CAT13" s="2" t="n"/>
      <c r="CAU13" s="2" t="n"/>
      <c r="CAV13" s="2" t="n"/>
      <c r="CAW13" s="2" t="n"/>
      <c r="CAX13" s="2" t="n"/>
      <c r="CAY13" s="2" t="n"/>
      <c r="CAZ13" s="2" t="n"/>
      <c r="CBA13" s="2" t="n"/>
      <c r="CBB13" s="2" t="n"/>
      <c r="CBC13" s="2" t="n"/>
      <c r="CBD13" s="2" t="n"/>
      <c r="CBE13" s="2" t="n"/>
      <c r="CBF13" s="2" t="n"/>
      <c r="CBG13" s="2" t="n"/>
      <c r="CBH13" s="2" t="n"/>
      <c r="CBI13" s="2" t="n"/>
      <c r="CBJ13" s="2" t="n"/>
      <c r="CBK13" s="2" t="n"/>
      <c r="CBL13" s="2" t="n"/>
      <c r="CBM13" s="2" t="n"/>
      <c r="CBN13" s="2" t="n"/>
      <c r="CBO13" s="2" t="n"/>
      <c r="CBP13" s="2" t="n"/>
      <c r="CBQ13" s="2" t="n"/>
      <c r="CBR13" s="2" t="n"/>
      <c r="CBS13" s="2" t="n"/>
      <c r="CBT13" s="2" t="n"/>
      <c r="CBU13" s="2" t="n"/>
      <c r="CBV13" s="2" t="n"/>
      <c r="CBW13" s="2" t="n"/>
      <c r="CBX13" s="2" t="n"/>
      <c r="CBY13" s="2" t="n"/>
      <c r="CBZ13" s="2" t="n"/>
      <c r="CCA13" s="2" t="n"/>
      <c r="CCB13" s="2" t="n"/>
      <c r="CCC13" s="2" t="n"/>
      <c r="CCD13" s="2" t="n"/>
      <c r="CCE13" s="2" t="n"/>
      <c r="CCF13" s="2" t="n"/>
      <c r="CCG13" s="2" t="n"/>
      <c r="CCH13" s="2" t="n"/>
      <c r="CCI13" s="2" t="n"/>
      <c r="CCJ13" s="2" t="n"/>
      <c r="CCK13" s="2" t="n"/>
      <c r="CCL13" s="2" t="n"/>
      <c r="CCM13" s="2" t="n"/>
      <c r="CCN13" s="2" t="n"/>
      <c r="CCO13" s="2" t="n"/>
      <c r="CCP13" s="2" t="n"/>
      <c r="CCQ13" s="2" t="n"/>
      <c r="CCR13" s="2" t="n"/>
      <c r="CCS13" s="2" t="n"/>
      <c r="CCT13" s="2" t="n"/>
      <c r="CCU13" s="2" t="n"/>
      <c r="CCV13" s="2" t="n"/>
      <c r="CCW13" s="2" t="n"/>
      <c r="CCX13" s="2" t="n"/>
      <c r="CCY13" s="2" t="n"/>
      <c r="CCZ13" s="2" t="n"/>
      <c r="CDA13" s="2" t="n"/>
      <c r="CDB13" s="2" t="n"/>
      <c r="CDC13" s="2" t="n"/>
      <c r="CDD13" s="2" t="n"/>
      <c r="CDE13" s="2" t="n"/>
      <c r="CDF13" s="2" t="n"/>
      <c r="CDG13" s="2" t="n"/>
      <c r="CDH13" s="2" t="n"/>
      <c r="CDI13" s="2" t="n"/>
      <c r="CDJ13" s="2" t="n"/>
      <c r="CDK13" s="2" t="n"/>
      <c r="CDL13" s="2" t="n"/>
      <c r="CDM13" s="2" t="n"/>
      <c r="CDN13" s="2" t="n"/>
      <c r="CDO13" s="2" t="n"/>
      <c r="CDP13" s="2" t="n"/>
      <c r="CDQ13" s="2" t="n"/>
      <c r="CDR13" s="2" t="n"/>
      <c r="CDS13" s="2" t="n"/>
      <c r="CDT13" s="2" t="n"/>
      <c r="CDU13" s="2" t="n"/>
      <c r="CDV13" s="2" t="n"/>
      <c r="CDW13" s="2" t="n"/>
      <c r="CDX13" s="2" t="n"/>
      <c r="CDY13" s="2" t="n"/>
      <c r="CDZ13" s="2" t="n"/>
      <c r="CEA13" s="2" t="n"/>
      <c r="CEB13" s="2" t="n"/>
      <c r="CEC13" s="2" t="n"/>
      <c r="CED13" s="2" t="n"/>
      <c r="CEE13" s="2" t="n"/>
      <c r="CEF13" s="2" t="n"/>
      <c r="CEG13" s="2" t="n"/>
      <c r="CEH13" s="2" t="n"/>
      <c r="CEI13" s="2" t="n"/>
      <c r="CEJ13" s="2" t="n"/>
      <c r="CEK13" s="2" t="n"/>
      <c r="CEL13" s="2" t="n"/>
      <c r="CEM13" s="2" t="n"/>
      <c r="CEN13" s="2" t="n"/>
      <c r="CEO13" s="2" t="n"/>
      <c r="CEP13" s="2" t="n"/>
      <c r="CEQ13" s="2" t="n"/>
      <c r="CER13" s="2" t="n"/>
      <c r="CES13" s="2" t="n"/>
      <c r="CET13" s="2" t="n"/>
      <c r="CEU13" s="2" t="n"/>
      <c r="CEV13" s="2" t="n"/>
      <c r="CEW13" s="2" t="n"/>
      <c r="CEX13" s="2" t="n"/>
      <c r="CEY13" s="2" t="n"/>
      <c r="CEZ13" s="2" t="n"/>
      <c r="CFA13" s="2" t="n"/>
      <c r="CFB13" s="2" t="n"/>
      <c r="CFC13" s="2" t="n"/>
      <c r="CFD13" s="2" t="n"/>
      <c r="CFE13" s="2" t="n"/>
      <c r="CFF13" s="2" t="n"/>
      <c r="CFG13" s="2" t="n"/>
      <c r="CFH13" s="2" t="n"/>
      <c r="CFI13" s="2" t="n"/>
      <c r="CFJ13" s="2" t="n"/>
      <c r="CFK13" s="2" t="n"/>
      <c r="CFL13" s="2" t="n"/>
      <c r="CFM13" s="2" t="n"/>
      <c r="CFN13" s="2" t="n"/>
      <c r="CFO13" s="2" t="n"/>
      <c r="CFP13" s="2" t="n"/>
      <c r="CFQ13" s="2" t="n"/>
      <c r="CFR13" s="2" t="n"/>
      <c r="CFS13" s="2" t="n"/>
      <c r="CFT13" s="2" t="n"/>
      <c r="CFU13" s="2" t="n"/>
      <c r="CFV13" s="2" t="n"/>
      <c r="CFW13" s="2" t="n"/>
      <c r="CFX13" s="2" t="n"/>
      <c r="CFY13" s="2" t="n"/>
      <c r="CFZ13" s="2" t="n"/>
      <c r="CGA13" s="2" t="n"/>
      <c r="CGB13" s="2" t="n"/>
      <c r="CGC13" s="2" t="n"/>
      <c r="CGD13" s="2" t="n"/>
      <c r="CGE13" s="2" t="n"/>
      <c r="CGF13" s="2" t="n"/>
      <c r="CGG13" s="2" t="n"/>
      <c r="CGH13" s="2" t="n"/>
      <c r="CGI13" s="2" t="n"/>
      <c r="CGJ13" s="2" t="n"/>
      <c r="CGK13" s="2" t="n"/>
      <c r="CGL13" s="2" t="n"/>
      <c r="CGM13" s="2" t="n"/>
      <c r="CGN13" s="2" t="n"/>
      <c r="CGO13" s="2" t="n"/>
      <c r="CGP13" s="2" t="n"/>
      <c r="CGQ13" s="2" t="n"/>
      <c r="CGR13" s="2" t="n"/>
      <c r="CGS13" s="2" t="n"/>
      <c r="CGT13" s="2" t="n"/>
      <c r="CGU13" s="2" t="n"/>
      <c r="CGV13" s="2" t="n"/>
      <c r="CGW13" s="2" t="n"/>
      <c r="CGX13" s="2" t="n"/>
      <c r="CGY13" s="2" t="n"/>
      <c r="CGZ13" s="2" t="n"/>
      <c r="CHA13" s="2" t="n"/>
      <c r="CHB13" s="2" t="n"/>
      <c r="CHC13" s="2" t="n"/>
      <c r="CHD13" s="2" t="n"/>
      <c r="CHE13" s="2" t="n"/>
      <c r="CHF13" s="2" t="n"/>
      <c r="CHG13" s="2" t="n"/>
      <c r="CHH13" s="2" t="n"/>
      <c r="CHI13" s="2" t="n"/>
      <c r="CHJ13" s="2" t="n"/>
      <c r="CHK13" s="2" t="n"/>
      <c r="CHL13" s="2" t="n"/>
      <c r="CHM13" s="2" t="n"/>
      <c r="CHN13" s="2" t="n"/>
      <c r="CHO13" s="2" t="n"/>
      <c r="CHP13" s="2" t="n"/>
      <c r="CHQ13" s="2" t="n"/>
      <c r="CHR13" s="2" t="n"/>
      <c r="CHS13" s="2" t="n"/>
      <c r="CHT13" s="2" t="n"/>
      <c r="CHU13" s="2" t="n"/>
      <c r="CHV13" s="2" t="n"/>
      <c r="CHW13" s="2" t="n"/>
      <c r="CHX13" s="2" t="n"/>
      <c r="CHY13" s="2" t="n"/>
      <c r="CHZ13" s="2" t="n"/>
      <c r="CIA13" s="2" t="n"/>
      <c r="CIB13" s="2" t="n"/>
      <c r="CIC13" s="2" t="n"/>
      <c r="CID13" s="2" t="n"/>
      <c r="CIE13" s="2" t="n"/>
      <c r="CIF13" s="2" t="n"/>
      <c r="CIG13" s="2" t="n"/>
      <c r="CIH13" s="2" t="n"/>
      <c r="CII13" s="2" t="n"/>
      <c r="CIJ13" s="2" t="n"/>
      <c r="CIK13" s="2" t="n"/>
      <c r="CIL13" s="2" t="n"/>
      <c r="CIM13" s="2" t="n"/>
      <c r="CIN13" s="2" t="n"/>
      <c r="CIO13" s="2" t="n"/>
      <c r="CIP13" s="2" t="n"/>
      <c r="CIQ13" s="2" t="n"/>
      <c r="CIR13" s="2" t="n"/>
      <c r="CIS13" s="2" t="n"/>
      <c r="CIT13" s="2" t="n"/>
      <c r="CIU13" s="2" t="n"/>
      <c r="CIV13" s="2" t="n"/>
      <c r="CIW13" s="2" t="n"/>
      <c r="CIX13" s="2" t="n"/>
      <c r="CIY13" s="2" t="n"/>
      <c r="CIZ13" s="2" t="n"/>
      <c r="CJA13" s="2" t="n"/>
      <c r="CJB13" s="2" t="n"/>
      <c r="CJC13" s="2" t="n"/>
      <c r="CJD13" s="2" t="n"/>
      <c r="CJE13" s="2" t="n"/>
      <c r="CJF13" s="2" t="n"/>
      <c r="CJG13" s="2" t="n"/>
      <c r="CJH13" s="2" t="n"/>
      <c r="CJI13" s="2" t="n"/>
      <c r="CJJ13" s="2" t="n"/>
      <c r="CJK13" s="2" t="n"/>
      <c r="CJL13" s="2" t="n"/>
      <c r="CJM13" s="2" t="n"/>
      <c r="CJN13" s="2" t="n"/>
      <c r="CJO13" s="2" t="n"/>
      <c r="CJP13" s="2" t="n"/>
      <c r="CJQ13" s="2" t="n"/>
      <c r="CJR13" s="2" t="n"/>
      <c r="CJS13" s="2" t="n"/>
      <c r="CJT13" s="2" t="n"/>
      <c r="CJU13" s="2" t="n"/>
      <c r="CJV13" s="2" t="n"/>
      <c r="CJW13" s="2" t="n"/>
      <c r="CJX13" s="2" t="n"/>
      <c r="CJY13" s="2" t="n"/>
      <c r="CJZ13" s="2" t="n"/>
      <c r="CKA13" s="2" t="n"/>
      <c r="CKB13" s="2" t="n"/>
      <c r="CKC13" s="2" t="n"/>
      <c r="CKD13" s="2" t="n"/>
      <c r="CKE13" s="2" t="n"/>
      <c r="CKF13" s="2" t="n"/>
      <c r="CKG13" s="2" t="n"/>
      <c r="CKH13" s="2" t="n"/>
      <c r="CKI13" s="2" t="n"/>
      <c r="CKJ13" s="2" t="n"/>
      <c r="CKK13" s="2" t="n"/>
      <c r="CKL13" s="2" t="n"/>
      <c r="CKM13" s="2" t="n"/>
      <c r="CKN13" s="2" t="n"/>
      <c r="CKO13" s="2" t="n"/>
      <c r="CKP13" s="2" t="n"/>
      <c r="CKQ13" s="2" t="n"/>
      <c r="CKR13" s="2" t="n"/>
      <c r="CKS13" s="2" t="n"/>
      <c r="CKT13" s="2" t="n"/>
      <c r="CKU13" s="2" t="n"/>
      <c r="CKV13" s="2" t="n"/>
      <c r="CKW13" s="2" t="n"/>
      <c r="CKX13" s="2" t="n"/>
      <c r="CKY13" s="2" t="n"/>
      <c r="CKZ13" s="2" t="n"/>
      <c r="CLA13" s="2" t="n"/>
      <c r="CLB13" s="2" t="n"/>
      <c r="CLC13" s="2" t="n"/>
      <c r="CLD13" s="2" t="n"/>
      <c r="CLE13" s="2" t="n"/>
      <c r="CLF13" s="2" t="n"/>
      <c r="CLG13" s="2" t="n"/>
      <c r="CLH13" s="2" t="n"/>
      <c r="CLI13" s="2" t="n"/>
      <c r="CLJ13" s="2" t="n"/>
      <c r="CLK13" s="2" t="n"/>
      <c r="CLL13" s="2" t="n"/>
      <c r="CLM13" s="2" t="n"/>
      <c r="CLN13" s="2" t="n"/>
      <c r="CLO13" s="2" t="n"/>
      <c r="CLP13" s="2" t="n"/>
      <c r="CLQ13" s="2" t="n"/>
      <c r="CLR13" s="2" t="n"/>
      <c r="CLS13" s="2" t="n"/>
      <c r="CLT13" s="2" t="n"/>
      <c r="CLU13" s="2" t="n"/>
      <c r="CLV13" s="2" t="n"/>
      <c r="CLW13" s="2" t="n"/>
      <c r="CLX13" s="2" t="n"/>
      <c r="CLY13" s="2" t="n"/>
      <c r="CLZ13" s="2" t="n"/>
      <c r="CMA13" s="2" t="n"/>
      <c r="CMB13" s="2" t="n"/>
      <c r="CMC13" s="2" t="n"/>
      <c r="CMD13" s="2" t="n"/>
      <c r="CME13" s="2" t="n"/>
      <c r="CMF13" s="2" t="n"/>
      <c r="CMG13" s="2" t="n"/>
      <c r="CMH13" s="2" t="n"/>
      <c r="CMI13" s="2" t="n"/>
      <c r="CMJ13" s="2" t="n"/>
      <c r="CMK13" s="2" t="n"/>
      <c r="CML13" s="2" t="n"/>
      <c r="CMM13" s="2" t="n"/>
      <c r="CMN13" s="2" t="n"/>
      <c r="CMO13" s="2" t="n"/>
      <c r="CMP13" s="2" t="n"/>
      <c r="CMQ13" s="2" t="n"/>
      <c r="CMR13" s="2" t="n"/>
      <c r="CMS13" s="2" t="n"/>
      <c r="CMT13" s="2" t="n"/>
      <c r="CMU13" s="2" t="n"/>
      <c r="CMV13" s="2" t="n"/>
      <c r="CMW13" s="2" t="n"/>
      <c r="CMX13" s="2" t="n"/>
      <c r="CMY13" s="2" t="n"/>
      <c r="CMZ13" s="2" t="n"/>
      <c r="CNA13" s="2" t="n"/>
      <c r="CNB13" s="2" t="n"/>
      <c r="CNC13" s="2" t="n"/>
      <c r="CND13" s="2" t="n"/>
      <c r="CNE13" s="2" t="n"/>
      <c r="CNF13" s="2" t="n"/>
      <c r="CNG13" s="2" t="n"/>
      <c r="CNH13" s="2" t="n"/>
      <c r="CNI13" s="2" t="n"/>
      <c r="CNJ13" s="2" t="n"/>
      <c r="CNK13" s="2" t="n"/>
      <c r="CNL13" s="2" t="n"/>
      <c r="CNM13" s="2" t="n"/>
      <c r="CNN13" s="2" t="n"/>
      <c r="CNO13" s="2" t="n"/>
      <c r="CNP13" s="2" t="n"/>
      <c r="CNQ13" s="2" t="n"/>
      <c r="CNR13" s="2" t="n"/>
      <c r="CNS13" s="2" t="n"/>
      <c r="CNT13" s="2" t="n"/>
      <c r="CNU13" s="2" t="n"/>
      <c r="CNV13" s="2" t="n"/>
      <c r="CNW13" s="2" t="n"/>
      <c r="CNX13" s="2" t="n"/>
      <c r="CNY13" s="2" t="n"/>
      <c r="CNZ13" s="2" t="n"/>
      <c r="COA13" s="2" t="n"/>
      <c r="COB13" s="2" t="n"/>
      <c r="COC13" s="2" t="n"/>
      <c r="COD13" s="2" t="n"/>
      <c r="COE13" s="2" t="n"/>
      <c r="COF13" s="2" t="n"/>
      <c r="COG13" s="2" t="n"/>
      <c r="COH13" s="2" t="n"/>
      <c r="COI13" s="2" t="n"/>
      <c r="COJ13" s="2" t="n"/>
      <c r="COK13" s="2" t="n"/>
      <c r="COL13" s="2" t="n"/>
      <c r="COM13" s="2" t="n"/>
      <c r="CON13" s="2" t="n"/>
      <c r="COO13" s="2" t="n"/>
      <c r="COP13" s="2" t="n"/>
      <c r="COQ13" s="2" t="n"/>
      <c r="COR13" s="2" t="n"/>
      <c r="COS13" s="2" t="n"/>
      <c r="COT13" s="2" t="n"/>
      <c r="COU13" s="2" t="n"/>
      <c r="COV13" s="2" t="n"/>
      <c r="COW13" s="2" t="n"/>
      <c r="COX13" s="2" t="n"/>
      <c r="COY13" s="2" t="n"/>
      <c r="COZ13" s="2" t="n"/>
      <c r="CPA13" s="2" t="n"/>
      <c r="CPB13" s="2" t="n"/>
      <c r="CPC13" s="2" t="n"/>
      <c r="CPD13" s="2" t="n"/>
      <c r="CPE13" s="2" t="n"/>
      <c r="CPF13" s="2" t="n"/>
      <c r="CPG13" s="2" t="n"/>
      <c r="CPH13" s="2" t="n"/>
      <c r="CPI13" s="2" t="n"/>
      <c r="CPJ13" s="2" t="n"/>
      <c r="CPK13" s="2" t="n"/>
      <c r="CPL13" s="2" t="n"/>
      <c r="CPM13" s="2" t="n"/>
      <c r="CPN13" s="2" t="n"/>
      <c r="CPO13" s="2" t="n"/>
      <c r="CPP13" s="2" t="n"/>
      <c r="CPQ13" s="2" t="n"/>
      <c r="CPR13" s="2" t="n"/>
      <c r="CPS13" s="2" t="n"/>
      <c r="CPT13" s="2" t="n"/>
      <c r="CPU13" s="2" t="n"/>
      <c r="CPV13" s="2" t="n"/>
      <c r="CPW13" s="2" t="n"/>
      <c r="CPX13" s="2" t="n"/>
      <c r="CPY13" s="2" t="n"/>
      <c r="CPZ13" s="2" t="n"/>
      <c r="CQA13" s="2" t="n"/>
      <c r="CQB13" s="2" t="n"/>
      <c r="CQC13" s="2" t="n"/>
      <c r="CQD13" s="2" t="n"/>
      <c r="CQE13" s="2" t="n"/>
      <c r="CQF13" s="2" t="n"/>
      <c r="CQG13" s="2" t="n"/>
      <c r="CQH13" s="2" t="n"/>
      <c r="CQI13" s="2" t="n"/>
      <c r="CQJ13" s="2" t="n"/>
      <c r="CQK13" s="2" t="n"/>
      <c r="CQL13" s="2" t="n"/>
      <c r="CQM13" s="2" t="n"/>
      <c r="CQN13" s="2" t="n"/>
      <c r="CQO13" s="2" t="n"/>
      <c r="CQP13" s="2" t="n"/>
      <c r="CQQ13" s="2" t="n"/>
      <c r="CQR13" s="2" t="n"/>
      <c r="CQS13" s="2" t="n"/>
      <c r="CQT13" s="2" t="n"/>
      <c r="CQU13" s="2" t="n"/>
      <c r="CQV13" s="2" t="n"/>
      <c r="CQW13" s="2" t="n"/>
      <c r="CQX13" s="2" t="n"/>
      <c r="CQY13" s="2" t="n"/>
      <c r="CQZ13" s="2" t="n"/>
      <c r="CRA13" s="2" t="n"/>
      <c r="CRB13" s="2" t="n"/>
      <c r="CRC13" s="2" t="n"/>
      <c r="CRD13" s="2" t="n"/>
      <c r="CRE13" s="2" t="n"/>
      <c r="CRF13" s="2" t="n"/>
      <c r="CRG13" s="2" t="n"/>
      <c r="CRH13" s="2" t="n"/>
      <c r="CRI13" s="2" t="n"/>
      <c r="CRJ13" s="2" t="n"/>
      <c r="CRK13" s="2" t="n"/>
      <c r="CRL13" s="2" t="n"/>
      <c r="CRM13" s="2" t="n"/>
      <c r="CRN13" s="2" t="n"/>
      <c r="CRO13" s="2" t="n"/>
      <c r="CRP13" s="2" t="n"/>
      <c r="CRQ13" s="2" t="n"/>
      <c r="CRR13" s="2" t="n"/>
      <c r="CRS13" s="2" t="n"/>
      <c r="CRT13" s="2" t="n"/>
      <c r="CRU13" s="2" t="n"/>
      <c r="CRV13" s="2" t="n"/>
      <c r="CRW13" s="2" t="n"/>
      <c r="CRX13" s="2" t="n"/>
      <c r="CRY13" s="2" t="n"/>
      <c r="CRZ13" s="2" t="n"/>
      <c r="CSA13" s="2" t="n"/>
      <c r="CSB13" s="2" t="n"/>
      <c r="CSC13" s="2" t="n"/>
      <c r="CSD13" s="2" t="n"/>
      <c r="CSE13" s="2" t="n"/>
      <c r="CSF13" s="2" t="n"/>
      <c r="CSG13" s="2" t="n"/>
      <c r="CSH13" s="2" t="n"/>
      <c r="CSI13" s="2" t="n"/>
      <c r="CSJ13" s="2" t="n"/>
      <c r="CSK13" s="2" t="n"/>
      <c r="CSL13" s="2" t="n"/>
      <c r="CSM13" s="2" t="n"/>
      <c r="CSN13" s="2" t="n"/>
      <c r="CSO13" s="2" t="n"/>
      <c r="CSP13" s="2" t="n"/>
      <c r="CSQ13" s="2" t="n"/>
      <c r="CSR13" s="2" t="n"/>
      <c r="CSS13" s="2" t="n"/>
      <c r="CST13" s="2" t="n"/>
      <c r="CSU13" s="2" t="n"/>
      <c r="CSV13" s="2" t="n"/>
      <c r="CSW13" s="2" t="n"/>
      <c r="CSX13" s="2" t="n"/>
      <c r="CSY13" s="2" t="n"/>
      <c r="CSZ13" s="2" t="n"/>
      <c r="CTA13" s="2" t="n"/>
      <c r="CTB13" s="2" t="n"/>
      <c r="CTC13" s="2" t="n"/>
      <c r="CTD13" s="2" t="n"/>
      <c r="CTE13" s="2" t="n"/>
      <c r="CTF13" s="2" t="n"/>
      <c r="CTG13" s="2" t="n"/>
      <c r="CTH13" s="2" t="n"/>
      <c r="CTI13" s="2" t="n"/>
      <c r="CTJ13" s="2" t="n"/>
      <c r="CTK13" s="2" t="n"/>
      <c r="CTL13" s="2" t="n"/>
      <c r="CTM13" s="2" t="n"/>
      <c r="CTN13" s="2" t="n"/>
      <c r="CTO13" s="2" t="n"/>
      <c r="CTP13" s="2" t="n"/>
      <c r="CTQ13" s="2" t="n"/>
      <c r="CTR13" s="2" t="n"/>
      <c r="CTS13" s="2" t="n"/>
      <c r="CTT13" s="2" t="n"/>
      <c r="CTU13" s="2" t="n"/>
      <c r="CTV13" s="2" t="n"/>
      <c r="CTW13" s="2" t="n"/>
      <c r="CTX13" s="2" t="n"/>
      <c r="CTY13" s="2" t="n"/>
      <c r="CTZ13" s="2" t="n"/>
      <c r="CUA13" s="2" t="n"/>
      <c r="CUB13" s="2" t="n"/>
      <c r="CUC13" s="2" t="n"/>
      <c r="CUD13" s="2" t="n"/>
      <c r="CUE13" s="2" t="n"/>
      <c r="CUF13" s="2" t="n"/>
      <c r="CUG13" s="2" t="n"/>
      <c r="CUH13" s="2" t="n"/>
      <c r="CUI13" s="2" t="n"/>
      <c r="CUJ13" s="2" t="n"/>
      <c r="CUK13" s="2" t="n"/>
      <c r="CUL13" s="2" t="n"/>
      <c r="CUM13" s="2" t="n"/>
      <c r="CUN13" s="2" t="n"/>
      <c r="CUO13" s="2" t="n"/>
      <c r="CUP13" s="2" t="n"/>
      <c r="CUQ13" s="2" t="n"/>
      <c r="CUR13" s="2" t="n"/>
      <c r="CUS13" s="2" t="n"/>
      <c r="CUT13" s="2" t="n"/>
      <c r="CUU13" s="2" t="n"/>
      <c r="CUV13" s="2" t="n"/>
      <c r="CUW13" s="2" t="n"/>
      <c r="CUX13" s="2" t="n"/>
      <c r="CUY13" s="2" t="n"/>
      <c r="CUZ13" s="2" t="n"/>
      <c r="CVA13" s="2" t="n"/>
      <c r="CVB13" s="2" t="n"/>
      <c r="CVC13" s="2" t="n"/>
      <c r="CVD13" s="2" t="n"/>
      <c r="CVE13" s="2" t="n"/>
      <c r="CVF13" s="2" t="n"/>
      <c r="CVG13" s="2" t="n"/>
      <c r="CVH13" s="2" t="n"/>
      <c r="CVI13" s="2" t="n"/>
      <c r="CVJ13" s="2" t="n"/>
      <c r="CVK13" s="2" t="n"/>
      <c r="CVL13" s="2" t="n"/>
      <c r="CVM13" s="2" t="n"/>
      <c r="CVN13" s="2" t="n"/>
      <c r="CVO13" s="2" t="n"/>
      <c r="CVP13" s="2" t="n"/>
      <c r="CVQ13" s="2" t="n"/>
      <c r="CVR13" s="2" t="n"/>
      <c r="CVS13" s="2" t="n"/>
      <c r="CVT13" s="2" t="n"/>
      <c r="CVU13" s="2" t="n"/>
      <c r="CVV13" s="2" t="n"/>
      <c r="CVW13" s="2" t="n"/>
      <c r="CVX13" s="2" t="n"/>
      <c r="CVY13" s="2" t="n"/>
      <c r="CVZ13" s="2" t="n"/>
      <c r="CWA13" s="2" t="n"/>
      <c r="CWB13" s="2" t="n"/>
      <c r="CWC13" s="2" t="n"/>
      <c r="CWD13" s="2" t="n"/>
      <c r="CWE13" s="2" t="n"/>
      <c r="CWF13" s="2" t="n"/>
      <c r="CWG13" s="2" t="n"/>
      <c r="CWH13" s="2" t="n"/>
      <c r="CWI13" s="2" t="n"/>
      <c r="CWJ13" s="2" t="n"/>
      <c r="CWK13" s="2" t="n"/>
      <c r="CWL13" s="2" t="n"/>
      <c r="CWM13" s="2" t="n"/>
      <c r="CWN13" s="2" t="n"/>
      <c r="CWO13" s="2" t="n"/>
      <c r="CWP13" s="2" t="n"/>
      <c r="CWQ13" s="2" t="n"/>
      <c r="CWR13" s="2" t="n"/>
      <c r="CWS13" s="2" t="n"/>
      <c r="CWT13" s="2" t="n"/>
      <c r="CWU13" s="2" t="n"/>
      <c r="CWV13" s="2" t="n"/>
      <c r="CWW13" s="2" t="n"/>
      <c r="CWX13" s="2" t="n"/>
      <c r="CWY13" s="2" t="n"/>
      <c r="CWZ13" s="2" t="n"/>
      <c r="CXA13" s="2" t="n"/>
      <c r="CXB13" s="2" t="n"/>
      <c r="CXC13" s="2" t="n"/>
      <c r="CXD13" s="2" t="n"/>
      <c r="CXE13" s="2" t="n"/>
      <c r="CXF13" s="2" t="n"/>
      <c r="CXG13" s="2" t="n"/>
      <c r="CXH13" s="2" t="n"/>
      <c r="CXI13" s="2" t="n"/>
      <c r="CXJ13" s="2" t="n"/>
      <c r="CXK13" s="2" t="n"/>
      <c r="CXL13" s="2" t="n"/>
      <c r="CXM13" s="2" t="n"/>
      <c r="CXN13" s="2" t="n"/>
      <c r="CXO13" s="2" t="n"/>
      <c r="CXP13" s="2" t="n"/>
      <c r="CXQ13" s="2" t="n"/>
      <c r="CXR13" s="2" t="n"/>
      <c r="CXS13" s="2" t="n"/>
      <c r="CXT13" s="2" t="n"/>
      <c r="CXU13" s="2" t="n"/>
      <c r="CXV13" s="2" t="n"/>
      <c r="CXW13" s="2" t="n"/>
      <c r="CXX13" s="2" t="n"/>
      <c r="CXY13" s="2" t="n"/>
      <c r="CXZ13" s="2" t="n"/>
      <c r="CYA13" s="2" t="n"/>
      <c r="CYB13" s="2" t="n"/>
      <c r="CYC13" s="2" t="n"/>
      <c r="CYD13" s="2" t="n"/>
      <c r="CYE13" s="2" t="n"/>
      <c r="CYF13" s="2" t="n"/>
      <c r="CYG13" s="2" t="n"/>
      <c r="CYH13" s="2" t="n"/>
      <c r="CYI13" s="2" t="n"/>
      <c r="CYJ13" s="2" t="n"/>
      <c r="CYK13" s="2" t="n"/>
      <c r="CYL13" s="2" t="n"/>
      <c r="CYM13" s="2" t="n"/>
      <c r="CYN13" s="2" t="n"/>
      <c r="CYO13" s="2" t="n"/>
      <c r="CYP13" s="2" t="n"/>
      <c r="CYQ13" s="2" t="n"/>
      <c r="CYR13" s="2" t="n"/>
      <c r="CYS13" s="2" t="n"/>
      <c r="CYT13" s="2" t="n"/>
      <c r="CYU13" s="2" t="n"/>
      <c r="CYV13" s="2" t="n"/>
      <c r="CYW13" s="2" t="n"/>
      <c r="CYX13" s="2" t="n"/>
      <c r="CYY13" s="2" t="n"/>
      <c r="CYZ13" s="2" t="n"/>
      <c r="CZA13" s="2" t="n"/>
      <c r="CZB13" s="2" t="n"/>
      <c r="CZC13" s="2" t="n"/>
      <c r="CZD13" s="2" t="n"/>
      <c r="CZE13" s="2" t="n"/>
      <c r="CZF13" s="2" t="n"/>
      <c r="CZG13" s="2" t="n"/>
      <c r="CZH13" s="2" t="n"/>
      <c r="CZI13" s="2" t="n"/>
      <c r="CZJ13" s="2" t="n"/>
      <c r="CZK13" s="2" t="n"/>
      <c r="CZL13" s="2" t="n"/>
      <c r="CZM13" s="2" t="n"/>
      <c r="CZN13" s="2" t="n"/>
      <c r="CZO13" s="2" t="n"/>
      <c r="CZP13" s="2" t="n"/>
      <c r="CZQ13" s="2" t="n"/>
      <c r="CZR13" s="2" t="n"/>
      <c r="CZS13" s="2" t="n"/>
      <c r="CZT13" s="2" t="n"/>
      <c r="CZU13" s="2" t="n"/>
      <c r="CZV13" s="2" t="n"/>
      <c r="CZW13" s="2" t="n"/>
      <c r="CZX13" s="2" t="n"/>
      <c r="CZY13" s="2" t="n"/>
      <c r="CZZ13" s="2" t="n"/>
      <c r="DAA13" s="2" t="n"/>
      <c r="DAB13" s="2" t="n"/>
      <c r="DAC13" s="2" t="n"/>
      <c r="DAD13" s="2" t="n"/>
      <c r="DAE13" s="2" t="n"/>
      <c r="DAF13" s="2" t="n"/>
      <c r="DAG13" s="2" t="n"/>
      <c r="DAH13" s="2" t="n"/>
      <c r="DAI13" s="2" t="n"/>
      <c r="DAJ13" s="2" t="n"/>
      <c r="DAK13" s="2" t="n"/>
      <c r="DAL13" s="2" t="n"/>
      <c r="DAM13" s="2" t="n"/>
      <c r="DAN13" s="2" t="n"/>
      <c r="DAO13" s="2" t="n"/>
      <c r="DAP13" s="2" t="n"/>
      <c r="DAQ13" s="2" t="n"/>
      <c r="DAR13" s="2" t="n"/>
      <c r="DAS13" s="2" t="n"/>
      <c r="DAT13" s="2" t="n"/>
      <c r="DAU13" s="2" t="n"/>
      <c r="DAV13" s="2" t="n"/>
      <c r="DAW13" s="2" t="n"/>
      <c r="DAX13" s="2" t="n"/>
      <c r="DAY13" s="2" t="n"/>
      <c r="DAZ13" s="2" t="n"/>
      <c r="DBA13" s="2" t="n"/>
      <c r="DBB13" s="2" t="n"/>
      <c r="DBC13" s="2" t="n"/>
      <c r="DBD13" s="2" t="n"/>
      <c r="DBE13" s="2" t="n"/>
      <c r="DBF13" s="2" t="n"/>
      <c r="DBG13" s="2" t="n"/>
      <c r="DBH13" s="2" t="n"/>
      <c r="DBI13" s="2" t="n"/>
      <c r="DBJ13" s="2" t="n"/>
      <c r="DBK13" s="2" t="n"/>
      <c r="DBL13" s="2" t="n"/>
      <c r="DBM13" s="2" t="n"/>
      <c r="DBN13" s="2" t="n"/>
      <c r="DBO13" s="2" t="n"/>
      <c r="DBP13" s="2" t="n"/>
      <c r="DBQ13" s="2" t="n"/>
      <c r="DBR13" s="2" t="n"/>
      <c r="DBS13" s="2" t="n"/>
      <c r="DBT13" s="2" t="n"/>
      <c r="DBU13" s="2" t="n"/>
      <c r="DBV13" s="2" t="n"/>
      <c r="DBW13" s="2" t="n"/>
      <c r="DBX13" s="2" t="n"/>
      <c r="DBY13" s="2" t="n"/>
      <c r="DBZ13" s="2" t="n"/>
      <c r="DCA13" s="2" t="n"/>
      <c r="DCB13" s="2" t="n"/>
      <c r="DCC13" s="2" t="n"/>
      <c r="DCD13" s="2" t="n"/>
      <c r="DCE13" s="2" t="n"/>
      <c r="DCF13" s="2" t="n"/>
      <c r="DCG13" s="2" t="n"/>
      <c r="DCH13" s="2" t="n"/>
      <c r="DCI13" s="2" t="n"/>
      <c r="DCJ13" s="2" t="n"/>
      <c r="DCK13" s="2" t="n"/>
      <c r="DCL13" s="2" t="n"/>
      <c r="DCM13" s="2" t="n"/>
      <c r="DCN13" s="2" t="n"/>
      <c r="DCO13" s="2" t="n"/>
      <c r="DCP13" s="2" t="n"/>
      <c r="DCQ13" s="2" t="n"/>
      <c r="DCR13" s="2" t="n"/>
      <c r="DCS13" s="2" t="n"/>
      <c r="DCT13" s="2" t="n"/>
      <c r="DCU13" s="2" t="n"/>
      <c r="DCV13" s="2" t="n"/>
      <c r="DCW13" s="2" t="n"/>
      <c r="DCX13" s="2" t="n"/>
      <c r="DCY13" s="2" t="n"/>
      <c r="DCZ13" s="2" t="n"/>
      <c r="DDA13" s="2" t="n"/>
      <c r="DDB13" s="2" t="n"/>
      <c r="DDC13" s="2" t="n"/>
      <c r="DDD13" s="2" t="n"/>
      <c r="DDE13" s="2" t="n"/>
      <c r="DDF13" s="2" t="n"/>
      <c r="DDG13" s="2" t="n"/>
      <c r="DDH13" s="2" t="n"/>
      <c r="DDI13" s="2" t="n"/>
      <c r="DDJ13" s="2" t="n"/>
      <c r="DDK13" s="2" t="n"/>
      <c r="DDL13" s="2" t="n"/>
      <c r="DDM13" s="2" t="n"/>
      <c r="DDN13" s="2" t="n"/>
      <c r="DDO13" s="2" t="n"/>
      <c r="DDP13" s="2" t="n"/>
      <c r="DDQ13" s="2" t="n"/>
      <c r="DDR13" s="2" t="n"/>
      <c r="DDS13" s="2" t="n"/>
      <c r="DDT13" s="2" t="n"/>
      <c r="DDU13" s="2" t="n"/>
      <c r="DDV13" s="2" t="n"/>
      <c r="DDW13" s="2" t="n"/>
      <c r="DDX13" s="2" t="n"/>
      <c r="DDY13" s="2" t="n"/>
      <c r="DDZ13" s="2" t="n"/>
      <c r="DEA13" s="2" t="n"/>
      <c r="DEB13" s="2" t="n"/>
      <c r="DEC13" s="2" t="n"/>
      <c r="DED13" s="2" t="n"/>
      <c r="DEE13" s="2" t="n"/>
      <c r="DEF13" s="2" t="n"/>
      <c r="DEG13" s="2" t="n"/>
      <c r="DEH13" s="2" t="n"/>
      <c r="DEI13" s="2" t="n"/>
      <c r="DEJ13" s="2" t="n"/>
      <c r="DEK13" s="2" t="n"/>
      <c r="DEL13" s="2" t="n"/>
      <c r="DEM13" s="2" t="n"/>
      <c r="DEN13" s="2" t="n"/>
      <c r="DEO13" s="2" t="n"/>
      <c r="DEP13" s="2" t="n"/>
      <c r="DEQ13" s="2" t="n"/>
      <c r="DER13" s="2" t="n"/>
      <c r="DES13" s="2" t="n"/>
      <c r="DET13" s="2" t="n"/>
      <c r="DEU13" s="2" t="n"/>
      <c r="DEV13" s="2" t="n"/>
      <c r="DEW13" s="2" t="n"/>
      <c r="DEX13" s="2" t="n"/>
      <c r="DEY13" s="2" t="n"/>
      <c r="DEZ13" s="2" t="n"/>
      <c r="DFA13" s="2" t="n"/>
      <c r="DFB13" s="2" t="n"/>
      <c r="DFC13" s="2" t="n"/>
      <c r="DFD13" s="2" t="n"/>
      <c r="DFE13" s="2" t="n"/>
      <c r="DFF13" s="2" t="n"/>
      <c r="DFG13" s="2" t="n"/>
      <c r="DFH13" s="2" t="n"/>
      <c r="DFI13" s="2" t="n"/>
      <c r="DFJ13" s="2" t="n"/>
      <c r="DFK13" s="2" t="n"/>
      <c r="DFL13" s="2" t="n"/>
      <c r="DFM13" s="2" t="n"/>
      <c r="DFN13" s="2" t="n"/>
      <c r="DFO13" s="2" t="n"/>
      <c r="DFP13" s="2" t="n"/>
      <c r="DFQ13" s="2" t="n"/>
      <c r="DFR13" s="2" t="n"/>
      <c r="DFS13" s="2" t="n"/>
      <c r="DFT13" s="2" t="n"/>
      <c r="DFU13" s="2" t="n"/>
      <c r="DFV13" s="2" t="n"/>
      <c r="DFW13" s="2" t="n"/>
      <c r="DFX13" s="2" t="n"/>
      <c r="DFY13" s="2" t="n"/>
      <c r="DFZ13" s="2" t="n"/>
      <c r="DGA13" s="2" t="n"/>
      <c r="DGB13" s="2" t="n"/>
      <c r="DGC13" s="2" t="n"/>
      <c r="DGD13" s="2" t="n"/>
      <c r="DGE13" s="2" t="n"/>
      <c r="DGF13" s="2" t="n"/>
      <c r="DGG13" s="2" t="n"/>
      <c r="DGH13" s="2" t="n"/>
      <c r="DGI13" s="2" t="n"/>
      <c r="DGJ13" s="2" t="n"/>
      <c r="DGK13" s="2" t="n"/>
      <c r="DGL13" s="2" t="n"/>
      <c r="DGM13" s="2" t="n"/>
      <c r="DGN13" s="2" t="n"/>
      <c r="DGO13" s="2" t="n"/>
      <c r="DGP13" s="2" t="n"/>
      <c r="DGQ13" s="2" t="n"/>
      <c r="DGR13" s="2" t="n"/>
      <c r="DGS13" s="2" t="n"/>
      <c r="DGT13" s="2" t="n"/>
      <c r="DGU13" s="2" t="n"/>
      <c r="DGV13" s="2" t="n"/>
      <c r="DGW13" s="2" t="n"/>
      <c r="DGX13" s="2" t="n"/>
      <c r="DGY13" s="2" t="n"/>
      <c r="DGZ13" s="2" t="n"/>
      <c r="DHA13" s="2" t="n"/>
      <c r="DHB13" s="2" t="n"/>
      <c r="DHC13" s="2" t="n"/>
      <c r="DHD13" s="2" t="n"/>
      <c r="DHE13" s="2" t="n"/>
      <c r="DHF13" s="2" t="n"/>
      <c r="DHG13" s="2" t="n"/>
      <c r="DHH13" s="2" t="n"/>
      <c r="DHI13" s="2" t="n"/>
      <c r="DHJ13" s="2" t="n"/>
      <c r="DHK13" s="2" t="n"/>
      <c r="DHL13" s="2" t="n"/>
      <c r="DHM13" s="2" t="n"/>
      <c r="DHN13" s="2" t="n"/>
      <c r="DHO13" s="2" t="n"/>
      <c r="DHP13" s="2" t="n"/>
      <c r="DHQ13" s="2" t="n"/>
      <c r="DHR13" s="2" t="n"/>
      <c r="DHS13" s="2" t="n"/>
      <c r="DHT13" s="2" t="n"/>
      <c r="DHU13" s="2" t="n"/>
      <c r="DHV13" s="2" t="n"/>
      <c r="DHW13" s="2" t="n"/>
      <c r="DHX13" s="2" t="n"/>
      <c r="DHY13" s="2" t="n"/>
      <c r="DHZ13" s="2" t="n"/>
      <c r="DIA13" s="2" t="n"/>
      <c r="DIB13" s="2" t="n"/>
      <c r="DIC13" s="2" t="n"/>
      <c r="DID13" s="2" t="n"/>
      <c r="DIE13" s="2" t="n"/>
      <c r="DIF13" s="2" t="n"/>
      <c r="DIG13" s="2" t="n"/>
      <c r="DIH13" s="2" t="n"/>
      <c r="DII13" s="2" t="n"/>
      <c r="DIJ13" s="2" t="n"/>
      <c r="DIK13" s="2" t="n"/>
      <c r="DIL13" s="2" t="n"/>
      <c r="DIM13" s="2" t="n"/>
      <c r="DIN13" s="2" t="n"/>
      <c r="DIO13" s="2" t="n"/>
      <c r="DIP13" s="2" t="n"/>
      <c r="DIQ13" s="2" t="n"/>
      <c r="DIR13" s="2" t="n"/>
      <c r="DIS13" s="2" t="n"/>
      <c r="DIT13" s="2" t="n"/>
      <c r="DIU13" s="2" t="n"/>
      <c r="DIV13" s="2" t="n"/>
      <c r="DIW13" s="2" t="n"/>
      <c r="DIX13" s="2" t="n"/>
      <c r="DIY13" s="2" t="n"/>
      <c r="DIZ13" s="2" t="n"/>
      <c r="DJA13" s="2" t="n"/>
      <c r="DJB13" s="2" t="n"/>
      <c r="DJC13" s="2" t="n"/>
      <c r="DJD13" s="2" t="n"/>
      <c r="DJE13" s="2" t="n"/>
      <c r="DJF13" s="2" t="n"/>
      <c r="DJG13" s="2" t="n"/>
      <c r="DJH13" s="2" t="n"/>
      <c r="DJI13" s="2" t="n"/>
      <c r="DJJ13" s="2" t="n"/>
      <c r="DJK13" s="2" t="n"/>
      <c r="DJL13" s="2" t="n"/>
      <c r="DJM13" s="2" t="n"/>
      <c r="DJN13" s="2" t="n"/>
      <c r="DJO13" s="2" t="n"/>
      <c r="DJP13" s="2" t="n"/>
      <c r="DJQ13" s="2" t="n"/>
      <c r="DJR13" s="2" t="n"/>
      <c r="DJS13" s="2" t="n"/>
      <c r="DJT13" s="2" t="n"/>
      <c r="DJU13" s="2" t="n"/>
      <c r="DJV13" s="2" t="n"/>
      <c r="DJW13" s="2" t="n"/>
      <c r="DJX13" s="2" t="n"/>
      <c r="DJY13" s="2" t="n"/>
      <c r="DJZ13" s="2" t="n"/>
      <c r="DKA13" s="2" t="n"/>
      <c r="DKB13" s="2" t="n"/>
      <c r="DKC13" s="2" t="n"/>
      <c r="DKD13" s="2" t="n"/>
      <c r="DKE13" s="2" t="n"/>
      <c r="DKF13" s="2" t="n"/>
      <c r="DKG13" s="2" t="n"/>
      <c r="DKH13" s="2" t="n"/>
      <c r="DKI13" s="2" t="n"/>
      <c r="DKJ13" s="2" t="n"/>
      <c r="DKK13" s="2" t="n"/>
      <c r="DKL13" s="2" t="n"/>
      <c r="DKM13" s="2" t="n"/>
      <c r="DKN13" s="2" t="n"/>
      <c r="DKO13" s="2" t="n"/>
      <c r="DKP13" s="2" t="n"/>
      <c r="DKQ13" s="2" t="n"/>
      <c r="DKR13" s="2" t="n"/>
      <c r="DKS13" s="2" t="n"/>
      <c r="DKT13" s="2" t="n"/>
      <c r="DKU13" s="2" t="n"/>
      <c r="DKV13" s="2" t="n"/>
      <c r="DKW13" s="2" t="n"/>
      <c r="DKX13" s="2" t="n"/>
      <c r="DKY13" s="2" t="n"/>
      <c r="DKZ13" s="2" t="n"/>
      <c r="DLA13" s="2" t="n"/>
      <c r="DLB13" s="2" t="n"/>
      <c r="DLC13" s="2" t="n"/>
      <c r="DLD13" s="2" t="n"/>
      <c r="DLE13" s="2" t="n"/>
      <c r="DLF13" s="2" t="n"/>
      <c r="DLG13" s="2" t="n"/>
      <c r="DLH13" s="2" t="n"/>
      <c r="DLI13" s="2" t="n"/>
      <c r="DLJ13" s="2" t="n"/>
      <c r="DLK13" s="2" t="n"/>
      <c r="DLL13" s="2" t="n"/>
      <c r="DLM13" s="2" t="n"/>
      <c r="DLN13" s="2" t="n"/>
      <c r="DLO13" s="2" t="n"/>
      <c r="DLP13" s="2" t="n"/>
      <c r="DLQ13" s="2" t="n"/>
      <c r="DLR13" s="2" t="n"/>
      <c r="DLS13" s="2" t="n"/>
      <c r="DLT13" s="2" t="n"/>
      <c r="DLU13" s="2" t="n"/>
      <c r="DLV13" s="2" t="n"/>
      <c r="DLW13" s="2" t="n"/>
      <c r="DLX13" s="2" t="n"/>
      <c r="DLY13" s="2" t="n"/>
      <c r="DLZ13" s="2" t="n"/>
      <c r="DMA13" s="2" t="n"/>
      <c r="DMB13" s="2" t="n"/>
      <c r="DMC13" s="2" t="n"/>
      <c r="DMD13" s="2" t="n"/>
      <c r="DME13" s="2" t="n"/>
      <c r="DMF13" s="2" t="n"/>
      <c r="DMG13" s="2" t="n"/>
      <c r="DMH13" s="2" t="n"/>
      <c r="DMI13" s="2" t="n"/>
      <c r="DMJ13" s="2" t="n"/>
      <c r="DMK13" s="2" t="n"/>
      <c r="DML13" s="2" t="n"/>
      <c r="DMM13" s="2" t="n"/>
      <c r="DMN13" s="2" t="n"/>
      <c r="DMO13" s="2" t="n"/>
      <c r="DMP13" s="2" t="n"/>
      <c r="DMQ13" s="2" t="n"/>
      <c r="DMR13" s="2" t="n"/>
      <c r="DMS13" s="2" t="n"/>
      <c r="DMT13" s="2" t="n"/>
      <c r="DMU13" s="2" t="n"/>
      <c r="DMV13" s="2" t="n"/>
      <c r="DMW13" s="2" t="n"/>
      <c r="DMX13" s="2" t="n"/>
      <c r="DMY13" s="2" t="n"/>
      <c r="DMZ13" s="2" t="n"/>
      <c r="DNA13" s="2" t="n"/>
      <c r="DNB13" s="2" t="n"/>
      <c r="DNC13" s="2" t="n"/>
      <c r="DND13" s="2" t="n"/>
      <c r="DNE13" s="2" t="n"/>
      <c r="DNF13" s="2" t="n"/>
      <c r="DNG13" s="2" t="n"/>
      <c r="DNH13" s="2" t="n"/>
      <c r="DNI13" s="2" t="n"/>
      <c r="DNJ13" s="2" t="n"/>
      <c r="DNK13" s="2" t="n"/>
      <c r="DNL13" s="2" t="n"/>
      <c r="DNM13" s="2" t="n"/>
      <c r="DNN13" s="2" t="n"/>
      <c r="DNO13" s="2" t="n"/>
      <c r="DNP13" s="2" t="n"/>
      <c r="DNQ13" s="2" t="n"/>
      <c r="DNR13" s="2" t="n"/>
      <c r="DNS13" s="2" t="n"/>
      <c r="DNT13" s="2" t="n"/>
      <c r="DNU13" s="2" t="n"/>
      <c r="DNV13" s="2" t="n"/>
      <c r="DNW13" s="2" t="n"/>
      <c r="DNX13" s="2" t="n"/>
      <c r="DNY13" s="2" t="n"/>
      <c r="DNZ13" s="2" t="n"/>
      <c r="DOA13" s="2" t="n"/>
      <c r="DOB13" s="2" t="n"/>
      <c r="DOC13" s="2" t="n"/>
      <c r="DOD13" s="2" t="n"/>
      <c r="DOE13" s="2" t="n"/>
      <c r="DOF13" s="2" t="n"/>
      <c r="DOG13" s="2" t="n"/>
      <c r="DOH13" s="2" t="n"/>
      <c r="DOI13" s="2" t="n"/>
      <c r="DOJ13" s="2" t="n"/>
      <c r="DOK13" s="2" t="n"/>
      <c r="DOL13" s="2" t="n"/>
      <c r="DOM13" s="2" t="n"/>
      <c r="DON13" s="2" t="n"/>
      <c r="DOO13" s="2" t="n"/>
      <c r="DOP13" s="2" t="n"/>
      <c r="DOQ13" s="2" t="n"/>
      <c r="DOR13" s="2" t="n"/>
      <c r="DOS13" s="2" t="n"/>
      <c r="DOT13" s="2" t="n"/>
      <c r="DOU13" s="2" t="n"/>
      <c r="DOV13" s="2" t="n"/>
      <c r="DOW13" s="2" t="n"/>
      <c r="DOX13" s="2" t="n"/>
      <c r="DOY13" s="2" t="n"/>
      <c r="DOZ13" s="2" t="n"/>
      <c r="DPA13" s="2" t="n"/>
      <c r="DPB13" s="2" t="n"/>
      <c r="DPC13" s="2" t="n"/>
      <c r="DPD13" s="2" t="n"/>
      <c r="DPE13" s="2" t="n"/>
      <c r="DPF13" s="2" t="n"/>
      <c r="DPG13" s="2" t="n"/>
      <c r="DPH13" s="2" t="n"/>
      <c r="DPI13" s="2" t="n"/>
      <c r="DPJ13" s="2" t="n"/>
      <c r="DPK13" s="2" t="n"/>
      <c r="DPL13" s="2" t="n"/>
      <c r="DPM13" s="2" t="n"/>
      <c r="DPN13" s="2" t="n"/>
      <c r="DPO13" s="2" t="n"/>
      <c r="DPP13" s="2" t="n"/>
      <c r="DPQ13" s="2" t="n"/>
      <c r="DPR13" s="2" t="n"/>
      <c r="DPS13" s="2" t="n"/>
      <c r="DPT13" s="2" t="n"/>
      <c r="DPU13" s="2" t="n"/>
      <c r="DPV13" s="2" t="n"/>
      <c r="DPW13" s="2" t="n"/>
      <c r="DPX13" s="2" t="n"/>
      <c r="DPY13" s="2" t="n"/>
      <c r="DPZ13" s="2" t="n"/>
      <c r="DQA13" s="2" t="n"/>
      <c r="DQB13" s="2" t="n"/>
      <c r="DQC13" s="2" t="n"/>
      <c r="DQD13" s="2" t="n"/>
      <c r="DQE13" s="2" t="n"/>
      <c r="DQF13" s="2" t="n"/>
      <c r="DQG13" s="2" t="n"/>
      <c r="DQH13" s="2" t="n"/>
      <c r="DQI13" s="2" t="n"/>
      <c r="DQJ13" s="2" t="n"/>
      <c r="DQK13" s="2" t="n"/>
      <c r="DQL13" s="2" t="n"/>
      <c r="DQM13" s="2" t="n"/>
      <c r="DQN13" s="2" t="n"/>
      <c r="DQO13" s="2" t="n"/>
      <c r="DQP13" s="2" t="n"/>
      <c r="DQQ13" s="2" t="n"/>
      <c r="DQR13" s="2" t="n"/>
      <c r="DQS13" s="2" t="n"/>
      <c r="DQT13" s="2" t="n"/>
      <c r="DQU13" s="2" t="n"/>
      <c r="DQV13" s="2" t="n"/>
      <c r="DQW13" s="2" t="n"/>
      <c r="DQX13" s="2" t="n"/>
      <c r="DQY13" s="2" t="n"/>
      <c r="DQZ13" s="2" t="n"/>
      <c r="DRA13" s="2" t="n"/>
      <c r="DRB13" s="2" t="n"/>
      <c r="DRC13" s="2" t="n"/>
      <c r="DRD13" s="2" t="n"/>
      <c r="DRE13" s="2" t="n"/>
      <c r="DRF13" s="2" t="n"/>
      <c r="DRG13" s="2" t="n"/>
      <c r="DRH13" s="2" t="n"/>
      <c r="DRI13" s="2" t="n"/>
      <c r="DRJ13" s="2" t="n"/>
      <c r="DRK13" s="2" t="n"/>
      <c r="DRL13" s="2" t="n"/>
      <c r="DRM13" s="2" t="n"/>
      <c r="DRN13" s="2" t="n"/>
      <c r="DRO13" s="2" t="n"/>
      <c r="DRP13" s="2" t="n"/>
      <c r="DRQ13" s="2" t="n"/>
      <c r="DRR13" s="2" t="n"/>
      <c r="DRS13" s="2" t="n"/>
      <c r="DRT13" s="2" t="n"/>
      <c r="DRU13" s="2" t="n"/>
      <c r="DRV13" s="2" t="n"/>
      <c r="DRW13" s="2" t="n"/>
      <c r="DRX13" s="2" t="n"/>
      <c r="DRY13" s="2" t="n"/>
      <c r="DRZ13" s="2" t="n"/>
      <c r="DSA13" s="2" t="n"/>
      <c r="DSB13" s="2" t="n"/>
      <c r="DSC13" s="2" t="n"/>
      <c r="DSD13" s="2" t="n"/>
      <c r="DSE13" s="2" t="n"/>
      <c r="DSF13" s="2" t="n"/>
      <c r="DSG13" s="2" t="n"/>
      <c r="DSH13" s="2" t="n"/>
      <c r="DSI13" s="2" t="n"/>
      <c r="DSJ13" s="2" t="n"/>
      <c r="DSK13" s="2" t="n"/>
      <c r="DSL13" s="2" t="n"/>
      <c r="DSM13" s="2" t="n"/>
      <c r="DSN13" s="2" t="n"/>
      <c r="DSO13" s="2" t="n"/>
      <c r="DSP13" s="2" t="n"/>
      <c r="DSQ13" s="2" t="n"/>
      <c r="DSR13" s="2" t="n"/>
      <c r="DSS13" s="2" t="n"/>
      <c r="DST13" s="2" t="n"/>
      <c r="DSU13" s="2" t="n"/>
      <c r="DSV13" s="2" t="n"/>
      <c r="DSW13" s="2" t="n"/>
      <c r="DSX13" s="2" t="n"/>
      <c r="DSY13" s="2" t="n"/>
      <c r="DSZ13" s="2" t="n"/>
      <c r="DTA13" s="2" t="n"/>
      <c r="DTB13" s="2" t="n"/>
      <c r="DTC13" s="2" t="n"/>
      <c r="DTD13" s="2" t="n"/>
      <c r="DTE13" s="2" t="n"/>
      <c r="DTF13" s="2" t="n"/>
      <c r="DTG13" s="2" t="n"/>
      <c r="DTH13" s="2" t="n"/>
      <c r="DTI13" s="2" t="n"/>
      <c r="DTJ13" s="2" t="n"/>
      <c r="DTK13" s="2" t="n"/>
      <c r="DTL13" s="2" t="n"/>
      <c r="DTM13" s="2" t="n"/>
      <c r="DTN13" s="2" t="n"/>
      <c r="DTO13" s="2" t="n"/>
      <c r="DTP13" s="2" t="n"/>
      <c r="DTQ13" s="2" t="n"/>
      <c r="DTR13" s="2" t="n"/>
      <c r="DTS13" s="2" t="n"/>
      <c r="DTT13" s="2" t="n"/>
      <c r="DTU13" s="2" t="n"/>
      <c r="DTV13" s="2" t="n"/>
      <c r="DTW13" s="2" t="n"/>
      <c r="DTX13" s="2" t="n"/>
      <c r="DTY13" s="2" t="n"/>
      <c r="DTZ13" s="2" t="n"/>
      <c r="DUA13" s="2" t="n"/>
      <c r="DUB13" s="2" t="n"/>
      <c r="DUC13" s="2" t="n"/>
      <c r="DUD13" s="2" t="n"/>
      <c r="DUE13" s="2" t="n"/>
      <c r="DUF13" s="2" t="n"/>
      <c r="DUG13" s="2" t="n"/>
      <c r="DUH13" s="2" t="n"/>
      <c r="DUI13" s="2" t="n"/>
      <c r="DUJ13" s="2" t="n"/>
      <c r="DUK13" s="2" t="n"/>
      <c r="DUL13" s="2" t="n"/>
      <c r="DUM13" s="2" t="n"/>
      <c r="DUN13" s="2" t="n"/>
      <c r="DUO13" s="2" t="n"/>
      <c r="DUP13" s="2" t="n"/>
      <c r="DUQ13" s="2" t="n"/>
      <c r="DUR13" s="2" t="n"/>
      <c r="DUS13" s="2" t="n"/>
      <c r="DUT13" s="2" t="n"/>
      <c r="DUU13" s="2" t="n"/>
      <c r="DUV13" s="2" t="n"/>
      <c r="DUW13" s="2" t="n"/>
      <c r="DUX13" s="2" t="n"/>
      <c r="DUY13" s="2" t="n"/>
      <c r="DUZ13" s="2" t="n"/>
      <c r="DVA13" s="2" t="n"/>
      <c r="DVB13" s="2" t="n"/>
      <c r="DVC13" s="2" t="n"/>
      <c r="DVD13" s="2" t="n"/>
      <c r="DVE13" s="2" t="n"/>
      <c r="DVF13" s="2" t="n"/>
      <c r="DVG13" s="2" t="n"/>
      <c r="DVH13" s="2" t="n"/>
      <c r="DVI13" s="2" t="n"/>
      <c r="DVJ13" s="2" t="n"/>
      <c r="DVK13" s="2" t="n"/>
      <c r="DVL13" s="2" t="n"/>
      <c r="DVM13" s="2" t="n"/>
      <c r="DVN13" s="2" t="n"/>
      <c r="DVO13" s="2" t="n"/>
      <c r="DVP13" s="2" t="n"/>
      <c r="DVQ13" s="2" t="n"/>
      <c r="DVR13" s="2" t="n"/>
      <c r="DVS13" s="2" t="n"/>
      <c r="DVT13" s="2" t="n"/>
      <c r="DVU13" s="2" t="n"/>
      <c r="DVV13" s="2" t="n"/>
      <c r="DVW13" s="2" t="n"/>
      <c r="DVX13" s="2" t="n"/>
      <c r="DVY13" s="2" t="n"/>
      <c r="DVZ13" s="2" t="n"/>
      <c r="DWA13" s="2" t="n"/>
      <c r="DWB13" s="2" t="n"/>
      <c r="DWC13" s="2" t="n"/>
      <c r="DWD13" s="2" t="n"/>
      <c r="DWE13" s="2" t="n"/>
      <c r="DWF13" s="2" t="n"/>
      <c r="DWG13" s="2" t="n"/>
      <c r="DWH13" s="2" t="n"/>
      <c r="DWI13" s="2" t="n"/>
      <c r="DWJ13" s="2" t="n"/>
      <c r="DWK13" s="2" t="n"/>
      <c r="DWL13" s="2" t="n"/>
      <c r="DWM13" s="2" t="n"/>
      <c r="DWN13" s="2" t="n"/>
      <c r="DWO13" s="2" t="n"/>
      <c r="DWP13" s="2" t="n"/>
      <c r="DWQ13" s="2" t="n"/>
      <c r="DWR13" s="2" t="n"/>
      <c r="DWS13" s="2" t="n"/>
      <c r="DWT13" s="2" t="n"/>
      <c r="DWU13" s="2" t="n"/>
      <c r="DWV13" s="2" t="n"/>
      <c r="DWW13" s="2" t="n"/>
      <c r="DWX13" s="2" t="n"/>
      <c r="DWY13" s="2" t="n"/>
      <c r="DWZ13" s="2" t="n"/>
      <c r="DXA13" s="2" t="n"/>
      <c r="DXB13" s="2" t="n"/>
      <c r="DXC13" s="2" t="n"/>
      <c r="DXD13" s="2" t="n"/>
      <c r="DXE13" s="2" t="n"/>
      <c r="DXF13" s="2" t="n"/>
      <c r="DXG13" s="2" t="n"/>
      <c r="DXH13" s="2" t="n"/>
      <c r="DXI13" s="2" t="n"/>
      <c r="DXJ13" s="2" t="n"/>
      <c r="DXK13" s="2" t="n"/>
      <c r="DXL13" s="2" t="n"/>
      <c r="DXM13" s="2" t="n"/>
      <c r="DXN13" s="2" t="n"/>
      <c r="DXO13" s="2" t="n"/>
      <c r="DXP13" s="2" t="n"/>
      <c r="DXQ13" s="2" t="n"/>
      <c r="DXR13" s="2" t="n"/>
      <c r="DXS13" s="2" t="n"/>
      <c r="DXT13" s="2" t="n"/>
      <c r="DXU13" s="2" t="n"/>
      <c r="DXV13" s="2" t="n"/>
      <c r="DXW13" s="2" t="n"/>
      <c r="DXX13" s="2" t="n"/>
      <c r="DXY13" s="2" t="n"/>
      <c r="DXZ13" s="2" t="n"/>
      <c r="DYA13" s="2" t="n"/>
      <c r="DYB13" s="2" t="n"/>
      <c r="DYC13" s="2" t="n"/>
      <c r="DYD13" s="2" t="n"/>
      <c r="DYE13" s="2" t="n"/>
      <c r="DYF13" s="2" t="n"/>
      <c r="DYG13" s="2" t="n"/>
      <c r="DYH13" s="2" t="n"/>
      <c r="DYI13" s="2" t="n"/>
      <c r="DYJ13" s="2" t="n"/>
      <c r="DYK13" s="2" t="n"/>
      <c r="DYL13" s="2" t="n"/>
      <c r="DYM13" s="2" t="n"/>
      <c r="DYN13" s="2" t="n"/>
      <c r="DYO13" s="2" t="n"/>
      <c r="DYP13" s="2" t="n"/>
      <c r="DYQ13" s="2" t="n"/>
      <c r="DYR13" s="2" t="n"/>
      <c r="DYS13" s="2" t="n"/>
      <c r="DYT13" s="2" t="n"/>
      <c r="DYU13" s="2" t="n"/>
      <c r="DYV13" s="2" t="n"/>
      <c r="DYW13" s="2" t="n"/>
      <c r="DYX13" s="2" t="n"/>
      <c r="DYY13" s="2" t="n"/>
      <c r="DYZ13" s="2" t="n"/>
      <c r="DZA13" s="2" t="n"/>
      <c r="DZB13" s="2" t="n"/>
      <c r="DZC13" s="2" t="n"/>
      <c r="DZD13" s="2" t="n"/>
      <c r="DZE13" s="2" t="n"/>
      <c r="DZF13" s="2" t="n"/>
      <c r="DZG13" s="2" t="n"/>
      <c r="DZH13" s="2" t="n"/>
      <c r="DZI13" s="2" t="n"/>
      <c r="DZJ13" s="2" t="n"/>
      <c r="DZK13" s="2" t="n"/>
      <c r="DZL13" s="2" t="n"/>
      <c r="DZM13" s="2" t="n"/>
      <c r="DZN13" s="2" t="n"/>
      <c r="DZO13" s="2" t="n"/>
      <c r="DZP13" s="2" t="n"/>
      <c r="DZQ13" s="2" t="n"/>
      <c r="DZR13" s="2" t="n"/>
      <c r="DZS13" s="2" t="n"/>
      <c r="DZT13" s="2" t="n"/>
      <c r="DZU13" s="2" t="n"/>
      <c r="DZV13" s="2" t="n"/>
      <c r="DZW13" s="2" t="n"/>
      <c r="DZX13" s="2" t="n"/>
      <c r="DZY13" s="2" t="n"/>
      <c r="DZZ13" s="2" t="n"/>
      <c r="EAA13" s="2" t="n"/>
      <c r="EAB13" s="2" t="n"/>
      <c r="EAC13" s="2" t="n"/>
      <c r="EAD13" s="2" t="n"/>
      <c r="EAE13" s="2" t="n"/>
      <c r="EAF13" s="2" t="n"/>
      <c r="EAG13" s="2" t="n"/>
      <c r="EAH13" s="2" t="n"/>
      <c r="EAI13" s="2" t="n"/>
      <c r="EAJ13" s="2" t="n"/>
      <c r="EAK13" s="2" t="n"/>
      <c r="EAL13" s="2" t="n"/>
      <c r="EAM13" s="2" t="n"/>
      <c r="EAN13" s="2" t="n"/>
      <c r="EAO13" s="2" t="n"/>
      <c r="EAP13" s="2" t="n"/>
      <c r="EAQ13" s="2" t="n"/>
      <c r="EAR13" s="2" t="n"/>
      <c r="EAS13" s="2" t="n"/>
      <c r="EAT13" s="2" t="n"/>
      <c r="EAU13" s="2" t="n"/>
      <c r="EAV13" s="2" t="n"/>
      <c r="EAW13" s="2" t="n"/>
      <c r="EAX13" s="2" t="n"/>
      <c r="EAY13" s="2" t="n"/>
      <c r="EAZ13" s="2" t="n"/>
      <c r="EBA13" s="2" t="n"/>
      <c r="EBB13" s="2" t="n"/>
      <c r="EBC13" s="2" t="n"/>
      <c r="EBD13" s="2" t="n"/>
      <c r="EBE13" s="2" t="n"/>
      <c r="EBF13" s="2" t="n"/>
      <c r="EBG13" s="2" t="n"/>
      <c r="EBH13" s="2" t="n"/>
      <c r="EBI13" s="2" t="n"/>
      <c r="EBJ13" s="2" t="n"/>
      <c r="EBK13" s="2" t="n"/>
      <c r="EBL13" s="2" t="n"/>
      <c r="EBM13" s="2" t="n"/>
      <c r="EBN13" s="2" t="n"/>
      <c r="EBO13" s="2" t="n"/>
      <c r="EBP13" s="2" t="n"/>
      <c r="EBQ13" s="2" t="n"/>
      <c r="EBR13" s="2" t="n"/>
      <c r="EBS13" s="2" t="n"/>
      <c r="EBT13" s="2" t="n"/>
      <c r="EBU13" s="2" t="n"/>
      <c r="EBV13" s="2" t="n"/>
      <c r="EBW13" s="2" t="n"/>
      <c r="EBX13" s="2" t="n"/>
      <c r="EBY13" s="2" t="n"/>
      <c r="EBZ13" s="2" t="n"/>
      <c r="ECA13" s="2" t="n"/>
      <c r="ECB13" s="2" t="n"/>
      <c r="ECC13" s="2" t="n"/>
      <c r="ECD13" s="2" t="n"/>
      <c r="ECE13" s="2" t="n"/>
      <c r="ECF13" s="2" t="n"/>
      <c r="ECG13" s="2" t="n"/>
      <c r="ECH13" s="2" t="n"/>
      <c r="ECI13" s="2" t="n"/>
      <c r="ECJ13" s="2" t="n"/>
      <c r="ECK13" s="2" t="n"/>
      <c r="ECL13" s="2" t="n"/>
      <c r="ECM13" s="2" t="n"/>
      <c r="ECN13" s="2" t="n"/>
      <c r="ECO13" s="2" t="n"/>
      <c r="ECP13" s="2" t="n"/>
      <c r="ECQ13" s="2" t="n"/>
      <c r="ECR13" s="2" t="n"/>
      <c r="ECS13" s="2" t="n"/>
      <c r="ECT13" s="2" t="n"/>
      <c r="ECU13" s="2" t="n"/>
      <c r="ECV13" s="2" t="n"/>
      <c r="ECW13" s="2" t="n"/>
      <c r="ECX13" s="2" t="n"/>
      <c r="ECY13" s="2" t="n"/>
      <c r="ECZ13" s="2" t="n"/>
      <c r="EDA13" s="2" t="n"/>
      <c r="EDB13" s="2" t="n"/>
      <c r="EDC13" s="2" t="n"/>
      <c r="EDD13" s="2" t="n"/>
      <c r="EDE13" s="2" t="n"/>
      <c r="EDF13" s="2" t="n"/>
      <c r="EDG13" s="2" t="n"/>
      <c r="EDH13" s="2" t="n"/>
      <c r="EDI13" s="2" t="n"/>
      <c r="EDJ13" s="2" t="n"/>
      <c r="EDK13" s="2" t="n"/>
      <c r="EDL13" s="2" t="n"/>
      <c r="EDM13" s="2" t="n"/>
      <c r="EDN13" s="2" t="n"/>
      <c r="EDO13" s="2" t="n"/>
      <c r="EDP13" s="2" t="n"/>
      <c r="EDQ13" s="2" t="n"/>
      <c r="EDR13" s="2" t="n"/>
      <c r="EDS13" s="2" t="n"/>
      <c r="EDT13" s="2" t="n"/>
      <c r="EDU13" s="2" t="n"/>
      <c r="EDV13" s="2" t="n"/>
      <c r="EDW13" s="2" t="n"/>
      <c r="EDX13" s="2" t="n"/>
      <c r="EDY13" s="2" t="n"/>
      <c r="EDZ13" s="2" t="n"/>
      <c r="EEA13" s="2" t="n"/>
      <c r="EEB13" s="2" t="n"/>
      <c r="EEC13" s="2" t="n"/>
      <c r="EED13" s="2" t="n"/>
      <c r="EEE13" s="2" t="n"/>
      <c r="EEF13" s="2" t="n"/>
      <c r="EEG13" s="2" t="n"/>
      <c r="EEH13" s="2" t="n"/>
      <c r="EEI13" s="2" t="n"/>
      <c r="EEJ13" s="2" t="n"/>
      <c r="EEK13" s="2" t="n"/>
      <c r="EEL13" s="2" t="n"/>
      <c r="EEM13" s="2" t="n"/>
      <c r="EEN13" s="2" t="n"/>
      <c r="EEO13" s="2" t="n"/>
      <c r="EEP13" s="2" t="n"/>
      <c r="EEQ13" s="2" t="n"/>
      <c r="EER13" s="2" t="n"/>
      <c r="EES13" s="2" t="n"/>
      <c r="EET13" s="2" t="n"/>
      <c r="EEU13" s="2" t="n"/>
      <c r="EEV13" s="2" t="n"/>
      <c r="EEW13" s="2" t="n"/>
      <c r="EEX13" s="2" t="n"/>
      <c r="EEY13" s="2" t="n"/>
      <c r="EEZ13" s="2" t="n"/>
      <c r="EFA13" s="2" t="n"/>
      <c r="EFB13" s="2" t="n"/>
      <c r="EFC13" s="2" t="n"/>
      <c r="EFD13" s="2" t="n"/>
      <c r="EFE13" s="2" t="n"/>
      <c r="EFF13" s="2" t="n"/>
      <c r="EFG13" s="2" t="n"/>
      <c r="EFH13" s="2" t="n"/>
      <c r="EFI13" s="2" t="n"/>
      <c r="EFJ13" s="2" t="n"/>
      <c r="EFK13" s="2" t="n"/>
      <c r="EFL13" s="2" t="n"/>
      <c r="EFM13" s="2" t="n"/>
      <c r="EFN13" s="2" t="n"/>
      <c r="EFO13" s="2" t="n"/>
      <c r="EFP13" s="2" t="n"/>
      <c r="EFQ13" s="2" t="n"/>
      <c r="EFR13" s="2" t="n"/>
      <c r="EFS13" s="2" t="n"/>
      <c r="EFT13" s="2" t="n"/>
      <c r="EFU13" s="2" t="n"/>
      <c r="EFV13" s="2" t="n"/>
      <c r="EFW13" s="2" t="n"/>
      <c r="EFX13" s="2" t="n"/>
      <c r="EFY13" s="2" t="n"/>
      <c r="EFZ13" s="2" t="n"/>
      <c r="EGA13" s="2" t="n"/>
      <c r="EGB13" s="2" t="n"/>
      <c r="EGC13" s="2" t="n"/>
      <c r="EGD13" s="2" t="n"/>
      <c r="EGE13" s="2" t="n"/>
      <c r="EGF13" s="2" t="n"/>
      <c r="EGG13" s="2" t="n"/>
      <c r="EGH13" s="2" t="n"/>
      <c r="EGI13" s="2" t="n"/>
      <c r="EGJ13" s="2" t="n"/>
      <c r="EGK13" s="2" t="n"/>
      <c r="EGL13" s="2" t="n"/>
      <c r="EGM13" s="2" t="n"/>
      <c r="EGN13" s="2" t="n"/>
      <c r="EGO13" s="2" t="n"/>
      <c r="EGP13" s="2" t="n"/>
      <c r="EGQ13" s="2" t="n"/>
      <c r="EGR13" s="2" t="n"/>
      <c r="EGS13" s="2" t="n"/>
      <c r="EGT13" s="2" t="n"/>
      <c r="EGU13" s="2" t="n"/>
      <c r="EGV13" s="2" t="n"/>
      <c r="EGW13" s="2" t="n"/>
      <c r="EGX13" s="2" t="n"/>
      <c r="EGY13" s="2" t="n"/>
      <c r="EGZ13" s="2" t="n"/>
      <c r="EHA13" s="2" t="n"/>
      <c r="EHB13" s="2" t="n"/>
      <c r="EHC13" s="2" t="n"/>
      <c r="EHD13" s="2" t="n"/>
      <c r="EHE13" s="2" t="n"/>
      <c r="EHF13" s="2" t="n"/>
      <c r="EHG13" s="2" t="n"/>
      <c r="EHH13" s="2" t="n"/>
      <c r="EHI13" s="2" t="n"/>
      <c r="EHJ13" s="2" t="n"/>
      <c r="EHK13" s="2" t="n"/>
      <c r="EHL13" s="2" t="n"/>
      <c r="EHM13" s="2" t="n"/>
      <c r="EHN13" s="2" t="n"/>
      <c r="EHO13" s="2" t="n"/>
      <c r="EHP13" s="2" t="n"/>
      <c r="EHQ13" s="2" t="n"/>
      <c r="EHR13" s="2" t="n"/>
      <c r="EHS13" s="2" t="n"/>
      <c r="EHT13" s="2" t="n"/>
      <c r="EHU13" s="2" t="n"/>
      <c r="EHV13" s="2" t="n"/>
      <c r="EHW13" s="2" t="n"/>
      <c r="EHX13" s="2" t="n"/>
      <c r="EHY13" s="2" t="n"/>
      <c r="EHZ13" s="2" t="n"/>
      <c r="EIA13" s="2" t="n"/>
      <c r="EIB13" s="2" t="n"/>
      <c r="EIC13" s="2" t="n"/>
      <c r="EID13" s="2" t="n"/>
      <c r="EIE13" s="2" t="n"/>
      <c r="EIF13" s="2" t="n"/>
      <c r="EIG13" s="2" t="n"/>
      <c r="EIH13" s="2" t="n"/>
      <c r="EII13" s="2" t="n"/>
      <c r="EIJ13" s="2" t="n"/>
      <c r="EIK13" s="2" t="n"/>
      <c r="EIL13" s="2" t="n"/>
      <c r="EIM13" s="2" t="n"/>
      <c r="EIN13" s="2" t="n"/>
      <c r="EIO13" s="2" t="n"/>
      <c r="EIP13" s="2" t="n"/>
      <c r="EIQ13" s="2" t="n"/>
      <c r="EIR13" s="2" t="n"/>
      <c r="EIS13" s="2" t="n"/>
      <c r="EIT13" s="2" t="n"/>
      <c r="EIU13" s="2" t="n"/>
      <c r="EIV13" s="2" t="n"/>
      <c r="EIW13" s="2" t="n"/>
      <c r="EIX13" s="2" t="n"/>
      <c r="EIY13" s="2" t="n"/>
      <c r="EIZ13" s="2" t="n"/>
      <c r="EJA13" s="2" t="n"/>
      <c r="EJB13" s="2" t="n"/>
      <c r="EJC13" s="2" t="n"/>
      <c r="EJD13" s="2" t="n"/>
      <c r="EJE13" s="2" t="n"/>
      <c r="EJF13" s="2" t="n"/>
      <c r="EJG13" s="2" t="n"/>
      <c r="EJH13" s="2" t="n"/>
      <c r="EJI13" s="2" t="n"/>
      <c r="EJJ13" s="2" t="n"/>
      <c r="EJK13" s="2" t="n"/>
      <c r="EJL13" s="2" t="n"/>
      <c r="EJM13" s="2" t="n"/>
      <c r="EJN13" s="2" t="n"/>
      <c r="EJO13" s="2" t="n"/>
      <c r="EJP13" s="2" t="n"/>
      <c r="EJQ13" s="2" t="n"/>
      <c r="EJR13" s="2" t="n"/>
      <c r="EJS13" s="2" t="n"/>
      <c r="EJT13" s="2" t="n"/>
      <c r="EJU13" s="2" t="n"/>
      <c r="EJV13" s="2" t="n"/>
      <c r="EJW13" s="2" t="n"/>
      <c r="EJX13" s="2" t="n"/>
      <c r="EJY13" s="2" t="n"/>
      <c r="EJZ13" s="2" t="n"/>
      <c r="EKA13" s="2" t="n"/>
      <c r="EKB13" s="2" t="n"/>
      <c r="EKC13" s="2" t="n"/>
      <c r="EKD13" s="2" t="n"/>
      <c r="EKE13" s="2" t="n"/>
      <c r="EKF13" s="2" t="n"/>
      <c r="EKG13" s="2" t="n"/>
      <c r="EKH13" s="2" t="n"/>
      <c r="EKI13" s="2" t="n"/>
      <c r="EKJ13" s="2" t="n"/>
      <c r="EKK13" s="2" t="n"/>
      <c r="EKL13" s="2" t="n"/>
      <c r="EKM13" s="2" t="n"/>
      <c r="EKN13" s="2" t="n"/>
      <c r="EKO13" s="2" t="n"/>
      <c r="EKP13" s="2" t="n"/>
      <c r="EKQ13" s="2" t="n"/>
      <c r="EKR13" s="2" t="n"/>
      <c r="EKS13" s="2" t="n"/>
      <c r="EKT13" s="2" t="n"/>
      <c r="EKU13" s="2" t="n"/>
      <c r="EKV13" s="2" t="n"/>
      <c r="EKW13" s="2" t="n"/>
      <c r="EKX13" s="2" t="n"/>
      <c r="EKY13" s="2" t="n"/>
      <c r="EKZ13" s="2" t="n"/>
      <c r="ELA13" s="2" t="n"/>
      <c r="ELB13" s="2" t="n"/>
      <c r="ELC13" s="2" t="n"/>
      <c r="ELD13" s="2" t="n"/>
      <c r="ELE13" s="2" t="n"/>
      <c r="ELF13" s="2" t="n"/>
      <c r="ELG13" s="2" t="n"/>
      <c r="ELH13" s="2" t="n"/>
      <c r="ELI13" s="2" t="n"/>
      <c r="ELJ13" s="2" t="n"/>
      <c r="ELK13" s="2" t="n"/>
      <c r="ELL13" s="2" t="n"/>
      <c r="ELM13" s="2" t="n"/>
      <c r="ELN13" s="2" t="n"/>
      <c r="ELO13" s="2" t="n"/>
      <c r="ELP13" s="2" t="n"/>
      <c r="ELQ13" s="2" t="n"/>
      <c r="ELR13" s="2" t="n"/>
      <c r="ELS13" s="2" t="n"/>
      <c r="ELT13" s="2" t="n"/>
      <c r="ELU13" s="2" t="n"/>
      <c r="ELV13" s="2" t="n"/>
      <c r="ELW13" s="2" t="n"/>
      <c r="ELX13" s="2" t="n"/>
      <c r="ELY13" s="2" t="n"/>
      <c r="ELZ13" s="2" t="n"/>
      <c r="EMA13" s="2" t="n"/>
      <c r="EMB13" s="2" t="n"/>
      <c r="EMC13" s="2" t="n"/>
      <c r="EMD13" s="2" t="n"/>
      <c r="EME13" s="2" t="n"/>
      <c r="EMF13" s="2" t="n"/>
      <c r="EMG13" s="2" t="n"/>
      <c r="EMH13" s="2" t="n"/>
      <c r="EMI13" s="2" t="n"/>
      <c r="EMJ13" s="2" t="n"/>
      <c r="EMK13" s="2" t="n"/>
      <c r="EML13" s="2" t="n"/>
      <c r="EMM13" s="2" t="n"/>
      <c r="EMN13" s="2" t="n"/>
      <c r="EMO13" s="2" t="n"/>
      <c r="EMP13" s="2" t="n"/>
      <c r="EMQ13" s="2" t="n"/>
      <c r="EMR13" s="2" t="n"/>
      <c r="EMS13" s="2" t="n"/>
      <c r="EMT13" s="2" t="n"/>
      <c r="EMU13" s="2" t="n"/>
      <c r="EMV13" s="2" t="n"/>
      <c r="EMW13" s="2" t="n"/>
      <c r="EMX13" s="2" t="n"/>
      <c r="EMY13" s="2" t="n"/>
      <c r="EMZ13" s="2" t="n"/>
      <c r="ENA13" s="2" t="n"/>
      <c r="ENB13" s="2" t="n"/>
      <c r="ENC13" s="2" t="n"/>
      <c r="END13" s="2" t="n"/>
      <c r="ENE13" s="2" t="n"/>
      <c r="ENF13" s="2" t="n"/>
      <c r="ENG13" s="2" t="n"/>
      <c r="ENH13" s="2" t="n"/>
      <c r="ENI13" s="2" t="n"/>
      <c r="ENJ13" s="2" t="n"/>
      <c r="ENK13" s="2" t="n"/>
      <c r="ENL13" s="2" t="n"/>
      <c r="ENM13" s="2" t="n"/>
      <c r="ENN13" s="2" t="n"/>
      <c r="ENO13" s="2" t="n"/>
      <c r="ENP13" s="2" t="n"/>
      <c r="ENQ13" s="2" t="n"/>
      <c r="ENR13" s="2" t="n"/>
      <c r="ENS13" s="2" t="n"/>
      <c r="ENT13" s="2" t="n"/>
      <c r="ENU13" s="2" t="n"/>
      <c r="ENV13" s="2" t="n"/>
      <c r="ENW13" s="2" t="n"/>
      <c r="ENX13" s="2" t="n"/>
      <c r="ENY13" s="2" t="n"/>
      <c r="ENZ13" s="2" t="n"/>
      <c r="EOA13" s="2" t="n"/>
      <c r="EOB13" s="2" t="n"/>
      <c r="EOC13" s="2" t="n"/>
      <c r="EOD13" s="2" t="n"/>
      <c r="EOE13" s="2" t="n"/>
      <c r="EOF13" s="2" t="n"/>
      <c r="EOG13" s="2" t="n"/>
      <c r="EOH13" s="2" t="n"/>
      <c r="EOI13" s="2" t="n"/>
      <c r="EOJ13" s="2" t="n"/>
      <c r="EOK13" s="2" t="n"/>
      <c r="EOL13" s="2" t="n"/>
      <c r="EOM13" s="2" t="n"/>
      <c r="EON13" s="2" t="n"/>
      <c r="EOO13" s="2" t="n"/>
      <c r="EOP13" s="2" t="n"/>
      <c r="EOQ13" s="2" t="n"/>
      <c r="EOR13" s="2" t="n"/>
      <c r="EOS13" s="2" t="n"/>
      <c r="EOT13" s="2" t="n"/>
      <c r="EOU13" s="2" t="n"/>
      <c r="EOV13" s="2" t="n"/>
      <c r="EOW13" s="2" t="n"/>
      <c r="EOX13" s="2" t="n"/>
      <c r="EOY13" s="2" t="n"/>
      <c r="EOZ13" s="2" t="n"/>
      <c r="EPA13" s="2" t="n"/>
      <c r="EPB13" s="2" t="n"/>
      <c r="EPC13" s="2" t="n"/>
      <c r="EPD13" s="2" t="n"/>
      <c r="EPE13" s="2" t="n"/>
      <c r="EPF13" s="2" t="n"/>
      <c r="EPG13" s="2" t="n"/>
      <c r="EPH13" s="2" t="n"/>
      <c r="EPI13" s="2" t="n"/>
      <c r="EPJ13" s="2" t="n"/>
      <c r="EPK13" s="2" t="n"/>
      <c r="EPL13" s="2" t="n"/>
      <c r="EPM13" s="2" t="n"/>
      <c r="EPN13" s="2" t="n"/>
      <c r="EPO13" s="2" t="n"/>
      <c r="EPP13" s="2" t="n"/>
      <c r="EPQ13" s="2" t="n"/>
      <c r="EPR13" s="2" t="n"/>
      <c r="EPS13" s="2" t="n"/>
      <c r="EPT13" s="2" t="n"/>
      <c r="EPU13" s="2" t="n"/>
      <c r="EPV13" s="2" t="n"/>
      <c r="EPW13" s="2" t="n"/>
      <c r="EPX13" s="2" t="n"/>
      <c r="EPY13" s="2" t="n"/>
      <c r="EPZ13" s="2" t="n"/>
      <c r="EQA13" s="2" t="n"/>
      <c r="EQB13" s="2" t="n"/>
      <c r="EQC13" s="2" t="n"/>
      <c r="EQD13" s="2" t="n"/>
      <c r="EQE13" s="2" t="n"/>
      <c r="EQF13" s="2" t="n"/>
      <c r="EQG13" s="2" t="n"/>
      <c r="EQH13" s="2" t="n"/>
      <c r="EQI13" s="2" t="n"/>
      <c r="EQJ13" s="2" t="n"/>
      <c r="EQK13" s="2" t="n"/>
      <c r="EQL13" s="2" t="n"/>
      <c r="EQM13" s="2" t="n"/>
      <c r="EQN13" s="2" t="n"/>
      <c r="EQO13" s="2" t="n"/>
      <c r="EQP13" s="2" t="n"/>
      <c r="EQQ13" s="2" t="n"/>
      <c r="EQR13" s="2" t="n"/>
      <c r="EQS13" s="2" t="n"/>
      <c r="EQT13" s="2" t="n"/>
      <c r="EQU13" s="2" t="n"/>
      <c r="EQV13" s="2" t="n"/>
      <c r="EQW13" s="2" t="n"/>
      <c r="EQX13" s="2" t="n"/>
      <c r="EQY13" s="2" t="n"/>
      <c r="EQZ13" s="2" t="n"/>
      <c r="ERA13" s="2" t="n"/>
      <c r="ERB13" s="2" t="n"/>
      <c r="ERC13" s="2" t="n"/>
      <c r="ERD13" s="2" t="n"/>
      <c r="ERE13" s="2" t="n"/>
      <c r="ERF13" s="2" t="n"/>
      <c r="ERG13" s="2" t="n"/>
      <c r="ERH13" s="2" t="n"/>
      <c r="ERI13" s="2" t="n"/>
      <c r="ERJ13" s="2" t="n"/>
      <c r="ERK13" s="2" t="n"/>
      <c r="ERL13" s="2" t="n"/>
      <c r="ERM13" s="2" t="n"/>
      <c r="ERN13" s="2" t="n"/>
      <c r="ERO13" s="2" t="n"/>
      <c r="ERP13" s="2" t="n"/>
      <c r="ERQ13" s="2" t="n"/>
      <c r="ERR13" s="2" t="n"/>
      <c r="ERS13" s="2" t="n"/>
      <c r="ERT13" s="2" t="n"/>
      <c r="ERU13" s="2" t="n"/>
      <c r="ERV13" s="2" t="n"/>
      <c r="ERW13" s="2" t="n"/>
      <c r="ERX13" s="2" t="n"/>
      <c r="ERY13" s="2" t="n"/>
      <c r="ERZ13" s="2" t="n"/>
      <c r="ESA13" s="2" t="n"/>
      <c r="ESB13" s="2" t="n"/>
      <c r="ESC13" s="2" t="n"/>
      <c r="ESD13" s="2" t="n"/>
      <c r="ESE13" s="2" t="n"/>
      <c r="ESF13" s="2" t="n"/>
      <c r="ESG13" s="2" t="n"/>
      <c r="ESH13" s="2" t="n"/>
      <c r="ESI13" s="2" t="n"/>
      <c r="ESJ13" s="2" t="n"/>
      <c r="ESK13" s="2" t="n"/>
      <c r="ESL13" s="2" t="n"/>
      <c r="ESM13" s="2" t="n"/>
      <c r="ESN13" s="2" t="n"/>
      <c r="ESO13" s="2" t="n"/>
      <c r="ESP13" s="2" t="n"/>
      <c r="ESQ13" s="2" t="n"/>
      <c r="ESR13" s="2" t="n"/>
      <c r="ESS13" s="2" t="n"/>
      <c r="EST13" s="2" t="n"/>
      <c r="ESU13" s="2" t="n"/>
      <c r="ESV13" s="2" t="n"/>
      <c r="ESW13" s="2" t="n"/>
      <c r="ESX13" s="2" t="n"/>
      <c r="ESY13" s="2" t="n"/>
      <c r="ESZ13" s="2" t="n"/>
      <c r="ETA13" s="2" t="n"/>
      <c r="ETB13" s="2" t="n"/>
      <c r="ETC13" s="2" t="n"/>
      <c r="ETD13" s="2" t="n"/>
      <c r="ETE13" s="2" t="n"/>
      <c r="ETF13" s="2" t="n"/>
      <c r="ETG13" s="2" t="n"/>
      <c r="ETH13" s="2" t="n"/>
      <c r="ETI13" s="2" t="n"/>
      <c r="ETJ13" s="2" t="n"/>
      <c r="ETK13" s="2" t="n"/>
      <c r="ETL13" s="2" t="n"/>
      <c r="ETM13" s="2" t="n"/>
      <c r="ETN13" s="2" t="n"/>
      <c r="ETO13" s="2" t="n"/>
      <c r="ETP13" s="2" t="n"/>
      <c r="ETQ13" s="2" t="n"/>
      <c r="ETR13" s="2" t="n"/>
      <c r="ETS13" s="2" t="n"/>
      <c r="ETT13" s="2" t="n"/>
      <c r="ETU13" s="2" t="n"/>
      <c r="ETV13" s="2" t="n"/>
      <c r="ETW13" s="2" t="n"/>
      <c r="ETX13" s="2" t="n"/>
      <c r="ETY13" s="2" t="n"/>
      <c r="ETZ13" s="2" t="n"/>
      <c r="EUA13" s="2" t="n"/>
      <c r="EUB13" s="2" t="n"/>
      <c r="EUC13" s="2" t="n"/>
      <c r="EUD13" s="2" t="n"/>
      <c r="EUE13" s="2" t="n"/>
      <c r="EUF13" s="2" t="n"/>
      <c r="EUG13" s="2" t="n"/>
      <c r="EUH13" s="2" t="n"/>
      <c r="EUI13" s="2" t="n"/>
      <c r="EUJ13" s="2" t="n"/>
      <c r="EUK13" s="2" t="n"/>
      <c r="EUL13" s="2" t="n"/>
      <c r="EUM13" s="2" t="n"/>
      <c r="EUN13" s="2" t="n"/>
      <c r="EUO13" s="2" t="n"/>
      <c r="EUP13" s="2" t="n"/>
      <c r="EUQ13" s="2" t="n"/>
      <c r="EUR13" s="2" t="n"/>
      <c r="EUS13" s="2" t="n"/>
      <c r="EUT13" s="2" t="n"/>
      <c r="EUU13" s="2" t="n"/>
      <c r="EUV13" s="2" t="n"/>
      <c r="EUW13" s="2" t="n"/>
      <c r="EUX13" s="2" t="n"/>
      <c r="EUY13" s="2" t="n"/>
      <c r="EUZ13" s="2" t="n"/>
      <c r="EVA13" s="2" t="n"/>
      <c r="EVB13" s="2" t="n"/>
      <c r="EVC13" s="2" t="n"/>
      <c r="EVD13" s="2" t="n"/>
      <c r="EVE13" s="2" t="n"/>
      <c r="EVF13" s="2" t="n"/>
      <c r="EVG13" s="2" t="n"/>
      <c r="EVH13" s="2" t="n"/>
      <c r="EVI13" s="2" t="n"/>
      <c r="EVJ13" s="2" t="n"/>
      <c r="EVK13" s="2" t="n"/>
      <c r="EVL13" s="2" t="n"/>
      <c r="EVM13" s="2" t="n"/>
      <c r="EVN13" s="2" t="n"/>
      <c r="EVO13" s="2" t="n"/>
      <c r="EVP13" s="2" t="n"/>
      <c r="EVQ13" s="2" t="n"/>
      <c r="EVR13" s="2" t="n"/>
      <c r="EVS13" s="2" t="n"/>
      <c r="EVT13" s="2" t="n"/>
      <c r="EVU13" s="2" t="n"/>
      <c r="EVV13" s="2" t="n"/>
      <c r="EVW13" s="2" t="n"/>
      <c r="EVX13" s="2" t="n"/>
      <c r="EVY13" s="2" t="n"/>
      <c r="EVZ13" s="2" t="n"/>
      <c r="EWA13" s="2" t="n"/>
      <c r="EWB13" s="2" t="n"/>
      <c r="EWC13" s="2" t="n"/>
      <c r="EWD13" s="2" t="n"/>
      <c r="EWE13" s="2" t="n"/>
      <c r="EWF13" s="2" t="n"/>
      <c r="EWG13" s="2" t="n"/>
      <c r="EWH13" s="2" t="n"/>
      <c r="EWI13" s="2" t="n"/>
      <c r="EWJ13" s="2" t="n"/>
      <c r="EWK13" s="2" t="n"/>
      <c r="EWL13" s="2" t="n"/>
      <c r="EWM13" s="2" t="n"/>
      <c r="EWN13" s="2" t="n"/>
      <c r="EWO13" s="2" t="n"/>
      <c r="EWP13" s="2" t="n"/>
      <c r="EWQ13" s="2" t="n"/>
      <c r="EWR13" s="2" t="n"/>
      <c r="EWS13" s="2" t="n"/>
      <c r="EWT13" s="2" t="n"/>
      <c r="EWU13" s="2" t="n"/>
      <c r="EWV13" s="2" t="n"/>
      <c r="EWW13" s="2" t="n"/>
      <c r="EWX13" s="2" t="n"/>
      <c r="EWY13" s="2" t="n"/>
      <c r="EWZ13" s="2" t="n"/>
      <c r="EXA13" s="2" t="n"/>
      <c r="EXB13" s="2" t="n"/>
      <c r="EXC13" s="2" t="n"/>
      <c r="EXD13" s="2" t="n"/>
      <c r="EXE13" s="2" t="n"/>
      <c r="EXF13" s="2" t="n"/>
      <c r="EXG13" s="2" t="n"/>
      <c r="EXH13" s="2" t="n"/>
      <c r="EXI13" s="2" t="n"/>
      <c r="EXJ13" s="2" t="n"/>
      <c r="EXK13" s="2" t="n"/>
      <c r="EXL13" s="2" t="n"/>
      <c r="EXM13" s="2" t="n"/>
      <c r="EXN13" s="2" t="n"/>
      <c r="EXO13" s="2" t="n"/>
      <c r="EXP13" s="2" t="n"/>
      <c r="EXQ13" s="2" t="n"/>
      <c r="EXR13" s="2" t="n"/>
      <c r="EXS13" s="2" t="n"/>
      <c r="EXT13" s="2" t="n"/>
      <c r="EXU13" s="2" t="n"/>
      <c r="EXV13" s="2" t="n"/>
      <c r="EXW13" s="2" t="n"/>
      <c r="EXX13" s="2" t="n"/>
      <c r="EXY13" s="2" t="n"/>
      <c r="EXZ13" s="2" t="n"/>
      <c r="EYA13" s="2" t="n"/>
      <c r="EYB13" s="2" t="n"/>
      <c r="EYC13" s="2" t="n"/>
      <c r="EYD13" s="2" t="n"/>
      <c r="EYE13" s="2" t="n"/>
      <c r="EYF13" s="2" t="n"/>
      <c r="EYG13" s="2" t="n"/>
      <c r="EYH13" s="2" t="n"/>
      <c r="EYI13" s="2" t="n"/>
      <c r="EYJ13" s="2" t="n"/>
      <c r="EYK13" s="2" t="n"/>
      <c r="EYL13" s="2" t="n"/>
      <c r="EYM13" s="2" t="n"/>
      <c r="EYN13" s="2" t="n"/>
      <c r="EYO13" s="2" t="n"/>
      <c r="EYP13" s="2" t="n"/>
      <c r="EYQ13" s="2" t="n"/>
      <c r="EYR13" s="2" t="n"/>
      <c r="EYS13" s="2" t="n"/>
      <c r="EYT13" s="2" t="n"/>
      <c r="EYU13" s="2" t="n"/>
      <c r="EYV13" s="2" t="n"/>
      <c r="EYW13" s="2" t="n"/>
      <c r="EYX13" s="2" t="n"/>
      <c r="EYY13" s="2" t="n"/>
      <c r="EYZ13" s="2" t="n"/>
      <c r="EZA13" s="2" t="n"/>
      <c r="EZB13" s="2" t="n"/>
      <c r="EZC13" s="2" t="n"/>
      <c r="EZD13" s="2" t="n"/>
      <c r="EZE13" s="2" t="n"/>
      <c r="EZF13" s="2" t="n"/>
      <c r="EZG13" s="2" t="n"/>
      <c r="EZH13" s="2" t="n"/>
      <c r="EZI13" s="2" t="n"/>
      <c r="EZJ13" s="2" t="n"/>
      <c r="EZK13" s="2" t="n"/>
      <c r="EZL13" s="2" t="n"/>
      <c r="EZM13" s="2" t="n"/>
      <c r="EZN13" s="2" t="n"/>
      <c r="EZO13" s="2" t="n"/>
      <c r="EZP13" s="2" t="n"/>
      <c r="EZQ13" s="2" t="n"/>
      <c r="EZR13" s="2" t="n"/>
      <c r="EZS13" s="2" t="n"/>
      <c r="EZT13" s="2" t="n"/>
      <c r="EZU13" s="2" t="n"/>
      <c r="EZV13" s="2" t="n"/>
      <c r="EZW13" s="2" t="n"/>
      <c r="EZX13" s="2" t="n"/>
      <c r="EZY13" s="2" t="n"/>
      <c r="EZZ13" s="2" t="n"/>
      <c r="FAA13" s="2" t="n"/>
      <c r="FAB13" s="2" t="n"/>
      <c r="FAC13" s="2" t="n"/>
      <c r="FAD13" s="2" t="n"/>
      <c r="FAE13" s="2" t="n"/>
      <c r="FAF13" s="2" t="n"/>
      <c r="FAG13" s="2" t="n"/>
      <c r="FAH13" s="2" t="n"/>
      <c r="FAI13" s="2" t="n"/>
      <c r="FAJ13" s="2" t="n"/>
      <c r="FAK13" s="2" t="n"/>
      <c r="FAL13" s="2" t="n"/>
      <c r="FAM13" s="2" t="n"/>
      <c r="FAN13" s="2" t="n"/>
      <c r="FAO13" s="2" t="n"/>
      <c r="FAP13" s="2" t="n"/>
      <c r="FAQ13" s="2" t="n"/>
      <c r="FAR13" s="2" t="n"/>
      <c r="FAS13" s="2" t="n"/>
      <c r="FAT13" s="2" t="n"/>
      <c r="FAU13" s="2" t="n"/>
      <c r="FAV13" s="2" t="n"/>
      <c r="FAW13" s="2" t="n"/>
      <c r="FAX13" s="2" t="n"/>
      <c r="FAY13" s="2" t="n"/>
      <c r="FAZ13" s="2" t="n"/>
      <c r="FBA13" s="2" t="n"/>
      <c r="FBB13" s="2" t="n"/>
      <c r="FBC13" s="2" t="n"/>
      <c r="FBD13" s="2" t="n"/>
      <c r="FBE13" s="2" t="n"/>
      <c r="FBF13" s="2" t="n"/>
      <c r="FBG13" s="2" t="n"/>
      <c r="FBH13" s="2" t="n"/>
      <c r="FBI13" s="2" t="n"/>
      <c r="FBJ13" s="2" t="n"/>
      <c r="FBK13" s="2" t="n"/>
      <c r="FBL13" s="2" t="n"/>
      <c r="FBM13" s="2" t="n"/>
      <c r="FBN13" s="2" t="n"/>
      <c r="FBO13" s="2" t="n"/>
      <c r="FBP13" s="2" t="n"/>
      <c r="FBQ13" s="2" t="n"/>
      <c r="FBR13" s="2" t="n"/>
      <c r="FBS13" s="2" t="n"/>
      <c r="FBT13" s="2" t="n"/>
      <c r="FBU13" s="2" t="n"/>
      <c r="FBV13" s="2" t="n"/>
      <c r="FBW13" s="2" t="n"/>
      <c r="FBX13" s="2" t="n"/>
      <c r="FBY13" s="2" t="n"/>
      <c r="FBZ13" s="2" t="n"/>
      <c r="FCA13" s="2" t="n"/>
      <c r="FCB13" s="2" t="n"/>
      <c r="FCC13" s="2" t="n"/>
      <c r="FCD13" s="2" t="n"/>
      <c r="FCE13" s="2" t="n"/>
      <c r="FCF13" s="2" t="n"/>
      <c r="FCG13" s="2" t="n"/>
      <c r="FCH13" s="2" t="n"/>
      <c r="FCI13" s="2" t="n"/>
      <c r="FCJ13" s="2" t="n"/>
      <c r="FCK13" s="2" t="n"/>
      <c r="FCL13" s="2" t="n"/>
      <c r="FCM13" s="2" t="n"/>
      <c r="FCN13" s="2" t="n"/>
      <c r="FCO13" s="2" t="n"/>
      <c r="FCP13" s="2" t="n"/>
      <c r="FCQ13" s="2" t="n"/>
      <c r="FCR13" s="2" t="n"/>
      <c r="FCS13" s="2" t="n"/>
      <c r="FCT13" s="2" t="n"/>
      <c r="FCU13" s="2" t="n"/>
      <c r="FCV13" s="2" t="n"/>
      <c r="FCW13" s="2" t="n"/>
      <c r="FCX13" s="2" t="n"/>
      <c r="FCY13" s="2" t="n"/>
      <c r="FCZ13" s="2" t="n"/>
      <c r="FDA13" s="2" t="n"/>
      <c r="FDB13" s="2" t="n"/>
      <c r="FDC13" s="2" t="n"/>
      <c r="FDD13" s="2" t="n"/>
      <c r="FDE13" s="2" t="n"/>
      <c r="FDF13" s="2" t="n"/>
      <c r="FDG13" s="2" t="n"/>
      <c r="FDH13" s="2" t="n"/>
      <c r="FDI13" s="2" t="n"/>
      <c r="FDJ13" s="2" t="n"/>
      <c r="FDK13" s="2" t="n"/>
      <c r="FDL13" s="2" t="n"/>
      <c r="FDM13" s="2" t="n"/>
      <c r="FDN13" s="2" t="n"/>
      <c r="FDO13" s="2" t="n"/>
      <c r="FDP13" s="2" t="n"/>
      <c r="FDQ13" s="2" t="n"/>
      <c r="FDR13" s="2" t="n"/>
      <c r="FDS13" s="2" t="n"/>
      <c r="FDT13" s="2" t="n"/>
      <c r="FDU13" s="2" t="n"/>
      <c r="FDV13" s="2" t="n"/>
      <c r="FDW13" s="2" t="n"/>
      <c r="FDX13" s="2" t="n"/>
      <c r="FDY13" s="2" t="n"/>
      <c r="FDZ13" s="2" t="n"/>
      <c r="FEA13" s="2" t="n"/>
      <c r="FEB13" s="2" t="n"/>
      <c r="FEC13" s="2" t="n"/>
      <c r="FED13" s="2" t="n"/>
      <c r="FEE13" s="2" t="n"/>
      <c r="FEF13" s="2" t="n"/>
      <c r="FEG13" s="2" t="n"/>
      <c r="FEH13" s="2" t="n"/>
      <c r="FEI13" s="2" t="n"/>
      <c r="FEJ13" s="2" t="n"/>
      <c r="FEK13" s="2" t="n"/>
      <c r="FEL13" s="2" t="n"/>
      <c r="FEM13" s="2" t="n"/>
      <c r="FEN13" s="2" t="n"/>
      <c r="FEO13" s="2" t="n"/>
      <c r="FEP13" s="2" t="n"/>
      <c r="FEQ13" s="2" t="n"/>
      <c r="FER13" s="2" t="n"/>
      <c r="FES13" s="2" t="n"/>
      <c r="FET13" s="2" t="n"/>
      <c r="FEU13" s="2" t="n"/>
      <c r="FEV13" s="2" t="n"/>
      <c r="FEW13" s="2" t="n"/>
      <c r="FEX13" s="2" t="n"/>
      <c r="FEY13" s="2" t="n"/>
      <c r="FEZ13" s="2" t="n"/>
      <c r="FFA13" s="2" t="n"/>
      <c r="FFB13" s="2" t="n"/>
      <c r="FFC13" s="2" t="n"/>
      <c r="FFD13" s="2" t="n"/>
      <c r="FFE13" s="2" t="n"/>
      <c r="FFF13" s="2" t="n"/>
      <c r="FFG13" s="2" t="n"/>
      <c r="FFH13" s="2" t="n"/>
      <c r="FFI13" s="2" t="n"/>
      <c r="FFJ13" s="2" t="n"/>
      <c r="FFK13" s="2" t="n"/>
      <c r="FFL13" s="2" t="n"/>
      <c r="FFM13" s="2" t="n"/>
      <c r="FFN13" s="2" t="n"/>
      <c r="FFO13" s="2" t="n"/>
      <c r="FFP13" s="2" t="n"/>
      <c r="FFQ13" s="2" t="n"/>
      <c r="FFR13" s="2" t="n"/>
      <c r="FFS13" s="2" t="n"/>
      <c r="FFT13" s="2" t="n"/>
      <c r="FFU13" s="2" t="n"/>
      <c r="FFV13" s="2" t="n"/>
      <c r="FFW13" s="2" t="n"/>
      <c r="FFX13" s="2" t="n"/>
      <c r="FFY13" s="2" t="n"/>
      <c r="FFZ13" s="2" t="n"/>
      <c r="FGA13" s="2" t="n"/>
      <c r="FGB13" s="2" t="n"/>
      <c r="FGC13" s="2" t="n"/>
      <c r="FGD13" s="2" t="n"/>
      <c r="FGE13" s="2" t="n"/>
      <c r="FGF13" s="2" t="n"/>
      <c r="FGG13" s="2" t="n"/>
      <c r="FGH13" s="2" t="n"/>
      <c r="FGI13" s="2" t="n"/>
      <c r="FGJ13" s="2" t="n"/>
      <c r="FGK13" s="2" t="n"/>
      <c r="FGL13" s="2" t="n"/>
      <c r="FGM13" s="2" t="n"/>
      <c r="FGN13" s="2" t="n"/>
      <c r="FGO13" s="2" t="n"/>
      <c r="FGP13" s="2" t="n"/>
      <c r="FGQ13" s="2" t="n"/>
      <c r="FGR13" s="2" t="n"/>
      <c r="FGS13" s="2" t="n"/>
      <c r="FGT13" s="2" t="n"/>
      <c r="FGU13" s="2" t="n"/>
      <c r="FGV13" s="2" t="n"/>
      <c r="FGW13" s="2" t="n"/>
      <c r="FGX13" s="2" t="n"/>
      <c r="FGY13" s="2" t="n"/>
      <c r="FGZ13" s="2" t="n"/>
      <c r="FHA13" s="2" t="n"/>
      <c r="FHB13" s="2" t="n"/>
      <c r="FHC13" s="2" t="n"/>
      <c r="FHD13" s="2" t="n"/>
      <c r="FHE13" s="2" t="n"/>
      <c r="FHF13" s="2" t="n"/>
      <c r="FHG13" s="2" t="n"/>
      <c r="FHH13" s="2" t="n"/>
      <c r="FHI13" s="2" t="n"/>
      <c r="FHJ13" s="2" t="n"/>
      <c r="FHK13" s="2" t="n"/>
      <c r="FHL13" s="2" t="n"/>
      <c r="FHM13" s="2" t="n"/>
      <c r="FHN13" s="2" t="n"/>
      <c r="FHO13" s="2" t="n"/>
      <c r="FHP13" s="2" t="n"/>
      <c r="FHQ13" s="2" t="n"/>
      <c r="FHR13" s="2" t="n"/>
      <c r="FHS13" s="2" t="n"/>
      <c r="FHT13" s="2" t="n"/>
      <c r="FHU13" s="2" t="n"/>
      <c r="FHV13" s="2" t="n"/>
      <c r="FHW13" s="2" t="n"/>
      <c r="FHX13" s="2" t="n"/>
      <c r="FHY13" s="2" t="n"/>
      <c r="FHZ13" s="2" t="n"/>
      <c r="FIA13" s="2" t="n"/>
      <c r="FIB13" s="2" t="n"/>
      <c r="FIC13" s="2" t="n"/>
      <c r="FID13" s="2" t="n"/>
      <c r="FIE13" s="2" t="n"/>
      <c r="FIF13" s="2" t="n"/>
      <c r="FIG13" s="2" t="n"/>
      <c r="FIH13" s="2" t="n"/>
      <c r="FII13" s="2" t="n"/>
      <c r="FIJ13" s="2" t="n"/>
      <c r="FIK13" s="2" t="n"/>
      <c r="FIL13" s="2" t="n"/>
      <c r="FIM13" s="2" t="n"/>
      <c r="FIN13" s="2" t="n"/>
      <c r="FIO13" s="2" t="n"/>
      <c r="FIP13" s="2" t="n"/>
      <c r="FIQ13" s="2" t="n"/>
      <c r="FIR13" s="2" t="n"/>
      <c r="FIS13" s="2" t="n"/>
      <c r="FIT13" s="2" t="n"/>
      <c r="FIU13" s="2" t="n"/>
      <c r="FIV13" s="2" t="n"/>
      <c r="FIW13" s="2" t="n"/>
      <c r="FIX13" s="2" t="n"/>
      <c r="FIY13" s="2" t="n"/>
      <c r="FIZ13" s="2" t="n"/>
      <c r="FJA13" s="2" t="n"/>
      <c r="FJB13" s="2" t="n"/>
      <c r="FJC13" s="2" t="n"/>
      <c r="FJD13" s="2" t="n"/>
      <c r="FJE13" s="2" t="n"/>
      <c r="FJF13" s="2" t="n"/>
      <c r="FJG13" s="2" t="n"/>
      <c r="FJH13" s="2" t="n"/>
      <c r="FJI13" s="2" t="n"/>
      <c r="FJJ13" s="2" t="n"/>
      <c r="FJK13" s="2" t="n"/>
      <c r="FJL13" s="2" t="n"/>
      <c r="FJM13" s="2" t="n"/>
      <c r="FJN13" s="2" t="n"/>
      <c r="FJO13" s="2" t="n"/>
      <c r="FJP13" s="2" t="n"/>
      <c r="FJQ13" s="2" t="n"/>
      <c r="FJR13" s="2" t="n"/>
      <c r="FJS13" s="2" t="n"/>
      <c r="FJT13" s="2" t="n"/>
      <c r="FJU13" s="2" t="n"/>
      <c r="FJV13" s="2" t="n"/>
      <c r="FJW13" s="2" t="n"/>
      <c r="FJX13" s="2" t="n"/>
      <c r="FJY13" s="2" t="n"/>
      <c r="FJZ13" s="2" t="n"/>
      <c r="FKA13" s="2" t="n"/>
      <c r="FKB13" s="2" t="n"/>
      <c r="FKC13" s="2" t="n"/>
      <c r="FKD13" s="2" t="n"/>
      <c r="FKE13" s="2" t="n"/>
      <c r="FKF13" s="2" t="n"/>
      <c r="FKG13" s="2" t="n"/>
      <c r="FKH13" s="2" t="n"/>
      <c r="FKI13" s="2" t="n"/>
      <c r="FKJ13" s="2" t="n"/>
      <c r="FKK13" s="2" t="n"/>
      <c r="FKL13" s="2" t="n"/>
      <c r="FKM13" s="2" t="n"/>
      <c r="FKN13" s="2" t="n"/>
      <c r="FKO13" s="2" t="n"/>
      <c r="FKP13" s="2" t="n"/>
      <c r="FKQ13" s="2" t="n"/>
      <c r="FKR13" s="2" t="n"/>
      <c r="FKS13" s="2" t="n"/>
      <c r="FKT13" s="2" t="n"/>
      <c r="FKU13" s="2" t="n"/>
      <c r="FKV13" s="2" t="n"/>
      <c r="FKW13" s="2" t="n"/>
      <c r="FKX13" s="2" t="n"/>
      <c r="FKY13" s="2" t="n"/>
      <c r="FKZ13" s="2" t="n"/>
      <c r="FLA13" s="2" t="n"/>
      <c r="FLB13" s="2" t="n"/>
      <c r="FLC13" s="2" t="n"/>
      <c r="FLD13" s="2" t="n"/>
      <c r="FLE13" s="2" t="n"/>
      <c r="FLF13" s="2" t="n"/>
      <c r="FLG13" s="2" t="n"/>
      <c r="FLH13" s="2" t="n"/>
      <c r="FLI13" s="2" t="n"/>
      <c r="FLJ13" s="2" t="n"/>
      <c r="FLK13" s="2" t="n"/>
      <c r="FLL13" s="2" t="n"/>
      <c r="FLM13" s="2" t="n"/>
      <c r="FLN13" s="2" t="n"/>
      <c r="FLO13" s="2" t="n"/>
      <c r="FLP13" s="2" t="n"/>
      <c r="FLQ13" s="2" t="n"/>
      <c r="FLR13" s="2" t="n"/>
      <c r="FLS13" s="2" t="n"/>
      <c r="FLT13" s="2" t="n"/>
      <c r="FLU13" s="2" t="n"/>
      <c r="FLV13" s="2" t="n"/>
      <c r="FLW13" s="2" t="n"/>
      <c r="FLX13" s="2" t="n"/>
      <c r="FLY13" s="2" t="n"/>
      <c r="FLZ13" s="2" t="n"/>
      <c r="FMA13" s="2" t="n"/>
      <c r="FMB13" s="2" t="n"/>
      <c r="FMC13" s="2" t="n"/>
      <c r="FMD13" s="2" t="n"/>
      <c r="FME13" s="2" t="n"/>
      <c r="FMF13" s="2" t="n"/>
      <c r="FMG13" s="2" t="n"/>
      <c r="FMH13" s="2" t="n"/>
      <c r="FMI13" s="2" t="n"/>
      <c r="FMJ13" s="2" t="n"/>
      <c r="FMK13" s="2" t="n"/>
      <c r="FML13" s="2" t="n"/>
      <c r="FMM13" s="2" t="n"/>
      <c r="FMN13" s="2" t="n"/>
      <c r="FMO13" s="2" t="n"/>
      <c r="FMP13" s="2" t="n"/>
      <c r="FMQ13" s="2" t="n"/>
      <c r="FMR13" s="2" t="n"/>
      <c r="FMS13" s="2" t="n"/>
      <c r="FMT13" s="2" t="n"/>
      <c r="FMU13" s="2" t="n"/>
      <c r="FMV13" s="2" t="n"/>
      <c r="FMW13" s="2" t="n"/>
      <c r="FMX13" s="2" t="n"/>
      <c r="FMY13" s="2" t="n"/>
      <c r="FMZ13" s="2" t="n"/>
      <c r="FNA13" s="2" t="n"/>
      <c r="FNB13" s="2" t="n"/>
      <c r="FNC13" s="2" t="n"/>
      <c r="FND13" s="2" t="n"/>
      <c r="FNE13" s="2" t="n"/>
      <c r="FNF13" s="2" t="n"/>
      <c r="FNG13" s="2" t="n"/>
      <c r="FNH13" s="2" t="n"/>
      <c r="FNI13" s="2" t="n"/>
      <c r="FNJ13" s="2" t="n"/>
      <c r="FNK13" s="2" t="n"/>
      <c r="FNL13" s="2" t="n"/>
      <c r="FNM13" s="2" t="n"/>
      <c r="FNN13" s="2" t="n"/>
      <c r="FNO13" s="2" t="n"/>
      <c r="FNP13" s="2" t="n"/>
      <c r="FNQ13" s="2" t="n"/>
      <c r="FNR13" s="2" t="n"/>
      <c r="FNS13" s="2" t="n"/>
      <c r="FNT13" s="2" t="n"/>
      <c r="FNU13" s="2" t="n"/>
      <c r="FNV13" s="2" t="n"/>
      <c r="FNW13" s="2" t="n"/>
      <c r="FNX13" s="2" t="n"/>
      <c r="FNY13" s="2" t="n"/>
      <c r="FNZ13" s="2" t="n"/>
      <c r="FOA13" s="2" t="n"/>
      <c r="FOB13" s="2" t="n"/>
      <c r="FOC13" s="2" t="n"/>
      <c r="FOD13" s="2" t="n"/>
      <c r="FOE13" s="2" t="n"/>
      <c r="FOF13" s="2" t="n"/>
      <c r="FOG13" s="2" t="n"/>
      <c r="FOH13" s="2" t="n"/>
      <c r="FOI13" s="2" t="n"/>
      <c r="FOJ13" s="2" t="n"/>
      <c r="FOK13" s="2" t="n"/>
      <c r="FOL13" s="2" t="n"/>
      <c r="FOM13" s="2" t="n"/>
      <c r="FON13" s="2" t="n"/>
      <c r="FOO13" s="2" t="n"/>
      <c r="FOP13" s="2" t="n"/>
      <c r="FOQ13" s="2" t="n"/>
      <c r="FOR13" s="2" t="n"/>
      <c r="FOS13" s="2" t="n"/>
      <c r="FOT13" s="2" t="n"/>
      <c r="FOU13" s="2" t="n"/>
      <c r="FOV13" s="2" t="n"/>
      <c r="FOW13" s="2" t="n"/>
      <c r="FOX13" s="2" t="n"/>
      <c r="FOY13" s="2" t="n"/>
      <c r="FOZ13" s="2" t="n"/>
      <c r="FPA13" s="2" t="n"/>
      <c r="FPB13" s="2" t="n"/>
      <c r="FPC13" s="2" t="n"/>
      <c r="FPD13" s="2" t="n"/>
      <c r="FPE13" s="2" t="n"/>
      <c r="FPF13" s="2" t="n"/>
      <c r="FPG13" s="2" t="n"/>
      <c r="FPH13" s="2" t="n"/>
      <c r="FPI13" s="2" t="n"/>
      <c r="FPJ13" s="2" t="n"/>
      <c r="FPK13" s="2" t="n"/>
      <c r="FPL13" s="2" t="n"/>
      <c r="FPM13" s="2" t="n"/>
      <c r="FPN13" s="2" t="n"/>
      <c r="FPO13" s="2" t="n"/>
      <c r="FPP13" s="2" t="n"/>
      <c r="FPQ13" s="2" t="n"/>
      <c r="FPR13" s="2" t="n"/>
      <c r="FPS13" s="2" t="n"/>
      <c r="FPT13" s="2" t="n"/>
      <c r="FPU13" s="2" t="n"/>
      <c r="FPV13" s="2" t="n"/>
      <c r="FPW13" s="2" t="n"/>
      <c r="FPX13" s="2" t="n"/>
      <c r="FPY13" s="2" t="n"/>
      <c r="FPZ13" s="2" t="n"/>
      <c r="FQA13" s="2" t="n"/>
      <c r="FQB13" s="2" t="n"/>
      <c r="FQC13" s="2" t="n"/>
      <c r="FQD13" s="2" t="n"/>
      <c r="FQE13" s="2" t="n"/>
      <c r="FQF13" s="2" t="n"/>
      <c r="FQG13" s="2" t="n"/>
      <c r="FQH13" s="2" t="n"/>
      <c r="FQI13" s="2" t="n"/>
      <c r="FQJ13" s="2" t="n"/>
      <c r="FQK13" s="2" t="n"/>
      <c r="FQL13" s="2" t="n"/>
      <c r="FQM13" s="2" t="n"/>
      <c r="FQN13" s="2" t="n"/>
      <c r="FQO13" s="2" t="n"/>
      <c r="FQP13" s="2" t="n"/>
      <c r="FQQ13" s="2" t="n"/>
      <c r="FQR13" s="2" t="n"/>
      <c r="FQS13" s="2" t="n"/>
      <c r="FQT13" s="2" t="n"/>
      <c r="FQU13" s="2" t="n"/>
      <c r="FQV13" s="2" t="n"/>
      <c r="FQW13" s="2" t="n"/>
      <c r="FQX13" s="2" t="n"/>
      <c r="FQY13" s="2" t="n"/>
      <c r="FQZ13" s="2" t="n"/>
      <c r="FRA13" s="2" t="n"/>
      <c r="FRB13" s="2" t="n"/>
      <c r="FRC13" s="2" t="n"/>
      <c r="FRD13" s="2" t="n"/>
      <c r="FRE13" s="2" t="n"/>
      <c r="FRF13" s="2" t="n"/>
      <c r="FRG13" s="2" t="n"/>
      <c r="FRH13" s="2" t="n"/>
      <c r="FRI13" s="2" t="n"/>
      <c r="FRJ13" s="2" t="n"/>
      <c r="FRK13" s="2" t="n"/>
      <c r="FRL13" s="2" t="n"/>
      <c r="FRM13" s="2" t="n"/>
      <c r="FRN13" s="2" t="n"/>
      <c r="FRO13" s="2" t="n"/>
      <c r="FRP13" s="2" t="n"/>
      <c r="FRQ13" s="2" t="n"/>
      <c r="FRR13" s="2" t="n"/>
      <c r="FRS13" s="2" t="n"/>
      <c r="FRT13" s="2" t="n"/>
      <c r="FRU13" s="2" t="n"/>
      <c r="FRV13" s="2" t="n"/>
      <c r="FRW13" s="2" t="n"/>
      <c r="FRX13" s="2" t="n"/>
      <c r="FRY13" s="2" t="n"/>
      <c r="FRZ13" s="2" t="n"/>
      <c r="FSA13" s="2" t="n"/>
      <c r="FSB13" s="2" t="n"/>
      <c r="FSC13" s="2" t="n"/>
      <c r="FSD13" s="2" t="n"/>
      <c r="FSE13" s="2" t="n"/>
      <c r="FSF13" s="2" t="n"/>
      <c r="FSG13" s="2" t="n"/>
      <c r="FSH13" s="2" t="n"/>
      <c r="FSI13" s="2" t="n"/>
      <c r="FSJ13" s="2" t="n"/>
      <c r="FSK13" s="2" t="n"/>
      <c r="FSL13" s="2" t="n"/>
      <c r="FSM13" s="2" t="n"/>
      <c r="FSN13" s="2" t="n"/>
      <c r="FSO13" s="2" t="n"/>
      <c r="FSP13" s="2" t="n"/>
      <c r="FSQ13" s="2" t="n"/>
      <c r="FSR13" s="2" t="n"/>
      <c r="FSS13" s="2" t="n"/>
      <c r="FST13" s="2" t="n"/>
      <c r="FSU13" s="2" t="n"/>
      <c r="FSV13" s="2" t="n"/>
      <c r="FSW13" s="2" t="n"/>
      <c r="FSX13" s="2" t="n"/>
      <c r="FSY13" s="2" t="n"/>
      <c r="FSZ13" s="2" t="n"/>
      <c r="FTA13" s="2" t="n"/>
      <c r="FTB13" s="2" t="n"/>
      <c r="FTC13" s="2" t="n"/>
      <c r="FTD13" s="2" t="n"/>
      <c r="FTE13" s="2" t="n"/>
      <c r="FTF13" s="2" t="n"/>
      <c r="FTG13" s="2" t="n"/>
      <c r="FTH13" s="2" t="n"/>
      <c r="FTI13" s="2" t="n"/>
      <c r="FTJ13" s="2" t="n"/>
      <c r="FTK13" s="2" t="n"/>
      <c r="FTL13" s="2" t="n"/>
      <c r="FTM13" s="2" t="n"/>
      <c r="FTN13" s="2" t="n"/>
      <c r="FTO13" s="2" t="n"/>
      <c r="FTP13" s="2" t="n"/>
      <c r="FTQ13" s="2" t="n"/>
      <c r="FTR13" s="2" t="n"/>
      <c r="FTS13" s="2" t="n"/>
      <c r="FTT13" s="2" t="n"/>
      <c r="FTU13" s="2" t="n"/>
      <c r="FTV13" s="2" t="n"/>
      <c r="FTW13" s="2" t="n"/>
      <c r="FTX13" s="2" t="n"/>
      <c r="FTY13" s="2" t="n"/>
      <c r="FTZ13" s="2" t="n"/>
      <c r="FUA13" s="2" t="n"/>
      <c r="FUB13" s="2" t="n"/>
      <c r="FUC13" s="2" t="n"/>
      <c r="FUD13" s="2" t="n"/>
      <c r="FUE13" s="2" t="n"/>
      <c r="FUF13" s="2" t="n"/>
      <c r="FUG13" s="2" t="n"/>
      <c r="FUH13" s="2" t="n"/>
      <c r="FUI13" s="2" t="n"/>
      <c r="FUJ13" s="2" t="n"/>
      <c r="FUK13" s="2" t="n"/>
      <c r="FUL13" s="2" t="n"/>
      <c r="FUM13" s="2" t="n"/>
      <c r="FUN13" s="2" t="n"/>
      <c r="FUO13" s="2" t="n"/>
      <c r="FUP13" s="2" t="n"/>
      <c r="FUQ13" s="2" t="n"/>
      <c r="FUR13" s="2" t="n"/>
      <c r="FUS13" s="2" t="n"/>
      <c r="FUT13" s="2" t="n"/>
      <c r="FUU13" s="2" t="n"/>
      <c r="FUV13" s="2" t="n"/>
      <c r="FUW13" s="2" t="n"/>
      <c r="FUX13" s="2" t="n"/>
      <c r="FUY13" s="2" t="n"/>
      <c r="FUZ13" s="2" t="n"/>
      <c r="FVA13" s="2" t="n"/>
      <c r="FVB13" s="2" t="n"/>
      <c r="FVC13" s="2" t="n"/>
      <c r="FVD13" s="2" t="n"/>
      <c r="FVE13" s="2" t="n"/>
      <c r="FVF13" s="2" t="n"/>
      <c r="FVG13" s="2" t="n"/>
      <c r="FVH13" s="2" t="n"/>
      <c r="FVI13" s="2" t="n"/>
      <c r="FVJ13" s="2" t="n"/>
      <c r="FVK13" s="2" t="n"/>
      <c r="FVL13" s="2" t="n"/>
      <c r="FVM13" s="2" t="n"/>
      <c r="FVN13" s="2" t="n"/>
      <c r="FVO13" s="2" t="n"/>
      <c r="FVP13" s="2" t="n"/>
      <c r="FVQ13" s="2" t="n"/>
      <c r="FVR13" s="2" t="n"/>
      <c r="FVS13" s="2" t="n"/>
      <c r="FVT13" s="2" t="n"/>
      <c r="FVU13" s="2" t="n"/>
      <c r="FVV13" s="2" t="n"/>
      <c r="FVW13" s="2" t="n"/>
      <c r="FVX13" s="2" t="n"/>
      <c r="FVY13" s="2" t="n"/>
      <c r="FVZ13" s="2" t="n"/>
      <c r="FWA13" s="2" t="n"/>
      <c r="FWB13" s="2" t="n"/>
      <c r="FWC13" s="2" t="n"/>
      <c r="FWD13" s="2" t="n"/>
      <c r="FWE13" s="2" t="n"/>
      <c r="FWF13" s="2" t="n"/>
      <c r="FWG13" s="2" t="n"/>
      <c r="FWH13" s="2" t="n"/>
      <c r="FWI13" s="2" t="n"/>
      <c r="FWJ13" s="2" t="n"/>
      <c r="FWK13" s="2" t="n"/>
      <c r="FWL13" s="2" t="n"/>
      <c r="FWM13" s="2" t="n"/>
      <c r="FWN13" s="2" t="n"/>
      <c r="FWO13" s="2" t="n"/>
      <c r="FWP13" s="2" t="n"/>
      <c r="FWQ13" s="2" t="n"/>
      <c r="FWR13" s="2" t="n"/>
      <c r="FWS13" s="2" t="n"/>
      <c r="FWT13" s="2" t="n"/>
      <c r="FWU13" s="2" t="n"/>
      <c r="FWV13" s="2" t="n"/>
      <c r="FWW13" s="2" t="n"/>
      <c r="FWX13" s="2" t="n"/>
      <c r="FWY13" s="2" t="n"/>
      <c r="FWZ13" s="2" t="n"/>
      <c r="FXA13" s="2" t="n"/>
      <c r="FXB13" s="2" t="n"/>
      <c r="FXC13" s="2" t="n"/>
      <c r="FXD13" s="2" t="n"/>
      <c r="FXE13" s="2" t="n"/>
      <c r="FXF13" s="2" t="n"/>
      <c r="FXG13" s="2" t="n"/>
      <c r="FXH13" s="2" t="n"/>
      <c r="FXI13" s="2" t="n"/>
      <c r="FXJ13" s="2" t="n"/>
      <c r="FXK13" s="2" t="n"/>
      <c r="FXL13" s="2" t="n"/>
      <c r="FXM13" s="2" t="n"/>
      <c r="FXN13" s="2" t="n"/>
      <c r="FXO13" s="2" t="n"/>
      <c r="FXP13" s="2" t="n"/>
      <c r="FXQ13" s="2" t="n"/>
      <c r="FXR13" s="2" t="n"/>
      <c r="FXS13" s="2" t="n"/>
      <c r="FXT13" s="2" t="n"/>
      <c r="FXU13" s="2" t="n"/>
      <c r="FXV13" s="2" t="n"/>
      <c r="FXW13" s="2" t="n"/>
      <c r="FXX13" s="2" t="n"/>
      <c r="FXY13" s="2" t="n"/>
      <c r="FXZ13" s="2" t="n"/>
      <c r="FYA13" s="2" t="n"/>
      <c r="FYB13" s="2" t="n"/>
      <c r="FYC13" s="2" t="n"/>
      <c r="FYD13" s="2" t="n"/>
      <c r="FYE13" s="2" t="n"/>
      <c r="FYF13" s="2" t="n"/>
      <c r="FYG13" s="2" t="n"/>
      <c r="FYH13" s="2" t="n"/>
      <c r="FYI13" s="2" t="n"/>
      <c r="FYJ13" s="2" t="n"/>
      <c r="FYK13" s="2" t="n"/>
      <c r="FYL13" s="2" t="n"/>
      <c r="FYM13" s="2" t="n"/>
      <c r="FYN13" s="2" t="n"/>
      <c r="FYO13" s="2" t="n"/>
      <c r="FYP13" s="2" t="n"/>
      <c r="FYQ13" s="2" t="n"/>
      <c r="FYR13" s="2" t="n"/>
      <c r="FYS13" s="2" t="n"/>
      <c r="FYT13" s="2" t="n"/>
      <c r="FYU13" s="2" t="n"/>
      <c r="FYV13" s="2" t="n"/>
      <c r="FYW13" s="2" t="n"/>
      <c r="FYX13" s="2" t="n"/>
      <c r="FYY13" s="2" t="n"/>
      <c r="FYZ13" s="2" t="n"/>
      <c r="FZA13" s="2" t="n"/>
      <c r="FZB13" s="2" t="n"/>
      <c r="FZC13" s="2" t="n"/>
      <c r="FZD13" s="2" t="n"/>
      <c r="FZE13" s="2" t="n"/>
      <c r="FZF13" s="2" t="n"/>
      <c r="FZG13" s="2" t="n"/>
      <c r="FZH13" s="2" t="n"/>
      <c r="FZI13" s="2" t="n"/>
      <c r="FZJ13" s="2" t="n"/>
      <c r="FZK13" s="2" t="n"/>
      <c r="FZL13" s="2" t="n"/>
      <c r="FZM13" s="2" t="n"/>
      <c r="FZN13" s="2" t="n"/>
      <c r="FZO13" s="2" t="n"/>
      <c r="FZP13" s="2" t="n"/>
      <c r="FZQ13" s="2" t="n"/>
      <c r="FZR13" s="2" t="n"/>
      <c r="FZS13" s="2" t="n"/>
      <c r="FZT13" s="2" t="n"/>
      <c r="FZU13" s="2" t="n"/>
      <c r="FZV13" s="2" t="n"/>
      <c r="FZW13" s="2" t="n"/>
      <c r="FZX13" s="2" t="n"/>
      <c r="FZY13" s="2" t="n"/>
      <c r="FZZ13" s="2" t="n"/>
      <c r="GAA13" s="2" t="n"/>
      <c r="GAB13" s="2" t="n"/>
      <c r="GAC13" s="2" t="n"/>
      <c r="GAD13" s="2" t="n"/>
      <c r="GAE13" s="2" t="n"/>
      <c r="GAF13" s="2" t="n"/>
      <c r="GAG13" s="2" t="n"/>
      <c r="GAH13" s="2" t="n"/>
      <c r="GAI13" s="2" t="n"/>
      <c r="GAJ13" s="2" t="n"/>
      <c r="GAK13" s="2" t="n"/>
      <c r="GAL13" s="2" t="n"/>
      <c r="GAM13" s="2" t="n"/>
      <c r="GAN13" s="2" t="n"/>
      <c r="GAO13" s="2" t="n"/>
      <c r="GAP13" s="2" t="n"/>
      <c r="GAQ13" s="2" t="n"/>
      <c r="GAR13" s="2" t="n"/>
      <c r="GAS13" s="2" t="n"/>
      <c r="GAT13" s="2" t="n"/>
      <c r="GAU13" s="2" t="n"/>
      <c r="GAV13" s="2" t="n"/>
      <c r="GAW13" s="2" t="n"/>
      <c r="GAX13" s="2" t="n"/>
      <c r="GAY13" s="2" t="n"/>
      <c r="GAZ13" s="2" t="n"/>
      <c r="GBA13" s="2" t="n"/>
      <c r="GBB13" s="2" t="n"/>
      <c r="GBC13" s="2" t="n"/>
      <c r="GBD13" s="2" t="n"/>
      <c r="GBE13" s="2" t="n"/>
      <c r="GBF13" s="2" t="n"/>
      <c r="GBG13" s="2" t="n"/>
      <c r="GBH13" s="2" t="n"/>
      <c r="GBI13" s="2" t="n"/>
      <c r="GBJ13" s="2" t="n"/>
      <c r="GBK13" s="2" t="n"/>
      <c r="GBL13" s="2" t="n"/>
      <c r="GBM13" s="2" t="n"/>
      <c r="GBN13" s="2" t="n"/>
      <c r="GBO13" s="2" t="n"/>
      <c r="GBP13" s="2" t="n"/>
      <c r="GBQ13" s="2" t="n"/>
      <c r="GBR13" s="2" t="n"/>
      <c r="GBS13" s="2" t="n"/>
      <c r="GBT13" s="2" t="n"/>
      <c r="GBU13" s="2" t="n"/>
      <c r="GBV13" s="2" t="n"/>
      <c r="GBW13" s="2" t="n"/>
      <c r="GBX13" s="2" t="n"/>
      <c r="GBY13" s="2" t="n"/>
      <c r="GBZ13" s="2" t="n"/>
      <c r="GCA13" s="2" t="n"/>
      <c r="GCB13" s="2" t="n"/>
      <c r="GCC13" s="2" t="n"/>
      <c r="GCD13" s="2" t="n"/>
      <c r="GCE13" s="2" t="n"/>
      <c r="GCF13" s="2" t="n"/>
      <c r="GCG13" s="2" t="n"/>
      <c r="GCH13" s="2" t="n"/>
      <c r="GCI13" s="2" t="n"/>
      <c r="GCJ13" s="2" t="n"/>
      <c r="GCK13" s="2" t="n"/>
      <c r="GCL13" s="2" t="n"/>
      <c r="GCM13" s="2" t="n"/>
      <c r="GCN13" s="2" t="n"/>
      <c r="GCO13" s="2" t="n"/>
      <c r="GCP13" s="2" t="n"/>
      <c r="GCQ13" s="2" t="n"/>
      <c r="GCR13" s="2" t="n"/>
      <c r="GCS13" s="2" t="n"/>
      <c r="GCT13" s="2" t="n"/>
      <c r="GCU13" s="2" t="n"/>
      <c r="GCV13" s="2" t="n"/>
      <c r="GCW13" s="2" t="n"/>
      <c r="GCX13" s="2" t="n"/>
      <c r="GCY13" s="2" t="n"/>
      <c r="GCZ13" s="2" t="n"/>
      <c r="GDA13" s="2" t="n"/>
      <c r="GDB13" s="2" t="n"/>
      <c r="GDC13" s="2" t="n"/>
      <c r="GDD13" s="2" t="n"/>
      <c r="GDE13" s="2" t="n"/>
      <c r="GDF13" s="2" t="n"/>
      <c r="GDG13" s="2" t="n"/>
      <c r="GDH13" s="2" t="n"/>
      <c r="GDI13" s="2" t="n"/>
      <c r="GDJ13" s="2" t="n"/>
      <c r="GDK13" s="2" t="n"/>
      <c r="GDL13" s="2" t="n"/>
      <c r="GDM13" s="2" t="n"/>
      <c r="GDN13" s="2" t="n"/>
      <c r="GDO13" s="2" t="n"/>
      <c r="GDP13" s="2" t="n"/>
      <c r="GDQ13" s="2" t="n"/>
      <c r="GDR13" s="2" t="n"/>
      <c r="GDS13" s="2" t="n"/>
      <c r="GDT13" s="2" t="n"/>
      <c r="GDU13" s="2" t="n"/>
      <c r="GDV13" s="2" t="n"/>
      <c r="GDW13" s="2" t="n"/>
      <c r="GDX13" s="2" t="n"/>
      <c r="GDY13" s="2" t="n"/>
      <c r="GDZ13" s="2" t="n"/>
      <c r="GEA13" s="2" t="n"/>
      <c r="GEB13" s="2" t="n"/>
      <c r="GEC13" s="2" t="n"/>
      <c r="GED13" s="2" t="n"/>
      <c r="GEE13" s="2" t="n"/>
      <c r="GEF13" s="2" t="n"/>
      <c r="GEG13" s="2" t="n"/>
      <c r="GEH13" s="2" t="n"/>
      <c r="GEI13" s="2" t="n"/>
      <c r="GEJ13" s="2" t="n"/>
      <c r="GEK13" s="2" t="n"/>
      <c r="GEL13" s="2" t="n"/>
      <c r="GEM13" s="2" t="n"/>
      <c r="GEN13" s="2" t="n"/>
      <c r="GEO13" s="2" t="n"/>
      <c r="GEP13" s="2" t="n"/>
      <c r="GEQ13" s="2" t="n"/>
      <c r="GER13" s="2" t="n"/>
      <c r="GES13" s="2" t="n"/>
      <c r="GET13" s="2" t="n"/>
      <c r="GEU13" s="2" t="n"/>
      <c r="GEV13" s="2" t="n"/>
      <c r="GEW13" s="2" t="n"/>
      <c r="GEX13" s="2" t="n"/>
      <c r="GEY13" s="2" t="n"/>
      <c r="GEZ13" s="2" t="n"/>
      <c r="GFA13" s="2" t="n"/>
      <c r="GFB13" s="2" t="n"/>
      <c r="GFC13" s="2" t="n"/>
      <c r="GFD13" s="2" t="n"/>
      <c r="GFE13" s="2" t="n"/>
      <c r="GFF13" s="2" t="n"/>
      <c r="GFG13" s="2" t="n"/>
      <c r="GFH13" s="2" t="n"/>
      <c r="GFI13" s="2" t="n"/>
      <c r="GFJ13" s="2" t="n"/>
      <c r="GFK13" s="2" t="n"/>
      <c r="GFL13" s="2" t="n"/>
      <c r="GFM13" s="2" t="n"/>
      <c r="GFN13" s="2" t="n"/>
      <c r="GFO13" s="2" t="n"/>
      <c r="GFP13" s="2" t="n"/>
      <c r="GFQ13" s="2" t="n"/>
      <c r="GFR13" s="2" t="n"/>
      <c r="GFS13" s="2" t="n"/>
      <c r="GFT13" s="2" t="n"/>
      <c r="GFU13" s="2" t="n"/>
      <c r="GFV13" s="2" t="n"/>
      <c r="GFW13" s="2" t="n"/>
      <c r="GFX13" s="2" t="n"/>
      <c r="GFY13" s="2" t="n"/>
      <c r="GFZ13" s="2" t="n"/>
      <c r="GGA13" s="2" t="n"/>
      <c r="GGB13" s="2" t="n"/>
      <c r="GGC13" s="2" t="n"/>
      <c r="GGD13" s="2" t="n"/>
      <c r="GGE13" s="2" t="n"/>
      <c r="GGF13" s="2" t="n"/>
      <c r="GGG13" s="2" t="n"/>
      <c r="GGH13" s="2" t="n"/>
      <c r="GGI13" s="2" t="n"/>
      <c r="GGJ13" s="2" t="n"/>
      <c r="GGK13" s="2" t="n"/>
      <c r="GGL13" s="2" t="n"/>
      <c r="GGM13" s="2" t="n"/>
      <c r="GGN13" s="2" t="n"/>
      <c r="GGO13" s="2" t="n"/>
      <c r="GGP13" s="2" t="n"/>
      <c r="GGQ13" s="2" t="n"/>
      <c r="GGR13" s="2" t="n"/>
      <c r="GGS13" s="2" t="n"/>
      <c r="GGT13" s="2" t="n"/>
      <c r="GGU13" s="2" t="n"/>
      <c r="GGV13" s="2" t="n"/>
      <c r="GGW13" s="2" t="n"/>
      <c r="GGX13" s="2" t="n"/>
      <c r="GGY13" s="2" t="n"/>
      <c r="GGZ13" s="2" t="n"/>
      <c r="GHA13" s="2" t="n"/>
      <c r="GHB13" s="2" t="n"/>
      <c r="GHC13" s="2" t="n"/>
      <c r="GHD13" s="2" t="n"/>
      <c r="GHE13" s="2" t="n"/>
      <c r="GHF13" s="2" t="n"/>
      <c r="GHG13" s="2" t="n"/>
      <c r="GHH13" s="2" t="n"/>
      <c r="GHI13" s="2" t="n"/>
      <c r="GHJ13" s="2" t="n"/>
      <c r="GHK13" s="2" t="n"/>
      <c r="GHL13" s="2" t="n"/>
      <c r="GHM13" s="2" t="n"/>
      <c r="GHN13" s="2" t="n"/>
      <c r="GHO13" s="2" t="n"/>
      <c r="GHP13" s="2" t="n"/>
      <c r="GHQ13" s="2" t="n"/>
      <c r="GHR13" s="2" t="n"/>
      <c r="GHS13" s="2" t="n"/>
      <c r="GHT13" s="2" t="n"/>
      <c r="GHU13" s="2" t="n"/>
      <c r="GHV13" s="2" t="n"/>
      <c r="GHW13" s="2" t="n"/>
      <c r="GHX13" s="2" t="n"/>
      <c r="GHY13" s="2" t="n"/>
      <c r="GHZ13" s="2" t="n"/>
      <c r="GIA13" s="2" t="n"/>
      <c r="GIB13" s="2" t="n"/>
      <c r="GIC13" s="2" t="n"/>
      <c r="GID13" s="2" t="n"/>
      <c r="GIE13" s="2" t="n"/>
      <c r="GIF13" s="2" t="n"/>
      <c r="GIG13" s="2" t="n"/>
      <c r="GIH13" s="2" t="n"/>
      <c r="GII13" s="2" t="n"/>
      <c r="GIJ13" s="2" t="n"/>
      <c r="GIK13" s="2" t="n"/>
      <c r="GIL13" s="2" t="n"/>
      <c r="GIM13" s="2" t="n"/>
      <c r="GIN13" s="2" t="n"/>
      <c r="GIO13" s="2" t="n"/>
      <c r="GIP13" s="2" t="n"/>
      <c r="GIQ13" s="2" t="n"/>
      <c r="GIR13" s="2" t="n"/>
      <c r="GIS13" s="2" t="n"/>
      <c r="GIT13" s="2" t="n"/>
      <c r="GIU13" s="2" t="n"/>
      <c r="GIV13" s="2" t="n"/>
      <c r="GIW13" s="2" t="n"/>
      <c r="GIX13" s="2" t="n"/>
      <c r="GIY13" s="2" t="n"/>
      <c r="GIZ13" s="2" t="n"/>
      <c r="GJA13" s="2" t="n"/>
      <c r="GJB13" s="2" t="n"/>
      <c r="GJC13" s="2" t="n"/>
      <c r="GJD13" s="2" t="n"/>
      <c r="GJE13" s="2" t="n"/>
      <c r="GJF13" s="2" t="n"/>
      <c r="GJG13" s="2" t="n"/>
      <c r="GJH13" s="2" t="n"/>
      <c r="GJI13" s="2" t="n"/>
      <c r="GJJ13" s="2" t="n"/>
      <c r="GJK13" s="2" t="n"/>
      <c r="GJL13" s="2" t="n"/>
      <c r="GJM13" s="2" t="n"/>
      <c r="GJN13" s="2" t="n"/>
      <c r="GJO13" s="2" t="n"/>
      <c r="GJP13" s="2" t="n"/>
      <c r="GJQ13" s="2" t="n"/>
      <c r="GJR13" s="2" t="n"/>
      <c r="GJS13" s="2" t="n"/>
      <c r="GJT13" s="2" t="n"/>
      <c r="GJU13" s="2" t="n"/>
      <c r="GJV13" s="2" t="n"/>
      <c r="GJW13" s="2" t="n"/>
      <c r="GJX13" s="2" t="n"/>
      <c r="GJY13" s="2" t="n"/>
      <c r="GJZ13" s="2" t="n"/>
      <c r="GKA13" s="2" t="n"/>
      <c r="GKB13" s="2" t="n"/>
      <c r="GKC13" s="2" t="n"/>
      <c r="GKD13" s="2" t="n"/>
      <c r="GKE13" s="2" t="n"/>
      <c r="GKF13" s="2" t="n"/>
      <c r="GKG13" s="2" t="n"/>
      <c r="GKH13" s="2" t="n"/>
      <c r="GKI13" s="2" t="n"/>
      <c r="GKJ13" s="2" t="n"/>
      <c r="GKK13" s="2" t="n"/>
      <c r="GKL13" s="2" t="n"/>
      <c r="GKM13" s="2" t="n"/>
      <c r="GKN13" s="2" t="n"/>
      <c r="GKO13" s="2" t="n"/>
      <c r="GKP13" s="2" t="n"/>
      <c r="GKQ13" s="2" t="n"/>
      <c r="GKR13" s="2" t="n"/>
      <c r="GKS13" s="2" t="n"/>
      <c r="GKT13" s="2" t="n"/>
      <c r="GKU13" s="2" t="n"/>
      <c r="GKV13" s="2" t="n"/>
      <c r="GKW13" s="2" t="n"/>
      <c r="GKX13" s="2" t="n"/>
      <c r="GKY13" s="2" t="n"/>
      <c r="GKZ13" s="2" t="n"/>
      <c r="GLA13" s="2" t="n"/>
      <c r="GLB13" s="2" t="n"/>
      <c r="GLC13" s="2" t="n"/>
      <c r="GLD13" s="2" t="n"/>
      <c r="GLE13" s="2" t="n"/>
      <c r="GLF13" s="2" t="n"/>
      <c r="GLG13" s="2" t="n"/>
      <c r="GLH13" s="2" t="n"/>
      <c r="GLI13" s="2" t="n"/>
      <c r="GLJ13" s="2" t="n"/>
      <c r="GLK13" s="2" t="n"/>
      <c r="GLL13" s="2" t="n"/>
      <c r="GLM13" s="2" t="n"/>
      <c r="GLN13" s="2" t="n"/>
      <c r="GLO13" s="2" t="n"/>
      <c r="GLP13" s="2" t="n"/>
      <c r="GLQ13" s="2" t="n"/>
      <c r="GLR13" s="2" t="n"/>
      <c r="GLS13" s="2" t="n"/>
      <c r="GLT13" s="2" t="n"/>
      <c r="GLU13" s="2" t="n"/>
      <c r="GLV13" s="2" t="n"/>
      <c r="GLW13" s="2" t="n"/>
      <c r="GLX13" s="2" t="n"/>
      <c r="GLY13" s="2" t="n"/>
      <c r="GLZ13" s="2" t="n"/>
      <c r="GMA13" s="2" t="n"/>
      <c r="GMB13" s="2" t="n"/>
      <c r="GMC13" s="2" t="n"/>
      <c r="GMD13" s="2" t="n"/>
      <c r="GME13" s="2" t="n"/>
      <c r="GMF13" s="2" t="n"/>
      <c r="GMG13" s="2" t="n"/>
      <c r="GMH13" s="2" t="n"/>
      <c r="GMI13" s="2" t="n"/>
      <c r="GMJ13" s="2" t="n"/>
      <c r="GMK13" s="2" t="n"/>
      <c r="GML13" s="2" t="n"/>
      <c r="GMM13" s="2" t="n"/>
      <c r="GMN13" s="2" t="n"/>
      <c r="GMO13" s="2" t="n"/>
      <c r="GMP13" s="2" t="n"/>
      <c r="GMQ13" s="2" t="n"/>
      <c r="GMR13" s="2" t="n"/>
      <c r="GMS13" s="2" t="n"/>
      <c r="GMT13" s="2" t="n"/>
      <c r="GMU13" s="2" t="n"/>
      <c r="GMV13" s="2" t="n"/>
      <c r="GMW13" s="2" t="n"/>
      <c r="GMX13" s="2" t="n"/>
      <c r="GMY13" s="2" t="n"/>
      <c r="GMZ13" s="2" t="n"/>
      <c r="GNA13" s="2" t="n"/>
      <c r="GNB13" s="2" t="n"/>
      <c r="GNC13" s="2" t="n"/>
      <c r="GND13" s="2" t="n"/>
      <c r="GNE13" s="2" t="n"/>
      <c r="GNF13" s="2" t="n"/>
      <c r="GNG13" s="2" t="n"/>
      <c r="GNH13" s="2" t="n"/>
      <c r="GNI13" s="2" t="n"/>
      <c r="GNJ13" s="2" t="n"/>
      <c r="GNK13" s="2" t="n"/>
      <c r="GNL13" s="2" t="n"/>
      <c r="GNM13" s="2" t="n"/>
      <c r="GNN13" s="2" t="n"/>
      <c r="GNO13" s="2" t="n"/>
      <c r="GNP13" s="2" t="n"/>
      <c r="GNQ13" s="2" t="n"/>
      <c r="GNR13" s="2" t="n"/>
      <c r="GNS13" s="2" t="n"/>
      <c r="GNT13" s="2" t="n"/>
      <c r="GNU13" s="2" t="n"/>
      <c r="GNV13" s="2" t="n"/>
      <c r="GNW13" s="2" t="n"/>
      <c r="GNX13" s="2" t="n"/>
      <c r="GNY13" s="2" t="n"/>
      <c r="GNZ13" s="2" t="n"/>
      <c r="GOA13" s="2" t="n"/>
      <c r="GOB13" s="2" t="n"/>
      <c r="GOC13" s="2" t="n"/>
      <c r="GOD13" s="2" t="n"/>
      <c r="GOE13" s="2" t="n"/>
      <c r="GOF13" s="2" t="n"/>
      <c r="GOG13" s="2" t="n"/>
      <c r="GOH13" s="2" t="n"/>
      <c r="GOI13" s="2" t="n"/>
      <c r="GOJ13" s="2" t="n"/>
      <c r="GOK13" s="2" t="n"/>
      <c r="GOL13" s="2" t="n"/>
      <c r="GOM13" s="2" t="n"/>
      <c r="GON13" s="2" t="n"/>
      <c r="GOO13" s="2" t="n"/>
      <c r="GOP13" s="2" t="n"/>
      <c r="GOQ13" s="2" t="n"/>
      <c r="GOR13" s="2" t="n"/>
      <c r="GOS13" s="2" t="n"/>
      <c r="GOT13" s="2" t="n"/>
      <c r="GOU13" s="2" t="n"/>
      <c r="GOV13" s="2" t="n"/>
      <c r="GOW13" s="2" t="n"/>
      <c r="GOX13" s="2" t="n"/>
      <c r="GOY13" s="2" t="n"/>
      <c r="GOZ13" s="2" t="n"/>
      <c r="GPA13" s="2" t="n"/>
      <c r="GPB13" s="2" t="n"/>
      <c r="GPC13" s="2" t="n"/>
      <c r="GPD13" s="2" t="n"/>
      <c r="GPE13" s="2" t="n"/>
      <c r="GPF13" s="2" t="n"/>
      <c r="GPG13" s="2" t="n"/>
      <c r="GPH13" s="2" t="n"/>
      <c r="GPI13" s="2" t="n"/>
      <c r="GPJ13" s="2" t="n"/>
      <c r="GPK13" s="2" t="n"/>
      <c r="GPL13" s="2" t="n"/>
      <c r="GPM13" s="2" t="n"/>
      <c r="GPN13" s="2" t="n"/>
      <c r="GPO13" s="2" t="n"/>
      <c r="GPP13" s="2" t="n"/>
      <c r="GPQ13" s="2" t="n"/>
      <c r="GPR13" s="2" t="n"/>
      <c r="GPS13" s="2" t="n"/>
      <c r="GPT13" s="2" t="n"/>
      <c r="GPU13" s="2" t="n"/>
      <c r="GPV13" s="2" t="n"/>
      <c r="GPW13" s="2" t="n"/>
      <c r="GPX13" s="2" t="n"/>
      <c r="GPY13" s="2" t="n"/>
      <c r="GPZ13" s="2" t="n"/>
      <c r="GQA13" s="2" t="n"/>
      <c r="GQB13" s="2" t="n"/>
      <c r="GQC13" s="2" t="n"/>
      <c r="GQD13" s="2" t="n"/>
      <c r="GQE13" s="2" t="n"/>
      <c r="GQF13" s="2" t="n"/>
      <c r="GQG13" s="2" t="n"/>
      <c r="GQH13" s="2" t="n"/>
      <c r="GQI13" s="2" t="n"/>
      <c r="GQJ13" s="2" t="n"/>
      <c r="GQK13" s="2" t="n"/>
      <c r="GQL13" s="2" t="n"/>
      <c r="GQM13" s="2" t="n"/>
      <c r="GQN13" s="2" t="n"/>
      <c r="GQO13" s="2" t="n"/>
      <c r="GQP13" s="2" t="n"/>
      <c r="GQQ13" s="2" t="n"/>
      <c r="GQR13" s="2" t="n"/>
      <c r="GQS13" s="2" t="n"/>
      <c r="GQT13" s="2" t="n"/>
      <c r="GQU13" s="2" t="n"/>
      <c r="GQV13" s="2" t="n"/>
      <c r="GQW13" s="2" t="n"/>
      <c r="GQX13" s="2" t="n"/>
      <c r="GQY13" s="2" t="n"/>
      <c r="GQZ13" s="2" t="n"/>
      <c r="GRA13" s="2" t="n"/>
      <c r="GRB13" s="2" t="n"/>
      <c r="GRC13" s="2" t="n"/>
      <c r="GRD13" s="2" t="n"/>
      <c r="GRE13" s="2" t="n"/>
      <c r="GRF13" s="2" t="n"/>
      <c r="GRG13" s="2" t="n"/>
      <c r="GRH13" s="2" t="n"/>
      <c r="GRI13" s="2" t="n"/>
      <c r="GRJ13" s="2" t="n"/>
      <c r="GRK13" s="2" t="n"/>
      <c r="GRL13" s="2" t="n"/>
      <c r="GRM13" s="2" t="n"/>
      <c r="GRN13" s="2" t="n"/>
      <c r="GRO13" s="2" t="n"/>
      <c r="GRP13" s="2" t="n"/>
      <c r="GRQ13" s="2" t="n"/>
      <c r="GRR13" s="2" t="n"/>
      <c r="GRS13" s="2" t="n"/>
      <c r="GRT13" s="2" t="n"/>
      <c r="GRU13" s="2" t="n"/>
      <c r="GRV13" s="2" t="n"/>
      <c r="GRW13" s="2" t="n"/>
      <c r="GRX13" s="2" t="n"/>
      <c r="GRY13" s="2" t="n"/>
      <c r="GRZ13" s="2" t="n"/>
      <c r="GSA13" s="2" t="n"/>
      <c r="GSB13" s="2" t="n"/>
      <c r="GSC13" s="2" t="n"/>
      <c r="GSD13" s="2" t="n"/>
      <c r="GSE13" s="2" t="n"/>
      <c r="GSF13" s="2" t="n"/>
      <c r="GSG13" s="2" t="n"/>
      <c r="GSH13" s="2" t="n"/>
      <c r="GSI13" s="2" t="n"/>
      <c r="GSJ13" s="2" t="n"/>
      <c r="GSK13" s="2" t="n"/>
      <c r="GSL13" s="2" t="n"/>
      <c r="GSM13" s="2" t="n"/>
      <c r="GSN13" s="2" t="n"/>
      <c r="GSO13" s="2" t="n"/>
      <c r="GSP13" s="2" t="n"/>
      <c r="GSQ13" s="2" t="n"/>
      <c r="GSR13" s="2" t="n"/>
      <c r="GSS13" s="2" t="n"/>
      <c r="GST13" s="2" t="n"/>
      <c r="GSU13" s="2" t="n"/>
      <c r="GSV13" s="2" t="n"/>
      <c r="GSW13" s="2" t="n"/>
      <c r="GSX13" s="2" t="n"/>
      <c r="GSY13" s="2" t="n"/>
      <c r="GSZ13" s="2" t="n"/>
      <c r="GTA13" s="2" t="n"/>
      <c r="GTB13" s="2" t="n"/>
      <c r="GTC13" s="2" t="n"/>
      <c r="GTD13" s="2" t="n"/>
      <c r="GTE13" s="2" t="n"/>
      <c r="GTF13" s="2" t="n"/>
      <c r="GTG13" s="2" t="n"/>
      <c r="GTH13" s="2" t="n"/>
      <c r="GTI13" s="2" t="n"/>
      <c r="GTJ13" s="2" t="n"/>
      <c r="GTK13" s="2" t="n"/>
      <c r="GTL13" s="2" t="n"/>
      <c r="GTM13" s="2" t="n"/>
      <c r="GTN13" s="2" t="n"/>
      <c r="GTO13" s="2" t="n"/>
      <c r="GTP13" s="2" t="n"/>
      <c r="GTQ13" s="2" t="n"/>
      <c r="GTR13" s="2" t="n"/>
      <c r="GTS13" s="2" t="n"/>
      <c r="GTT13" s="2" t="n"/>
      <c r="GTU13" s="2" t="n"/>
      <c r="GTV13" s="2" t="n"/>
      <c r="GTW13" s="2" t="n"/>
      <c r="GTX13" s="2" t="n"/>
      <c r="GTY13" s="2" t="n"/>
      <c r="GTZ13" s="2" t="n"/>
      <c r="GUA13" s="2" t="n"/>
      <c r="GUB13" s="2" t="n"/>
      <c r="GUC13" s="2" t="n"/>
      <c r="GUD13" s="2" t="n"/>
      <c r="GUE13" s="2" t="n"/>
      <c r="GUF13" s="2" t="n"/>
      <c r="GUG13" s="2" t="n"/>
      <c r="GUH13" s="2" t="n"/>
      <c r="GUI13" s="2" t="n"/>
      <c r="GUJ13" s="2" t="n"/>
      <c r="GUK13" s="2" t="n"/>
      <c r="GUL13" s="2" t="n"/>
      <c r="GUM13" s="2" t="n"/>
      <c r="GUN13" s="2" t="n"/>
      <c r="GUO13" s="2" t="n"/>
      <c r="GUP13" s="2" t="n"/>
      <c r="GUQ13" s="2" t="n"/>
      <c r="GUR13" s="2" t="n"/>
      <c r="GUS13" s="2" t="n"/>
      <c r="GUT13" s="2" t="n"/>
      <c r="GUU13" s="2" t="n"/>
      <c r="GUV13" s="2" t="n"/>
      <c r="GUW13" s="2" t="n"/>
      <c r="GUX13" s="2" t="n"/>
      <c r="GUY13" s="2" t="n"/>
      <c r="GUZ13" s="2" t="n"/>
      <c r="GVA13" s="2" t="n"/>
      <c r="GVB13" s="2" t="n"/>
      <c r="GVC13" s="2" t="n"/>
      <c r="GVD13" s="2" t="n"/>
      <c r="GVE13" s="2" t="n"/>
      <c r="GVF13" s="2" t="n"/>
      <c r="GVG13" s="2" t="n"/>
      <c r="GVH13" s="2" t="n"/>
      <c r="GVI13" s="2" t="n"/>
      <c r="GVJ13" s="2" t="n"/>
      <c r="GVK13" s="2" t="n"/>
      <c r="GVL13" s="2" t="n"/>
      <c r="GVM13" s="2" t="n"/>
      <c r="GVN13" s="2" t="n"/>
      <c r="GVO13" s="2" t="n"/>
      <c r="GVP13" s="2" t="n"/>
      <c r="GVQ13" s="2" t="n"/>
      <c r="GVR13" s="2" t="n"/>
      <c r="GVS13" s="2" t="n"/>
      <c r="GVT13" s="2" t="n"/>
      <c r="GVU13" s="2" t="n"/>
      <c r="GVV13" s="2" t="n"/>
      <c r="GVW13" s="2" t="n"/>
      <c r="GVX13" s="2" t="n"/>
      <c r="GVY13" s="2" t="n"/>
      <c r="GVZ13" s="2" t="n"/>
      <c r="GWA13" s="2" t="n"/>
      <c r="GWB13" s="2" t="n"/>
      <c r="GWC13" s="2" t="n"/>
      <c r="GWD13" s="2" t="n"/>
      <c r="GWE13" s="2" t="n"/>
      <c r="GWF13" s="2" t="n"/>
      <c r="GWG13" s="2" t="n"/>
      <c r="GWH13" s="2" t="n"/>
      <c r="GWI13" s="2" t="n"/>
      <c r="GWJ13" s="2" t="n"/>
      <c r="GWK13" s="2" t="n"/>
      <c r="GWL13" s="2" t="n"/>
      <c r="GWM13" s="2" t="n"/>
      <c r="GWN13" s="2" t="n"/>
      <c r="GWO13" s="2" t="n"/>
      <c r="GWP13" s="2" t="n"/>
      <c r="GWQ13" s="2" t="n"/>
      <c r="GWR13" s="2" t="n"/>
      <c r="GWS13" s="2" t="n"/>
      <c r="GWT13" s="2" t="n"/>
      <c r="GWU13" s="2" t="n"/>
      <c r="GWV13" s="2" t="n"/>
      <c r="GWW13" s="2" t="n"/>
      <c r="GWX13" s="2" t="n"/>
      <c r="GWY13" s="2" t="n"/>
      <c r="GWZ13" s="2" t="n"/>
      <c r="GXA13" s="2" t="n"/>
      <c r="GXB13" s="2" t="n"/>
      <c r="GXC13" s="2" t="n"/>
      <c r="GXD13" s="2" t="n"/>
      <c r="GXE13" s="2" t="n"/>
      <c r="GXF13" s="2" t="n"/>
      <c r="GXG13" s="2" t="n"/>
      <c r="GXH13" s="2" t="n"/>
      <c r="GXI13" s="2" t="n"/>
      <c r="GXJ13" s="2" t="n"/>
      <c r="GXK13" s="2" t="n"/>
      <c r="GXL13" s="2" t="n"/>
      <c r="GXM13" s="2" t="n"/>
      <c r="GXN13" s="2" t="n"/>
      <c r="GXO13" s="2" t="n"/>
      <c r="GXP13" s="2" t="n"/>
      <c r="GXQ13" s="2" t="n"/>
      <c r="GXR13" s="2" t="n"/>
      <c r="GXS13" s="2" t="n"/>
      <c r="GXT13" s="2" t="n"/>
      <c r="GXU13" s="2" t="n"/>
      <c r="GXV13" s="2" t="n"/>
      <c r="GXW13" s="2" t="n"/>
      <c r="GXX13" s="2" t="n"/>
      <c r="GXY13" s="2" t="n"/>
      <c r="GXZ13" s="2" t="n"/>
      <c r="GYA13" s="2" t="n"/>
      <c r="GYB13" s="2" t="n"/>
      <c r="GYC13" s="2" t="n"/>
      <c r="GYD13" s="2" t="n"/>
      <c r="GYE13" s="2" t="n"/>
      <c r="GYF13" s="2" t="n"/>
      <c r="GYG13" s="2" t="n"/>
      <c r="GYH13" s="2" t="n"/>
      <c r="GYI13" s="2" t="n"/>
      <c r="GYJ13" s="2" t="n"/>
      <c r="GYK13" s="2" t="n"/>
      <c r="GYL13" s="2" t="n"/>
      <c r="GYM13" s="2" t="n"/>
      <c r="GYN13" s="2" t="n"/>
      <c r="GYO13" s="2" t="n"/>
      <c r="GYP13" s="2" t="n"/>
      <c r="GYQ13" s="2" t="n"/>
      <c r="GYR13" s="2" t="n"/>
      <c r="GYS13" s="2" t="n"/>
      <c r="GYT13" s="2" t="n"/>
      <c r="GYU13" s="2" t="n"/>
      <c r="GYV13" s="2" t="n"/>
      <c r="GYW13" s="2" t="n"/>
      <c r="GYX13" s="2" t="n"/>
      <c r="GYY13" s="2" t="n"/>
      <c r="GYZ13" s="2" t="n"/>
      <c r="GZA13" s="2" t="n"/>
      <c r="GZB13" s="2" t="n"/>
      <c r="GZC13" s="2" t="n"/>
      <c r="GZD13" s="2" t="n"/>
      <c r="GZE13" s="2" t="n"/>
      <c r="GZF13" s="2" t="n"/>
      <c r="GZG13" s="2" t="n"/>
      <c r="GZH13" s="2" t="n"/>
      <c r="GZI13" s="2" t="n"/>
      <c r="GZJ13" s="2" t="n"/>
      <c r="GZK13" s="2" t="n"/>
      <c r="GZL13" s="2" t="n"/>
      <c r="GZM13" s="2" t="n"/>
      <c r="GZN13" s="2" t="n"/>
      <c r="GZO13" s="2" t="n"/>
      <c r="GZP13" s="2" t="n"/>
      <c r="GZQ13" s="2" t="n"/>
      <c r="GZR13" s="2" t="n"/>
      <c r="GZS13" s="2" t="n"/>
      <c r="GZT13" s="2" t="n"/>
      <c r="GZU13" s="2" t="n"/>
      <c r="GZV13" s="2" t="n"/>
      <c r="GZW13" s="2" t="n"/>
      <c r="GZX13" s="2" t="n"/>
      <c r="GZY13" s="2" t="n"/>
      <c r="GZZ13" s="2" t="n"/>
      <c r="HAA13" s="2" t="n"/>
      <c r="HAB13" s="2" t="n"/>
      <c r="HAC13" s="2" t="n"/>
      <c r="HAD13" s="2" t="n"/>
      <c r="HAE13" s="2" t="n"/>
      <c r="HAF13" s="2" t="n"/>
      <c r="HAG13" s="2" t="n"/>
      <c r="HAH13" s="2" t="n"/>
      <c r="HAI13" s="2" t="n"/>
      <c r="HAJ13" s="2" t="n"/>
      <c r="HAK13" s="2" t="n"/>
      <c r="HAL13" s="2" t="n"/>
      <c r="HAM13" s="2" t="n"/>
      <c r="HAN13" s="2" t="n"/>
      <c r="HAO13" s="2" t="n"/>
      <c r="HAP13" s="2" t="n"/>
      <c r="HAQ13" s="2" t="n"/>
      <c r="HAR13" s="2" t="n"/>
      <c r="HAS13" s="2" t="n"/>
      <c r="HAT13" s="2" t="n"/>
      <c r="HAU13" s="2" t="n"/>
      <c r="HAV13" s="2" t="n"/>
      <c r="HAW13" s="2" t="n"/>
      <c r="HAX13" s="2" t="n"/>
      <c r="HAY13" s="2" t="n"/>
      <c r="HAZ13" s="2" t="n"/>
      <c r="HBA13" s="2" t="n"/>
      <c r="HBB13" s="2" t="n"/>
      <c r="HBC13" s="2" t="n"/>
      <c r="HBD13" s="2" t="n"/>
      <c r="HBE13" s="2" t="n"/>
      <c r="HBF13" s="2" t="n"/>
      <c r="HBG13" s="2" t="n"/>
      <c r="HBH13" s="2" t="n"/>
      <c r="HBI13" s="2" t="n"/>
      <c r="HBJ13" s="2" t="n"/>
      <c r="HBK13" s="2" t="n"/>
      <c r="HBL13" s="2" t="n"/>
      <c r="HBM13" s="2" t="n"/>
      <c r="HBN13" s="2" t="n"/>
      <c r="HBO13" s="2" t="n"/>
      <c r="HBP13" s="2" t="n"/>
      <c r="HBQ13" s="2" t="n"/>
      <c r="HBR13" s="2" t="n"/>
      <c r="HBS13" s="2" t="n"/>
      <c r="HBT13" s="2" t="n"/>
      <c r="HBU13" s="2" t="n"/>
      <c r="HBV13" s="2" t="n"/>
      <c r="HBW13" s="2" t="n"/>
      <c r="HBX13" s="2" t="n"/>
      <c r="HBY13" s="2" t="n"/>
      <c r="HBZ13" s="2" t="n"/>
      <c r="HCA13" s="2" t="n"/>
      <c r="HCB13" s="2" t="n"/>
      <c r="HCC13" s="2" t="n"/>
      <c r="HCD13" s="2" t="n"/>
      <c r="HCE13" s="2" t="n"/>
      <c r="HCF13" s="2" t="n"/>
      <c r="HCG13" s="2" t="n"/>
      <c r="HCH13" s="2" t="n"/>
      <c r="HCI13" s="2" t="n"/>
      <c r="HCJ13" s="2" t="n"/>
      <c r="HCK13" s="2" t="n"/>
      <c r="HCL13" s="2" t="n"/>
      <c r="HCM13" s="2" t="n"/>
      <c r="HCN13" s="2" t="n"/>
      <c r="HCO13" s="2" t="n"/>
      <c r="HCP13" s="2" t="n"/>
      <c r="HCQ13" s="2" t="n"/>
      <c r="HCR13" s="2" t="n"/>
      <c r="HCS13" s="2" t="n"/>
      <c r="HCT13" s="2" t="n"/>
      <c r="HCU13" s="2" t="n"/>
      <c r="HCV13" s="2" t="n"/>
      <c r="HCW13" s="2" t="n"/>
      <c r="HCX13" s="2" t="n"/>
      <c r="HCY13" s="2" t="n"/>
      <c r="HCZ13" s="2" t="n"/>
      <c r="HDA13" s="2" t="n"/>
      <c r="HDB13" s="2" t="n"/>
      <c r="HDC13" s="2" t="n"/>
      <c r="HDD13" s="2" t="n"/>
      <c r="HDE13" s="2" t="n"/>
      <c r="HDF13" s="2" t="n"/>
      <c r="HDG13" s="2" t="n"/>
      <c r="HDH13" s="2" t="n"/>
      <c r="HDI13" s="2" t="n"/>
      <c r="HDJ13" s="2" t="n"/>
      <c r="HDK13" s="2" t="n"/>
      <c r="HDL13" s="2" t="n"/>
      <c r="HDM13" s="2" t="n"/>
      <c r="HDN13" s="2" t="n"/>
      <c r="HDO13" s="2" t="n"/>
      <c r="HDP13" s="2" t="n"/>
      <c r="HDQ13" s="2" t="n"/>
      <c r="HDR13" s="2" t="n"/>
      <c r="HDS13" s="2" t="n"/>
      <c r="HDT13" s="2" t="n"/>
      <c r="HDU13" s="2" t="n"/>
      <c r="HDV13" s="2" t="n"/>
      <c r="HDW13" s="2" t="n"/>
      <c r="HDX13" s="2" t="n"/>
      <c r="HDY13" s="2" t="n"/>
      <c r="HDZ13" s="2" t="n"/>
      <c r="HEA13" s="2" t="n"/>
      <c r="HEB13" s="2" t="n"/>
      <c r="HEC13" s="2" t="n"/>
      <c r="HED13" s="2" t="n"/>
      <c r="HEE13" s="2" t="n"/>
      <c r="HEF13" s="2" t="n"/>
      <c r="HEG13" s="2" t="n"/>
      <c r="HEH13" s="2" t="n"/>
      <c r="HEI13" s="2" t="n"/>
      <c r="HEJ13" s="2" t="n"/>
      <c r="HEK13" s="2" t="n"/>
      <c r="HEL13" s="2" t="n"/>
      <c r="HEM13" s="2" t="n"/>
      <c r="HEN13" s="2" t="n"/>
      <c r="HEO13" s="2" t="n"/>
      <c r="HEP13" s="2" t="n"/>
      <c r="HEQ13" s="2" t="n"/>
      <c r="HER13" s="2" t="n"/>
      <c r="HES13" s="2" t="n"/>
      <c r="HET13" s="2" t="n"/>
      <c r="HEU13" s="2" t="n"/>
      <c r="HEV13" s="2" t="n"/>
      <c r="HEW13" s="2" t="n"/>
      <c r="HEX13" s="2" t="n"/>
      <c r="HEY13" s="2" t="n"/>
      <c r="HEZ13" s="2" t="n"/>
      <c r="HFA13" s="2" t="n"/>
      <c r="HFB13" s="2" t="n"/>
      <c r="HFC13" s="2" t="n"/>
      <c r="HFD13" s="2" t="n"/>
      <c r="HFE13" s="2" t="n"/>
      <c r="HFF13" s="2" t="n"/>
      <c r="HFG13" s="2" t="n"/>
      <c r="HFH13" s="2" t="n"/>
      <c r="HFI13" s="2" t="n"/>
      <c r="HFJ13" s="2" t="n"/>
      <c r="HFK13" s="2" t="n"/>
      <c r="HFL13" s="2" t="n"/>
      <c r="HFM13" s="2" t="n"/>
      <c r="HFN13" s="2" t="n"/>
      <c r="HFO13" s="2" t="n"/>
      <c r="HFP13" s="2" t="n"/>
      <c r="HFQ13" s="2" t="n"/>
      <c r="HFR13" s="2" t="n"/>
      <c r="HFS13" s="2" t="n"/>
      <c r="HFT13" s="2" t="n"/>
      <c r="HFU13" s="2" t="n"/>
      <c r="HFV13" s="2" t="n"/>
      <c r="HFW13" s="2" t="n"/>
      <c r="HFX13" s="2" t="n"/>
      <c r="HFY13" s="2" t="n"/>
      <c r="HFZ13" s="2" t="n"/>
      <c r="HGA13" s="2" t="n"/>
      <c r="HGB13" s="2" t="n"/>
      <c r="HGC13" s="2" t="n"/>
      <c r="HGD13" s="2" t="n"/>
      <c r="HGE13" s="2" t="n"/>
      <c r="HGF13" s="2" t="n"/>
      <c r="HGG13" s="2" t="n"/>
      <c r="HGH13" s="2" t="n"/>
      <c r="HGI13" s="2" t="n"/>
      <c r="HGJ13" s="2" t="n"/>
      <c r="HGK13" s="2" t="n"/>
      <c r="HGL13" s="2" t="n"/>
      <c r="HGM13" s="2" t="n"/>
      <c r="HGN13" s="2" t="n"/>
      <c r="HGO13" s="2" t="n"/>
      <c r="HGP13" s="2" t="n"/>
      <c r="HGQ13" s="2" t="n"/>
      <c r="HGR13" s="2" t="n"/>
      <c r="HGS13" s="2" t="n"/>
      <c r="HGT13" s="2" t="n"/>
      <c r="HGU13" s="2" t="n"/>
      <c r="HGV13" s="2" t="n"/>
      <c r="HGW13" s="2" t="n"/>
      <c r="HGX13" s="2" t="n"/>
      <c r="HGY13" s="2" t="n"/>
      <c r="HGZ13" s="2" t="n"/>
      <c r="HHA13" s="2" t="n"/>
      <c r="HHB13" s="2" t="n"/>
      <c r="HHC13" s="2" t="n"/>
      <c r="HHD13" s="2" t="n"/>
      <c r="HHE13" s="2" t="n"/>
      <c r="HHF13" s="2" t="n"/>
      <c r="HHG13" s="2" t="n"/>
      <c r="HHH13" s="2" t="n"/>
      <c r="HHI13" s="2" t="n"/>
      <c r="HHJ13" s="2" t="n"/>
      <c r="HHK13" s="2" t="n"/>
      <c r="HHL13" s="2" t="n"/>
      <c r="HHM13" s="2" t="n"/>
      <c r="HHN13" s="2" t="n"/>
      <c r="HHO13" s="2" t="n"/>
      <c r="HHP13" s="2" t="n"/>
      <c r="HHQ13" s="2" t="n"/>
      <c r="HHR13" s="2" t="n"/>
      <c r="HHS13" s="2" t="n"/>
      <c r="HHT13" s="2" t="n"/>
      <c r="HHU13" s="2" t="n"/>
      <c r="HHV13" s="2" t="n"/>
      <c r="HHW13" s="2" t="n"/>
      <c r="HHX13" s="2" t="n"/>
      <c r="HHY13" s="2" t="n"/>
      <c r="HHZ13" s="2" t="n"/>
      <c r="HIA13" s="2" t="n"/>
      <c r="HIB13" s="2" t="n"/>
      <c r="HIC13" s="2" t="n"/>
      <c r="HID13" s="2" t="n"/>
      <c r="HIE13" s="2" t="n"/>
      <c r="HIF13" s="2" t="n"/>
      <c r="HIG13" s="2" t="n"/>
      <c r="HIH13" s="2" t="n"/>
      <c r="HII13" s="2" t="n"/>
      <c r="HIJ13" s="2" t="n"/>
      <c r="HIK13" s="2" t="n"/>
      <c r="HIL13" s="2" t="n"/>
      <c r="HIM13" s="2" t="n"/>
      <c r="HIN13" s="2" t="n"/>
      <c r="HIO13" s="2" t="n"/>
      <c r="HIP13" s="2" t="n"/>
      <c r="HIQ13" s="2" t="n"/>
      <c r="HIR13" s="2" t="n"/>
      <c r="HIS13" s="2" t="n"/>
      <c r="HIT13" s="2" t="n"/>
      <c r="HIU13" s="2" t="n"/>
      <c r="HIV13" s="2" t="n"/>
      <c r="HIW13" s="2" t="n"/>
      <c r="HIX13" s="2" t="n"/>
      <c r="HIY13" s="2" t="n"/>
      <c r="HIZ13" s="2" t="n"/>
      <c r="HJA13" s="2" t="n"/>
      <c r="HJB13" s="2" t="n"/>
      <c r="HJC13" s="2" t="n"/>
      <c r="HJD13" s="2" t="n"/>
      <c r="HJE13" s="2" t="n"/>
      <c r="HJF13" s="2" t="n"/>
      <c r="HJG13" s="2" t="n"/>
      <c r="HJH13" s="2" t="n"/>
      <c r="HJI13" s="2" t="n"/>
      <c r="HJJ13" s="2" t="n"/>
      <c r="HJK13" s="2" t="n"/>
      <c r="HJL13" s="2" t="n"/>
      <c r="HJM13" s="2" t="n"/>
      <c r="HJN13" s="2" t="n"/>
      <c r="HJO13" s="2" t="n"/>
      <c r="HJP13" s="2" t="n"/>
      <c r="HJQ13" s="2" t="n"/>
      <c r="HJR13" s="2" t="n"/>
      <c r="HJS13" s="2" t="n"/>
      <c r="HJT13" s="2" t="n"/>
      <c r="HJU13" s="2" t="n"/>
      <c r="HJV13" s="2" t="n"/>
      <c r="HJW13" s="2" t="n"/>
      <c r="HJX13" s="2" t="n"/>
      <c r="HJY13" s="2" t="n"/>
      <c r="HJZ13" s="2" t="n"/>
      <c r="HKA13" s="2" t="n"/>
      <c r="HKB13" s="2" t="n"/>
      <c r="HKC13" s="2" t="n"/>
      <c r="HKD13" s="2" t="n"/>
      <c r="HKE13" s="2" t="n"/>
      <c r="HKF13" s="2" t="n"/>
      <c r="HKG13" s="2" t="n"/>
      <c r="HKH13" s="2" t="n"/>
      <c r="HKI13" s="2" t="n"/>
      <c r="HKJ13" s="2" t="n"/>
      <c r="HKK13" s="2" t="n"/>
      <c r="HKL13" s="2" t="n"/>
      <c r="HKM13" s="2" t="n"/>
      <c r="HKN13" s="2" t="n"/>
      <c r="HKO13" s="2" t="n"/>
      <c r="HKP13" s="2" t="n"/>
      <c r="HKQ13" s="2" t="n"/>
      <c r="HKR13" s="2" t="n"/>
      <c r="HKS13" s="2" t="n"/>
      <c r="HKT13" s="2" t="n"/>
      <c r="HKU13" s="2" t="n"/>
      <c r="HKV13" s="2" t="n"/>
      <c r="HKW13" s="2" t="n"/>
      <c r="HKX13" s="2" t="n"/>
      <c r="HKY13" s="2" t="n"/>
      <c r="HKZ13" s="2" t="n"/>
      <c r="HLA13" s="2" t="n"/>
      <c r="HLB13" s="2" t="n"/>
      <c r="HLC13" s="2" t="n"/>
      <c r="HLD13" s="2" t="n"/>
      <c r="HLE13" s="2" t="n"/>
      <c r="HLF13" s="2" t="n"/>
      <c r="HLG13" s="2" t="n"/>
      <c r="HLH13" s="2" t="n"/>
      <c r="HLI13" s="2" t="n"/>
      <c r="HLJ13" s="2" t="n"/>
      <c r="HLK13" s="2" t="n"/>
      <c r="HLL13" s="2" t="n"/>
      <c r="HLM13" s="2" t="n"/>
      <c r="HLN13" s="2" t="n"/>
      <c r="HLO13" s="2" t="n"/>
      <c r="HLP13" s="2" t="n"/>
      <c r="HLQ13" s="2" t="n"/>
      <c r="HLR13" s="2" t="n"/>
      <c r="HLS13" s="2" t="n"/>
      <c r="HLT13" s="2" t="n"/>
      <c r="HLU13" s="2" t="n"/>
      <c r="HLV13" s="2" t="n"/>
      <c r="HLW13" s="2" t="n"/>
      <c r="HLX13" s="2" t="n"/>
      <c r="HLY13" s="2" t="n"/>
      <c r="HLZ13" s="2" t="n"/>
      <c r="HMA13" s="2" t="n"/>
      <c r="HMB13" s="2" t="n"/>
      <c r="HMC13" s="2" t="n"/>
      <c r="HMD13" s="2" t="n"/>
      <c r="HME13" s="2" t="n"/>
      <c r="HMF13" s="2" t="n"/>
      <c r="HMG13" s="2" t="n"/>
      <c r="HMH13" s="2" t="n"/>
      <c r="HMI13" s="2" t="n"/>
      <c r="HMJ13" s="2" t="n"/>
      <c r="HMK13" s="2" t="n"/>
      <c r="HML13" s="2" t="n"/>
      <c r="HMM13" s="2" t="n"/>
      <c r="HMN13" s="2" t="n"/>
      <c r="HMO13" s="2" t="n"/>
      <c r="HMP13" s="2" t="n"/>
      <c r="HMQ13" s="2" t="n"/>
      <c r="HMR13" s="2" t="n"/>
      <c r="HMS13" s="2" t="n"/>
      <c r="HMT13" s="2" t="n"/>
      <c r="HMU13" s="2" t="n"/>
      <c r="HMV13" s="2" t="n"/>
      <c r="HMW13" s="2" t="n"/>
      <c r="HMX13" s="2" t="n"/>
      <c r="HMY13" s="2" t="n"/>
      <c r="HMZ13" s="2" t="n"/>
      <c r="HNA13" s="2" t="n"/>
      <c r="HNB13" s="2" t="n"/>
      <c r="HNC13" s="2" t="n"/>
      <c r="HND13" s="2" t="n"/>
      <c r="HNE13" s="2" t="n"/>
      <c r="HNF13" s="2" t="n"/>
      <c r="HNG13" s="2" t="n"/>
      <c r="HNH13" s="2" t="n"/>
      <c r="HNI13" s="2" t="n"/>
      <c r="HNJ13" s="2" t="n"/>
      <c r="HNK13" s="2" t="n"/>
      <c r="HNL13" s="2" t="n"/>
      <c r="HNM13" s="2" t="n"/>
      <c r="HNN13" s="2" t="n"/>
      <c r="HNO13" s="2" t="n"/>
      <c r="HNP13" s="2" t="n"/>
      <c r="HNQ13" s="2" t="n"/>
      <c r="HNR13" s="2" t="n"/>
      <c r="HNS13" s="2" t="n"/>
      <c r="HNT13" s="2" t="n"/>
      <c r="HNU13" s="2" t="n"/>
      <c r="HNV13" s="2" t="n"/>
      <c r="HNW13" s="2" t="n"/>
      <c r="HNX13" s="2" t="n"/>
      <c r="HNY13" s="2" t="n"/>
      <c r="HNZ13" s="2" t="n"/>
      <c r="HOA13" s="2" t="n"/>
      <c r="HOB13" s="2" t="n"/>
      <c r="HOC13" s="2" t="n"/>
      <c r="HOD13" s="2" t="n"/>
      <c r="HOE13" s="2" t="n"/>
      <c r="HOF13" s="2" t="n"/>
      <c r="HOG13" s="2" t="n"/>
      <c r="HOH13" s="2" t="n"/>
      <c r="HOI13" s="2" t="n"/>
      <c r="HOJ13" s="2" t="n"/>
      <c r="HOK13" s="2" t="n"/>
      <c r="HOL13" s="2" t="n"/>
      <c r="HOM13" s="2" t="n"/>
      <c r="HON13" s="2" t="n"/>
      <c r="HOO13" s="2" t="n"/>
      <c r="HOP13" s="2" t="n"/>
      <c r="HOQ13" s="2" t="n"/>
      <c r="HOR13" s="2" t="n"/>
      <c r="HOS13" s="2" t="n"/>
      <c r="HOT13" s="2" t="n"/>
      <c r="HOU13" s="2" t="n"/>
      <c r="HOV13" s="2" t="n"/>
      <c r="HOW13" s="2" t="n"/>
      <c r="HOX13" s="2" t="n"/>
      <c r="HOY13" s="2" t="n"/>
      <c r="HOZ13" s="2" t="n"/>
      <c r="HPA13" s="2" t="n"/>
      <c r="HPB13" s="2" t="n"/>
      <c r="HPC13" s="2" t="n"/>
      <c r="HPD13" s="2" t="n"/>
      <c r="HPE13" s="2" t="n"/>
      <c r="HPF13" s="2" t="n"/>
      <c r="HPG13" s="2" t="n"/>
      <c r="HPH13" s="2" t="n"/>
      <c r="HPI13" s="2" t="n"/>
      <c r="HPJ13" s="2" t="n"/>
      <c r="HPK13" s="2" t="n"/>
      <c r="HPL13" s="2" t="n"/>
      <c r="HPM13" s="2" t="n"/>
      <c r="HPN13" s="2" t="n"/>
      <c r="HPO13" s="2" t="n"/>
      <c r="HPP13" s="2" t="n"/>
      <c r="HPQ13" s="2" t="n"/>
      <c r="HPR13" s="2" t="n"/>
      <c r="HPS13" s="2" t="n"/>
      <c r="HPT13" s="2" t="n"/>
      <c r="HPU13" s="2" t="n"/>
      <c r="HPV13" s="2" t="n"/>
      <c r="HPW13" s="2" t="n"/>
      <c r="HPX13" s="2" t="n"/>
      <c r="HPY13" s="2" t="n"/>
      <c r="HPZ13" s="2" t="n"/>
      <c r="HQA13" s="2" t="n"/>
      <c r="HQB13" s="2" t="n"/>
      <c r="HQC13" s="2" t="n"/>
      <c r="HQD13" s="2" t="n"/>
      <c r="HQE13" s="2" t="n"/>
      <c r="HQF13" s="2" t="n"/>
      <c r="HQG13" s="2" t="n"/>
      <c r="HQH13" s="2" t="n"/>
      <c r="HQI13" s="2" t="n"/>
      <c r="HQJ13" s="2" t="n"/>
      <c r="HQK13" s="2" t="n"/>
      <c r="HQL13" s="2" t="n"/>
      <c r="HQM13" s="2" t="n"/>
      <c r="HQN13" s="2" t="n"/>
      <c r="HQO13" s="2" t="n"/>
      <c r="HQP13" s="2" t="n"/>
      <c r="HQQ13" s="2" t="n"/>
      <c r="HQR13" s="2" t="n"/>
      <c r="HQS13" s="2" t="n"/>
      <c r="HQT13" s="2" t="n"/>
      <c r="HQU13" s="2" t="n"/>
      <c r="HQV13" s="2" t="n"/>
      <c r="HQW13" s="2" t="n"/>
      <c r="HQX13" s="2" t="n"/>
      <c r="HQY13" s="2" t="n"/>
      <c r="HQZ13" s="2" t="n"/>
      <c r="HRA13" s="2" t="n"/>
      <c r="HRB13" s="2" t="n"/>
      <c r="HRC13" s="2" t="n"/>
      <c r="HRD13" s="2" t="n"/>
      <c r="HRE13" s="2" t="n"/>
      <c r="HRF13" s="2" t="n"/>
      <c r="HRG13" s="2" t="n"/>
      <c r="HRH13" s="2" t="n"/>
      <c r="HRI13" s="2" t="n"/>
      <c r="HRJ13" s="2" t="n"/>
      <c r="HRK13" s="2" t="n"/>
      <c r="HRL13" s="2" t="n"/>
      <c r="HRM13" s="2" t="n"/>
      <c r="HRN13" s="2" t="n"/>
      <c r="HRO13" s="2" t="n"/>
      <c r="HRP13" s="2" t="n"/>
      <c r="HRQ13" s="2" t="n"/>
      <c r="HRR13" s="2" t="n"/>
      <c r="HRS13" s="2" t="n"/>
      <c r="HRT13" s="2" t="n"/>
      <c r="HRU13" s="2" t="n"/>
      <c r="HRV13" s="2" t="n"/>
      <c r="HRW13" s="2" t="n"/>
      <c r="HRX13" s="2" t="n"/>
      <c r="HRY13" s="2" t="n"/>
      <c r="HRZ13" s="2" t="n"/>
      <c r="HSA13" s="2" t="n"/>
      <c r="HSB13" s="2" t="n"/>
      <c r="HSC13" s="2" t="n"/>
      <c r="HSD13" s="2" t="n"/>
      <c r="HSE13" s="2" t="n"/>
      <c r="HSF13" s="2" t="n"/>
      <c r="HSG13" s="2" t="n"/>
      <c r="HSH13" s="2" t="n"/>
      <c r="HSI13" s="2" t="n"/>
      <c r="HSJ13" s="2" t="n"/>
      <c r="HSK13" s="2" t="n"/>
      <c r="HSL13" s="2" t="n"/>
      <c r="HSM13" s="2" t="n"/>
      <c r="HSN13" s="2" t="n"/>
      <c r="HSO13" s="2" t="n"/>
      <c r="HSP13" s="2" t="n"/>
      <c r="HSQ13" s="2" t="n"/>
      <c r="HSR13" s="2" t="n"/>
      <c r="HSS13" s="2" t="n"/>
      <c r="HST13" s="2" t="n"/>
      <c r="HSU13" s="2" t="n"/>
      <c r="HSV13" s="2" t="n"/>
      <c r="HSW13" s="2" t="n"/>
      <c r="HSX13" s="2" t="n"/>
      <c r="HSY13" s="2" t="n"/>
      <c r="HSZ13" s="2" t="n"/>
      <c r="HTA13" s="2" t="n"/>
      <c r="HTB13" s="2" t="n"/>
      <c r="HTC13" s="2" t="n"/>
      <c r="HTD13" s="2" t="n"/>
      <c r="HTE13" s="2" t="n"/>
      <c r="HTF13" s="2" t="n"/>
      <c r="HTG13" s="2" t="n"/>
      <c r="HTH13" s="2" t="n"/>
      <c r="HTI13" s="2" t="n"/>
      <c r="HTJ13" s="2" t="n"/>
      <c r="HTK13" s="2" t="n"/>
      <c r="HTL13" s="2" t="n"/>
      <c r="HTM13" s="2" t="n"/>
      <c r="HTN13" s="2" t="n"/>
      <c r="HTO13" s="2" t="n"/>
      <c r="HTP13" s="2" t="n"/>
      <c r="HTQ13" s="2" t="n"/>
      <c r="HTR13" s="2" t="n"/>
      <c r="HTS13" s="2" t="n"/>
      <c r="HTT13" s="2" t="n"/>
      <c r="HTU13" s="2" t="n"/>
      <c r="HTV13" s="2" t="n"/>
      <c r="HTW13" s="2" t="n"/>
      <c r="HTX13" s="2" t="n"/>
      <c r="HTY13" s="2" t="n"/>
      <c r="HTZ13" s="2" t="n"/>
      <c r="HUA13" s="2" t="n"/>
      <c r="HUB13" s="2" t="n"/>
      <c r="HUC13" s="2" t="n"/>
      <c r="HUD13" s="2" t="n"/>
      <c r="HUE13" s="2" t="n"/>
      <c r="HUF13" s="2" t="n"/>
      <c r="HUG13" s="2" t="n"/>
      <c r="HUH13" s="2" t="n"/>
      <c r="HUI13" s="2" t="n"/>
      <c r="HUJ13" s="2" t="n"/>
      <c r="HUK13" s="2" t="n"/>
      <c r="HUL13" s="2" t="n"/>
      <c r="HUM13" s="2" t="n"/>
      <c r="HUN13" s="2" t="n"/>
      <c r="HUO13" s="2" t="n"/>
      <c r="HUP13" s="2" t="n"/>
      <c r="HUQ13" s="2" t="n"/>
      <c r="HUR13" s="2" t="n"/>
      <c r="HUS13" s="2" t="n"/>
      <c r="HUT13" s="2" t="n"/>
      <c r="HUU13" s="2" t="n"/>
      <c r="HUV13" s="2" t="n"/>
      <c r="HUW13" s="2" t="n"/>
      <c r="HUX13" s="2" t="n"/>
      <c r="HUY13" s="2" t="n"/>
      <c r="HUZ13" s="2" t="n"/>
      <c r="HVA13" s="2" t="n"/>
      <c r="HVB13" s="2" t="n"/>
      <c r="HVC13" s="2" t="n"/>
      <c r="HVD13" s="2" t="n"/>
      <c r="HVE13" s="2" t="n"/>
      <c r="HVF13" s="2" t="n"/>
      <c r="HVG13" s="2" t="n"/>
      <c r="HVH13" s="2" t="n"/>
      <c r="HVI13" s="2" t="n"/>
      <c r="HVJ13" s="2" t="n"/>
      <c r="HVK13" s="2" t="n"/>
      <c r="HVL13" s="2" t="n"/>
      <c r="HVM13" s="2" t="n"/>
      <c r="HVN13" s="2" t="n"/>
      <c r="HVO13" s="2" t="n"/>
      <c r="HVP13" s="2" t="n"/>
      <c r="HVQ13" s="2" t="n"/>
      <c r="HVR13" s="2" t="n"/>
      <c r="HVS13" s="2" t="n"/>
      <c r="HVT13" s="2" t="n"/>
      <c r="HVU13" s="2" t="n"/>
      <c r="HVV13" s="2" t="n"/>
      <c r="HVW13" s="2" t="n"/>
      <c r="HVX13" s="2" t="n"/>
      <c r="HVY13" s="2" t="n"/>
      <c r="HVZ13" s="2" t="n"/>
      <c r="HWA13" s="2" t="n"/>
      <c r="HWB13" s="2" t="n"/>
      <c r="HWC13" s="2" t="n"/>
      <c r="HWD13" s="2" t="n"/>
      <c r="HWE13" s="2" t="n"/>
      <c r="HWF13" s="2" t="n"/>
      <c r="HWG13" s="2" t="n"/>
      <c r="HWH13" s="2" t="n"/>
      <c r="HWI13" s="2" t="n"/>
      <c r="HWJ13" s="2" t="n"/>
      <c r="HWK13" s="2" t="n"/>
      <c r="HWL13" s="2" t="n"/>
      <c r="HWM13" s="2" t="n"/>
      <c r="HWN13" s="2" t="n"/>
      <c r="HWO13" s="2" t="n"/>
      <c r="HWP13" s="2" t="n"/>
      <c r="HWQ13" s="2" t="n"/>
      <c r="HWR13" s="2" t="n"/>
      <c r="HWS13" s="2" t="n"/>
      <c r="HWT13" s="2" t="n"/>
      <c r="HWU13" s="2" t="n"/>
      <c r="HWV13" s="2" t="n"/>
      <c r="HWW13" s="2" t="n"/>
      <c r="HWX13" s="2" t="n"/>
      <c r="HWY13" s="2" t="n"/>
      <c r="HWZ13" s="2" t="n"/>
      <c r="HXA13" s="2" t="n"/>
      <c r="HXB13" s="2" t="n"/>
      <c r="HXC13" s="2" t="n"/>
      <c r="HXD13" s="2" t="n"/>
      <c r="HXE13" s="2" t="n"/>
      <c r="HXF13" s="2" t="n"/>
      <c r="HXG13" s="2" t="n"/>
      <c r="HXH13" s="2" t="n"/>
      <c r="HXI13" s="2" t="n"/>
      <c r="HXJ13" s="2" t="n"/>
      <c r="HXK13" s="2" t="n"/>
      <c r="HXL13" s="2" t="n"/>
      <c r="HXM13" s="2" t="n"/>
      <c r="HXN13" s="2" t="n"/>
      <c r="HXO13" s="2" t="n"/>
      <c r="HXP13" s="2" t="n"/>
      <c r="HXQ13" s="2" t="n"/>
      <c r="HXR13" s="2" t="n"/>
      <c r="HXS13" s="2" t="n"/>
      <c r="HXT13" s="2" t="n"/>
      <c r="HXU13" s="2" t="n"/>
      <c r="HXV13" s="2" t="n"/>
      <c r="HXW13" s="2" t="n"/>
      <c r="HXX13" s="2" t="n"/>
      <c r="HXY13" s="2" t="n"/>
      <c r="HXZ13" s="2" t="n"/>
      <c r="HYA13" s="2" t="n"/>
      <c r="HYB13" s="2" t="n"/>
      <c r="HYC13" s="2" t="n"/>
      <c r="HYD13" s="2" t="n"/>
      <c r="HYE13" s="2" t="n"/>
      <c r="HYF13" s="2" t="n"/>
      <c r="HYG13" s="2" t="n"/>
      <c r="HYH13" s="2" t="n"/>
      <c r="HYI13" s="2" t="n"/>
      <c r="HYJ13" s="2" t="n"/>
      <c r="HYK13" s="2" t="n"/>
      <c r="HYL13" s="2" t="n"/>
      <c r="HYM13" s="2" t="n"/>
      <c r="HYN13" s="2" t="n"/>
      <c r="HYO13" s="2" t="n"/>
      <c r="HYP13" s="2" t="n"/>
      <c r="HYQ13" s="2" t="n"/>
      <c r="HYR13" s="2" t="n"/>
      <c r="HYS13" s="2" t="n"/>
      <c r="HYT13" s="2" t="n"/>
      <c r="HYU13" s="2" t="n"/>
      <c r="HYV13" s="2" t="n"/>
      <c r="HYW13" s="2" t="n"/>
      <c r="HYX13" s="2" t="n"/>
      <c r="HYY13" s="2" t="n"/>
      <c r="HYZ13" s="2" t="n"/>
      <c r="HZA13" s="2" t="n"/>
      <c r="HZB13" s="2" t="n"/>
      <c r="HZC13" s="2" t="n"/>
      <c r="HZD13" s="2" t="n"/>
      <c r="HZE13" s="2" t="n"/>
      <c r="HZF13" s="2" t="n"/>
      <c r="HZG13" s="2" t="n"/>
      <c r="HZH13" s="2" t="n"/>
      <c r="HZI13" s="2" t="n"/>
      <c r="HZJ13" s="2" t="n"/>
      <c r="HZK13" s="2" t="n"/>
      <c r="HZL13" s="2" t="n"/>
      <c r="HZM13" s="2" t="n"/>
      <c r="HZN13" s="2" t="n"/>
      <c r="HZO13" s="2" t="n"/>
      <c r="HZP13" s="2" t="n"/>
      <c r="HZQ13" s="2" t="n"/>
      <c r="HZR13" s="2" t="n"/>
      <c r="HZS13" s="2" t="n"/>
      <c r="HZT13" s="2" t="n"/>
      <c r="HZU13" s="2" t="n"/>
      <c r="HZV13" s="2" t="n"/>
      <c r="HZW13" s="2" t="n"/>
      <c r="HZX13" s="2" t="n"/>
      <c r="HZY13" s="2" t="n"/>
      <c r="HZZ13" s="2" t="n"/>
      <c r="IAA13" s="2" t="n"/>
      <c r="IAB13" s="2" t="n"/>
      <c r="IAC13" s="2" t="n"/>
      <c r="IAD13" s="2" t="n"/>
      <c r="IAE13" s="2" t="n"/>
      <c r="IAF13" s="2" t="n"/>
      <c r="IAG13" s="2" t="n"/>
      <c r="IAH13" s="2" t="n"/>
      <c r="IAI13" s="2" t="n"/>
      <c r="IAJ13" s="2" t="n"/>
      <c r="IAK13" s="2" t="n"/>
      <c r="IAL13" s="2" t="n"/>
      <c r="IAM13" s="2" t="n"/>
      <c r="IAN13" s="2" t="n"/>
      <c r="IAO13" s="2" t="n"/>
      <c r="IAP13" s="2" t="n"/>
      <c r="IAQ13" s="2" t="n"/>
      <c r="IAR13" s="2" t="n"/>
      <c r="IAS13" s="2" t="n"/>
      <c r="IAT13" s="2" t="n"/>
      <c r="IAU13" s="2" t="n"/>
      <c r="IAV13" s="2" t="n"/>
      <c r="IAW13" s="2" t="n"/>
      <c r="IAX13" s="2" t="n"/>
      <c r="IAY13" s="2" t="n"/>
      <c r="IAZ13" s="2" t="n"/>
      <c r="IBA13" s="2" t="n"/>
      <c r="IBB13" s="2" t="n"/>
      <c r="IBC13" s="2" t="n"/>
      <c r="IBD13" s="2" t="n"/>
      <c r="IBE13" s="2" t="n"/>
      <c r="IBF13" s="2" t="n"/>
      <c r="IBG13" s="2" t="n"/>
      <c r="IBH13" s="2" t="n"/>
      <c r="IBI13" s="2" t="n"/>
      <c r="IBJ13" s="2" t="n"/>
      <c r="IBK13" s="2" t="n"/>
      <c r="IBL13" s="2" t="n"/>
      <c r="IBM13" s="2" t="n"/>
      <c r="IBN13" s="2" t="n"/>
      <c r="IBO13" s="2" t="n"/>
      <c r="IBP13" s="2" t="n"/>
      <c r="IBQ13" s="2" t="n"/>
      <c r="IBR13" s="2" t="n"/>
      <c r="IBS13" s="2" t="n"/>
      <c r="IBT13" s="2" t="n"/>
      <c r="IBU13" s="2" t="n"/>
      <c r="IBV13" s="2" t="n"/>
      <c r="IBW13" s="2" t="n"/>
      <c r="IBX13" s="2" t="n"/>
      <c r="IBY13" s="2" t="n"/>
      <c r="IBZ13" s="2" t="n"/>
      <c r="ICA13" s="2" t="n"/>
      <c r="ICB13" s="2" t="n"/>
      <c r="ICC13" s="2" t="n"/>
      <c r="ICD13" s="2" t="n"/>
      <c r="ICE13" s="2" t="n"/>
      <c r="ICF13" s="2" t="n"/>
      <c r="ICG13" s="2" t="n"/>
      <c r="ICH13" s="2" t="n"/>
      <c r="ICI13" s="2" t="n"/>
      <c r="ICJ13" s="2" t="n"/>
      <c r="ICK13" s="2" t="n"/>
      <c r="ICL13" s="2" t="n"/>
      <c r="ICM13" s="2" t="n"/>
      <c r="ICN13" s="2" t="n"/>
      <c r="ICO13" s="2" t="n"/>
      <c r="ICP13" s="2" t="n"/>
      <c r="ICQ13" s="2" t="n"/>
      <c r="ICR13" s="2" t="n"/>
      <c r="ICS13" s="2" t="n"/>
      <c r="ICT13" s="2" t="n"/>
      <c r="ICU13" s="2" t="n"/>
      <c r="ICV13" s="2" t="n"/>
      <c r="ICW13" s="2" t="n"/>
      <c r="ICX13" s="2" t="n"/>
      <c r="ICY13" s="2" t="n"/>
      <c r="ICZ13" s="2" t="n"/>
      <c r="IDA13" s="2" t="n"/>
      <c r="IDB13" s="2" t="n"/>
      <c r="IDC13" s="2" t="n"/>
      <c r="IDD13" s="2" t="n"/>
      <c r="IDE13" s="2" t="n"/>
      <c r="IDF13" s="2" t="n"/>
      <c r="IDG13" s="2" t="n"/>
      <c r="IDH13" s="2" t="n"/>
      <c r="IDI13" s="2" t="n"/>
      <c r="IDJ13" s="2" t="n"/>
      <c r="IDK13" s="2" t="n"/>
      <c r="IDL13" s="2" t="n"/>
      <c r="IDM13" s="2" t="n"/>
      <c r="IDN13" s="2" t="n"/>
      <c r="IDO13" s="2" t="n"/>
      <c r="IDP13" s="2" t="n"/>
      <c r="IDQ13" s="2" t="n"/>
      <c r="IDR13" s="2" t="n"/>
      <c r="IDS13" s="2" t="n"/>
      <c r="IDT13" s="2" t="n"/>
      <c r="IDU13" s="2" t="n"/>
      <c r="IDV13" s="2" t="n"/>
      <c r="IDW13" s="2" t="n"/>
      <c r="IDX13" s="2" t="n"/>
      <c r="IDY13" s="2" t="n"/>
      <c r="IDZ13" s="2" t="n"/>
      <c r="IEA13" s="2" t="n"/>
      <c r="IEB13" s="2" t="n"/>
      <c r="IEC13" s="2" t="n"/>
      <c r="IED13" s="2" t="n"/>
      <c r="IEE13" s="2" t="n"/>
      <c r="IEF13" s="2" t="n"/>
      <c r="IEG13" s="2" t="n"/>
      <c r="IEH13" s="2" t="n"/>
      <c r="IEI13" s="2" t="n"/>
      <c r="IEJ13" s="2" t="n"/>
      <c r="IEK13" s="2" t="n"/>
      <c r="IEL13" s="2" t="n"/>
      <c r="IEM13" s="2" t="n"/>
      <c r="IEN13" s="2" t="n"/>
      <c r="IEO13" s="2" t="n"/>
      <c r="IEP13" s="2" t="n"/>
      <c r="IEQ13" s="2" t="n"/>
      <c r="IER13" s="2" t="n"/>
      <c r="IES13" s="2" t="n"/>
      <c r="IET13" s="2" t="n"/>
      <c r="IEU13" s="2" t="n"/>
      <c r="IEV13" s="2" t="n"/>
      <c r="IEW13" s="2" t="n"/>
      <c r="IEX13" s="2" t="n"/>
      <c r="IEY13" s="2" t="n"/>
      <c r="IEZ13" s="2" t="n"/>
      <c r="IFA13" s="2" t="n"/>
      <c r="IFB13" s="2" t="n"/>
      <c r="IFC13" s="2" t="n"/>
      <c r="IFD13" s="2" t="n"/>
      <c r="IFE13" s="2" t="n"/>
      <c r="IFF13" s="2" t="n"/>
      <c r="IFG13" s="2" t="n"/>
      <c r="IFH13" s="2" t="n"/>
      <c r="IFI13" s="2" t="n"/>
      <c r="IFJ13" s="2" t="n"/>
      <c r="IFK13" s="2" t="n"/>
      <c r="IFL13" s="2" t="n"/>
      <c r="IFM13" s="2" t="n"/>
      <c r="IFN13" s="2" t="n"/>
      <c r="IFO13" s="2" t="n"/>
      <c r="IFP13" s="2" t="n"/>
      <c r="IFQ13" s="2" t="n"/>
      <c r="IFR13" s="2" t="n"/>
      <c r="IFS13" s="2" t="n"/>
      <c r="IFT13" s="2" t="n"/>
      <c r="IFU13" s="2" t="n"/>
      <c r="IFV13" s="2" t="n"/>
      <c r="IFW13" s="2" t="n"/>
      <c r="IFX13" s="2" t="n"/>
      <c r="IFY13" s="2" t="n"/>
      <c r="IFZ13" s="2" t="n"/>
      <c r="IGA13" s="2" t="n"/>
      <c r="IGB13" s="2" t="n"/>
      <c r="IGC13" s="2" t="n"/>
      <c r="IGD13" s="2" t="n"/>
      <c r="IGE13" s="2" t="n"/>
      <c r="IGF13" s="2" t="n"/>
      <c r="IGG13" s="2" t="n"/>
      <c r="IGH13" s="2" t="n"/>
      <c r="IGI13" s="2" t="n"/>
      <c r="IGJ13" s="2" t="n"/>
      <c r="IGK13" s="2" t="n"/>
      <c r="IGL13" s="2" t="n"/>
      <c r="IGM13" s="2" t="n"/>
      <c r="IGN13" s="2" t="n"/>
      <c r="IGO13" s="2" t="n"/>
      <c r="IGP13" s="2" t="n"/>
      <c r="IGQ13" s="2" t="n"/>
      <c r="IGR13" s="2" t="n"/>
      <c r="IGS13" s="2" t="n"/>
      <c r="IGT13" s="2" t="n"/>
      <c r="IGU13" s="2" t="n"/>
      <c r="IGV13" s="2" t="n"/>
      <c r="IGW13" s="2" t="n"/>
      <c r="IGX13" s="2" t="n"/>
      <c r="IGY13" s="2" t="n"/>
      <c r="IGZ13" s="2" t="n"/>
      <c r="IHA13" s="2" t="n"/>
      <c r="IHB13" s="2" t="n"/>
      <c r="IHC13" s="2" t="n"/>
      <c r="IHD13" s="2" t="n"/>
      <c r="IHE13" s="2" t="n"/>
      <c r="IHF13" s="2" t="n"/>
      <c r="IHG13" s="2" t="n"/>
      <c r="IHH13" s="2" t="n"/>
      <c r="IHI13" s="2" t="n"/>
      <c r="IHJ13" s="2" t="n"/>
      <c r="IHK13" s="2" t="n"/>
      <c r="IHL13" s="2" t="n"/>
      <c r="IHM13" s="2" t="n"/>
      <c r="IHN13" s="2" t="n"/>
      <c r="IHO13" s="2" t="n"/>
      <c r="IHP13" s="2" t="n"/>
      <c r="IHQ13" s="2" t="n"/>
      <c r="IHR13" s="2" t="n"/>
      <c r="IHS13" s="2" t="n"/>
      <c r="IHT13" s="2" t="n"/>
      <c r="IHU13" s="2" t="n"/>
      <c r="IHV13" s="2" t="n"/>
      <c r="IHW13" s="2" t="n"/>
      <c r="IHX13" s="2" t="n"/>
      <c r="IHY13" s="2" t="n"/>
      <c r="IHZ13" s="2" t="n"/>
      <c r="IIA13" s="2" t="n"/>
      <c r="IIB13" s="2" t="n"/>
      <c r="IIC13" s="2" t="n"/>
      <c r="IID13" s="2" t="n"/>
      <c r="IIE13" s="2" t="n"/>
      <c r="IIF13" s="2" t="n"/>
      <c r="IIG13" s="2" t="n"/>
      <c r="IIH13" s="2" t="n"/>
      <c r="III13" s="2" t="n"/>
      <c r="IIJ13" s="2" t="n"/>
      <c r="IIK13" s="2" t="n"/>
      <c r="IIL13" s="2" t="n"/>
      <c r="IIM13" s="2" t="n"/>
      <c r="IIN13" s="2" t="n"/>
      <c r="IIO13" s="2" t="n"/>
      <c r="IIP13" s="2" t="n"/>
      <c r="IIQ13" s="2" t="n"/>
      <c r="IIR13" s="2" t="n"/>
      <c r="IIS13" s="2" t="n"/>
      <c r="IIT13" s="2" t="n"/>
      <c r="IIU13" s="2" t="n"/>
      <c r="IIV13" s="2" t="n"/>
      <c r="IIW13" s="2" t="n"/>
      <c r="IIX13" s="2" t="n"/>
      <c r="IIY13" s="2" t="n"/>
      <c r="IIZ13" s="2" t="n"/>
      <c r="IJA13" s="2" t="n"/>
      <c r="IJB13" s="2" t="n"/>
      <c r="IJC13" s="2" t="n"/>
      <c r="IJD13" s="2" t="n"/>
      <c r="IJE13" s="2" t="n"/>
      <c r="IJF13" s="2" t="n"/>
      <c r="IJG13" s="2" t="n"/>
      <c r="IJH13" s="2" t="n"/>
      <c r="IJI13" s="2" t="n"/>
      <c r="IJJ13" s="2" t="n"/>
      <c r="IJK13" s="2" t="n"/>
      <c r="IJL13" s="2" t="n"/>
      <c r="IJM13" s="2" t="n"/>
      <c r="IJN13" s="2" t="n"/>
      <c r="IJO13" s="2" t="n"/>
      <c r="IJP13" s="2" t="n"/>
      <c r="IJQ13" s="2" t="n"/>
      <c r="IJR13" s="2" t="n"/>
      <c r="IJS13" s="2" t="n"/>
      <c r="IJT13" s="2" t="n"/>
      <c r="IJU13" s="2" t="n"/>
      <c r="IJV13" s="2" t="n"/>
      <c r="IJW13" s="2" t="n"/>
      <c r="IJX13" s="2" t="n"/>
      <c r="IJY13" s="2" t="n"/>
      <c r="IJZ13" s="2" t="n"/>
      <c r="IKA13" s="2" t="n"/>
      <c r="IKB13" s="2" t="n"/>
      <c r="IKC13" s="2" t="n"/>
      <c r="IKD13" s="2" t="n"/>
      <c r="IKE13" s="2" t="n"/>
      <c r="IKF13" s="2" t="n"/>
      <c r="IKG13" s="2" t="n"/>
      <c r="IKH13" s="2" t="n"/>
      <c r="IKI13" s="2" t="n"/>
      <c r="IKJ13" s="2" t="n"/>
      <c r="IKK13" s="2" t="n"/>
      <c r="IKL13" s="2" t="n"/>
      <c r="IKM13" s="2" t="n"/>
      <c r="IKN13" s="2" t="n"/>
      <c r="IKO13" s="2" t="n"/>
      <c r="IKP13" s="2" t="n"/>
      <c r="IKQ13" s="2" t="n"/>
      <c r="IKR13" s="2" t="n"/>
      <c r="IKS13" s="2" t="n"/>
      <c r="IKT13" s="2" t="n"/>
      <c r="IKU13" s="2" t="n"/>
      <c r="IKV13" s="2" t="n"/>
      <c r="IKW13" s="2" t="n"/>
      <c r="IKX13" s="2" t="n"/>
      <c r="IKY13" s="2" t="n"/>
      <c r="IKZ13" s="2" t="n"/>
      <c r="ILA13" s="2" t="n"/>
      <c r="ILB13" s="2" t="n"/>
      <c r="ILC13" s="2" t="n"/>
      <c r="ILD13" s="2" t="n"/>
      <c r="ILE13" s="2" t="n"/>
      <c r="ILF13" s="2" t="n"/>
      <c r="ILG13" s="2" t="n"/>
      <c r="ILH13" s="2" t="n"/>
      <c r="ILI13" s="2" t="n"/>
      <c r="ILJ13" s="2" t="n"/>
      <c r="ILK13" s="2" t="n"/>
      <c r="ILL13" s="2" t="n"/>
      <c r="ILM13" s="2" t="n"/>
      <c r="ILN13" s="2" t="n"/>
      <c r="ILO13" s="2" t="n"/>
      <c r="ILP13" s="2" t="n"/>
      <c r="ILQ13" s="2" t="n"/>
      <c r="ILR13" s="2" t="n"/>
      <c r="ILS13" s="2" t="n"/>
      <c r="ILT13" s="2" t="n"/>
      <c r="ILU13" s="2" t="n"/>
      <c r="ILV13" s="2" t="n"/>
      <c r="ILW13" s="2" t="n"/>
      <c r="ILX13" s="2" t="n"/>
      <c r="ILY13" s="2" t="n"/>
      <c r="ILZ13" s="2" t="n"/>
      <c r="IMA13" s="2" t="n"/>
      <c r="IMB13" s="2" t="n"/>
      <c r="IMC13" s="2" t="n"/>
      <c r="IMD13" s="2" t="n"/>
      <c r="IME13" s="2" t="n"/>
      <c r="IMF13" s="2" t="n"/>
      <c r="IMG13" s="2" t="n"/>
      <c r="IMH13" s="2" t="n"/>
      <c r="IMI13" s="2" t="n"/>
      <c r="IMJ13" s="2" t="n"/>
      <c r="IMK13" s="2" t="n"/>
      <c r="IML13" s="2" t="n"/>
      <c r="IMM13" s="2" t="n"/>
      <c r="IMN13" s="2" t="n"/>
      <c r="IMO13" s="2" t="n"/>
      <c r="IMP13" s="2" t="n"/>
      <c r="IMQ13" s="2" t="n"/>
      <c r="IMR13" s="2" t="n"/>
      <c r="IMS13" s="2" t="n"/>
      <c r="IMT13" s="2" t="n"/>
      <c r="IMU13" s="2" t="n"/>
      <c r="IMV13" s="2" t="n"/>
      <c r="IMW13" s="2" t="n"/>
      <c r="IMX13" s="2" t="n"/>
      <c r="IMY13" s="2" t="n"/>
      <c r="IMZ13" s="2" t="n"/>
      <c r="INA13" s="2" t="n"/>
      <c r="INB13" s="2" t="n"/>
      <c r="INC13" s="2" t="n"/>
      <c r="IND13" s="2" t="n"/>
      <c r="INE13" s="2" t="n"/>
      <c r="INF13" s="2" t="n"/>
      <c r="ING13" s="2" t="n"/>
      <c r="INH13" s="2" t="n"/>
      <c r="INI13" s="2" t="n"/>
      <c r="INJ13" s="2" t="n"/>
      <c r="INK13" s="2" t="n"/>
      <c r="INL13" s="2" t="n"/>
      <c r="INM13" s="2" t="n"/>
      <c r="INN13" s="2" t="n"/>
      <c r="INO13" s="2" t="n"/>
      <c r="INP13" s="2" t="n"/>
      <c r="INQ13" s="2" t="n"/>
      <c r="INR13" s="2" t="n"/>
      <c r="INS13" s="2" t="n"/>
      <c r="INT13" s="2" t="n"/>
      <c r="INU13" s="2" t="n"/>
      <c r="INV13" s="2" t="n"/>
      <c r="INW13" s="2" t="n"/>
      <c r="INX13" s="2" t="n"/>
      <c r="INY13" s="2" t="n"/>
      <c r="INZ13" s="2" t="n"/>
      <c r="IOA13" s="2" t="n"/>
      <c r="IOB13" s="2" t="n"/>
      <c r="IOC13" s="2" t="n"/>
      <c r="IOD13" s="2" t="n"/>
      <c r="IOE13" s="2" t="n"/>
      <c r="IOF13" s="2" t="n"/>
      <c r="IOG13" s="2" t="n"/>
      <c r="IOH13" s="2" t="n"/>
      <c r="IOI13" s="2" t="n"/>
      <c r="IOJ13" s="2" t="n"/>
      <c r="IOK13" s="2" t="n"/>
      <c r="IOL13" s="2" t="n"/>
      <c r="IOM13" s="2" t="n"/>
      <c r="ION13" s="2" t="n"/>
      <c r="IOO13" s="2" t="n"/>
      <c r="IOP13" s="2" t="n"/>
      <c r="IOQ13" s="2" t="n"/>
      <c r="IOR13" s="2" t="n"/>
      <c r="IOS13" s="2" t="n"/>
      <c r="IOT13" s="2" t="n"/>
      <c r="IOU13" s="2" t="n"/>
      <c r="IOV13" s="2" t="n"/>
      <c r="IOW13" s="2" t="n"/>
      <c r="IOX13" s="2" t="n"/>
      <c r="IOY13" s="2" t="n"/>
      <c r="IOZ13" s="2" t="n"/>
      <c r="IPA13" s="2" t="n"/>
      <c r="IPB13" s="2" t="n"/>
      <c r="IPC13" s="2" t="n"/>
      <c r="IPD13" s="2" t="n"/>
      <c r="IPE13" s="2" t="n"/>
      <c r="IPF13" s="2" t="n"/>
      <c r="IPG13" s="2" t="n"/>
      <c r="IPH13" s="2" t="n"/>
      <c r="IPI13" s="2" t="n"/>
      <c r="IPJ13" s="2" t="n"/>
      <c r="IPK13" s="2" t="n"/>
      <c r="IPL13" s="2" t="n"/>
      <c r="IPM13" s="2" t="n"/>
      <c r="IPN13" s="2" t="n"/>
      <c r="IPO13" s="2" t="n"/>
      <c r="IPP13" s="2" t="n"/>
      <c r="IPQ13" s="2" t="n"/>
      <c r="IPR13" s="2" t="n"/>
      <c r="IPS13" s="2" t="n"/>
      <c r="IPT13" s="2" t="n"/>
      <c r="IPU13" s="2" t="n"/>
      <c r="IPV13" s="2" t="n"/>
      <c r="IPW13" s="2" t="n"/>
      <c r="IPX13" s="2" t="n"/>
      <c r="IPY13" s="2" t="n"/>
      <c r="IPZ13" s="2" t="n"/>
      <c r="IQA13" s="2" t="n"/>
      <c r="IQB13" s="2" t="n"/>
      <c r="IQC13" s="2" t="n"/>
      <c r="IQD13" s="2" t="n"/>
      <c r="IQE13" s="2" t="n"/>
      <c r="IQF13" s="2" t="n"/>
      <c r="IQG13" s="2" t="n"/>
      <c r="IQH13" s="2" t="n"/>
      <c r="IQI13" s="2" t="n"/>
      <c r="IQJ13" s="2" t="n"/>
      <c r="IQK13" s="2" t="n"/>
      <c r="IQL13" s="2" t="n"/>
      <c r="IQM13" s="2" t="n"/>
      <c r="IQN13" s="2" t="n"/>
      <c r="IQO13" s="2" t="n"/>
      <c r="IQP13" s="2" t="n"/>
      <c r="IQQ13" s="2" t="n"/>
      <c r="IQR13" s="2" t="n"/>
      <c r="IQS13" s="2" t="n"/>
      <c r="IQT13" s="2" t="n"/>
      <c r="IQU13" s="2" t="n"/>
      <c r="IQV13" s="2" t="n"/>
      <c r="IQW13" s="2" t="n"/>
      <c r="IQX13" s="2" t="n"/>
      <c r="IQY13" s="2" t="n"/>
      <c r="IQZ13" s="2" t="n"/>
      <c r="IRA13" s="2" t="n"/>
      <c r="IRB13" s="2" t="n"/>
      <c r="IRC13" s="2" t="n"/>
      <c r="IRD13" s="2" t="n"/>
      <c r="IRE13" s="2" t="n"/>
      <c r="IRF13" s="2" t="n"/>
      <c r="IRG13" s="2" t="n"/>
      <c r="IRH13" s="2" t="n"/>
      <c r="IRI13" s="2" t="n"/>
      <c r="IRJ13" s="2" t="n"/>
      <c r="IRK13" s="2" t="n"/>
      <c r="IRL13" s="2" t="n"/>
      <c r="IRM13" s="2" t="n"/>
      <c r="IRN13" s="2" t="n"/>
      <c r="IRO13" s="2" t="n"/>
      <c r="IRP13" s="2" t="n"/>
      <c r="IRQ13" s="2" t="n"/>
      <c r="IRR13" s="2" t="n"/>
      <c r="IRS13" s="2" t="n"/>
      <c r="IRT13" s="2" t="n"/>
      <c r="IRU13" s="2" t="n"/>
      <c r="IRV13" s="2" t="n"/>
      <c r="IRW13" s="2" t="n"/>
      <c r="IRX13" s="2" t="n"/>
      <c r="IRY13" s="2" t="n"/>
      <c r="IRZ13" s="2" t="n"/>
      <c r="ISA13" s="2" t="n"/>
      <c r="ISB13" s="2" t="n"/>
      <c r="ISC13" s="2" t="n"/>
      <c r="ISD13" s="2" t="n"/>
      <c r="ISE13" s="2" t="n"/>
      <c r="ISF13" s="2" t="n"/>
      <c r="ISG13" s="2" t="n"/>
      <c r="ISH13" s="2" t="n"/>
      <c r="ISI13" s="2" t="n"/>
      <c r="ISJ13" s="2" t="n"/>
      <c r="ISK13" s="2" t="n"/>
      <c r="ISL13" s="2" t="n"/>
      <c r="ISM13" s="2" t="n"/>
      <c r="ISN13" s="2" t="n"/>
      <c r="ISO13" s="2" t="n"/>
      <c r="ISP13" s="2" t="n"/>
      <c r="ISQ13" s="2" t="n"/>
      <c r="ISR13" s="2" t="n"/>
      <c r="ISS13" s="2" t="n"/>
      <c r="IST13" s="2" t="n"/>
      <c r="ISU13" s="2" t="n"/>
      <c r="ISV13" s="2" t="n"/>
      <c r="ISW13" s="2" t="n"/>
      <c r="ISX13" s="2" t="n"/>
      <c r="ISY13" s="2" t="n"/>
      <c r="ISZ13" s="2" t="n"/>
      <c r="ITA13" s="2" t="n"/>
      <c r="ITB13" s="2" t="n"/>
      <c r="ITC13" s="2" t="n"/>
      <c r="ITD13" s="2" t="n"/>
      <c r="ITE13" s="2" t="n"/>
      <c r="ITF13" s="2" t="n"/>
      <c r="ITG13" s="2" t="n"/>
      <c r="ITH13" s="2" t="n"/>
      <c r="ITI13" s="2" t="n"/>
      <c r="ITJ13" s="2" t="n"/>
      <c r="ITK13" s="2" t="n"/>
      <c r="ITL13" s="2" t="n"/>
      <c r="ITM13" s="2" t="n"/>
      <c r="ITN13" s="2" t="n"/>
      <c r="ITO13" s="2" t="n"/>
      <c r="ITP13" s="2" t="n"/>
      <c r="ITQ13" s="2" t="n"/>
      <c r="ITR13" s="2" t="n"/>
      <c r="ITS13" s="2" t="n"/>
      <c r="ITT13" s="2" t="n"/>
      <c r="ITU13" s="2" t="n"/>
      <c r="ITV13" s="2" t="n"/>
      <c r="ITW13" s="2" t="n"/>
      <c r="ITX13" s="2" t="n"/>
      <c r="ITY13" s="2" t="n"/>
      <c r="ITZ13" s="2" t="n"/>
      <c r="IUA13" s="2" t="n"/>
      <c r="IUB13" s="2" t="n"/>
      <c r="IUC13" s="2" t="n"/>
      <c r="IUD13" s="2" t="n"/>
      <c r="IUE13" s="2" t="n"/>
      <c r="IUF13" s="2" t="n"/>
      <c r="IUG13" s="2" t="n"/>
      <c r="IUH13" s="2" t="n"/>
      <c r="IUI13" s="2" t="n"/>
      <c r="IUJ13" s="2" t="n"/>
      <c r="IUK13" s="2" t="n"/>
      <c r="IUL13" s="2" t="n"/>
      <c r="IUM13" s="2" t="n"/>
      <c r="IUN13" s="2" t="n"/>
      <c r="IUO13" s="2" t="n"/>
      <c r="IUP13" s="2" t="n"/>
      <c r="IUQ13" s="2" t="n"/>
      <c r="IUR13" s="2" t="n"/>
      <c r="IUS13" s="2" t="n"/>
      <c r="IUT13" s="2" t="n"/>
      <c r="IUU13" s="2" t="n"/>
      <c r="IUV13" s="2" t="n"/>
      <c r="IUW13" s="2" t="n"/>
      <c r="IUX13" s="2" t="n"/>
      <c r="IUY13" s="2" t="n"/>
      <c r="IUZ13" s="2" t="n"/>
      <c r="IVA13" s="2" t="n"/>
      <c r="IVB13" s="2" t="n"/>
      <c r="IVC13" s="2" t="n"/>
      <c r="IVD13" s="2" t="n"/>
      <c r="IVE13" s="2" t="n"/>
      <c r="IVF13" s="2" t="n"/>
      <c r="IVG13" s="2" t="n"/>
      <c r="IVH13" s="2" t="n"/>
      <c r="IVI13" s="2" t="n"/>
      <c r="IVJ13" s="2" t="n"/>
      <c r="IVK13" s="2" t="n"/>
      <c r="IVL13" s="2" t="n"/>
      <c r="IVM13" s="2" t="n"/>
      <c r="IVN13" s="2" t="n"/>
      <c r="IVO13" s="2" t="n"/>
      <c r="IVP13" s="2" t="n"/>
      <c r="IVQ13" s="2" t="n"/>
      <c r="IVR13" s="2" t="n"/>
      <c r="IVS13" s="2" t="n"/>
      <c r="IVT13" s="2" t="n"/>
      <c r="IVU13" s="2" t="n"/>
      <c r="IVV13" s="2" t="n"/>
      <c r="IVW13" s="2" t="n"/>
      <c r="IVX13" s="2" t="n"/>
      <c r="IVY13" s="2" t="n"/>
      <c r="IVZ13" s="2" t="n"/>
      <c r="IWA13" s="2" t="n"/>
      <c r="IWB13" s="2" t="n"/>
      <c r="IWC13" s="2" t="n"/>
      <c r="IWD13" s="2" t="n"/>
      <c r="IWE13" s="2" t="n"/>
      <c r="IWF13" s="2" t="n"/>
      <c r="IWG13" s="2" t="n"/>
      <c r="IWH13" s="2" t="n"/>
      <c r="IWI13" s="2" t="n"/>
      <c r="IWJ13" s="2" t="n"/>
      <c r="IWK13" s="2" t="n"/>
      <c r="IWL13" s="2" t="n"/>
      <c r="IWM13" s="2" t="n"/>
      <c r="IWN13" s="2" t="n"/>
      <c r="IWO13" s="2" t="n"/>
      <c r="IWP13" s="2" t="n"/>
      <c r="IWQ13" s="2" t="n"/>
      <c r="IWR13" s="2" t="n"/>
      <c r="IWS13" s="2" t="n"/>
      <c r="IWT13" s="2" t="n"/>
      <c r="IWU13" s="2" t="n"/>
      <c r="IWV13" s="2" t="n"/>
      <c r="IWW13" s="2" t="n"/>
      <c r="IWX13" s="2" t="n"/>
      <c r="IWY13" s="2" t="n"/>
      <c r="IWZ13" s="2" t="n"/>
      <c r="IXA13" s="2" t="n"/>
      <c r="IXB13" s="2" t="n"/>
      <c r="IXC13" s="2" t="n"/>
      <c r="IXD13" s="2" t="n"/>
      <c r="IXE13" s="2" t="n"/>
      <c r="IXF13" s="2" t="n"/>
      <c r="IXG13" s="2" t="n"/>
      <c r="IXH13" s="2" t="n"/>
      <c r="IXI13" s="2" t="n"/>
      <c r="IXJ13" s="2" t="n"/>
      <c r="IXK13" s="2" t="n"/>
      <c r="IXL13" s="2" t="n"/>
      <c r="IXM13" s="2" t="n"/>
      <c r="IXN13" s="2" t="n"/>
      <c r="IXO13" s="2" t="n"/>
      <c r="IXP13" s="2" t="n"/>
      <c r="IXQ13" s="2" t="n"/>
      <c r="IXR13" s="2" t="n"/>
      <c r="IXS13" s="2" t="n"/>
      <c r="IXT13" s="2" t="n"/>
      <c r="IXU13" s="2" t="n"/>
      <c r="IXV13" s="2" t="n"/>
      <c r="IXW13" s="2" t="n"/>
      <c r="IXX13" s="2" t="n"/>
      <c r="IXY13" s="2" t="n"/>
      <c r="IXZ13" s="2" t="n"/>
      <c r="IYA13" s="2" t="n"/>
      <c r="IYB13" s="2" t="n"/>
      <c r="IYC13" s="2" t="n"/>
      <c r="IYD13" s="2" t="n"/>
      <c r="IYE13" s="2" t="n"/>
      <c r="IYF13" s="2" t="n"/>
      <c r="IYG13" s="2" t="n"/>
      <c r="IYH13" s="2" t="n"/>
      <c r="IYI13" s="2" t="n"/>
      <c r="IYJ13" s="2" t="n"/>
      <c r="IYK13" s="2" t="n"/>
      <c r="IYL13" s="2" t="n"/>
      <c r="IYM13" s="2" t="n"/>
      <c r="IYN13" s="2" t="n"/>
      <c r="IYO13" s="2" t="n"/>
      <c r="IYP13" s="2" t="n"/>
      <c r="IYQ13" s="2" t="n"/>
      <c r="IYR13" s="2" t="n"/>
      <c r="IYS13" s="2" t="n"/>
      <c r="IYT13" s="2" t="n"/>
      <c r="IYU13" s="2" t="n"/>
      <c r="IYV13" s="2" t="n"/>
      <c r="IYW13" s="2" t="n"/>
      <c r="IYX13" s="2" t="n"/>
      <c r="IYY13" s="2" t="n"/>
      <c r="IYZ13" s="2" t="n"/>
      <c r="IZA13" s="2" t="n"/>
      <c r="IZB13" s="2" t="n"/>
      <c r="IZC13" s="2" t="n"/>
      <c r="IZD13" s="2" t="n"/>
      <c r="IZE13" s="2" t="n"/>
      <c r="IZF13" s="2" t="n"/>
      <c r="IZG13" s="2" t="n"/>
      <c r="IZH13" s="2" t="n"/>
      <c r="IZI13" s="2" t="n"/>
      <c r="IZJ13" s="2" t="n"/>
      <c r="IZK13" s="2" t="n"/>
      <c r="IZL13" s="2" t="n"/>
      <c r="IZM13" s="2" t="n"/>
      <c r="IZN13" s="2" t="n"/>
      <c r="IZO13" s="2" t="n"/>
      <c r="IZP13" s="2" t="n"/>
      <c r="IZQ13" s="2" t="n"/>
      <c r="IZR13" s="2" t="n"/>
      <c r="IZS13" s="2" t="n"/>
      <c r="IZT13" s="2" t="n"/>
      <c r="IZU13" s="2" t="n"/>
      <c r="IZV13" s="2" t="n"/>
      <c r="IZW13" s="2" t="n"/>
      <c r="IZX13" s="2" t="n"/>
      <c r="IZY13" s="2" t="n"/>
      <c r="IZZ13" s="2" t="n"/>
      <c r="JAA13" s="2" t="n"/>
      <c r="JAB13" s="2" t="n"/>
      <c r="JAC13" s="2" t="n"/>
      <c r="JAD13" s="2" t="n"/>
      <c r="JAE13" s="2" t="n"/>
      <c r="JAF13" s="2" t="n"/>
      <c r="JAG13" s="2" t="n"/>
      <c r="JAH13" s="2" t="n"/>
      <c r="JAI13" s="2" t="n"/>
      <c r="JAJ13" s="2" t="n"/>
      <c r="JAK13" s="2" t="n"/>
      <c r="JAL13" s="2" t="n"/>
      <c r="JAM13" s="2" t="n"/>
      <c r="JAN13" s="2" t="n"/>
      <c r="JAO13" s="2" t="n"/>
      <c r="JAP13" s="2" t="n"/>
      <c r="JAQ13" s="2" t="n"/>
      <c r="JAR13" s="2" t="n"/>
      <c r="JAS13" s="2" t="n"/>
      <c r="JAT13" s="2" t="n"/>
      <c r="JAU13" s="2" t="n"/>
      <c r="JAV13" s="2" t="n"/>
      <c r="JAW13" s="2" t="n"/>
      <c r="JAX13" s="2" t="n"/>
      <c r="JAY13" s="2" t="n"/>
      <c r="JAZ13" s="2" t="n"/>
      <c r="JBA13" s="2" t="n"/>
      <c r="JBB13" s="2" t="n"/>
      <c r="JBC13" s="2" t="n"/>
      <c r="JBD13" s="2" t="n"/>
      <c r="JBE13" s="2" t="n"/>
      <c r="JBF13" s="2" t="n"/>
      <c r="JBG13" s="2" t="n"/>
      <c r="JBH13" s="2" t="n"/>
      <c r="JBI13" s="2" t="n"/>
      <c r="JBJ13" s="2" t="n"/>
      <c r="JBK13" s="2" t="n"/>
      <c r="JBL13" s="2" t="n"/>
      <c r="JBM13" s="2" t="n"/>
      <c r="JBN13" s="2" t="n"/>
      <c r="JBO13" s="2" t="n"/>
      <c r="JBP13" s="2" t="n"/>
      <c r="JBQ13" s="2" t="n"/>
      <c r="JBR13" s="2" t="n"/>
      <c r="JBS13" s="2" t="n"/>
      <c r="JBT13" s="2" t="n"/>
      <c r="JBU13" s="2" t="n"/>
      <c r="JBV13" s="2" t="n"/>
      <c r="JBW13" s="2" t="n"/>
      <c r="JBX13" s="2" t="n"/>
      <c r="JBY13" s="2" t="n"/>
      <c r="JBZ13" s="2" t="n"/>
      <c r="JCA13" s="2" t="n"/>
      <c r="JCB13" s="2" t="n"/>
      <c r="JCC13" s="2" t="n"/>
      <c r="JCD13" s="2" t="n"/>
      <c r="JCE13" s="2" t="n"/>
      <c r="JCF13" s="2" t="n"/>
      <c r="JCG13" s="2" t="n"/>
      <c r="JCH13" s="2" t="n"/>
      <c r="JCI13" s="2" t="n"/>
      <c r="JCJ13" s="2" t="n"/>
      <c r="JCK13" s="2" t="n"/>
      <c r="JCL13" s="2" t="n"/>
      <c r="JCM13" s="2" t="n"/>
      <c r="JCN13" s="2" t="n"/>
      <c r="JCO13" s="2" t="n"/>
      <c r="JCP13" s="2" t="n"/>
      <c r="JCQ13" s="2" t="n"/>
      <c r="JCR13" s="2" t="n"/>
      <c r="JCS13" s="2" t="n"/>
      <c r="JCT13" s="2" t="n"/>
      <c r="JCU13" s="2" t="n"/>
      <c r="JCV13" s="2" t="n"/>
      <c r="JCW13" s="2" t="n"/>
      <c r="JCX13" s="2" t="n"/>
      <c r="JCY13" s="2" t="n"/>
      <c r="JCZ13" s="2" t="n"/>
      <c r="JDA13" s="2" t="n"/>
      <c r="JDB13" s="2" t="n"/>
      <c r="JDC13" s="2" t="n"/>
      <c r="JDD13" s="2" t="n"/>
      <c r="JDE13" s="2" t="n"/>
      <c r="JDF13" s="2" t="n"/>
      <c r="JDG13" s="2" t="n"/>
      <c r="JDH13" s="2" t="n"/>
      <c r="JDI13" s="2" t="n"/>
      <c r="JDJ13" s="2" t="n"/>
      <c r="JDK13" s="2" t="n"/>
      <c r="JDL13" s="2" t="n"/>
      <c r="JDM13" s="2" t="n"/>
      <c r="JDN13" s="2" t="n"/>
      <c r="JDO13" s="2" t="n"/>
      <c r="JDP13" s="2" t="n"/>
      <c r="JDQ13" s="2" t="n"/>
      <c r="JDR13" s="2" t="n"/>
      <c r="JDS13" s="2" t="n"/>
      <c r="JDT13" s="2" t="n"/>
      <c r="JDU13" s="2" t="n"/>
      <c r="JDV13" s="2" t="n"/>
      <c r="JDW13" s="2" t="n"/>
      <c r="JDX13" s="2" t="n"/>
      <c r="JDY13" s="2" t="n"/>
      <c r="JDZ13" s="2" t="n"/>
      <c r="JEA13" s="2" t="n"/>
      <c r="JEB13" s="2" t="n"/>
      <c r="JEC13" s="2" t="n"/>
      <c r="JED13" s="2" t="n"/>
      <c r="JEE13" s="2" t="n"/>
      <c r="JEF13" s="2" t="n"/>
      <c r="JEG13" s="2" t="n"/>
      <c r="JEH13" s="2" t="n"/>
      <c r="JEI13" s="2" t="n"/>
      <c r="JEJ13" s="2" t="n"/>
      <c r="JEK13" s="2" t="n"/>
      <c r="JEL13" s="2" t="n"/>
      <c r="JEM13" s="2" t="n"/>
      <c r="JEN13" s="2" t="n"/>
      <c r="JEO13" s="2" t="n"/>
      <c r="JEP13" s="2" t="n"/>
      <c r="JEQ13" s="2" t="n"/>
      <c r="JER13" s="2" t="n"/>
      <c r="JES13" s="2" t="n"/>
      <c r="JET13" s="2" t="n"/>
      <c r="JEU13" s="2" t="n"/>
      <c r="JEV13" s="2" t="n"/>
      <c r="JEW13" s="2" t="n"/>
      <c r="JEX13" s="2" t="n"/>
      <c r="JEY13" s="2" t="n"/>
      <c r="JEZ13" s="2" t="n"/>
      <c r="JFA13" s="2" t="n"/>
      <c r="JFB13" s="2" t="n"/>
      <c r="JFC13" s="2" t="n"/>
      <c r="JFD13" s="2" t="n"/>
      <c r="JFE13" s="2" t="n"/>
      <c r="JFF13" s="2" t="n"/>
      <c r="JFG13" s="2" t="n"/>
      <c r="JFH13" s="2" t="n"/>
      <c r="JFI13" s="2" t="n"/>
      <c r="JFJ13" s="2" t="n"/>
      <c r="JFK13" s="2" t="n"/>
      <c r="JFL13" s="2" t="n"/>
      <c r="JFM13" s="2" t="n"/>
      <c r="JFN13" s="2" t="n"/>
      <c r="JFO13" s="2" t="n"/>
      <c r="JFP13" s="2" t="n"/>
      <c r="JFQ13" s="2" t="n"/>
      <c r="JFR13" s="2" t="n"/>
      <c r="JFS13" s="2" t="n"/>
      <c r="JFT13" s="2" t="n"/>
      <c r="JFU13" s="2" t="n"/>
      <c r="JFV13" s="2" t="n"/>
      <c r="JFW13" s="2" t="n"/>
      <c r="JFX13" s="2" t="n"/>
      <c r="JFY13" s="2" t="n"/>
      <c r="JFZ13" s="2" t="n"/>
      <c r="JGA13" s="2" t="n"/>
      <c r="JGB13" s="2" t="n"/>
      <c r="JGC13" s="2" t="n"/>
      <c r="JGD13" s="2" t="n"/>
      <c r="JGE13" s="2" t="n"/>
      <c r="JGF13" s="2" t="n"/>
      <c r="JGG13" s="2" t="n"/>
      <c r="JGH13" s="2" t="n"/>
      <c r="JGI13" s="2" t="n"/>
      <c r="JGJ13" s="2" t="n"/>
      <c r="JGK13" s="2" t="n"/>
      <c r="JGL13" s="2" t="n"/>
      <c r="JGM13" s="2" t="n"/>
      <c r="JGN13" s="2" t="n"/>
      <c r="JGO13" s="2" t="n"/>
      <c r="JGP13" s="2" t="n"/>
      <c r="JGQ13" s="2" t="n"/>
      <c r="JGR13" s="2" t="n"/>
      <c r="JGS13" s="2" t="n"/>
      <c r="JGT13" s="2" t="n"/>
      <c r="JGU13" s="2" t="n"/>
      <c r="JGV13" s="2" t="n"/>
      <c r="JGW13" s="2" t="n"/>
      <c r="JGX13" s="2" t="n"/>
      <c r="JGY13" s="2" t="n"/>
      <c r="JGZ13" s="2" t="n"/>
      <c r="JHA13" s="2" t="n"/>
      <c r="JHB13" s="2" t="n"/>
      <c r="JHC13" s="2" t="n"/>
      <c r="JHD13" s="2" t="n"/>
      <c r="JHE13" s="2" t="n"/>
      <c r="JHF13" s="2" t="n"/>
      <c r="JHG13" s="2" t="n"/>
      <c r="JHH13" s="2" t="n"/>
      <c r="JHI13" s="2" t="n"/>
      <c r="JHJ13" s="2" t="n"/>
      <c r="JHK13" s="2" t="n"/>
      <c r="JHL13" s="2" t="n"/>
      <c r="JHM13" s="2" t="n"/>
      <c r="JHN13" s="2" t="n"/>
      <c r="JHO13" s="2" t="n"/>
      <c r="JHP13" s="2" t="n"/>
      <c r="JHQ13" s="2" t="n"/>
      <c r="JHR13" s="2" t="n"/>
      <c r="JHS13" s="2" t="n"/>
      <c r="JHT13" s="2" t="n"/>
      <c r="JHU13" s="2" t="n"/>
      <c r="JHV13" s="2" t="n"/>
      <c r="JHW13" s="2" t="n"/>
      <c r="JHX13" s="2" t="n"/>
      <c r="JHY13" s="2" t="n"/>
      <c r="JHZ13" s="2" t="n"/>
      <c r="JIA13" s="2" t="n"/>
      <c r="JIB13" s="2" t="n"/>
      <c r="JIC13" s="2" t="n"/>
      <c r="JID13" s="2" t="n"/>
      <c r="JIE13" s="2" t="n"/>
      <c r="JIF13" s="2" t="n"/>
      <c r="JIG13" s="2" t="n"/>
      <c r="JIH13" s="2" t="n"/>
      <c r="JII13" s="2" t="n"/>
      <c r="JIJ13" s="2" t="n"/>
      <c r="JIK13" s="2" t="n"/>
      <c r="JIL13" s="2" t="n"/>
      <c r="JIM13" s="2" t="n"/>
      <c r="JIN13" s="2" t="n"/>
      <c r="JIO13" s="2" t="n"/>
      <c r="JIP13" s="2" t="n"/>
      <c r="JIQ13" s="2" t="n"/>
      <c r="JIR13" s="2" t="n"/>
      <c r="JIS13" s="2" t="n"/>
      <c r="JIT13" s="2" t="n"/>
      <c r="JIU13" s="2" t="n"/>
      <c r="JIV13" s="2" t="n"/>
      <c r="JIW13" s="2" t="n"/>
      <c r="JIX13" s="2" t="n"/>
      <c r="JIY13" s="2" t="n"/>
      <c r="JIZ13" s="2" t="n"/>
      <c r="JJA13" s="2" t="n"/>
      <c r="JJB13" s="2" t="n"/>
      <c r="JJC13" s="2" t="n"/>
      <c r="JJD13" s="2" t="n"/>
      <c r="JJE13" s="2" t="n"/>
      <c r="JJF13" s="2" t="n"/>
      <c r="JJG13" s="2" t="n"/>
      <c r="JJH13" s="2" t="n"/>
      <c r="JJI13" s="2" t="n"/>
      <c r="JJJ13" s="2" t="n"/>
      <c r="JJK13" s="2" t="n"/>
      <c r="JJL13" s="2" t="n"/>
      <c r="JJM13" s="2" t="n"/>
      <c r="JJN13" s="2" t="n"/>
      <c r="JJO13" s="2" t="n"/>
      <c r="JJP13" s="2" t="n"/>
      <c r="JJQ13" s="2" t="n"/>
      <c r="JJR13" s="2" t="n"/>
      <c r="JJS13" s="2" t="n"/>
      <c r="JJT13" s="2" t="n"/>
      <c r="JJU13" s="2" t="n"/>
      <c r="JJV13" s="2" t="n"/>
      <c r="JJW13" s="2" t="n"/>
      <c r="JJX13" s="2" t="n"/>
      <c r="JJY13" s="2" t="n"/>
      <c r="JJZ13" s="2" t="n"/>
      <c r="JKA13" s="2" t="n"/>
      <c r="JKB13" s="2" t="n"/>
      <c r="JKC13" s="2" t="n"/>
      <c r="JKD13" s="2" t="n"/>
      <c r="JKE13" s="2" t="n"/>
      <c r="JKF13" s="2" t="n"/>
      <c r="JKG13" s="2" t="n"/>
      <c r="JKH13" s="2" t="n"/>
      <c r="JKI13" s="2" t="n"/>
      <c r="JKJ13" s="2" t="n"/>
      <c r="JKK13" s="2" t="n"/>
      <c r="JKL13" s="2" t="n"/>
      <c r="JKM13" s="2" t="n"/>
      <c r="JKN13" s="2" t="n"/>
      <c r="JKO13" s="2" t="n"/>
      <c r="JKP13" s="2" t="n"/>
      <c r="JKQ13" s="2" t="n"/>
      <c r="JKR13" s="2" t="n"/>
      <c r="JKS13" s="2" t="n"/>
      <c r="JKT13" s="2" t="n"/>
      <c r="JKU13" s="2" t="n"/>
      <c r="JKV13" s="2" t="n"/>
      <c r="JKW13" s="2" t="n"/>
      <c r="JKX13" s="2" t="n"/>
      <c r="JKY13" s="2" t="n"/>
      <c r="JKZ13" s="2" t="n"/>
      <c r="JLA13" s="2" t="n"/>
      <c r="JLB13" s="2" t="n"/>
      <c r="JLC13" s="2" t="n"/>
      <c r="JLD13" s="2" t="n"/>
      <c r="JLE13" s="2" t="n"/>
      <c r="JLF13" s="2" t="n"/>
      <c r="JLG13" s="2" t="n"/>
      <c r="JLH13" s="2" t="n"/>
      <c r="JLI13" s="2" t="n"/>
      <c r="JLJ13" s="2" t="n"/>
      <c r="JLK13" s="2" t="n"/>
      <c r="JLL13" s="2" t="n"/>
      <c r="JLM13" s="2" t="n"/>
      <c r="JLN13" s="2" t="n"/>
      <c r="JLO13" s="2" t="n"/>
      <c r="JLP13" s="2" t="n"/>
      <c r="JLQ13" s="2" t="n"/>
      <c r="JLR13" s="2" t="n"/>
      <c r="JLS13" s="2" t="n"/>
      <c r="JLT13" s="2" t="n"/>
      <c r="JLU13" s="2" t="n"/>
      <c r="JLV13" s="2" t="n"/>
      <c r="JLW13" s="2" t="n"/>
      <c r="JLX13" s="2" t="n"/>
      <c r="JLY13" s="2" t="n"/>
      <c r="JLZ13" s="2" t="n"/>
      <c r="JMA13" s="2" t="n"/>
      <c r="JMB13" s="2" t="n"/>
      <c r="JMC13" s="2" t="n"/>
      <c r="JMD13" s="2" t="n"/>
      <c r="JME13" s="2" t="n"/>
      <c r="JMF13" s="2" t="n"/>
      <c r="JMG13" s="2" t="n"/>
      <c r="JMH13" s="2" t="n"/>
      <c r="JMI13" s="2" t="n"/>
      <c r="JMJ13" s="2" t="n"/>
      <c r="JMK13" s="2" t="n"/>
      <c r="JML13" s="2" t="n"/>
      <c r="JMM13" s="2" t="n"/>
      <c r="JMN13" s="2" t="n"/>
      <c r="JMO13" s="2" t="n"/>
      <c r="JMP13" s="2" t="n"/>
      <c r="JMQ13" s="2" t="n"/>
      <c r="JMR13" s="2" t="n"/>
      <c r="JMS13" s="2" t="n"/>
      <c r="JMT13" s="2" t="n"/>
      <c r="JMU13" s="2" t="n"/>
      <c r="JMV13" s="2" t="n"/>
      <c r="JMW13" s="2" t="n"/>
      <c r="JMX13" s="2" t="n"/>
      <c r="JMY13" s="2" t="n"/>
      <c r="JMZ13" s="2" t="n"/>
      <c r="JNA13" s="2" t="n"/>
      <c r="JNB13" s="2" t="n"/>
      <c r="JNC13" s="2" t="n"/>
      <c r="JND13" s="2" t="n"/>
      <c r="JNE13" s="2" t="n"/>
      <c r="JNF13" s="2" t="n"/>
      <c r="JNG13" s="2" t="n"/>
      <c r="JNH13" s="2" t="n"/>
      <c r="JNI13" s="2" t="n"/>
      <c r="JNJ13" s="2" t="n"/>
      <c r="JNK13" s="2" t="n"/>
      <c r="JNL13" s="2" t="n"/>
      <c r="JNM13" s="2" t="n"/>
      <c r="JNN13" s="2" t="n"/>
      <c r="JNO13" s="2" t="n"/>
      <c r="JNP13" s="2" t="n"/>
      <c r="JNQ13" s="2" t="n"/>
      <c r="JNR13" s="2" t="n"/>
      <c r="JNS13" s="2" t="n"/>
      <c r="JNT13" s="2" t="n"/>
      <c r="JNU13" s="2" t="n"/>
      <c r="JNV13" s="2" t="n"/>
      <c r="JNW13" s="2" t="n"/>
      <c r="JNX13" s="2" t="n"/>
      <c r="JNY13" s="2" t="n"/>
      <c r="JNZ13" s="2" t="n"/>
      <c r="JOA13" s="2" t="n"/>
      <c r="JOB13" s="2" t="n"/>
      <c r="JOC13" s="2" t="n"/>
      <c r="JOD13" s="2" t="n"/>
      <c r="JOE13" s="2" t="n"/>
      <c r="JOF13" s="2" t="n"/>
      <c r="JOG13" s="2" t="n"/>
      <c r="JOH13" s="2" t="n"/>
      <c r="JOI13" s="2" t="n"/>
      <c r="JOJ13" s="2" t="n"/>
      <c r="JOK13" s="2" t="n"/>
      <c r="JOL13" s="2" t="n"/>
      <c r="JOM13" s="2" t="n"/>
      <c r="JON13" s="2" t="n"/>
      <c r="JOO13" s="2" t="n"/>
      <c r="JOP13" s="2" t="n"/>
      <c r="JOQ13" s="2" t="n"/>
      <c r="JOR13" s="2" t="n"/>
      <c r="JOS13" s="2" t="n"/>
      <c r="JOT13" s="2" t="n"/>
      <c r="JOU13" s="2" t="n"/>
      <c r="JOV13" s="2" t="n"/>
      <c r="JOW13" s="2" t="n"/>
      <c r="JOX13" s="2" t="n"/>
      <c r="JOY13" s="2" t="n"/>
      <c r="JOZ13" s="2" t="n"/>
      <c r="JPA13" s="2" t="n"/>
      <c r="JPB13" s="2" t="n"/>
      <c r="JPC13" s="2" t="n"/>
      <c r="JPD13" s="2" t="n"/>
      <c r="JPE13" s="2" t="n"/>
      <c r="JPF13" s="2" t="n"/>
      <c r="JPG13" s="2" t="n"/>
      <c r="JPH13" s="2" t="n"/>
      <c r="JPI13" s="2" t="n"/>
      <c r="JPJ13" s="2" t="n"/>
      <c r="JPK13" s="2" t="n"/>
      <c r="JPL13" s="2" t="n"/>
      <c r="JPM13" s="2" t="n"/>
      <c r="JPN13" s="2" t="n"/>
      <c r="JPO13" s="2" t="n"/>
      <c r="JPP13" s="2" t="n"/>
      <c r="JPQ13" s="2" t="n"/>
      <c r="JPR13" s="2" t="n"/>
      <c r="JPS13" s="2" t="n"/>
      <c r="JPT13" s="2" t="n"/>
      <c r="JPU13" s="2" t="n"/>
      <c r="JPV13" s="2" t="n"/>
      <c r="JPW13" s="2" t="n"/>
      <c r="JPX13" s="2" t="n"/>
      <c r="JPY13" s="2" t="n"/>
      <c r="JPZ13" s="2" t="n"/>
      <c r="JQA13" s="2" t="n"/>
      <c r="JQB13" s="2" t="n"/>
      <c r="JQC13" s="2" t="n"/>
      <c r="JQD13" s="2" t="n"/>
      <c r="JQE13" s="2" t="n"/>
      <c r="JQF13" s="2" t="n"/>
      <c r="JQG13" s="2" t="n"/>
      <c r="JQH13" s="2" t="n"/>
      <c r="JQI13" s="2" t="n"/>
      <c r="JQJ13" s="2" t="n"/>
      <c r="JQK13" s="2" t="n"/>
      <c r="JQL13" s="2" t="n"/>
      <c r="JQM13" s="2" t="n"/>
      <c r="JQN13" s="2" t="n"/>
      <c r="JQO13" s="2" t="n"/>
      <c r="JQP13" s="2" t="n"/>
      <c r="JQQ13" s="2" t="n"/>
      <c r="JQR13" s="2" t="n"/>
      <c r="JQS13" s="2" t="n"/>
      <c r="JQT13" s="2" t="n"/>
      <c r="JQU13" s="2" t="n"/>
      <c r="JQV13" s="2" t="n"/>
      <c r="JQW13" s="2" t="n"/>
      <c r="JQX13" s="2" t="n"/>
      <c r="JQY13" s="2" t="n"/>
      <c r="JQZ13" s="2" t="n"/>
      <c r="JRA13" s="2" t="n"/>
      <c r="JRB13" s="2" t="n"/>
      <c r="JRC13" s="2" t="n"/>
      <c r="JRD13" s="2" t="n"/>
      <c r="JRE13" s="2" t="n"/>
      <c r="JRF13" s="2" t="n"/>
      <c r="JRG13" s="2" t="n"/>
      <c r="JRH13" s="2" t="n"/>
      <c r="JRI13" s="2" t="n"/>
      <c r="JRJ13" s="2" t="n"/>
      <c r="JRK13" s="2" t="n"/>
      <c r="JRL13" s="2" t="n"/>
      <c r="JRM13" s="2" t="n"/>
      <c r="JRN13" s="2" t="n"/>
      <c r="JRO13" s="2" t="n"/>
      <c r="JRP13" s="2" t="n"/>
      <c r="JRQ13" s="2" t="n"/>
      <c r="JRR13" s="2" t="n"/>
      <c r="JRS13" s="2" t="n"/>
      <c r="JRT13" s="2" t="n"/>
      <c r="JRU13" s="2" t="n"/>
      <c r="JRV13" s="2" t="n"/>
      <c r="JRW13" s="2" t="n"/>
      <c r="JRX13" s="2" t="n"/>
      <c r="JRY13" s="2" t="n"/>
      <c r="JRZ13" s="2" t="n"/>
      <c r="JSA13" s="2" t="n"/>
      <c r="JSB13" s="2" t="n"/>
      <c r="JSC13" s="2" t="n"/>
      <c r="JSD13" s="2" t="n"/>
      <c r="JSE13" s="2" t="n"/>
      <c r="JSF13" s="2" t="n"/>
      <c r="JSG13" s="2" t="n"/>
      <c r="JSH13" s="2" t="n"/>
      <c r="JSI13" s="2" t="n"/>
      <c r="JSJ13" s="2" t="n"/>
      <c r="JSK13" s="2" t="n"/>
      <c r="JSL13" s="2" t="n"/>
      <c r="JSM13" s="2" t="n"/>
      <c r="JSN13" s="2" t="n"/>
      <c r="JSO13" s="2" t="n"/>
      <c r="JSP13" s="2" t="n"/>
      <c r="JSQ13" s="2" t="n"/>
      <c r="JSR13" s="2" t="n"/>
      <c r="JSS13" s="2" t="n"/>
      <c r="JST13" s="2" t="n"/>
      <c r="JSU13" s="2" t="n"/>
      <c r="JSV13" s="2" t="n"/>
      <c r="JSW13" s="2" t="n"/>
      <c r="JSX13" s="2" t="n"/>
      <c r="JSY13" s="2" t="n"/>
      <c r="JSZ13" s="2" t="n"/>
      <c r="JTA13" s="2" t="n"/>
      <c r="JTB13" s="2" t="n"/>
      <c r="JTC13" s="2" t="n"/>
      <c r="JTD13" s="2" t="n"/>
      <c r="JTE13" s="2" t="n"/>
      <c r="JTF13" s="2" t="n"/>
      <c r="JTG13" s="2" t="n"/>
      <c r="JTH13" s="2" t="n"/>
      <c r="JTI13" s="2" t="n"/>
      <c r="JTJ13" s="2" t="n"/>
      <c r="JTK13" s="2" t="n"/>
      <c r="JTL13" s="2" t="n"/>
      <c r="JTM13" s="2" t="n"/>
      <c r="JTN13" s="2" t="n"/>
      <c r="JTO13" s="2" t="n"/>
      <c r="JTP13" s="2" t="n"/>
      <c r="JTQ13" s="2" t="n"/>
      <c r="JTR13" s="2" t="n"/>
      <c r="JTS13" s="2" t="n"/>
      <c r="JTT13" s="2" t="n"/>
      <c r="JTU13" s="2" t="n"/>
      <c r="JTV13" s="2" t="n"/>
      <c r="JTW13" s="2" t="n"/>
      <c r="JTX13" s="2" t="n"/>
      <c r="JTY13" s="2" t="n"/>
      <c r="JTZ13" s="2" t="n"/>
      <c r="JUA13" s="2" t="n"/>
      <c r="JUB13" s="2" t="n"/>
      <c r="JUC13" s="2" t="n"/>
      <c r="JUD13" s="2" t="n"/>
      <c r="JUE13" s="2" t="n"/>
      <c r="JUF13" s="2" t="n"/>
      <c r="JUG13" s="2" t="n"/>
      <c r="JUH13" s="2" t="n"/>
      <c r="JUI13" s="2" t="n"/>
      <c r="JUJ13" s="2" t="n"/>
      <c r="JUK13" s="2" t="n"/>
      <c r="JUL13" s="2" t="n"/>
      <c r="JUM13" s="2" t="n"/>
      <c r="JUN13" s="2" t="n"/>
      <c r="JUO13" s="2" t="n"/>
      <c r="JUP13" s="2" t="n"/>
      <c r="JUQ13" s="2" t="n"/>
      <c r="JUR13" s="2" t="n"/>
      <c r="JUS13" s="2" t="n"/>
      <c r="JUT13" s="2" t="n"/>
      <c r="JUU13" s="2" t="n"/>
      <c r="JUV13" s="2" t="n"/>
      <c r="JUW13" s="2" t="n"/>
      <c r="JUX13" s="2" t="n"/>
      <c r="JUY13" s="2" t="n"/>
      <c r="JUZ13" s="2" t="n"/>
      <c r="JVA13" s="2" t="n"/>
      <c r="JVB13" s="2" t="n"/>
      <c r="JVC13" s="2" t="n"/>
      <c r="JVD13" s="2" t="n"/>
      <c r="JVE13" s="2" t="n"/>
      <c r="JVF13" s="2" t="n"/>
      <c r="JVG13" s="2" t="n"/>
      <c r="JVH13" s="2" t="n"/>
      <c r="JVI13" s="2" t="n"/>
      <c r="JVJ13" s="2" t="n"/>
      <c r="JVK13" s="2" t="n"/>
      <c r="JVL13" s="2" t="n"/>
      <c r="JVM13" s="2" t="n"/>
      <c r="JVN13" s="2" t="n"/>
      <c r="JVO13" s="2" t="n"/>
      <c r="JVP13" s="2" t="n"/>
      <c r="JVQ13" s="2" t="n"/>
      <c r="JVR13" s="2" t="n"/>
      <c r="JVS13" s="2" t="n"/>
      <c r="JVT13" s="2" t="n"/>
      <c r="JVU13" s="2" t="n"/>
      <c r="JVV13" s="2" t="n"/>
      <c r="JVW13" s="2" t="n"/>
      <c r="JVX13" s="2" t="n"/>
      <c r="JVY13" s="2" t="n"/>
      <c r="JVZ13" s="2" t="n"/>
      <c r="JWA13" s="2" t="n"/>
      <c r="JWB13" s="2" t="n"/>
      <c r="JWC13" s="2" t="n"/>
      <c r="JWD13" s="2" t="n"/>
      <c r="JWE13" s="2" t="n"/>
      <c r="JWF13" s="2" t="n"/>
      <c r="JWG13" s="2" t="n"/>
      <c r="JWH13" s="2" t="n"/>
      <c r="JWI13" s="2" t="n"/>
      <c r="JWJ13" s="2" t="n"/>
      <c r="JWK13" s="2" t="n"/>
      <c r="JWL13" s="2" t="n"/>
      <c r="JWM13" s="2" t="n"/>
      <c r="JWN13" s="2" t="n"/>
      <c r="JWO13" s="2" t="n"/>
      <c r="JWP13" s="2" t="n"/>
      <c r="JWQ13" s="2" t="n"/>
      <c r="JWR13" s="2" t="n"/>
      <c r="JWS13" s="2" t="n"/>
      <c r="JWT13" s="2" t="n"/>
      <c r="JWU13" s="2" t="n"/>
      <c r="JWV13" s="2" t="n"/>
      <c r="JWW13" s="2" t="n"/>
      <c r="JWX13" s="2" t="n"/>
      <c r="JWY13" s="2" t="n"/>
      <c r="JWZ13" s="2" t="n"/>
      <c r="JXA13" s="2" t="n"/>
      <c r="JXB13" s="2" t="n"/>
      <c r="JXC13" s="2" t="n"/>
      <c r="JXD13" s="2" t="n"/>
      <c r="JXE13" s="2" t="n"/>
      <c r="JXF13" s="2" t="n"/>
      <c r="JXG13" s="2" t="n"/>
      <c r="JXH13" s="2" t="n"/>
      <c r="JXI13" s="2" t="n"/>
      <c r="JXJ13" s="2" t="n"/>
      <c r="JXK13" s="2" t="n"/>
      <c r="JXL13" s="2" t="n"/>
      <c r="JXM13" s="2" t="n"/>
      <c r="JXN13" s="2" t="n"/>
      <c r="JXO13" s="2" t="n"/>
      <c r="JXP13" s="2" t="n"/>
      <c r="JXQ13" s="2" t="n"/>
      <c r="JXR13" s="2" t="n"/>
      <c r="JXS13" s="2" t="n"/>
      <c r="JXT13" s="2" t="n"/>
      <c r="JXU13" s="2" t="n"/>
      <c r="JXV13" s="2" t="n"/>
      <c r="JXW13" s="2" t="n"/>
      <c r="JXX13" s="2" t="n"/>
      <c r="JXY13" s="2" t="n"/>
      <c r="JXZ13" s="2" t="n"/>
      <c r="JYA13" s="2" t="n"/>
      <c r="JYB13" s="2" t="n"/>
      <c r="JYC13" s="2" t="n"/>
      <c r="JYD13" s="2" t="n"/>
      <c r="JYE13" s="2" t="n"/>
      <c r="JYF13" s="2" t="n"/>
      <c r="JYG13" s="2" t="n"/>
      <c r="JYH13" s="2" t="n"/>
      <c r="JYI13" s="2" t="n"/>
      <c r="JYJ13" s="2" t="n"/>
      <c r="JYK13" s="2" t="n"/>
      <c r="JYL13" s="2" t="n"/>
      <c r="JYM13" s="2" t="n"/>
      <c r="JYN13" s="2" t="n"/>
      <c r="JYO13" s="2" t="n"/>
      <c r="JYP13" s="2" t="n"/>
      <c r="JYQ13" s="2" t="n"/>
      <c r="JYR13" s="2" t="n"/>
      <c r="JYS13" s="2" t="n"/>
      <c r="JYT13" s="2" t="n"/>
      <c r="JYU13" s="2" t="n"/>
      <c r="JYV13" s="2" t="n"/>
      <c r="JYW13" s="2" t="n"/>
      <c r="JYX13" s="2" t="n"/>
      <c r="JYY13" s="2" t="n"/>
      <c r="JYZ13" s="2" t="n"/>
      <c r="JZA13" s="2" t="n"/>
      <c r="JZB13" s="2" t="n"/>
      <c r="JZC13" s="2" t="n"/>
      <c r="JZD13" s="2" t="n"/>
      <c r="JZE13" s="2" t="n"/>
      <c r="JZF13" s="2" t="n"/>
      <c r="JZG13" s="2" t="n"/>
      <c r="JZH13" s="2" t="n"/>
      <c r="JZI13" s="2" t="n"/>
      <c r="JZJ13" s="2" t="n"/>
      <c r="JZK13" s="2" t="n"/>
      <c r="JZL13" s="2" t="n"/>
      <c r="JZM13" s="2" t="n"/>
      <c r="JZN13" s="2" t="n"/>
      <c r="JZO13" s="2" t="n"/>
      <c r="JZP13" s="2" t="n"/>
      <c r="JZQ13" s="2" t="n"/>
      <c r="JZR13" s="2" t="n"/>
      <c r="JZS13" s="2" t="n"/>
      <c r="JZT13" s="2" t="n"/>
      <c r="JZU13" s="2" t="n"/>
      <c r="JZV13" s="2" t="n"/>
      <c r="JZW13" s="2" t="n"/>
      <c r="JZX13" s="2" t="n"/>
      <c r="JZY13" s="2" t="n"/>
      <c r="JZZ13" s="2" t="n"/>
      <c r="KAA13" s="2" t="n"/>
      <c r="KAB13" s="2" t="n"/>
      <c r="KAC13" s="2" t="n"/>
      <c r="KAD13" s="2" t="n"/>
      <c r="KAE13" s="2" t="n"/>
      <c r="KAF13" s="2" t="n"/>
      <c r="KAG13" s="2" t="n"/>
      <c r="KAH13" s="2" t="n"/>
      <c r="KAI13" s="2" t="n"/>
      <c r="KAJ13" s="2" t="n"/>
      <c r="KAK13" s="2" t="n"/>
      <c r="KAL13" s="2" t="n"/>
      <c r="KAM13" s="2" t="n"/>
      <c r="KAN13" s="2" t="n"/>
      <c r="KAO13" s="2" t="n"/>
      <c r="KAP13" s="2" t="n"/>
      <c r="KAQ13" s="2" t="n"/>
      <c r="KAR13" s="2" t="n"/>
      <c r="KAS13" s="2" t="n"/>
      <c r="KAT13" s="2" t="n"/>
      <c r="KAU13" s="2" t="n"/>
      <c r="KAV13" s="2" t="n"/>
      <c r="KAW13" s="2" t="n"/>
      <c r="KAX13" s="2" t="n"/>
      <c r="KAY13" s="2" t="n"/>
      <c r="KAZ13" s="2" t="n"/>
      <c r="KBA13" s="2" t="n"/>
      <c r="KBB13" s="2" t="n"/>
      <c r="KBC13" s="2" t="n"/>
      <c r="KBD13" s="2" t="n"/>
      <c r="KBE13" s="2" t="n"/>
      <c r="KBF13" s="2" t="n"/>
      <c r="KBG13" s="2" t="n"/>
      <c r="KBH13" s="2" t="n"/>
      <c r="KBI13" s="2" t="n"/>
      <c r="KBJ13" s="2" t="n"/>
      <c r="KBK13" s="2" t="n"/>
      <c r="KBL13" s="2" t="n"/>
      <c r="KBM13" s="2" t="n"/>
      <c r="KBN13" s="2" t="n"/>
      <c r="KBO13" s="2" t="n"/>
      <c r="KBP13" s="2" t="n"/>
      <c r="KBQ13" s="2" t="n"/>
      <c r="KBR13" s="2" t="n"/>
      <c r="KBS13" s="2" t="n"/>
      <c r="KBT13" s="2" t="n"/>
      <c r="KBU13" s="2" t="n"/>
      <c r="KBV13" s="2" t="n"/>
      <c r="KBW13" s="2" t="n"/>
      <c r="KBX13" s="2" t="n"/>
      <c r="KBY13" s="2" t="n"/>
      <c r="KBZ13" s="2" t="n"/>
      <c r="KCA13" s="2" t="n"/>
      <c r="KCB13" s="2" t="n"/>
      <c r="KCC13" s="2" t="n"/>
      <c r="KCD13" s="2" t="n"/>
      <c r="KCE13" s="2" t="n"/>
      <c r="KCF13" s="2" t="n"/>
      <c r="KCG13" s="2" t="n"/>
      <c r="KCH13" s="2" t="n"/>
      <c r="KCI13" s="2" t="n"/>
      <c r="KCJ13" s="2" t="n"/>
      <c r="KCK13" s="2" t="n"/>
      <c r="KCL13" s="2" t="n"/>
      <c r="KCM13" s="2" t="n"/>
      <c r="KCN13" s="2" t="n"/>
      <c r="KCO13" s="2" t="n"/>
      <c r="KCP13" s="2" t="n"/>
      <c r="KCQ13" s="2" t="n"/>
      <c r="KCR13" s="2" t="n"/>
      <c r="KCS13" s="2" t="n"/>
      <c r="KCT13" s="2" t="n"/>
      <c r="KCU13" s="2" t="n"/>
      <c r="KCV13" s="2" t="n"/>
      <c r="KCW13" s="2" t="n"/>
      <c r="KCX13" s="2" t="n"/>
      <c r="KCY13" s="2" t="n"/>
      <c r="KCZ13" s="2" t="n"/>
      <c r="KDA13" s="2" t="n"/>
      <c r="KDB13" s="2" t="n"/>
      <c r="KDC13" s="2" t="n"/>
      <c r="KDD13" s="2" t="n"/>
      <c r="KDE13" s="2" t="n"/>
      <c r="KDF13" s="2" t="n"/>
      <c r="KDG13" s="2" t="n"/>
      <c r="KDH13" s="2" t="n"/>
      <c r="KDI13" s="2" t="n"/>
      <c r="KDJ13" s="2" t="n"/>
      <c r="KDK13" s="2" t="n"/>
      <c r="KDL13" s="2" t="n"/>
      <c r="KDM13" s="2" t="n"/>
      <c r="KDN13" s="2" t="n"/>
      <c r="KDO13" s="2" t="n"/>
      <c r="KDP13" s="2" t="n"/>
      <c r="KDQ13" s="2" t="n"/>
      <c r="KDR13" s="2" t="n"/>
      <c r="KDS13" s="2" t="n"/>
      <c r="KDT13" s="2" t="n"/>
      <c r="KDU13" s="2" t="n"/>
      <c r="KDV13" s="2" t="n"/>
      <c r="KDW13" s="2" t="n"/>
      <c r="KDX13" s="2" t="n"/>
      <c r="KDY13" s="2" t="n"/>
      <c r="KDZ13" s="2" t="n"/>
      <c r="KEA13" s="2" t="n"/>
      <c r="KEB13" s="2" t="n"/>
      <c r="KEC13" s="2" t="n"/>
      <c r="KED13" s="2" t="n"/>
      <c r="KEE13" s="2" t="n"/>
      <c r="KEF13" s="2" t="n"/>
      <c r="KEG13" s="2" t="n"/>
      <c r="KEH13" s="2" t="n"/>
      <c r="KEI13" s="2" t="n"/>
      <c r="KEJ13" s="2" t="n"/>
      <c r="KEK13" s="2" t="n"/>
      <c r="KEL13" s="2" t="n"/>
      <c r="KEM13" s="2" t="n"/>
      <c r="KEN13" s="2" t="n"/>
      <c r="KEO13" s="2" t="n"/>
      <c r="KEP13" s="2" t="n"/>
      <c r="KEQ13" s="2" t="n"/>
      <c r="KER13" s="2" t="n"/>
      <c r="KES13" s="2" t="n"/>
      <c r="KET13" s="2" t="n"/>
      <c r="KEU13" s="2" t="n"/>
      <c r="KEV13" s="2" t="n"/>
      <c r="KEW13" s="2" t="n"/>
      <c r="KEX13" s="2" t="n"/>
      <c r="KEY13" s="2" t="n"/>
      <c r="KEZ13" s="2" t="n"/>
      <c r="KFA13" s="2" t="n"/>
      <c r="KFB13" s="2" t="n"/>
      <c r="KFC13" s="2" t="n"/>
      <c r="KFD13" s="2" t="n"/>
      <c r="KFE13" s="2" t="n"/>
      <c r="KFF13" s="2" t="n"/>
      <c r="KFG13" s="2" t="n"/>
      <c r="KFH13" s="2" t="n"/>
      <c r="KFI13" s="2" t="n"/>
      <c r="KFJ13" s="2" t="n"/>
      <c r="KFK13" s="2" t="n"/>
      <c r="KFL13" s="2" t="n"/>
      <c r="KFM13" s="2" t="n"/>
      <c r="KFN13" s="2" t="n"/>
      <c r="KFO13" s="2" t="n"/>
      <c r="KFP13" s="2" t="n"/>
      <c r="KFQ13" s="2" t="n"/>
      <c r="KFR13" s="2" t="n"/>
      <c r="KFS13" s="2" t="n"/>
      <c r="KFT13" s="2" t="n"/>
      <c r="KFU13" s="2" t="n"/>
      <c r="KFV13" s="2" t="n"/>
      <c r="KFW13" s="2" t="n"/>
      <c r="KFX13" s="2" t="n"/>
      <c r="KFY13" s="2" t="n"/>
      <c r="KFZ13" s="2" t="n"/>
      <c r="KGA13" s="2" t="n"/>
      <c r="KGB13" s="2" t="n"/>
      <c r="KGC13" s="2" t="n"/>
      <c r="KGD13" s="2" t="n"/>
      <c r="KGE13" s="2" t="n"/>
      <c r="KGF13" s="2" t="n"/>
      <c r="KGG13" s="2" t="n"/>
      <c r="KGH13" s="2" t="n"/>
      <c r="KGI13" s="2" t="n"/>
      <c r="KGJ13" s="2" t="n"/>
      <c r="KGK13" s="2" t="n"/>
      <c r="KGL13" s="2" t="n"/>
      <c r="KGM13" s="2" t="n"/>
      <c r="KGN13" s="2" t="n"/>
      <c r="KGO13" s="2" t="n"/>
      <c r="KGP13" s="2" t="n"/>
      <c r="KGQ13" s="2" t="n"/>
      <c r="KGR13" s="2" t="n"/>
      <c r="KGS13" s="2" t="n"/>
      <c r="KGT13" s="2" t="n"/>
      <c r="KGU13" s="2" t="n"/>
      <c r="KGV13" s="2" t="n"/>
      <c r="KGW13" s="2" t="n"/>
      <c r="KGX13" s="2" t="n"/>
      <c r="KGY13" s="2" t="n"/>
      <c r="KGZ13" s="2" t="n"/>
      <c r="KHA13" s="2" t="n"/>
      <c r="KHB13" s="2" t="n"/>
      <c r="KHC13" s="2" t="n"/>
      <c r="KHD13" s="2" t="n"/>
      <c r="KHE13" s="2" t="n"/>
      <c r="KHF13" s="2" t="n"/>
      <c r="KHG13" s="2" t="n"/>
      <c r="KHH13" s="2" t="n"/>
      <c r="KHI13" s="2" t="n"/>
      <c r="KHJ13" s="2" t="n"/>
      <c r="KHK13" s="2" t="n"/>
      <c r="KHL13" s="2" t="n"/>
      <c r="KHM13" s="2" t="n"/>
      <c r="KHN13" s="2" t="n"/>
      <c r="KHO13" s="2" t="n"/>
      <c r="KHP13" s="2" t="n"/>
      <c r="KHQ13" s="2" t="n"/>
      <c r="KHR13" s="2" t="n"/>
      <c r="KHS13" s="2" t="n"/>
      <c r="KHT13" s="2" t="n"/>
      <c r="KHU13" s="2" t="n"/>
      <c r="KHV13" s="2" t="n"/>
      <c r="KHW13" s="2" t="n"/>
      <c r="KHX13" s="2" t="n"/>
      <c r="KHY13" s="2" t="n"/>
      <c r="KHZ13" s="2" t="n"/>
      <c r="KIA13" s="2" t="n"/>
      <c r="KIB13" s="2" t="n"/>
      <c r="KIC13" s="2" t="n"/>
      <c r="KID13" s="2" t="n"/>
      <c r="KIE13" s="2" t="n"/>
      <c r="KIF13" s="2" t="n"/>
      <c r="KIG13" s="2" t="n"/>
      <c r="KIH13" s="2" t="n"/>
      <c r="KII13" s="2" t="n"/>
      <c r="KIJ13" s="2" t="n"/>
      <c r="KIK13" s="2" t="n"/>
      <c r="KIL13" s="2" t="n"/>
      <c r="KIM13" s="2" t="n"/>
      <c r="KIN13" s="2" t="n"/>
      <c r="KIO13" s="2" t="n"/>
      <c r="KIP13" s="2" t="n"/>
      <c r="KIQ13" s="2" t="n"/>
      <c r="KIR13" s="2" t="n"/>
      <c r="KIS13" s="2" t="n"/>
      <c r="KIT13" s="2" t="n"/>
      <c r="KIU13" s="2" t="n"/>
      <c r="KIV13" s="2" t="n"/>
      <c r="KIW13" s="2" t="n"/>
      <c r="KIX13" s="2" t="n"/>
      <c r="KIY13" s="2" t="n"/>
      <c r="KIZ13" s="2" t="n"/>
      <c r="KJA13" s="2" t="n"/>
      <c r="KJB13" s="2" t="n"/>
      <c r="KJC13" s="2" t="n"/>
      <c r="KJD13" s="2" t="n"/>
      <c r="KJE13" s="2" t="n"/>
      <c r="KJF13" s="2" t="n"/>
      <c r="KJG13" s="2" t="n"/>
      <c r="KJH13" s="2" t="n"/>
      <c r="KJI13" s="2" t="n"/>
      <c r="KJJ13" s="2" t="n"/>
      <c r="KJK13" s="2" t="n"/>
      <c r="KJL13" s="2" t="n"/>
      <c r="KJM13" s="2" t="n"/>
      <c r="KJN13" s="2" t="n"/>
      <c r="KJO13" s="2" t="n"/>
      <c r="KJP13" s="2" t="n"/>
      <c r="KJQ13" s="2" t="n"/>
      <c r="KJR13" s="2" t="n"/>
      <c r="KJS13" s="2" t="n"/>
      <c r="KJT13" s="2" t="n"/>
      <c r="KJU13" s="2" t="n"/>
      <c r="KJV13" s="2" t="n"/>
      <c r="KJW13" s="2" t="n"/>
      <c r="KJX13" s="2" t="n"/>
      <c r="KJY13" s="2" t="n"/>
      <c r="KJZ13" s="2" t="n"/>
      <c r="KKA13" s="2" t="n"/>
      <c r="KKB13" s="2" t="n"/>
      <c r="KKC13" s="2" t="n"/>
      <c r="KKD13" s="2" t="n"/>
      <c r="KKE13" s="2" t="n"/>
      <c r="KKF13" s="2" t="n"/>
      <c r="KKG13" s="2" t="n"/>
      <c r="KKH13" s="2" t="n"/>
      <c r="KKI13" s="2" t="n"/>
      <c r="KKJ13" s="2" t="n"/>
      <c r="KKK13" s="2" t="n"/>
      <c r="KKL13" s="2" t="n"/>
      <c r="KKM13" s="2" t="n"/>
      <c r="KKN13" s="2" t="n"/>
      <c r="KKO13" s="2" t="n"/>
      <c r="KKP13" s="2" t="n"/>
      <c r="KKQ13" s="2" t="n"/>
      <c r="KKR13" s="2" t="n"/>
      <c r="KKS13" s="2" t="n"/>
      <c r="KKT13" s="2" t="n"/>
      <c r="KKU13" s="2" t="n"/>
      <c r="KKV13" s="2" t="n"/>
      <c r="KKW13" s="2" t="n"/>
      <c r="KKX13" s="2" t="n"/>
      <c r="KKY13" s="2" t="n"/>
      <c r="KKZ13" s="2" t="n"/>
      <c r="KLA13" s="2" t="n"/>
      <c r="KLB13" s="2" t="n"/>
      <c r="KLC13" s="2" t="n"/>
      <c r="KLD13" s="2" t="n"/>
      <c r="KLE13" s="2" t="n"/>
      <c r="KLF13" s="2" t="n"/>
      <c r="KLG13" s="2" t="n"/>
      <c r="KLH13" s="2" t="n"/>
      <c r="KLI13" s="2" t="n"/>
      <c r="KLJ13" s="2" t="n"/>
      <c r="KLK13" s="2" t="n"/>
      <c r="KLL13" s="2" t="n"/>
      <c r="KLM13" s="2" t="n"/>
      <c r="KLN13" s="2" t="n"/>
      <c r="KLO13" s="2" t="n"/>
      <c r="KLP13" s="2" t="n"/>
      <c r="KLQ13" s="2" t="n"/>
      <c r="KLR13" s="2" t="n"/>
      <c r="KLS13" s="2" t="n"/>
      <c r="KLT13" s="2" t="n"/>
      <c r="KLU13" s="2" t="n"/>
      <c r="KLV13" s="2" t="n"/>
      <c r="KLW13" s="2" t="n"/>
      <c r="KLX13" s="2" t="n"/>
      <c r="KLY13" s="2" t="n"/>
      <c r="KLZ13" s="2" t="n"/>
      <c r="KMA13" s="2" t="n"/>
      <c r="KMB13" s="2" t="n"/>
      <c r="KMC13" s="2" t="n"/>
      <c r="KMD13" s="2" t="n"/>
      <c r="KME13" s="2" t="n"/>
      <c r="KMF13" s="2" t="n"/>
      <c r="KMG13" s="2" t="n"/>
      <c r="KMH13" s="2" t="n"/>
      <c r="KMI13" s="2" t="n"/>
      <c r="KMJ13" s="2" t="n"/>
      <c r="KMK13" s="2" t="n"/>
      <c r="KML13" s="2" t="n"/>
      <c r="KMM13" s="2" t="n"/>
      <c r="KMN13" s="2" t="n"/>
      <c r="KMO13" s="2" t="n"/>
      <c r="KMP13" s="2" t="n"/>
      <c r="KMQ13" s="2" t="n"/>
      <c r="KMR13" s="2" t="n"/>
      <c r="KMS13" s="2" t="n"/>
      <c r="KMT13" s="2" t="n"/>
      <c r="KMU13" s="2" t="n"/>
      <c r="KMV13" s="2" t="n"/>
      <c r="KMW13" s="2" t="n"/>
      <c r="KMX13" s="2" t="n"/>
      <c r="KMY13" s="2" t="n"/>
      <c r="KMZ13" s="2" t="n"/>
      <c r="KNA13" s="2" t="n"/>
      <c r="KNB13" s="2" t="n"/>
      <c r="KNC13" s="2" t="n"/>
      <c r="KND13" s="2" t="n"/>
      <c r="KNE13" s="2" t="n"/>
      <c r="KNF13" s="2" t="n"/>
      <c r="KNG13" s="2" t="n"/>
      <c r="KNH13" s="2" t="n"/>
      <c r="KNI13" s="2" t="n"/>
      <c r="KNJ13" s="2" t="n"/>
      <c r="KNK13" s="2" t="n"/>
      <c r="KNL13" s="2" t="n"/>
      <c r="KNM13" s="2" t="n"/>
      <c r="KNN13" s="2" t="n"/>
      <c r="KNO13" s="2" t="n"/>
      <c r="KNP13" s="2" t="n"/>
      <c r="KNQ13" s="2" t="n"/>
      <c r="KNR13" s="2" t="n"/>
      <c r="KNS13" s="2" t="n"/>
      <c r="KNT13" s="2" t="n"/>
      <c r="KNU13" s="2" t="n"/>
      <c r="KNV13" s="2" t="n"/>
      <c r="KNW13" s="2" t="n"/>
      <c r="KNX13" s="2" t="n"/>
      <c r="KNY13" s="2" t="n"/>
      <c r="KNZ13" s="2" t="n"/>
      <c r="KOA13" s="2" t="n"/>
      <c r="KOB13" s="2" t="n"/>
      <c r="KOC13" s="2" t="n"/>
      <c r="KOD13" s="2" t="n"/>
      <c r="KOE13" s="2" t="n"/>
      <c r="KOF13" s="2" t="n"/>
      <c r="KOG13" s="2" t="n"/>
      <c r="KOH13" s="2" t="n"/>
      <c r="KOI13" s="2" t="n"/>
      <c r="KOJ13" s="2" t="n"/>
      <c r="KOK13" s="2" t="n"/>
      <c r="KOL13" s="2" t="n"/>
      <c r="KOM13" s="2" t="n"/>
      <c r="KON13" s="2" t="n"/>
      <c r="KOO13" s="2" t="n"/>
      <c r="KOP13" s="2" t="n"/>
      <c r="KOQ13" s="2" t="n"/>
      <c r="KOR13" s="2" t="n"/>
      <c r="KOS13" s="2" t="n"/>
      <c r="KOT13" s="2" t="n"/>
      <c r="KOU13" s="2" t="n"/>
      <c r="KOV13" s="2" t="n"/>
      <c r="KOW13" s="2" t="n"/>
      <c r="KOX13" s="2" t="n"/>
      <c r="KOY13" s="2" t="n"/>
      <c r="KOZ13" s="2" t="n"/>
      <c r="KPA13" s="2" t="n"/>
      <c r="KPB13" s="2" t="n"/>
      <c r="KPC13" s="2" t="n"/>
      <c r="KPD13" s="2" t="n"/>
      <c r="KPE13" s="2" t="n"/>
      <c r="KPF13" s="2" t="n"/>
      <c r="KPG13" s="2" t="n"/>
      <c r="KPH13" s="2" t="n"/>
      <c r="KPI13" s="2" t="n"/>
      <c r="KPJ13" s="2" t="n"/>
      <c r="KPK13" s="2" t="n"/>
      <c r="KPL13" s="2" t="n"/>
      <c r="KPM13" s="2" t="n"/>
      <c r="KPN13" s="2" t="n"/>
      <c r="KPO13" s="2" t="n"/>
      <c r="KPP13" s="2" t="n"/>
      <c r="KPQ13" s="2" t="n"/>
      <c r="KPR13" s="2" t="n"/>
      <c r="KPS13" s="2" t="n"/>
      <c r="KPT13" s="2" t="n"/>
      <c r="KPU13" s="2" t="n"/>
      <c r="KPV13" s="2" t="n"/>
      <c r="KPW13" s="2" t="n"/>
      <c r="KPX13" s="2" t="n"/>
      <c r="KPY13" s="2" t="n"/>
      <c r="KPZ13" s="2" t="n"/>
      <c r="KQA13" s="2" t="n"/>
      <c r="KQB13" s="2" t="n"/>
      <c r="KQC13" s="2" t="n"/>
      <c r="KQD13" s="2" t="n"/>
      <c r="KQE13" s="2" t="n"/>
      <c r="KQF13" s="2" t="n"/>
      <c r="KQG13" s="2" t="n"/>
      <c r="KQH13" s="2" t="n"/>
      <c r="KQI13" s="2" t="n"/>
      <c r="KQJ13" s="2" t="n"/>
      <c r="KQK13" s="2" t="n"/>
      <c r="KQL13" s="2" t="n"/>
      <c r="KQM13" s="2" t="n"/>
      <c r="KQN13" s="2" t="n"/>
      <c r="KQO13" s="2" t="n"/>
      <c r="KQP13" s="2" t="n"/>
      <c r="KQQ13" s="2" t="n"/>
      <c r="KQR13" s="2" t="n"/>
      <c r="KQS13" s="2" t="n"/>
      <c r="KQT13" s="2" t="n"/>
      <c r="KQU13" s="2" t="n"/>
      <c r="KQV13" s="2" t="n"/>
      <c r="KQW13" s="2" t="n"/>
      <c r="KQX13" s="2" t="n"/>
      <c r="KQY13" s="2" t="n"/>
      <c r="KQZ13" s="2" t="n"/>
      <c r="KRA13" s="2" t="n"/>
      <c r="KRB13" s="2" t="n"/>
      <c r="KRC13" s="2" t="n"/>
      <c r="KRD13" s="2" t="n"/>
      <c r="KRE13" s="2" t="n"/>
      <c r="KRF13" s="2" t="n"/>
      <c r="KRG13" s="2" t="n"/>
      <c r="KRH13" s="2" t="n"/>
      <c r="KRI13" s="2" t="n"/>
      <c r="KRJ13" s="2" t="n"/>
      <c r="KRK13" s="2" t="n"/>
      <c r="KRL13" s="2" t="n"/>
      <c r="KRM13" s="2" t="n"/>
      <c r="KRN13" s="2" t="n"/>
      <c r="KRO13" s="2" t="n"/>
      <c r="KRP13" s="2" t="n"/>
      <c r="KRQ13" s="2" t="n"/>
      <c r="KRR13" s="2" t="n"/>
      <c r="KRS13" s="2" t="n"/>
      <c r="KRT13" s="2" t="n"/>
      <c r="KRU13" s="2" t="n"/>
      <c r="KRV13" s="2" t="n"/>
      <c r="KRW13" s="2" t="n"/>
      <c r="KRX13" s="2" t="n"/>
      <c r="KRY13" s="2" t="n"/>
      <c r="KRZ13" s="2" t="n"/>
      <c r="KSA13" s="2" t="n"/>
      <c r="KSB13" s="2" t="n"/>
      <c r="KSC13" s="2" t="n"/>
      <c r="KSD13" s="2" t="n"/>
      <c r="KSE13" s="2" t="n"/>
      <c r="KSF13" s="2" t="n"/>
      <c r="KSG13" s="2" t="n"/>
      <c r="KSH13" s="2" t="n"/>
      <c r="KSI13" s="2" t="n"/>
      <c r="KSJ13" s="2" t="n"/>
      <c r="KSK13" s="2" t="n"/>
      <c r="KSL13" s="2" t="n"/>
      <c r="KSM13" s="2" t="n"/>
      <c r="KSN13" s="2" t="n"/>
      <c r="KSO13" s="2" t="n"/>
      <c r="KSP13" s="2" t="n"/>
      <c r="KSQ13" s="2" t="n"/>
      <c r="KSR13" s="2" t="n"/>
      <c r="KSS13" s="2" t="n"/>
      <c r="KST13" s="2" t="n"/>
      <c r="KSU13" s="2" t="n"/>
      <c r="KSV13" s="2" t="n"/>
      <c r="KSW13" s="2" t="n"/>
      <c r="KSX13" s="2" t="n"/>
      <c r="KSY13" s="2" t="n"/>
      <c r="KSZ13" s="2" t="n"/>
      <c r="KTA13" s="2" t="n"/>
      <c r="KTB13" s="2" t="n"/>
      <c r="KTC13" s="2" t="n"/>
      <c r="KTD13" s="2" t="n"/>
      <c r="KTE13" s="2" t="n"/>
      <c r="KTF13" s="2" t="n"/>
      <c r="KTG13" s="2" t="n"/>
      <c r="KTH13" s="2" t="n"/>
      <c r="KTI13" s="2" t="n"/>
      <c r="KTJ13" s="2" t="n"/>
      <c r="KTK13" s="2" t="n"/>
      <c r="KTL13" s="2" t="n"/>
      <c r="KTM13" s="2" t="n"/>
      <c r="KTN13" s="2" t="n"/>
      <c r="KTO13" s="2" t="n"/>
      <c r="KTP13" s="2" t="n"/>
      <c r="KTQ13" s="2" t="n"/>
      <c r="KTR13" s="2" t="n"/>
      <c r="KTS13" s="2" t="n"/>
      <c r="KTT13" s="2" t="n"/>
      <c r="KTU13" s="2" t="n"/>
      <c r="KTV13" s="2" t="n"/>
      <c r="KTW13" s="2" t="n"/>
      <c r="KTX13" s="2" t="n"/>
      <c r="KTY13" s="2" t="n"/>
      <c r="KTZ13" s="2" t="n"/>
      <c r="KUA13" s="2" t="n"/>
      <c r="KUB13" s="2" t="n"/>
      <c r="KUC13" s="2" t="n"/>
      <c r="KUD13" s="2" t="n"/>
      <c r="KUE13" s="2" t="n"/>
      <c r="KUF13" s="2" t="n"/>
      <c r="KUG13" s="2" t="n"/>
      <c r="KUH13" s="2" t="n"/>
      <c r="KUI13" s="2" t="n"/>
      <c r="KUJ13" s="2" t="n"/>
      <c r="KUK13" s="2" t="n"/>
      <c r="KUL13" s="2" t="n"/>
      <c r="KUM13" s="2" t="n"/>
      <c r="KUN13" s="2" t="n"/>
      <c r="KUO13" s="2" t="n"/>
      <c r="KUP13" s="2" t="n"/>
      <c r="KUQ13" s="2" t="n"/>
      <c r="KUR13" s="2" t="n"/>
      <c r="KUS13" s="2" t="n"/>
      <c r="KUT13" s="2" t="n"/>
      <c r="KUU13" s="2" t="n"/>
      <c r="KUV13" s="2" t="n"/>
      <c r="KUW13" s="2" t="n"/>
      <c r="KUX13" s="2" t="n"/>
      <c r="KUY13" s="2" t="n"/>
      <c r="KUZ13" s="2" t="n"/>
      <c r="KVA13" s="2" t="n"/>
      <c r="KVB13" s="2" t="n"/>
      <c r="KVC13" s="2" t="n"/>
      <c r="KVD13" s="2" t="n"/>
      <c r="KVE13" s="2" t="n"/>
      <c r="KVF13" s="2" t="n"/>
      <c r="KVG13" s="2" t="n"/>
      <c r="KVH13" s="2" t="n"/>
      <c r="KVI13" s="2" t="n"/>
      <c r="KVJ13" s="2" t="n"/>
      <c r="KVK13" s="2" t="n"/>
      <c r="KVL13" s="2" t="n"/>
      <c r="KVM13" s="2" t="n"/>
      <c r="KVN13" s="2" t="n"/>
      <c r="KVO13" s="2" t="n"/>
      <c r="KVP13" s="2" t="n"/>
      <c r="KVQ13" s="2" t="n"/>
      <c r="KVR13" s="2" t="n"/>
      <c r="KVS13" s="2" t="n"/>
      <c r="KVT13" s="2" t="n"/>
      <c r="KVU13" s="2" t="n"/>
      <c r="KVV13" s="2" t="n"/>
      <c r="KVW13" s="2" t="n"/>
      <c r="KVX13" s="2" t="n"/>
      <c r="KVY13" s="2" t="n"/>
      <c r="KVZ13" s="2" t="n"/>
      <c r="KWA13" s="2" t="n"/>
      <c r="KWB13" s="2" t="n"/>
      <c r="KWC13" s="2" t="n"/>
      <c r="KWD13" s="2" t="n"/>
      <c r="KWE13" s="2" t="n"/>
      <c r="KWF13" s="2" t="n"/>
      <c r="KWG13" s="2" t="n"/>
      <c r="KWH13" s="2" t="n"/>
      <c r="KWI13" s="2" t="n"/>
      <c r="KWJ13" s="2" t="n"/>
      <c r="KWK13" s="2" t="n"/>
      <c r="KWL13" s="2" t="n"/>
      <c r="KWM13" s="2" t="n"/>
      <c r="KWN13" s="2" t="n"/>
      <c r="KWO13" s="2" t="n"/>
      <c r="KWP13" s="2" t="n"/>
      <c r="KWQ13" s="2" t="n"/>
      <c r="KWR13" s="2" t="n"/>
      <c r="KWS13" s="2" t="n"/>
      <c r="KWT13" s="2" t="n"/>
      <c r="KWU13" s="2" t="n"/>
      <c r="KWV13" s="2" t="n"/>
      <c r="KWW13" s="2" t="n"/>
      <c r="KWX13" s="2" t="n"/>
      <c r="KWY13" s="2" t="n"/>
      <c r="KWZ13" s="2" t="n"/>
      <c r="KXA13" s="2" t="n"/>
      <c r="KXB13" s="2" t="n"/>
      <c r="KXC13" s="2" t="n"/>
      <c r="KXD13" s="2" t="n"/>
      <c r="KXE13" s="2" t="n"/>
      <c r="KXF13" s="2" t="n"/>
      <c r="KXG13" s="2" t="n"/>
      <c r="KXH13" s="2" t="n"/>
      <c r="KXI13" s="2" t="n"/>
      <c r="KXJ13" s="2" t="n"/>
      <c r="KXK13" s="2" t="n"/>
      <c r="KXL13" s="2" t="n"/>
      <c r="KXM13" s="2" t="n"/>
      <c r="KXN13" s="2" t="n"/>
      <c r="KXO13" s="2" t="n"/>
      <c r="KXP13" s="2" t="n"/>
      <c r="KXQ13" s="2" t="n"/>
      <c r="KXR13" s="2" t="n"/>
      <c r="KXS13" s="2" t="n"/>
      <c r="KXT13" s="2" t="n"/>
      <c r="KXU13" s="2" t="n"/>
      <c r="KXV13" s="2" t="n"/>
      <c r="KXW13" s="2" t="n"/>
      <c r="KXX13" s="2" t="n"/>
      <c r="KXY13" s="2" t="n"/>
      <c r="KXZ13" s="2" t="n"/>
      <c r="KYA13" s="2" t="n"/>
      <c r="KYB13" s="2" t="n"/>
      <c r="KYC13" s="2" t="n"/>
      <c r="KYD13" s="2" t="n"/>
      <c r="KYE13" s="2" t="n"/>
      <c r="KYF13" s="2" t="n"/>
      <c r="KYG13" s="2" t="n"/>
      <c r="KYH13" s="2" t="n"/>
      <c r="KYI13" s="2" t="n"/>
      <c r="KYJ13" s="2" t="n"/>
      <c r="KYK13" s="2" t="n"/>
      <c r="KYL13" s="2" t="n"/>
      <c r="KYM13" s="2" t="n"/>
      <c r="KYN13" s="2" t="n"/>
      <c r="KYO13" s="2" t="n"/>
      <c r="KYP13" s="2" t="n"/>
      <c r="KYQ13" s="2" t="n"/>
      <c r="KYR13" s="2" t="n"/>
      <c r="KYS13" s="2" t="n"/>
      <c r="KYT13" s="2" t="n"/>
      <c r="KYU13" s="2" t="n"/>
      <c r="KYV13" s="2" t="n"/>
      <c r="KYW13" s="2" t="n"/>
      <c r="KYX13" s="2" t="n"/>
      <c r="KYY13" s="2" t="n"/>
      <c r="KYZ13" s="2" t="n"/>
      <c r="KZA13" s="2" t="n"/>
      <c r="KZB13" s="2" t="n"/>
      <c r="KZC13" s="2" t="n"/>
      <c r="KZD13" s="2" t="n"/>
      <c r="KZE13" s="2" t="n"/>
      <c r="KZF13" s="2" t="n"/>
      <c r="KZG13" s="2" t="n"/>
      <c r="KZH13" s="2" t="n"/>
      <c r="KZI13" s="2" t="n"/>
      <c r="KZJ13" s="2" t="n"/>
      <c r="KZK13" s="2" t="n"/>
      <c r="KZL13" s="2" t="n"/>
      <c r="KZM13" s="2" t="n"/>
      <c r="KZN13" s="2" t="n"/>
      <c r="KZO13" s="2" t="n"/>
      <c r="KZP13" s="2" t="n"/>
      <c r="KZQ13" s="2" t="n"/>
      <c r="KZR13" s="2" t="n"/>
      <c r="KZS13" s="2" t="n"/>
      <c r="KZT13" s="2" t="n"/>
      <c r="KZU13" s="2" t="n"/>
      <c r="KZV13" s="2" t="n"/>
      <c r="KZW13" s="2" t="n"/>
      <c r="KZX13" s="2" t="n"/>
      <c r="KZY13" s="2" t="n"/>
      <c r="KZZ13" s="2" t="n"/>
      <c r="LAA13" s="2" t="n"/>
      <c r="LAB13" s="2" t="n"/>
      <c r="LAC13" s="2" t="n"/>
      <c r="LAD13" s="2" t="n"/>
      <c r="LAE13" s="2" t="n"/>
      <c r="LAF13" s="2" t="n"/>
      <c r="LAG13" s="2" t="n"/>
      <c r="LAH13" s="2" t="n"/>
      <c r="LAI13" s="2" t="n"/>
      <c r="LAJ13" s="2" t="n"/>
      <c r="LAK13" s="2" t="n"/>
      <c r="LAL13" s="2" t="n"/>
      <c r="LAM13" s="2" t="n"/>
      <c r="LAN13" s="2" t="n"/>
      <c r="LAO13" s="2" t="n"/>
      <c r="LAP13" s="2" t="n"/>
      <c r="LAQ13" s="2" t="n"/>
      <c r="LAR13" s="2" t="n"/>
      <c r="LAS13" s="2" t="n"/>
      <c r="LAT13" s="2" t="n"/>
      <c r="LAU13" s="2" t="n"/>
      <c r="LAV13" s="2" t="n"/>
      <c r="LAW13" s="2" t="n"/>
      <c r="LAX13" s="2" t="n"/>
      <c r="LAY13" s="2" t="n"/>
      <c r="LAZ13" s="2" t="n"/>
      <c r="LBA13" s="2" t="n"/>
      <c r="LBB13" s="2" t="n"/>
      <c r="LBC13" s="2" t="n"/>
      <c r="LBD13" s="2" t="n"/>
      <c r="LBE13" s="2" t="n"/>
      <c r="LBF13" s="2" t="n"/>
      <c r="LBG13" s="2" t="n"/>
      <c r="LBH13" s="2" t="n"/>
      <c r="LBI13" s="2" t="n"/>
      <c r="LBJ13" s="2" t="n"/>
      <c r="LBK13" s="2" t="n"/>
      <c r="LBL13" s="2" t="n"/>
      <c r="LBM13" s="2" t="n"/>
      <c r="LBN13" s="2" t="n"/>
      <c r="LBO13" s="2" t="n"/>
      <c r="LBP13" s="2" t="n"/>
      <c r="LBQ13" s="2" t="n"/>
      <c r="LBR13" s="2" t="n"/>
      <c r="LBS13" s="2" t="n"/>
      <c r="LBT13" s="2" t="n"/>
      <c r="LBU13" s="2" t="n"/>
      <c r="LBV13" s="2" t="n"/>
      <c r="LBW13" s="2" t="n"/>
      <c r="LBX13" s="2" t="n"/>
      <c r="LBY13" s="2" t="n"/>
      <c r="LBZ13" s="2" t="n"/>
      <c r="LCA13" s="2" t="n"/>
      <c r="LCB13" s="2" t="n"/>
      <c r="LCC13" s="2" t="n"/>
      <c r="LCD13" s="2" t="n"/>
      <c r="LCE13" s="2" t="n"/>
      <c r="LCF13" s="2" t="n"/>
      <c r="LCG13" s="2" t="n"/>
      <c r="LCH13" s="2" t="n"/>
      <c r="LCI13" s="2" t="n"/>
      <c r="LCJ13" s="2" t="n"/>
      <c r="LCK13" s="2" t="n"/>
      <c r="LCL13" s="2" t="n"/>
      <c r="LCM13" s="2" t="n"/>
      <c r="LCN13" s="2" t="n"/>
      <c r="LCO13" s="2" t="n"/>
      <c r="LCP13" s="2" t="n"/>
      <c r="LCQ13" s="2" t="n"/>
      <c r="LCR13" s="2" t="n"/>
      <c r="LCS13" s="2" t="n"/>
      <c r="LCT13" s="2" t="n"/>
      <c r="LCU13" s="2" t="n"/>
      <c r="LCV13" s="2" t="n"/>
      <c r="LCW13" s="2" t="n"/>
      <c r="LCX13" s="2" t="n"/>
      <c r="LCY13" s="2" t="n"/>
      <c r="LCZ13" s="2" t="n"/>
      <c r="LDA13" s="2" t="n"/>
      <c r="LDB13" s="2" t="n"/>
      <c r="LDC13" s="2" t="n"/>
      <c r="LDD13" s="2" t="n"/>
      <c r="LDE13" s="2" t="n"/>
      <c r="LDF13" s="2" t="n"/>
      <c r="LDG13" s="2" t="n"/>
      <c r="LDH13" s="2" t="n"/>
      <c r="LDI13" s="2" t="n"/>
      <c r="LDJ13" s="2" t="n"/>
      <c r="LDK13" s="2" t="n"/>
      <c r="LDL13" s="2" t="n"/>
      <c r="LDM13" s="2" t="n"/>
      <c r="LDN13" s="2" t="n"/>
      <c r="LDO13" s="2" t="n"/>
      <c r="LDP13" s="2" t="n"/>
      <c r="LDQ13" s="2" t="n"/>
      <c r="LDR13" s="2" t="n"/>
      <c r="LDS13" s="2" t="n"/>
      <c r="LDT13" s="2" t="n"/>
      <c r="LDU13" s="2" t="n"/>
      <c r="LDV13" s="2" t="n"/>
      <c r="LDW13" s="2" t="n"/>
      <c r="LDX13" s="2" t="n"/>
      <c r="LDY13" s="2" t="n"/>
      <c r="LDZ13" s="2" t="n"/>
      <c r="LEA13" s="2" t="n"/>
      <c r="LEB13" s="2" t="n"/>
      <c r="LEC13" s="2" t="n"/>
      <c r="LED13" s="2" t="n"/>
      <c r="LEE13" s="2" t="n"/>
      <c r="LEF13" s="2" t="n"/>
      <c r="LEG13" s="2" t="n"/>
      <c r="LEH13" s="2" t="n"/>
      <c r="LEI13" s="2" t="n"/>
      <c r="LEJ13" s="2" t="n"/>
      <c r="LEK13" s="2" t="n"/>
      <c r="LEL13" s="2" t="n"/>
      <c r="LEM13" s="2" t="n"/>
      <c r="LEN13" s="2" t="n"/>
      <c r="LEO13" s="2" t="n"/>
      <c r="LEP13" s="2" t="n"/>
      <c r="LEQ13" s="2" t="n"/>
      <c r="LER13" s="2" t="n"/>
      <c r="LES13" s="2" t="n"/>
      <c r="LET13" s="2" t="n"/>
      <c r="LEU13" s="2" t="n"/>
      <c r="LEV13" s="2" t="n"/>
      <c r="LEW13" s="2" t="n"/>
      <c r="LEX13" s="2" t="n"/>
      <c r="LEY13" s="2" t="n"/>
      <c r="LEZ13" s="2" t="n"/>
      <c r="LFA13" s="2" t="n"/>
      <c r="LFB13" s="2" t="n"/>
      <c r="LFC13" s="2" t="n"/>
      <c r="LFD13" s="2" t="n"/>
      <c r="LFE13" s="2" t="n"/>
      <c r="LFF13" s="2" t="n"/>
      <c r="LFG13" s="2" t="n"/>
      <c r="LFH13" s="2" t="n"/>
      <c r="LFI13" s="2" t="n"/>
      <c r="LFJ13" s="2" t="n"/>
      <c r="LFK13" s="2" t="n"/>
      <c r="LFL13" s="2" t="n"/>
      <c r="LFM13" s="2" t="n"/>
      <c r="LFN13" s="2" t="n"/>
      <c r="LFO13" s="2" t="n"/>
      <c r="LFP13" s="2" t="n"/>
      <c r="LFQ13" s="2" t="n"/>
      <c r="LFR13" s="2" t="n"/>
      <c r="LFS13" s="2" t="n"/>
      <c r="LFT13" s="2" t="n"/>
      <c r="LFU13" s="2" t="n"/>
      <c r="LFV13" s="2" t="n"/>
      <c r="LFW13" s="2" t="n"/>
      <c r="LFX13" s="2" t="n"/>
      <c r="LFY13" s="2" t="n"/>
      <c r="LFZ13" s="2" t="n"/>
      <c r="LGA13" s="2" t="n"/>
      <c r="LGB13" s="2" t="n"/>
      <c r="LGC13" s="2" t="n"/>
      <c r="LGD13" s="2" t="n"/>
      <c r="LGE13" s="2" t="n"/>
      <c r="LGF13" s="2" t="n"/>
      <c r="LGG13" s="2" t="n"/>
      <c r="LGH13" s="2" t="n"/>
      <c r="LGI13" s="2" t="n"/>
      <c r="LGJ13" s="2" t="n"/>
      <c r="LGK13" s="2" t="n"/>
      <c r="LGL13" s="2" t="n"/>
      <c r="LGM13" s="2" t="n"/>
      <c r="LGN13" s="2" t="n"/>
      <c r="LGO13" s="2" t="n"/>
      <c r="LGP13" s="2" t="n"/>
      <c r="LGQ13" s="2" t="n"/>
      <c r="LGR13" s="2" t="n"/>
      <c r="LGS13" s="2" t="n"/>
      <c r="LGT13" s="2" t="n"/>
      <c r="LGU13" s="2" t="n"/>
      <c r="LGV13" s="2" t="n"/>
      <c r="LGW13" s="2" t="n"/>
      <c r="LGX13" s="2" t="n"/>
      <c r="LGY13" s="2" t="n"/>
      <c r="LGZ13" s="2" t="n"/>
      <c r="LHA13" s="2" t="n"/>
      <c r="LHB13" s="2" t="n"/>
      <c r="LHC13" s="2" t="n"/>
      <c r="LHD13" s="2" t="n"/>
      <c r="LHE13" s="2" t="n"/>
      <c r="LHF13" s="2" t="n"/>
      <c r="LHG13" s="2" t="n"/>
      <c r="LHH13" s="2" t="n"/>
      <c r="LHI13" s="2" t="n"/>
      <c r="LHJ13" s="2" t="n"/>
      <c r="LHK13" s="2" t="n"/>
      <c r="LHL13" s="2" t="n"/>
      <c r="LHM13" s="2" t="n"/>
      <c r="LHN13" s="2" t="n"/>
      <c r="LHO13" s="2" t="n"/>
      <c r="LHP13" s="2" t="n"/>
      <c r="LHQ13" s="2" t="n"/>
      <c r="LHR13" s="2" t="n"/>
      <c r="LHS13" s="2" t="n"/>
      <c r="LHT13" s="2" t="n"/>
      <c r="LHU13" s="2" t="n"/>
      <c r="LHV13" s="2" t="n"/>
      <c r="LHW13" s="2" t="n"/>
      <c r="LHX13" s="2" t="n"/>
      <c r="LHY13" s="2" t="n"/>
      <c r="LHZ13" s="2" t="n"/>
      <c r="LIA13" s="2" t="n"/>
      <c r="LIB13" s="2" t="n"/>
      <c r="LIC13" s="2" t="n"/>
      <c r="LID13" s="2" t="n"/>
      <c r="LIE13" s="2" t="n"/>
      <c r="LIF13" s="2" t="n"/>
      <c r="LIG13" s="2" t="n"/>
      <c r="LIH13" s="2" t="n"/>
      <c r="LII13" s="2" t="n"/>
      <c r="LIJ13" s="2" t="n"/>
      <c r="LIK13" s="2" t="n"/>
      <c r="LIL13" s="2" t="n"/>
      <c r="LIM13" s="2" t="n"/>
      <c r="LIN13" s="2" t="n"/>
      <c r="LIO13" s="2" t="n"/>
      <c r="LIP13" s="2" t="n"/>
      <c r="LIQ13" s="2" t="n"/>
      <c r="LIR13" s="2" t="n"/>
      <c r="LIS13" s="2" t="n"/>
      <c r="LIT13" s="2" t="n"/>
      <c r="LIU13" s="2" t="n"/>
      <c r="LIV13" s="2" t="n"/>
      <c r="LIW13" s="2" t="n"/>
      <c r="LIX13" s="2" t="n"/>
      <c r="LIY13" s="2" t="n"/>
      <c r="LIZ13" s="2" t="n"/>
      <c r="LJA13" s="2" t="n"/>
      <c r="LJB13" s="2" t="n"/>
      <c r="LJC13" s="2" t="n"/>
      <c r="LJD13" s="2" t="n"/>
      <c r="LJE13" s="2" t="n"/>
      <c r="LJF13" s="2" t="n"/>
      <c r="LJG13" s="2" t="n"/>
      <c r="LJH13" s="2" t="n"/>
      <c r="LJI13" s="2" t="n"/>
      <c r="LJJ13" s="2" t="n"/>
      <c r="LJK13" s="2" t="n"/>
      <c r="LJL13" s="2" t="n"/>
      <c r="LJM13" s="2" t="n"/>
      <c r="LJN13" s="2" t="n"/>
      <c r="LJO13" s="2" t="n"/>
      <c r="LJP13" s="2" t="n"/>
      <c r="LJQ13" s="2" t="n"/>
      <c r="LJR13" s="2" t="n"/>
      <c r="LJS13" s="2" t="n"/>
      <c r="LJT13" s="2" t="n"/>
      <c r="LJU13" s="2" t="n"/>
      <c r="LJV13" s="2" t="n"/>
      <c r="LJW13" s="2" t="n"/>
      <c r="LJX13" s="2" t="n"/>
      <c r="LJY13" s="2" t="n"/>
      <c r="LJZ13" s="2" t="n"/>
      <c r="LKA13" s="2" t="n"/>
      <c r="LKB13" s="2" t="n"/>
      <c r="LKC13" s="2" t="n"/>
      <c r="LKD13" s="2" t="n"/>
      <c r="LKE13" s="2" t="n"/>
      <c r="LKF13" s="2" t="n"/>
      <c r="LKG13" s="2" t="n"/>
      <c r="LKH13" s="2" t="n"/>
      <c r="LKI13" s="2" t="n"/>
      <c r="LKJ13" s="2" t="n"/>
      <c r="LKK13" s="2" t="n"/>
      <c r="LKL13" s="2" t="n"/>
      <c r="LKM13" s="2" t="n"/>
      <c r="LKN13" s="2" t="n"/>
      <c r="LKO13" s="2" t="n"/>
      <c r="LKP13" s="2" t="n"/>
      <c r="LKQ13" s="2" t="n"/>
      <c r="LKR13" s="2" t="n"/>
      <c r="LKS13" s="2" t="n"/>
      <c r="LKT13" s="2" t="n"/>
      <c r="LKU13" s="2" t="n"/>
      <c r="LKV13" s="2" t="n"/>
      <c r="LKW13" s="2" t="n"/>
      <c r="LKX13" s="2" t="n"/>
      <c r="LKY13" s="2" t="n"/>
      <c r="LKZ13" s="2" t="n"/>
      <c r="LLA13" s="2" t="n"/>
      <c r="LLB13" s="2" t="n"/>
      <c r="LLC13" s="2" t="n"/>
      <c r="LLD13" s="2" t="n"/>
      <c r="LLE13" s="2" t="n"/>
      <c r="LLF13" s="2" t="n"/>
      <c r="LLG13" s="2" t="n"/>
      <c r="LLH13" s="2" t="n"/>
      <c r="LLI13" s="2" t="n"/>
      <c r="LLJ13" s="2" t="n"/>
      <c r="LLK13" s="2" t="n"/>
      <c r="LLL13" s="2" t="n"/>
      <c r="LLM13" s="2" t="n"/>
      <c r="LLN13" s="2" t="n"/>
      <c r="LLO13" s="2" t="n"/>
      <c r="LLP13" s="2" t="n"/>
      <c r="LLQ13" s="2" t="n"/>
      <c r="LLR13" s="2" t="n"/>
      <c r="LLS13" s="2" t="n"/>
      <c r="LLT13" s="2" t="n"/>
      <c r="LLU13" s="2" t="n"/>
      <c r="LLV13" s="2" t="n"/>
      <c r="LLW13" s="2" t="n"/>
      <c r="LLX13" s="2" t="n"/>
      <c r="LLY13" s="2" t="n"/>
      <c r="LLZ13" s="2" t="n"/>
      <c r="LMA13" s="2" t="n"/>
      <c r="LMB13" s="2" t="n"/>
      <c r="LMC13" s="2" t="n"/>
      <c r="LMD13" s="2" t="n"/>
      <c r="LME13" s="2" t="n"/>
      <c r="LMF13" s="2" t="n"/>
      <c r="LMG13" s="2" t="n"/>
      <c r="LMH13" s="2" t="n"/>
      <c r="LMI13" s="2" t="n"/>
      <c r="LMJ13" s="2" t="n"/>
      <c r="LMK13" s="2" t="n"/>
      <c r="LML13" s="2" t="n"/>
      <c r="LMM13" s="2" t="n"/>
      <c r="LMN13" s="2" t="n"/>
      <c r="LMO13" s="2" t="n"/>
      <c r="LMP13" s="2" t="n"/>
      <c r="LMQ13" s="2" t="n"/>
      <c r="LMR13" s="2" t="n"/>
      <c r="LMS13" s="2" t="n"/>
      <c r="LMT13" s="2" t="n"/>
      <c r="LMU13" s="2" t="n"/>
      <c r="LMV13" s="2" t="n"/>
      <c r="LMW13" s="2" t="n"/>
      <c r="LMX13" s="2" t="n"/>
      <c r="LMY13" s="2" t="n"/>
      <c r="LMZ13" s="2" t="n"/>
      <c r="LNA13" s="2" t="n"/>
      <c r="LNB13" s="2" t="n"/>
      <c r="LNC13" s="2" t="n"/>
      <c r="LND13" s="2" t="n"/>
      <c r="LNE13" s="2" t="n"/>
      <c r="LNF13" s="2" t="n"/>
      <c r="LNG13" s="2" t="n"/>
      <c r="LNH13" s="2" t="n"/>
      <c r="LNI13" s="2" t="n"/>
      <c r="LNJ13" s="2" t="n"/>
      <c r="LNK13" s="2" t="n"/>
      <c r="LNL13" s="2" t="n"/>
      <c r="LNM13" s="2" t="n"/>
      <c r="LNN13" s="2" t="n"/>
      <c r="LNO13" s="2" t="n"/>
      <c r="LNP13" s="2" t="n"/>
      <c r="LNQ13" s="2" t="n"/>
      <c r="LNR13" s="2" t="n"/>
      <c r="LNS13" s="2" t="n"/>
      <c r="LNT13" s="2" t="n"/>
      <c r="LNU13" s="2" t="n"/>
      <c r="LNV13" s="2" t="n"/>
      <c r="LNW13" s="2" t="n"/>
      <c r="LNX13" s="2" t="n"/>
      <c r="LNY13" s="2" t="n"/>
      <c r="LNZ13" s="2" t="n"/>
      <c r="LOA13" s="2" t="n"/>
      <c r="LOB13" s="2" t="n"/>
      <c r="LOC13" s="2" t="n"/>
      <c r="LOD13" s="2" t="n"/>
      <c r="LOE13" s="2" t="n"/>
      <c r="LOF13" s="2" t="n"/>
      <c r="LOG13" s="2" t="n"/>
      <c r="LOH13" s="2" t="n"/>
      <c r="LOI13" s="2" t="n"/>
      <c r="LOJ13" s="2" t="n"/>
      <c r="LOK13" s="2" t="n"/>
      <c r="LOL13" s="2" t="n"/>
      <c r="LOM13" s="2" t="n"/>
      <c r="LON13" s="2" t="n"/>
      <c r="LOO13" s="2" t="n"/>
      <c r="LOP13" s="2" t="n"/>
      <c r="LOQ13" s="2" t="n"/>
      <c r="LOR13" s="2" t="n"/>
      <c r="LOS13" s="2" t="n"/>
      <c r="LOT13" s="2" t="n"/>
      <c r="LOU13" s="2" t="n"/>
      <c r="LOV13" s="2" t="n"/>
      <c r="LOW13" s="2" t="n"/>
      <c r="LOX13" s="2" t="n"/>
      <c r="LOY13" s="2" t="n"/>
      <c r="LOZ13" s="2" t="n"/>
      <c r="LPA13" s="2" t="n"/>
      <c r="LPB13" s="2" t="n"/>
      <c r="LPC13" s="2" t="n"/>
      <c r="LPD13" s="2" t="n"/>
      <c r="LPE13" s="2" t="n"/>
      <c r="LPF13" s="2" t="n"/>
      <c r="LPG13" s="2" t="n"/>
      <c r="LPH13" s="2" t="n"/>
      <c r="LPI13" s="2" t="n"/>
      <c r="LPJ13" s="2" t="n"/>
      <c r="LPK13" s="2" t="n"/>
      <c r="LPL13" s="2" t="n"/>
      <c r="LPM13" s="2" t="n"/>
      <c r="LPN13" s="2" t="n"/>
      <c r="LPO13" s="2" t="n"/>
      <c r="LPP13" s="2" t="n"/>
      <c r="LPQ13" s="2" t="n"/>
      <c r="LPR13" s="2" t="n"/>
      <c r="LPS13" s="2" t="n"/>
      <c r="LPT13" s="2" t="n"/>
      <c r="LPU13" s="2" t="n"/>
      <c r="LPV13" s="2" t="n"/>
      <c r="LPW13" s="2" t="n"/>
      <c r="LPX13" s="2" t="n"/>
      <c r="LPY13" s="2" t="n"/>
      <c r="LPZ13" s="2" t="n"/>
      <c r="LQA13" s="2" t="n"/>
      <c r="LQB13" s="2" t="n"/>
      <c r="LQC13" s="2" t="n"/>
      <c r="LQD13" s="2" t="n"/>
      <c r="LQE13" s="2" t="n"/>
      <c r="LQF13" s="2" t="n"/>
      <c r="LQG13" s="2" t="n"/>
      <c r="LQH13" s="2" t="n"/>
      <c r="LQI13" s="2" t="n"/>
      <c r="LQJ13" s="2" t="n"/>
      <c r="LQK13" s="2" t="n"/>
      <c r="LQL13" s="2" t="n"/>
      <c r="LQM13" s="2" t="n"/>
      <c r="LQN13" s="2" t="n"/>
      <c r="LQO13" s="2" t="n"/>
      <c r="LQP13" s="2" t="n"/>
      <c r="LQQ13" s="2" t="n"/>
      <c r="LQR13" s="2" t="n"/>
      <c r="LQS13" s="2" t="n"/>
      <c r="LQT13" s="2" t="n"/>
      <c r="LQU13" s="2" t="n"/>
      <c r="LQV13" s="2" t="n"/>
      <c r="LQW13" s="2" t="n"/>
      <c r="LQX13" s="2" t="n"/>
      <c r="LQY13" s="2" t="n"/>
      <c r="LQZ13" s="2" t="n"/>
      <c r="LRA13" s="2" t="n"/>
      <c r="LRB13" s="2" t="n"/>
      <c r="LRC13" s="2" t="n"/>
      <c r="LRD13" s="2" t="n"/>
      <c r="LRE13" s="2" t="n"/>
      <c r="LRF13" s="2" t="n"/>
      <c r="LRG13" s="2" t="n"/>
      <c r="LRH13" s="2" t="n"/>
      <c r="LRI13" s="2" t="n"/>
      <c r="LRJ13" s="2" t="n"/>
      <c r="LRK13" s="2" t="n"/>
      <c r="LRL13" s="2" t="n"/>
      <c r="LRM13" s="2" t="n"/>
      <c r="LRN13" s="2" t="n"/>
      <c r="LRO13" s="2" t="n"/>
      <c r="LRP13" s="2" t="n"/>
      <c r="LRQ13" s="2" t="n"/>
      <c r="LRR13" s="2" t="n"/>
      <c r="LRS13" s="2" t="n"/>
      <c r="LRT13" s="2" t="n"/>
      <c r="LRU13" s="2" t="n"/>
      <c r="LRV13" s="2" t="n"/>
      <c r="LRW13" s="2" t="n"/>
      <c r="LRX13" s="2" t="n"/>
      <c r="LRY13" s="2" t="n"/>
      <c r="LRZ13" s="2" t="n"/>
      <c r="LSA13" s="2" t="n"/>
      <c r="LSB13" s="2" t="n"/>
      <c r="LSC13" s="2" t="n"/>
      <c r="LSD13" s="2" t="n"/>
      <c r="LSE13" s="2" t="n"/>
      <c r="LSF13" s="2" t="n"/>
      <c r="LSG13" s="2" t="n"/>
      <c r="LSH13" s="2" t="n"/>
      <c r="LSI13" s="2" t="n"/>
      <c r="LSJ13" s="2" t="n"/>
      <c r="LSK13" s="2" t="n"/>
      <c r="LSL13" s="2" t="n"/>
      <c r="LSM13" s="2" t="n"/>
      <c r="LSN13" s="2" t="n"/>
      <c r="LSO13" s="2" t="n"/>
      <c r="LSP13" s="2" t="n"/>
      <c r="LSQ13" s="2" t="n"/>
      <c r="LSR13" s="2" t="n"/>
      <c r="LSS13" s="2" t="n"/>
      <c r="LST13" s="2" t="n"/>
      <c r="LSU13" s="2" t="n"/>
      <c r="LSV13" s="2" t="n"/>
      <c r="LSW13" s="2" t="n"/>
      <c r="LSX13" s="2" t="n"/>
      <c r="LSY13" s="2" t="n"/>
      <c r="LSZ13" s="2" t="n"/>
      <c r="LTA13" s="2" t="n"/>
      <c r="LTB13" s="2" t="n"/>
      <c r="LTC13" s="2" t="n"/>
      <c r="LTD13" s="2" t="n"/>
      <c r="LTE13" s="2" t="n"/>
      <c r="LTF13" s="2" t="n"/>
      <c r="LTG13" s="2" t="n"/>
      <c r="LTH13" s="2" t="n"/>
      <c r="LTI13" s="2" t="n"/>
      <c r="LTJ13" s="2" t="n"/>
      <c r="LTK13" s="2" t="n"/>
      <c r="LTL13" s="2" t="n"/>
      <c r="LTM13" s="2" t="n"/>
      <c r="LTN13" s="2" t="n"/>
      <c r="LTO13" s="2" t="n"/>
      <c r="LTP13" s="2" t="n"/>
      <c r="LTQ13" s="2" t="n"/>
      <c r="LTR13" s="2" t="n"/>
      <c r="LTS13" s="2" t="n"/>
      <c r="LTT13" s="2" t="n"/>
      <c r="LTU13" s="2" t="n"/>
      <c r="LTV13" s="2" t="n"/>
      <c r="LTW13" s="2" t="n"/>
      <c r="LTX13" s="2" t="n"/>
      <c r="LTY13" s="2" t="n"/>
      <c r="LTZ13" s="2" t="n"/>
      <c r="LUA13" s="2" t="n"/>
      <c r="LUB13" s="2" t="n"/>
      <c r="LUC13" s="2" t="n"/>
      <c r="LUD13" s="2" t="n"/>
      <c r="LUE13" s="2" t="n"/>
      <c r="LUF13" s="2" t="n"/>
      <c r="LUG13" s="2" t="n"/>
      <c r="LUH13" s="2" t="n"/>
      <c r="LUI13" s="2" t="n"/>
      <c r="LUJ13" s="2" t="n"/>
      <c r="LUK13" s="2" t="n"/>
      <c r="LUL13" s="2" t="n"/>
      <c r="LUM13" s="2" t="n"/>
      <c r="LUN13" s="2" t="n"/>
      <c r="LUO13" s="2" t="n"/>
      <c r="LUP13" s="2" t="n"/>
      <c r="LUQ13" s="2" t="n"/>
      <c r="LUR13" s="2" t="n"/>
      <c r="LUS13" s="2" t="n"/>
      <c r="LUT13" s="2" t="n"/>
      <c r="LUU13" s="2" t="n"/>
      <c r="LUV13" s="2" t="n"/>
      <c r="LUW13" s="2" t="n"/>
      <c r="LUX13" s="2" t="n"/>
      <c r="LUY13" s="2" t="n"/>
      <c r="LUZ13" s="2" t="n"/>
      <c r="LVA13" s="2" t="n"/>
      <c r="LVB13" s="2" t="n"/>
      <c r="LVC13" s="2" t="n"/>
      <c r="LVD13" s="2" t="n"/>
      <c r="LVE13" s="2" t="n"/>
      <c r="LVF13" s="2" t="n"/>
      <c r="LVG13" s="2" t="n"/>
      <c r="LVH13" s="2" t="n"/>
      <c r="LVI13" s="2" t="n"/>
      <c r="LVJ13" s="2" t="n"/>
      <c r="LVK13" s="2" t="n"/>
      <c r="LVL13" s="2" t="n"/>
      <c r="LVM13" s="2" t="n"/>
      <c r="LVN13" s="2" t="n"/>
      <c r="LVO13" s="2" t="n"/>
      <c r="LVP13" s="2" t="n"/>
      <c r="LVQ13" s="2" t="n"/>
      <c r="LVR13" s="2" t="n"/>
      <c r="LVS13" s="2" t="n"/>
      <c r="LVT13" s="2" t="n"/>
      <c r="LVU13" s="2" t="n"/>
      <c r="LVV13" s="2" t="n"/>
      <c r="LVW13" s="2" t="n"/>
      <c r="LVX13" s="2" t="n"/>
      <c r="LVY13" s="2" t="n"/>
      <c r="LVZ13" s="2" t="n"/>
      <c r="LWA13" s="2" t="n"/>
      <c r="LWB13" s="2" t="n"/>
      <c r="LWC13" s="2" t="n"/>
      <c r="LWD13" s="2" t="n"/>
      <c r="LWE13" s="2" t="n"/>
      <c r="LWF13" s="2" t="n"/>
      <c r="LWG13" s="2" t="n"/>
      <c r="LWH13" s="2" t="n"/>
      <c r="LWI13" s="2" t="n"/>
      <c r="LWJ13" s="2" t="n"/>
      <c r="LWK13" s="2" t="n"/>
      <c r="LWL13" s="2" t="n"/>
      <c r="LWM13" s="2" t="n"/>
      <c r="LWN13" s="2" t="n"/>
      <c r="LWO13" s="2" t="n"/>
      <c r="LWP13" s="2" t="n"/>
      <c r="LWQ13" s="2" t="n"/>
      <c r="LWR13" s="2" t="n"/>
      <c r="LWS13" s="2" t="n"/>
      <c r="LWT13" s="2" t="n"/>
      <c r="LWU13" s="2" t="n"/>
      <c r="LWV13" s="2" t="n"/>
      <c r="LWW13" s="2" t="n"/>
      <c r="LWX13" s="2" t="n"/>
      <c r="LWY13" s="2" t="n"/>
      <c r="LWZ13" s="2" t="n"/>
      <c r="LXA13" s="2" t="n"/>
      <c r="LXB13" s="2" t="n"/>
      <c r="LXC13" s="2" t="n"/>
      <c r="LXD13" s="2" t="n"/>
      <c r="LXE13" s="2" t="n"/>
      <c r="LXF13" s="2" t="n"/>
      <c r="LXG13" s="2" t="n"/>
      <c r="LXH13" s="2" t="n"/>
      <c r="LXI13" s="2" t="n"/>
      <c r="LXJ13" s="2" t="n"/>
      <c r="LXK13" s="2" t="n"/>
      <c r="LXL13" s="2" t="n"/>
      <c r="LXM13" s="2" t="n"/>
      <c r="LXN13" s="2" t="n"/>
      <c r="LXO13" s="2" t="n"/>
      <c r="LXP13" s="2" t="n"/>
      <c r="LXQ13" s="2" t="n"/>
      <c r="LXR13" s="2" t="n"/>
      <c r="LXS13" s="2" t="n"/>
      <c r="LXT13" s="2" t="n"/>
      <c r="LXU13" s="2" t="n"/>
      <c r="LXV13" s="2" t="n"/>
      <c r="LXW13" s="2" t="n"/>
      <c r="LXX13" s="2" t="n"/>
      <c r="LXY13" s="2" t="n"/>
      <c r="LXZ13" s="2" t="n"/>
      <c r="LYA13" s="2" t="n"/>
      <c r="LYB13" s="2" t="n"/>
      <c r="LYC13" s="2" t="n"/>
      <c r="LYD13" s="2" t="n"/>
      <c r="LYE13" s="2" t="n"/>
      <c r="LYF13" s="2" t="n"/>
      <c r="LYG13" s="2" t="n"/>
      <c r="LYH13" s="2" t="n"/>
      <c r="LYI13" s="2" t="n"/>
      <c r="LYJ13" s="2" t="n"/>
      <c r="LYK13" s="2" t="n"/>
      <c r="LYL13" s="2" t="n"/>
      <c r="LYM13" s="2" t="n"/>
      <c r="LYN13" s="2" t="n"/>
      <c r="LYO13" s="2" t="n"/>
      <c r="LYP13" s="2" t="n"/>
      <c r="LYQ13" s="2" t="n"/>
      <c r="LYR13" s="2" t="n"/>
      <c r="LYS13" s="2" t="n"/>
      <c r="LYT13" s="2" t="n"/>
      <c r="LYU13" s="2" t="n"/>
      <c r="LYV13" s="2" t="n"/>
      <c r="LYW13" s="2" t="n"/>
      <c r="LYX13" s="2" t="n"/>
      <c r="LYY13" s="2" t="n"/>
      <c r="LYZ13" s="2" t="n"/>
      <c r="LZA13" s="2" t="n"/>
      <c r="LZB13" s="2" t="n"/>
      <c r="LZC13" s="2" t="n"/>
      <c r="LZD13" s="2" t="n"/>
      <c r="LZE13" s="2" t="n"/>
      <c r="LZF13" s="2" t="n"/>
      <c r="LZG13" s="2" t="n"/>
      <c r="LZH13" s="2" t="n"/>
      <c r="LZI13" s="2" t="n"/>
      <c r="LZJ13" s="2" t="n"/>
      <c r="LZK13" s="2" t="n"/>
      <c r="LZL13" s="2" t="n"/>
      <c r="LZM13" s="2" t="n"/>
      <c r="LZN13" s="2" t="n"/>
      <c r="LZO13" s="2" t="n"/>
      <c r="LZP13" s="2" t="n"/>
      <c r="LZQ13" s="2" t="n"/>
      <c r="LZR13" s="2" t="n"/>
      <c r="LZS13" s="2" t="n"/>
      <c r="LZT13" s="2" t="n"/>
      <c r="LZU13" s="2" t="n"/>
      <c r="LZV13" s="2" t="n"/>
      <c r="LZW13" s="2" t="n"/>
      <c r="LZX13" s="2" t="n"/>
      <c r="LZY13" s="2" t="n"/>
      <c r="LZZ13" s="2" t="n"/>
      <c r="MAA13" s="2" t="n"/>
      <c r="MAB13" s="2" t="n"/>
      <c r="MAC13" s="2" t="n"/>
      <c r="MAD13" s="2" t="n"/>
      <c r="MAE13" s="2" t="n"/>
      <c r="MAF13" s="2" t="n"/>
      <c r="MAG13" s="2" t="n"/>
      <c r="MAH13" s="2" t="n"/>
      <c r="MAI13" s="2" t="n"/>
      <c r="MAJ13" s="2" t="n"/>
      <c r="MAK13" s="2" t="n"/>
      <c r="MAL13" s="2" t="n"/>
      <c r="MAM13" s="2" t="n"/>
      <c r="MAN13" s="2" t="n"/>
      <c r="MAO13" s="2" t="n"/>
      <c r="MAP13" s="2" t="n"/>
      <c r="MAQ13" s="2" t="n"/>
      <c r="MAR13" s="2" t="n"/>
      <c r="MAS13" s="2" t="n"/>
      <c r="MAT13" s="2" t="n"/>
      <c r="MAU13" s="2" t="n"/>
      <c r="MAV13" s="2" t="n"/>
      <c r="MAW13" s="2" t="n"/>
      <c r="MAX13" s="2" t="n"/>
      <c r="MAY13" s="2" t="n"/>
      <c r="MAZ13" s="2" t="n"/>
      <c r="MBA13" s="2" t="n"/>
      <c r="MBB13" s="2" t="n"/>
      <c r="MBC13" s="2" t="n"/>
      <c r="MBD13" s="2" t="n"/>
      <c r="MBE13" s="2" t="n"/>
      <c r="MBF13" s="2" t="n"/>
      <c r="MBG13" s="2" t="n"/>
      <c r="MBH13" s="2" t="n"/>
      <c r="MBI13" s="2" t="n"/>
      <c r="MBJ13" s="2" t="n"/>
      <c r="MBK13" s="2" t="n"/>
      <c r="MBL13" s="2" t="n"/>
      <c r="MBM13" s="2" t="n"/>
      <c r="MBN13" s="2" t="n"/>
      <c r="MBO13" s="2" t="n"/>
      <c r="MBP13" s="2" t="n"/>
      <c r="MBQ13" s="2" t="n"/>
      <c r="MBR13" s="2" t="n"/>
      <c r="MBS13" s="2" t="n"/>
      <c r="MBT13" s="2" t="n"/>
      <c r="MBU13" s="2" t="n"/>
      <c r="MBV13" s="2" t="n"/>
      <c r="MBW13" s="2" t="n"/>
      <c r="MBX13" s="2" t="n"/>
      <c r="MBY13" s="2" t="n"/>
      <c r="MBZ13" s="2" t="n"/>
      <c r="MCA13" s="2" t="n"/>
      <c r="MCB13" s="2" t="n"/>
      <c r="MCC13" s="2" t="n"/>
      <c r="MCD13" s="2" t="n"/>
      <c r="MCE13" s="2" t="n"/>
      <c r="MCF13" s="2" t="n"/>
      <c r="MCG13" s="2" t="n"/>
      <c r="MCH13" s="2" t="n"/>
      <c r="MCI13" s="2" t="n"/>
      <c r="MCJ13" s="2" t="n"/>
      <c r="MCK13" s="2" t="n"/>
      <c r="MCL13" s="2" t="n"/>
      <c r="MCM13" s="2" t="n"/>
      <c r="MCN13" s="2" t="n"/>
      <c r="MCO13" s="2" t="n"/>
      <c r="MCP13" s="2" t="n"/>
      <c r="MCQ13" s="2" t="n"/>
      <c r="MCR13" s="2" t="n"/>
      <c r="MCS13" s="2" t="n"/>
      <c r="MCT13" s="2" t="n"/>
      <c r="MCU13" s="2" t="n"/>
      <c r="MCV13" s="2" t="n"/>
      <c r="MCW13" s="2" t="n"/>
      <c r="MCX13" s="2" t="n"/>
      <c r="MCY13" s="2" t="n"/>
      <c r="MCZ13" s="2" t="n"/>
      <c r="MDA13" s="2" t="n"/>
      <c r="MDB13" s="2" t="n"/>
      <c r="MDC13" s="2" t="n"/>
      <c r="MDD13" s="2" t="n"/>
      <c r="MDE13" s="2" t="n"/>
      <c r="MDF13" s="2" t="n"/>
      <c r="MDG13" s="2" t="n"/>
      <c r="MDH13" s="2" t="n"/>
      <c r="MDI13" s="2" t="n"/>
      <c r="MDJ13" s="2" t="n"/>
      <c r="MDK13" s="2" t="n"/>
      <c r="MDL13" s="2" t="n"/>
      <c r="MDM13" s="2" t="n"/>
      <c r="MDN13" s="2" t="n"/>
      <c r="MDO13" s="2" t="n"/>
      <c r="MDP13" s="2" t="n"/>
      <c r="MDQ13" s="2" t="n"/>
      <c r="MDR13" s="2" t="n"/>
      <c r="MDS13" s="2" t="n"/>
      <c r="MDT13" s="2" t="n"/>
      <c r="MDU13" s="2" t="n"/>
      <c r="MDV13" s="2" t="n"/>
      <c r="MDW13" s="2" t="n"/>
      <c r="MDX13" s="2" t="n"/>
      <c r="MDY13" s="2" t="n"/>
      <c r="MDZ13" s="2" t="n"/>
      <c r="MEA13" s="2" t="n"/>
      <c r="MEB13" s="2" t="n"/>
      <c r="MEC13" s="2" t="n"/>
      <c r="MED13" s="2" t="n"/>
      <c r="MEE13" s="2" t="n"/>
      <c r="MEF13" s="2" t="n"/>
      <c r="MEG13" s="2" t="n"/>
      <c r="MEH13" s="2" t="n"/>
      <c r="MEI13" s="2" t="n"/>
      <c r="MEJ13" s="2" t="n"/>
      <c r="MEK13" s="2" t="n"/>
      <c r="MEL13" s="2" t="n"/>
      <c r="MEM13" s="2" t="n"/>
      <c r="MEN13" s="2" t="n"/>
      <c r="MEO13" s="2" t="n"/>
      <c r="MEP13" s="2" t="n"/>
      <c r="MEQ13" s="2" t="n"/>
      <c r="MER13" s="2" t="n"/>
      <c r="MES13" s="2" t="n"/>
      <c r="MET13" s="2" t="n"/>
      <c r="MEU13" s="2" t="n"/>
      <c r="MEV13" s="2" t="n"/>
      <c r="MEW13" s="2" t="n"/>
      <c r="MEX13" s="2" t="n"/>
      <c r="MEY13" s="2" t="n"/>
      <c r="MEZ13" s="2" t="n"/>
      <c r="MFA13" s="2" t="n"/>
      <c r="MFB13" s="2" t="n"/>
      <c r="MFC13" s="2" t="n"/>
      <c r="MFD13" s="2" t="n"/>
      <c r="MFE13" s="2" t="n"/>
      <c r="MFF13" s="2" t="n"/>
      <c r="MFG13" s="2" t="n"/>
      <c r="MFH13" s="2" t="n"/>
      <c r="MFI13" s="2" t="n"/>
      <c r="MFJ13" s="2" t="n"/>
      <c r="MFK13" s="2" t="n"/>
      <c r="MFL13" s="2" t="n"/>
      <c r="MFM13" s="2" t="n"/>
      <c r="MFN13" s="2" t="n"/>
      <c r="MFO13" s="2" t="n"/>
      <c r="MFP13" s="2" t="n"/>
      <c r="MFQ13" s="2" t="n"/>
      <c r="MFR13" s="2" t="n"/>
      <c r="MFS13" s="2" t="n"/>
      <c r="MFT13" s="2" t="n"/>
      <c r="MFU13" s="2" t="n"/>
      <c r="MFV13" s="2" t="n"/>
      <c r="MFW13" s="2" t="n"/>
      <c r="MFX13" s="2" t="n"/>
      <c r="MFY13" s="2" t="n"/>
      <c r="MFZ13" s="2" t="n"/>
      <c r="MGA13" s="2" t="n"/>
      <c r="MGB13" s="2" t="n"/>
      <c r="MGC13" s="2" t="n"/>
      <c r="MGD13" s="2" t="n"/>
      <c r="MGE13" s="2" t="n"/>
      <c r="MGF13" s="2" t="n"/>
      <c r="MGG13" s="2" t="n"/>
      <c r="MGH13" s="2" t="n"/>
      <c r="MGI13" s="2" t="n"/>
      <c r="MGJ13" s="2" t="n"/>
      <c r="MGK13" s="2" t="n"/>
      <c r="MGL13" s="2" t="n"/>
      <c r="MGM13" s="2" t="n"/>
      <c r="MGN13" s="2" t="n"/>
      <c r="MGO13" s="2" t="n"/>
      <c r="MGP13" s="2" t="n"/>
      <c r="MGQ13" s="2" t="n"/>
      <c r="MGR13" s="2" t="n"/>
      <c r="MGS13" s="2" t="n"/>
      <c r="MGT13" s="2" t="n"/>
      <c r="MGU13" s="2" t="n"/>
      <c r="MGV13" s="2" t="n"/>
      <c r="MGW13" s="2" t="n"/>
      <c r="MGX13" s="2" t="n"/>
      <c r="MGY13" s="2" t="n"/>
      <c r="MGZ13" s="2" t="n"/>
      <c r="MHA13" s="2" t="n"/>
      <c r="MHB13" s="2" t="n"/>
      <c r="MHC13" s="2" t="n"/>
      <c r="MHD13" s="2" t="n"/>
      <c r="MHE13" s="2" t="n"/>
      <c r="MHF13" s="2" t="n"/>
      <c r="MHG13" s="2" t="n"/>
      <c r="MHH13" s="2" t="n"/>
      <c r="MHI13" s="2" t="n"/>
      <c r="MHJ13" s="2" t="n"/>
      <c r="MHK13" s="2" t="n"/>
      <c r="MHL13" s="2" t="n"/>
      <c r="MHM13" s="2" t="n"/>
      <c r="MHN13" s="2" t="n"/>
      <c r="MHO13" s="2" t="n"/>
      <c r="MHP13" s="2" t="n"/>
      <c r="MHQ13" s="2" t="n"/>
      <c r="MHR13" s="2" t="n"/>
      <c r="MHS13" s="2" t="n"/>
      <c r="MHT13" s="2" t="n"/>
      <c r="MHU13" s="2" t="n"/>
      <c r="MHV13" s="2" t="n"/>
      <c r="MHW13" s="2" t="n"/>
      <c r="MHX13" s="2" t="n"/>
      <c r="MHY13" s="2" t="n"/>
      <c r="MHZ13" s="2" t="n"/>
      <c r="MIA13" s="2" t="n"/>
      <c r="MIB13" s="2" t="n"/>
      <c r="MIC13" s="2" t="n"/>
      <c r="MID13" s="2" t="n"/>
      <c r="MIE13" s="2" t="n"/>
      <c r="MIF13" s="2" t="n"/>
      <c r="MIG13" s="2" t="n"/>
      <c r="MIH13" s="2" t="n"/>
      <c r="MII13" s="2" t="n"/>
      <c r="MIJ13" s="2" t="n"/>
      <c r="MIK13" s="2" t="n"/>
      <c r="MIL13" s="2" t="n"/>
      <c r="MIM13" s="2" t="n"/>
      <c r="MIN13" s="2" t="n"/>
      <c r="MIO13" s="2" t="n"/>
      <c r="MIP13" s="2" t="n"/>
      <c r="MIQ13" s="2" t="n"/>
      <c r="MIR13" s="2" t="n"/>
      <c r="MIS13" s="2" t="n"/>
      <c r="MIT13" s="2" t="n"/>
      <c r="MIU13" s="2" t="n"/>
      <c r="MIV13" s="2" t="n"/>
      <c r="MIW13" s="2" t="n"/>
      <c r="MIX13" s="2" t="n"/>
      <c r="MIY13" s="2" t="n"/>
      <c r="MIZ13" s="2" t="n"/>
      <c r="MJA13" s="2" t="n"/>
      <c r="MJB13" s="2" t="n"/>
      <c r="MJC13" s="2" t="n"/>
      <c r="MJD13" s="2" t="n"/>
      <c r="MJE13" s="2" t="n"/>
      <c r="MJF13" s="2" t="n"/>
      <c r="MJG13" s="2" t="n"/>
      <c r="MJH13" s="2" t="n"/>
      <c r="MJI13" s="2" t="n"/>
      <c r="MJJ13" s="2" t="n"/>
      <c r="MJK13" s="2" t="n"/>
      <c r="MJL13" s="2" t="n"/>
      <c r="MJM13" s="2" t="n"/>
      <c r="MJN13" s="2" t="n"/>
      <c r="MJO13" s="2" t="n"/>
      <c r="MJP13" s="2" t="n"/>
      <c r="MJQ13" s="2" t="n"/>
      <c r="MJR13" s="2" t="n"/>
      <c r="MJS13" s="2" t="n"/>
      <c r="MJT13" s="2" t="n"/>
      <c r="MJU13" s="2" t="n"/>
      <c r="MJV13" s="2" t="n"/>
      <c r="MJW13" s="2" t="n"/>
      <c r="MJX13" s="2" t="n"/>
      <c r="MJY13" s="2" t="n"/>
      <c r="MJZ13" s="2" t="n"/>
      <c r="MKA13" s="2" t="n"/>
      <c r="MKB13" s="2" t="n"/>
      <c r="MKC13" s="2" t="n"/>
      <c r="MKD13" s="2" t="n"/>
      <c r="MKE13" s="2" t="n"/>
      <c r="MKF13" s="2" t="n"/>
      <c r="MKG13" s="2" t="n"/>
      <c r="MKH13" s="2" t="n"/>
      <c r="MKI13" s="2" t="n"/>
      <c r="MKJ13" s="2" t="n"/>
      <c r="MKK13" s="2" t="n"/>
      <c r="MKL13" s="2" t="n"/>
      <c r="MKM13" s="2" t="n"/>
      <c r="MKN13" s="2" t="n"/>
      <c r="MKO13" s="2" t="n"/>
      <c r="MKP13" s="2" t="n"/>
      <c r="MKQ13" s="2" t="n"/>
      <c r="MKR13" s="2" t="n"/>
      <c r="MKS13" s="2" t="n"/>
      <c r="MKT13" s="2" t="n"/>
      <c r="MKU13" s="2" t="n"/>
      <c r="MKV13" s="2" t="n"/>
      <c r="MKW13" s="2" t="n"/>
      <c r="MKX13" s="2" t="n"/>
      <c r="MKY13" s="2" t="n"/>
      <c r="MKZ13" s="2" t="n"/>
      <c r="MLA13" s="2" t="n"/>
      <c r="MLB13" s="2" t="n"/>
      <c r="MLC13" s="2" t="n"/>
      <c r="MLD13" s="2" t="n"/>
      <c r="MLE13" s="2" t="n"/>
      <c r="MLF13" s="2" t="n"/>
      <c r="MLG13" s="2" t="n"/>
      <c r="MLH13" s="2" t="n"/>
      <c r="MLI13" s="2" t="n"/>
      <c r="MLJ13" s="2" t="n"/>
      <c r="MLK13" s="2" t="n"/>
      <c r="MLL13" s="2" t="n"/>
      <c r="MLM13" s="2" t="n"/>
      <c r="MLN13" s="2" t="n"/>
      <c r="MLO13" s="2" t="n"/>
      <c r="MLP13" s="2" t="n"/>
      <c r="MLQ13" s="2" t="n"/>
      <c r="MLR13" s="2" t="n"/>
      <c r="MLS13" s="2" t="n"/>
      <c r="MLT13" s="2" t="n"/>
      <c r="MLU13" s="2" t="n"/>
      <c r="MLV13" s="2" t="n"/>
      <c r="MLW13" s="2" t="n"/>
      <c r="MLX13" s="2" t="n"/>
      <c r="MLY13" s="2" t="n"/>
      <c r="MLZ13" s="2" t="n"/>
      <c r="MMA13" s="2" t="n"/>
      <c r="MMB13" s="2" t="n"/>
      <c r="MMC13" s="2" t="n"/>
      <c r="MMD13" s="2" t="n"/>
      <c r="MME13" s="2" t="n"/>
      <c r="MMF13" s="2" t="n"/>
      <c r="MMG13" s="2" t="n"/>
      <c r="MMH13" s="2" t="n"/>
      <c r="MMI13" s="2" t="n"/>
      <c r="MMJ13" s="2" t="n"/>
      <c r="MMK13" s="2" t="n"/>
      <c r="MML13" s="2" t="n"/>
      <c r="MMM13" s="2" t="n"/>
      <c r="MMN13" s="2" t="n"/>
      <c r="MMO13" s="2" t="n"/>
      <c r="MMP13" s="2" t="n"/>
      <c r="MMQ13" s="2" t="n"/>
      <c r="MMR13" s="2" t="n"/>
      <c r="MMS13" s="2" t="n"/>
      <c r="MMT13" s="2" t="n"/>
      <c r="MMU13" s="2" t="n"/>
      <c r="MMV13" s="2" t="n"/>
      <c r="MMW13" s="2" t="n"/>
      <c r="MMX13" s="2" t="n"/>
      <c r="MMY13" s="2" t="n"/>
      <c r="MMZ13" s="2" t="n"/>
      <c r="MNA13" s="2" t="n"/>
      <c r="MNB13" s="2" t="n"/>
      <c r="MNC13" s="2" t="n"/>
      <c r="MND13" s="2" t="n"/>
      <c r="MNE13" s="2" t="n"/>
      <c r="MNF13" s="2" t="n"/>
      <c r="MNG13" s="2" t="n"/>
      <c r="MNH13" s="2" t="n"/>
      <c r="MNI13" s="2" t="n"/>
      <c r="MNJ13" s="2" t="n"/>
      <c r="MNK13" s="2" t="n"/>
      <c r="MNL13" s="2" t="n"/>
      <c r="MNM13" s="2" t="n"/>
      <c r="MNN13" s="2" t="n"/>
      <c r="MNO13" s="2" t="n"/>
      <c r="MNP13" s="2" t="n"/>
      <c r="MNQ13" s="2" t="n"/>
      <c r="MNR13" s="2" t="n"/>
      <c r="MNS13" s="2" t="n"/>
      <c r="MNT13" s="2" t="n"/>
      <c r="MNU13" s="2" t="n"/>
      <c r="MNV13" s="2" t="n"/>
      <c r="MNW13" s="2" t="n"/>
      <c r="MNX13" s="2" t="n"/>
      <c r="MNY13" s="2" t="n"/>
      <c r="MNZ13" s="2" t="n"/>
      <c r="MOA13" s="2" t="n"/>
      <c r="MOB13" s="2" t="n"/>
      <c r="MOC13" s="2" t="n"/>
      <c r="MOD13" s="2" t="n"/>
      <c r="MOE13" s="2" t="n"/>
      <c r="MOF13" s="2" t="n"/>
      <c r="MOG13" s="2" t="n"/>
      <c r="MOH13" s="2" t="n"/>
      <c r="MOI13" s="2" t="n"/>
      <c r="MOJ13" s="2" t="n"/>
      <c r="MOK13" s="2" t="n"/>
      <c r="MOL13" s="2" t="n"/>
      <c r="MOM13" s="2" t="n"/>
      <c r="MON13" s="2" t="n"/>
      <c r="MOO13" s="2" t="n"/>
      <c r="MOP13" s="2" t="n"/>
      <c r="MOQ13" s="2" t="n"/>
      <c r="MOR13" s="2" t="n"/>
      <c r="MOS13" s="2" t="n"/>
      <c r="MOT13" s="2" t="n"/>
      <c r="MOU13" s="2" t="n"/>
      <c r="MOV13" s="2" t="n"/>
      <c r="MOW13" s="2" t="n"/>
      <c r="MOX13" s="2" t="n"/>
      <c r="MOY13" s="2" t="n"/>
      <c r="MOZ13" s="2" t="n"/>
      <c r="MPA13" s="2" t="n"/>
      <c r="MPB13" s="2" t="n"/>
      <c r="MPC13" s="2" t="n"/>
      <c r="MPD13" s="2" t="n"/>
      <c r="MPE13" s="2" t="n"/>
      <c r="MPF13" s="2" t="n"/>
      <c r="MPG13" s="2" t="n"/>
      <c r="MPH13" s="2" t="n"/>
      <c r="MPI13" s="2" t="n"/>
      <c r="MPJ13" s="2" t="n"/>
      <c r="MPK13" s="2" t="n"/>
      <c r="MPL13" s="2" t="n"/>
      <c r="MPM13" s="2" t="n"/>
      <c r="MPN13" s="2" t="n"/>
      <c r="MPO13" s="2" t="n"/>
      <c r="MPP13" s="2" t="n"/>
      <c r="MPQ13" s="2" t="n"/>
      <c r="MPR13" s="2" t="n"/>
      <c r="MPS13" s="2" t="n"/>
      <c r="MPT13" s="2" t="n"/>
      <c r="MPU13" s="2" t="n"/>
      <c r="MPV13" s="2" t="n"/>
      <c r="MPW13" s="2" t="n"/>
      <c r="MPX13" s="2" t="n"/>
      <c r="MPY13" s="2" t="n"/>
      <c r="MPZ13" s="2" t="n"/>
      <c r="MQA13" s="2" t="n"/>
      <c r="MQB13" s="2" t="n"/>
      <c r="MQC13" s="2" t="n"/>
      <c r="MQD13" s="2" t="n"/>
      <c r="MQE13" s="2" t="n"/>
      <c r="MQF13" s="2" t="n"/>
      <c r="MQG13" s="2" t="n"/>
      <c r="MQH13" s="2" t="n"/>
      <c r="MQI13" s="2" t="n"/>
      <c r="MQJ13" s="2" t="n"/>
      <c r="MQK13" s="2" t="n"/>
      <c r="MQL13" s="2" t="n"/>
      <c r="MQM13" s="2" t="n"/>
      <c r="MQN13" s="2" t="n"/>
      <c r="MQO13" s="2" t="n"/>
      <c r="MQP13" s="2" t="n"/>
      <c r="MQQ13" s="2" t="n"/>
      <c r="MQR13" s="2" t="n"/>
      <c r="MQS13" s="2" t="n"/>
      <c r="MQT13" s="2" t="n"/>
      <c r="MQU13" s="2" t="n"/>
      <c r="MQV13" s="2" t="n"/>
      <c r="MQW13" s="2" t="n"/>
      <c r="MQX13" s="2" t="n"/>
      <c r="MQY13" s="2" t="n"/>
      <c r="MQZ13" s="2" t="n"/>
      <c r="MRA13" s="2" t="n"/>
      <c r="MRB13" s="2" t="n"/>
      <c r="MRC13" s="2" t="n"/>
      <c r="MRD13" s="2" t="n"/>
      <c r="MRE13" s="2" t="n"/>
      <c r="MRF13" s="2" t="n"/>
      <c r="MRG13" s="2" t="n"/>
      <c r="MRH13" s="2" t="n"/>
      <c r="MRI13" s="2" t="n"/>
      <c r="MRJ13" s="2" t="n"/>
      <c r="MRK13" s="2" t="n"/>
      <c r="MRL13" s="2" t="n"/>
      <c r="MRM13" s="2" t="n"/>
      <c r="MRN13" s="2" t="n"/>
      <c r="MRO13" s="2" t="n"/>
      <c r="MRP13" s="2" t="n"/>
      <c r="MRQ13" s="2" t="n"/>
      <c r="MRR13" s="2" t="n"/>
      <c r="MRS13" s="2" t="n"/>
      <c r="MRT13" s="2" t="n"/>
      <c r="MRU13" s="2" t="n"/>
      <c r="MRV13" s="2" t="n"/>
      <c r="MRW13" s="2" t="n"/>
      <c r="MRX13" s="2" t="n"/>
      <c r="MRY13" s="2" t="n"/>
      <c r="MRZ13" s="2" t="n"/>
      <c r="MSA13" s="2" t="n"/>
      <c r="MSB13" s="2" t="n"/>
      <c r="MSC13" s="2" t="n"/>
      <c r="MSD13" s="2" t="n"/>
      <c r="MSE13" s="2" t="n"/>
      <c r="MSF13" s="2" t="n"/>
      <c r="MSG13" s="2" t="n"/>
      <c r="MSH13" s="2" t="n"/>
      <c r="MSI13" s="2" t="n"/>
      <c r="MSJ13" s="2" t="n"/>
      <c r="MSK13" s="2" t="n"/>
      <c r="MSL13" s="2" t="n"/>
      <c r="MSM13" s="2" t="n"/>
      <c r="MSN13" s="2" t="n"/>
      <c r="MSO13" s="2" t="n"/>
      <c r="MSP13" s="2" t="n"/>
      <c r="MSQ13" s="2" t="n"/>
      <c r="MSR13" s="2" t="n"/>
      <c r="MSS13" s="2" t="n"/>
      <c r="MST13" s="2" t="n"/>
      <c r="MSU13" s="2" t="n"/>
      <c r="MSV13" s="2" t="n"/>
      <c r="MSW13" s="2" t="n"/>
      <c r="MSX13" s="2" t="n"/>
      <c r="MSY13" s="2" t="n"/>
      <c r="MSZ13" s="2" t="n"/>
      <c r="MTA13" s="2" t="n"/>
      <c r="MTB13" s="2" t="n"/>
      <c r="MTC13" s="2" t="n"/>
      <c r="MTD13" s="2" t="n"/>
      <c r="MTE13" s="2" t="n"/>
      <c r="MTF13" s="2" t="n"/>
      <c r="MTG13" s="2" t="n"/>
      <c r="MTH13" s="2" t="n"/>
      <c r="MTI13" s="2" t="n"/>
      <c r="MTJ13" s="2" t="n"/>
      <c r="MTK13" s="2" t="n"/>
      <c r="MTL13" s="2" t="n"/>
      <c r="MTM13" s="2" t="n"/>
      <c r="MTN13" s="2" t="n"/>
      <c r="MTO13" s="2" t="n"/>
      <c r="MTP13" s="2" t="n"/>
      <c r="MTQ13" s="2" t="n"/>
      <c r="MTR13" s="2" t="n"/>
      <c r="MTS13" s="2" t="n"/>
      <c r="MTT13" s="2" t="n"/>
      <c r="MTU13" s="2" t="n"/>
      <c r="MTV13" s="2" t="n"/>
      <c r="MTW13" s="2" t="n"/>
      <c r="MTX13" s="2" t="n"/>
      <c r="MTY13" s="2" t="n"/>
      <c r="MTZ13" s="2" t="n"/>
      <c r="MUA13" s="2" t="n"/>
      <c r="MUB13" s="2" t="n"/>
      <c r="MUC13" s="2" t="n"/>
      <c r="MUD13" s="2" t="n"/>
      <c r="MUE13" s="2" t="n"/>
      <c r="MUF13" s="2" t="n"/>
      <c r="MUG13" s="2" t="n"/>
      <c r="MUH13" s="2" t="n"/>
      <c r="MUI13" s="2" t="n"/>
      <c r="MUJ13" s="2" t="n"/>
      <c r="MUK13" s="2" t="n"/>
      <c r="MUL13" s="2" t="n"/>
      <c r="MUM13" s="2" t="n"/>
      <c r="MUN13" s="2" t="n"/>
      <c r="MUO13" s="2" t="n"/>
      <c r="MUP13" s="2" t="n"/>
      <c r="MUQ13" s="2" t="n"/>
      <c r="MUR13" s="2" t="n"/>
      <c r="MUS13" s="2" t="n"/>
      <c r="MUT13" s="2" t="n"/>
      <c r="MUU13" s="2" t="n"/>
      <c r="MUV13" s="2" t="n"/>
      <c r="MUW13" s="2" t="n"/>
      <c r="MUX13" s="2" t="n"/>
      <c r="MUY13" s="2" t="n"/>
      <c r="MUZ13" s="2" t="n"/>
      <c r="MVA13" s="2" t="n"/>
      <c r="MVB13" s="2" t="n"/>
      <c r="MVC13" s="2" t="n"/>
      <c r="MVD13" s="2" t="n"/>
      <c r="MVE13" s="2" t="n"/>
      <c r="MVF13" s="2" t="n"/>
      <c r="MVG13" s="2" t="n"/>
      <c r="MVH13" s="2" t="n"/>
      <c r="MVI13" s="2" t="n"/>
      <c r="MVJ13" s="2" t="n"/>
      <c r="MVK13" s="2" t="n"/>
      <c r="MVL13" s="2" t="n"/>
      <c r="MVM13" s="2" t="n"/>
      <c r="MVN13" s="2" t="n"/>
      <c r="MVO13" s="2" t="n"/>
      <c r="MVP13" s="2" t="n"/>
      <c r="MVQ13" s="2" t="n"/>
      <c r="MVR13" s="2" t="n"/>
      <c r="MVS13" s="2" t="n"/>
      <c r="MVT13" s="2" t="n"/>
      <c r="MVU13" s="2" t="n"/>
      <c r="MVV13" s="2" t="n"/>
      <c r="MVW13" s="2" t="n"/>
      <c r="MVX13" s="2" t="n"/>
      <c r="MVY13" s="2" t="n"/>
      <c r="MVZ13" s="2" t="n"/>
      <c r="MWA13" s="2" t="n"/>
      <c r="MWB13" s="2" t="n"/>
      <c r="MWC13" s="2" t="n"/>
      <c r="MWD13" s="2" t="n"/>
      <c r="MWE13" s="2" t="n"/>
      <c r="MWF13" s="2" t="n"/>
      <c r="MWG13" s="2" t="n"/>
      <c r="MWH13" s="2" t="n"/>
      <c r="MWI13" s="2" t="n"/>
      <c r="MWJ13" s="2" t="n"/>
      <c r="MWK13" s="2" t="n"/>
      <c r="MWL13" s="2" t="n"/>
      <c r="MWM13" s="2" t="n"/>
      <c r="MWN13" s="2" t="n"/>
      <c r="MWO13" s="2" t="n"/>
      <c r="MWP13" s="2" t="n"/>
      <c r="MWQ13" s="2" t="n"/>
      <c r="MWR13" s="2" t="n"/>
      <c r="MWS13" s="2" t="n"/>
      <c r="MWT13" s="2" t="n"/>
      <c r="MWU13" s="2" t="n"/>
      <c r="MWV13" s="2" t="n"/>
      <c r="MWW13" s="2" t="n"/>
      <c r="MWX13" s="2" t="n"/>
      <c r="MWY13" s="2" t="n"/>
      <c r="MWZ13" s="2" t="n"/>
      <c r="MXA13" s="2" t="n"/>
      <c r="MXB13" s="2" t="n"/>
      <c r="MXC13" s="2" t="n"/>
      <c r="MXD13" s="2" t="n"/>
      <c r="MXE13" s="2" t="n"/>
      <c r="MXF13" s="2" t="n"/>
      <c r="MXG13" s="2" t="n"/>
      <c r="MXH13" s="2" t="n"/>
      <c r="MXI13" s="2" t="n"/>
      <c r="MXJ13" s="2" t="n"/>
      <c r="MXK13" s="2" t="n"/>
      <c r="MXL13" s="2" t="n"/>
      <c r="MXM13" s="2" t="n"/>
      <c r="MXN13" s="2" t="n"/>
      <c r="MXO13" s="2" t="n"/>
      <c r="MXP13" s="2" t="n"/>
      <c r="MXQ13" s="2" t="n"/>
      <c r="MXR13" s="2" t="n"/>
      <c r="MXS13" s="2" t="n"/>
      <c r="MXT13" s="2" t="n"/>
      <c r="MXU13" s="2" t="n"/>
      <c r="MXV13" s="2" t="n"/>
      <c r="MXW13" s="2" t="n"/>
      <c r="MXX13" s="2" t="n"/>
      <c r="MXY13" s="2" t="n"/>
      <c r="MXZ13" s="2" t="n"/>
      <c r="MYA13" s="2" t="n"/>
      <c r="MYB13" s="2" t="n"/>
      <c r="MYC13" s="2" t="n"/>
      <c r="MYD13" s="2" t="n"/>
      <c r="MYE13" s="2" t="n"/>
      <c r="MYF13" s="2" t="n"/>
      <c r="MYG13" s="2" t="n"/>
      <c r="MYH13" s="2" t="n"/>
      <c r="MYI13" s="2" t="n"/>
      <c r="MYJ13" s="2" t="n"/>
      <c r="MYK13" s="2" t="n"/>
      <c r="MYL13" s="2" t="n"/>
      <c r="MYM13" s="2" t="n"/>
      <c r="MYN13" s="2" t="n"/>
      <c r="MYO13" s="2" t="n"/>
      <c r="MYP13" s="2" t="n"/>
      <c r="MYQ13" s="2" t="n"/>
      <c r="MYR13" s="2" t="n"/>
      <c r="MYS13" s="2" t="n"/>
      <c r="MYT13" s="2" t="n"/>
      <c r="MYU13" s="2" t="n"/>
      <c r="MYV13" s="2" t="n"/>
      <c r="MYW13" s="2" t="n"/>
      <c r="MYX13" s="2" t="n"/>
      <c r="MYY13" s="2" t="n"/>
      <c r="MYZ13" s="2" t="n"/>
      <c r="MZA13" s="2" t="n"/>
      <c r="MZB13" s="2" t="n"/>
      <c r="MZC13" s="2" t="n"/>
      <c r="MZD13" s="2" t="n"/>
      <c r="MZE13" s="2" t="n"/>
      <c r="MZF13" s="2" t="n"/>
      <c r="MZG13" s="2" t="n"/>
      <c r="MZH13" s="2" t="n"/>
      <c r="MZI13" s="2" t="n"/>
      <c r="MZJ13" s="2" t="n"/>
      <c r="MZK13" s="2" t="n"/>
      <c r="MZL13" s="2" t="n"/>
      <c r="MZM13" s="2" t="n"/>
      <c r="MZN13" s="2" t="n"/>
      <c r="MZO13" s="2" t="n"/>
      <c r="MZP13" s="2" t="n"/>
      <c r="MZQ13" s="2" t="n"/>
      <c r="MZR13" s="2" t="n"/>
      <c r="MZS13" s="2" t="n"/>
      <c r="MZT13" s="2" t="n"/>
      <c r="MZU13" s="2" t="n"/>
      <c r="MZV13" s="2" t="n"/>
      <c r="MZW13" s="2" t="n"/>
      <c r="MZX13" s="2" t="n"/>
      <c r="MZY13" s="2" t="n"/>
      <c r="MZZ13" s="2" t="n"/>
      <c r="NAA13" s="2" t="n"/>
      <c r="NAB13" s="2" t="n"/>
      <c r="NAC13" s="2" t="n"/>
      <c r="NAD13" s="2" t="n"/>
      <c r="NAE13" s="2" t="n"/>
      <c r="NAF13" s="2" t="n"/>
      <c r="NAG13" s="2" t="n"/>
      <c r="NAH13" s="2" t="n"/>
      <c r="NAI13" s="2" t="n"/>
      <c r="NAJ13" s="2" t="n"/>
      <c r="NAK13" s="2" t="n"/>
      <c r="NAL13" s="2" t="n"/>
      <c r="NAM13" s="2" t="n"/>
      <c r="NAN13" s="2" t="n"/>
      <c r="NAO13" s="2" t="n"/>
      <c r="NAP13" s="2" t="n"/>
      <c r="NAQ13" s="2" t="n"/>
      <c r="NAR13" s="2" t="n"/>
      <c r="NAS13" s="2" t="n"/>
      <c r="NAT13" s="2" t="n"/>
      <c r="NAU13" s="2" t="n"/>
      <c r="NAV13" s="2" t="n"/>
      <c r="NAW13" s="2" t="n"/>
      <c r="NAX13" s="2" t="n"/>
      <c r="NAY13" s="2" t="n"/>
      <c r="NAZ13" s="2" t="n"/>
      <c r="NBA13" s="2" t="n"/>
      <c r="NBB13" s="2" t="n"/>
      <c r="NBC13" s="2" t="n"/>
      <c r="NBD13" s="2" t="n"/>
      <c r="NBE13" s="2" t="n"/>
      <c r="NBF13" s="2" t="n"/>
      <c r="NBG13" s="2" t="n"/>
      <c r="NBH13" s="2" t="n"/>
      <c r="NBI13" s="2" t="n"/>
      <c r="NBJ13" s="2" t="n"/>
      <c r="NBK13" s="2" t="n"/>
      <c r="NBL13" s="2" t="n"/>
      <c r="NBM13" s="2" t="n"/>
      <c r="NBN13" s="2" t="n"/>
      <c r="NBO13" s="2" t="n"/>
      <c r="NBP13" s="2" t="n"/>
      <c r="NBQ13" s="2" t="n"/>
      <c r="NBR13" s="2" t="n"/>
      <c r="NBS13" s="2" t="n"/>
      <c r="NBT13" s="2" t="n"/>
      <c r="NBU13" s="2" t="n"/>
      <c r="NBV13" s="2" t="n"/>
      <c r="NBW13" s="2" t="n"/>
      <c r="NBX13" s="2" t="n"/>
      <c r="NBY13" s="2" t="n"/>
      <c r="NBZ13" s="2" t="n"/>
      <c r="NCA13" s="2" t="n"/>
      <c r="NCB13" s="2" t="n"/>
      <c r="NCC13" s="2" t="n"/>
      <c r="NCD13" s="2" t="n"/>
      <c r="NCE13" s="2" t="n"/>
      <c r="NCF13" s="2" t="n"/>
      <c r="NCG13" s="2" t="n"/>
      <c r="NCH13" s="2" t="n"/>
      <c r="NCI13" s="2" t="n"/>
      <c r="NCJ13" s="2" t="n"/>
      <c r="NCK13" s="2" t="n"/>
      <c r="NCL13" s="2" t="n"/>
      <c r="NCM13" s="2" t="n"/>
      <c r="NCN13" s="2" t="n"/>
      <c r="NCO13" s="2" t="n"/>
      <c r="NCP13" s="2" t="n"/>
      <c r="NCQ13" s="2" t="n"/>
      <c r="NCR13" s="2" t="n"/>
      <c r="NCS13" s="2" t="n"/>
      <c r="NCT13" s="2" t="n"/>
      <c r="NCU13" s="2" t="n"/>
      <c r="NCV13" s="2" t="n"/>
      <c r="NCW13" s="2" t="n"/>
      <c r="NCX13" s="2" t="n"/>
      <c r="NCY13" s="2" t="n"/>
      <c r="NCZ13" s="2" t="n"/>
      <c r="NDA13" s="2" t="n"/>
      <c r="NDB13" s="2" t="n"/>
      <c r="NDC13" s="2" t="n"/>
      <c r="NDD13" s="2" t="n"/>
      <c r="NDE13" s="2" t="n"/>
      <c r="NDF13" s="2" t="n"/>
      <c r="NDG13" s="2" t="n"/>
      <c r="NDH13" s="2" t="n"/>
      <c r="NDI13" s="2" t="n"/>
      <c r="NDJ13" s="2" t="n"/>
      <c r="NDK13" s="2" t="n"/>
      <c r="NDL13" s="2" t="n"/>
      <c r="NDM13" s="2" t="n"/>
      <c r="NDN13" s="2" t="n"/>
      <c r="NDO13" s="2" t="n"/>
      <c r="NDP13" s="2" t="n"/>
      <c r="NDQ13" s="2" t="n"/>
      <c r="NDR13" s="2" t="n"/>
      <c r="NDS13" s="2" t="n"/>
      <c r="NDT13" s="2" t="n"/>
      <c r="NDU13" s="2" t="n"/>
      <c r="NDV13" s="2" t="n"/>
      <c r="NDW13" s="2" t="n"/>
      <c r="NDX13" s="2" t="n"/>
      <c r="NDY13" s="2" t="n"/>
      <c r="NDZ13" s="2" t="n"/>
      <c r="NEA13" s="2" t="n"/>
      <c r="NEB13" s="2" t="n"/>
      <c r="NEC13" s="2" t="n"/>
      <c r="NED13" s="2" t="n"/>
      <c r="NEE13" s="2" t="n"/>
      <c r="NEF13" s="2" t="n"/>
      <c r="NEG13" s="2" t="n"/>
      <c r="NEH13" s="2" t="n"/>
      <c r="NEI13" s="2" t="n"/>
      <c r="NEJ13" s="2" t="n"/>
      <c r="NEK13" s="2" t="n"/>
      <c r="NEL13" s="2" t="n"/>
      <c r="NEM13" s="2" t="n"/>
      <c r="NEN13" s="2" t="n"/>
      <c r="NEO13" s="2" t="n"/>
      <c r="NEP13" s="2" t="n"/>
      <c r="NEQ13" s="2" t="n"/>
      <c r="NER13" s="2" t="n"/>
      <c r="NES13" s="2" t="n"/>
      <c r="NET13" s="2" t="n"/>
      <c r="NEU13" s="2" t="n"/>
      <c r="NEV13" s="2" t="n"/>
      <c r="NEW13" s="2" t="n"/>
      <c r="NEX13" s="2" t="n"/>
      <c r="NEY13" s="2" t="n"/>
      <c r="NEZ13" s="2" t="n"/>
      <c r="NFA13" s="2" t="n"/>
      <c r="NFB13" s="2" t="n"/>
      <c r="NFC13" s="2" t="n"/>
      <c r="NFD13" s="2" t="n"/>
      <c r="NFE13" s="2" t="n"/>
      <c r="NFF13" s="2" t="n"/>
      <c r="NFG13" s="2" t="n"/>
      <c r="NFH13" s="2" t="n"/>
      <c r="NFI13" s="2" t="n"/>
      <c r="NFJ13" s="2" t="n"/>
      <c r="NFK13" s="2" t="n"/>
      <c r="NFL13" s="2" t="n"/>
      <c r="NFM13" s="2" t="n"/>
      <c r="NFN13" s="2" t="n"/>
      <c r="NFO13" s="2" t="n"/>
      <c r="NFP13" s="2" t="n"/>
      <c r="NFQ13" s="2" t="n"/>
      <c r="NFR13" s="2" t="n"/>
      <c r="NFS13" s="2" t="n"/>
      <c r="NFT13" s="2" t="n"/>
      <c r="NFU13" s="2" t="n"/>
      <c r="NFV13" s="2" t="n"/>
      <c r="NFW13" s="2" t="n"/>
      <c r="NFX13" s="2" t="n"/>
      <c r="NFY13" s="2" t="n"/>
      <c r="NFZ13" s="2" t="n"/>
      <c r="NGA13" s="2" t="n"/>
      <c r="NGB13" s="2" t="n"/>
      <c r="NGC13" s="2" t="n"/>
      <c r="NGD13" s="2" t="n"/>
      <c r="NGE13" s="2" t="n"/>
      <c r="NGF13" s="2" t="n"/>
      <c r="NGG13" s="2" t="n"/>
      <c r="NGH13" s="2" t="n"/>
      <c r="NGI13" s="2" t="n"/>
      <c r="NGJ13" s="2" t="n"/>
      <c r="NGK13" s="2" t="n"/>
      <c r="NGL13" s="2" t="n"/>
      <c r="NGM13" s="2" t="n"/>
      <c r="NGN13" s="2" t="n"/>
      <c r="NGO13" s="2" t="n"/>
      <c r="NGP13" s="2" t="n"/>
      <c r="NGQ13" s="2" t="n"/>
      <c r="NGR13" s="2" t="n"/>
      <c r="NGS13" s="2" t="n"/>
      <c r="NGT13" s="2" t="n"/>
      <c r="NGU13" s="2" t="n"/>
      <c r="NGV13" s="2" t="n"/>
      <c r="NGW13" s="2" t="n"/>
      <c r="NGX13" s="2" t="n"/>
      <c r="NGY13" s="2" t="n"/>
      <c r="NGZ13" s="2" t="n"/>
      <c r="NHA13" s="2" t="n"/>
      <c r="NHB13" s="2" t="n"/>
      <c r="NHC13" s="2" t="n"/>
      <c r="NHD13" s="2" t="n"/>
      <c r="NHE13" s="2" t="n"/>
      <c r="NHF13" s="2" t="n"/>
      <c r="NHG13" s="2" t="n"/>
      <c r="NHH13" s="2" t="n"/>
      <c r="NHI13" s="2" t="n"/>
      <c r="NHJ13" s="2" t="n"/>
      <c r="NHK13" s="2" t="n"/>
      <c r="NHL13" s="2" t="n"/>
      <c r="NHM13" s="2" t="n"/>
      <c r="NHN13" s="2" t="n"/>
      <c r="NHO13" s="2" t="n"/>
      <c r="NHP13" s="2" t="n"/>
      <c r="NHQ13" s="2" t="n"/>
      <c r="NHR13" s="2" t="n"/>
      <c r="NHS13" s="2" t="n"/>
      <c r="NHT13" s="2" t="n"/>
      <c r="NHU13" s="2" t="n"/>
      <c r="NHV13" s="2" t="n"/>
      <c r="NHW13" s="2" t="n"/>
      <c r="NHX13" s="2" t="n"/>
      <c r="NHY13" s="2" t="n"/>
      <c r="NHZ13" s="2" t="n"/>
      <c r="NIA13" s="2" t="n"/>
      <c r="NIB13" s="2" t="n"/>
      <c r="NIC13" s="2" t="n"/>
      <c r="NID13" s="2" t="n"/>
      <c r="NIE13" s="2" t="n"/>
      <c r="NIF13" s="2" t="n"/>
      <c r="NIG13" s="2" t="n"/>
      <c r="NIH13" s="2" t="n"/>
      <c r="NII13" s="2" t="n"/>
      <c r="NIJ13" s="2" t="n"/>
      <c r="NIK13" s="2" t="n"/>
      <c r="NIL13" s="2" t="n"/>
      <c r="NIM13" s="2" t="n"/>
      <c r="NIN13" s="2" t="n"/>
      <c r="NIO13" s="2" t="n"/>
      <c r="NIP13" s="2" t="n"/>
      <c r="NIQ13" s="2" t="n"/>
      <c r="NIR13" s="2" t="n"/>
      <c r="NIS13" s="2" t="n"/>
      <c r="NIT13" s="2" t="n"/>
      <c r="NIU13" s="2" t="n"/>
      <c r="NIV13" s="2" t="n"/>
      <c r="NIW13" s="2" t="n"/>
      <c r="NIX13" s="2" t="n"/>
      <c r="NIY13" s="2" t="n"/>
      <c r="NIZ13" s="2" t="n"/>
      <c r="NJA13" s="2" t="n"/>
      <c r="NJB13" s="2" t="n"/>
      <c r="NJC13" s="2" t="n"/>
      <c r="NJD13" s="2" t="n"/>
      <c r="NJE13" s="2" t="n"/>
      <c r="NJF13" s="2" t="n"/>
      <c r="NJG13" s="2" t="n"/>
      <c r="NJH13" s="2" t="n"/>
      <c r="NJI13" s="2" t="n"/>
      <c r="NJJ13" s="2" t="n"/>
      <c r="NJK13" s="2" t="n"/>
      <c r="NJL13" s="2" t="n"/>
      <c r="NJM13" s="2" t="n"/>
      <c r="NJN13" s="2" t="n"/>
      <c r="NJO13" s="2" t="n"/>
      <c r="NJP13" s="2" t="n"/>
      <c r="NJQ13" s="2" t="n"/>
      <c r="NJR13" s="2" t="n"/>
      <c r="NJS13" s="2" t="n"/>
      <c r="NJT13" s="2" t="n"/>
      <c r="NJU13" s="2" t="n"/>
      <c r="NJV13" s="2" t="n"/>
      <c r="NJW13" s="2" t="n"/>
      <c r="NJX13" s="2" t="n"/>
      <c r="NJY13" s="2" t="n"/>
      <c r="NJZ13" s="2" t="n"/>
      <c r="NKA13" s="2" t="n"/>
      <c r="NKB13" s="2" t="n"/>
      <c r="NKC13" s="2" t="n"/>
      <c r="NKD13" s="2" t="n"/>
      <c r="NKE13" s="2" t="n"/>
      <c r="NKF13" s="2" t="n"/>
      <c r="NKG13" s="2" t="n"/>
      <c r="NKH13" s="2" t="n"/>
      <c r="NKI13" s="2" t="n"/>
      <c r="NKJ13" s="2" t="n"/>
      <c r="NKK13" s="2" t="n"/>
      <c r="NKL13" s="2" t="n"/>
      <c r="NKM13" s="2" t="n"/>
      <c r="NKN13" s="2" t="n"/>
      <c r="NKO13" s="2" t="n"/>
      <c r="NKP13" s="2" t="n"/>
      <c r="NKQ13" s="2" t="n"/>
      <c r="NKR13" s="2" t="n"/>
      <c r="NKS13" s="2" t="n"/>
      <c r="NKT13" s="2" t="n"/>
      <c r="NKU13" s="2" t="n"/>
      <c r="NKV13" s="2" t="n"/>
      <c r="NKW13" s="2" t="n"/>
      <c r="NKX13" s="2" t="n"/>
      <c r="NKY13" s="2" t="n"/>
      <c r="NKZ13" s="2" t="n"/>
      <c r="NLA13" s="2" t="n"/>
      <c r="NLB13" s="2" t="n"/>
      <c r="NLC13" s="2" t="n"/>
      <c r="NLD13" s="2" t="n"/>
      <c r="NLE13" s="2" t="n"/>
      <c r="NLF13" s="2" t="n"/>
      <c r="NLG13" s="2" t="n"/>
      <c r="NLH13" s="2" t="n"/>
      <c r="NLI13" s="2" t="n"/>
      <c r="NLJ13" s="2" t="n"/>
      <c r="NLK13" s="2" t="n"/>
      <c r="NLL13" s="2" t="n"/>
      <c r="NLM13" s="2" t="n"/>
      <c r="NLN13" s="2" t="n"/>
      <c r="NLO13" s="2" t="n"/>
      <c r="NLP13" s="2" t="n"/>
      <c r="NLQ13" s="2" t="n"/>
      <c r="NLR13" s="2" t="n"/>
      <c r="NLS13" s="2" t="n"/>
      <c r="NLT13" s="2" t="n"/>
      <c r="NLU13" s="2" t="n"/>
      <c r="NLV13" s="2" t="n"/>
      <c r="NLW13" s="2" t="n"/>
      <c r="NLX13" s="2" t="n"/>
      <c r="NLY13" s="2" t="n"/>
      <c r="NLZ13" s="2" t="n"/>
      <c r="NMA13" s="2" t="n"/>
      <c r="NMB13" s="2" t="n"/>
      <c r="NMC13" s="2" t="n"/>
      <c r="NMD13" s="2" t="n"/>
      <c r="NME13" s="2" t="n"/>
      <c r="NMF13" s="2" t="n"/>
      <c r="NMG13" s="2" t="n"/>
      <c r="NMH13" s="2" t="n"/>
      <c r="NMI13" s="2" t="n"/>
      <c r="NMJ13" s="2" t="n"/>
      <c r="NMK13" s="2" t="n"/>
      <c r="NML13" s="2" t="n"/>
      <c r="NMM13" s="2" t="n"/>
      <c r="NMN13" s="2" t="n"/>
      <c r="NMO13" s="2" t="n"/>
      <c r="NMP13" s="2" t="n"/>
      <c r="NMQ13" s="2" t="n"/>
      <c r="NMR13" s="2" t="n"/>
      <c r="NMS13" s="2" t="n"/>
      <c r="NMT13" s="2" t="n"/>
      <c r="NMU13" s="2" t="n"/>
      <c r="NMV13" s="2" t="n"/>
      <c r="NMW13" s="2" t="n"/>
      <c r="NMX13" s="2" t="n"/>
      <c r="NMY13" s="2" t="n"/>
      <c r="NMZ13" s="2" t="n"/>
      <c r="NNA13" s="2" t="n"/>
      <c r="NNB13" s="2" t="n"/>
      <c r="NNC13" s="2" t="n"/>
      <c r="NND13" s="2" t="n"/>
      <c r="NNE13" s="2" t="n"/>
      <c r="NNF13" s="2" t="n"/>
      <c r="NNG13" s="2" t="n"/>
      <c r="NNH13" s="2" t="n"/>
      <c r="NNI13" s="2" t="n"/>
      <c r="NNJ13" s="2" t="n"/>
      <c r="NNK13" s="2" t="n"/>
      <c r="NNL13" s="2" t="n"/>
      <c r="NNM13" s="2" t="n"/>
      <c r="NNN13" s="2" t="n"/>
      <c r="NNO13" s="2" t="n"/>
      <c r="NNP13" s="2" t="n"/>
      <c r="NNQ13" s="2" t="n"/>
      <c r="NNR13" s="2" t="n"/>
      <c r="NNS13" s="2" t="n"/>
      <c r="NNT13" s="2" t="n"/>
      <c r="NNU13" s="2" t="n"/>
      <c r="NNV13" s="2" t="n"/>
      <c r="NNW13" s="2" t="n"/>
      <c r="NNX13" s="2" t="n"/>
      <c r="NNY13" s="2" t="n"/>
      <c r="NNZ13" s="2" t="n"/>
      <c r="NOA13" s="2" t="n"/>
      <c r="NOB13" s="2" t="n"/>
      <c r="NOC13" s="2" t="n"/>
      <c r="NOD13" s="2" t="n"/>
      <c r="NOE13" s="2" t="n"/>
      <c r="NOF13" s="2" t="n"/>
      <c r="NOG13" s="2" t="n"/>
      <c r="NOH13" s="2" t="n"/>
      <c r="NOI13" s="2" t="n"/>
      <c r="NOJ13" s="2" t="n"/>
      <c r="NOK13" s="2" t="n"/>
      <c r="NOL13" s="2" t="n"/>
      <c r="NOM13" s="2" t="n"/>
      <c r="NON13" s="2" t="n"/>
      <c r="NOO13" s="2" t="n"/>
      <c r="NOP13" s="2" t="n"/>
      <c r="NOQ13" s="2" t="n"/>
      <c r="NOR13" s="2" t="n"/>
      <c r="NOS13" s="2" t="n"/>
      <c r="NOT13" s="2" t="n"/>
      <c r="NOU13" s="2" t="n"/>
      <c r="NOV13" s="2" t="n"/>
      <c r="NOW13" s="2" t="n"/>
      <c r="NOX13" s="2" t="n"/>
      <c r="NOY13" s="2" t="n"/>
      <c r="NOZ13" s="2" t="n"/>
      <c r="NPA13" s="2" t="n"/>
      <c r="NPB13" s="2" t="n"/>
      <c r="NPC13" s="2" t="n"/>
      <c r="NPD13" s="2" t="n"/>
      <c r="NPE13" s="2" t="n"/>
      <c r="NPF13" s="2" t="n"/>
      <c r="NPG13" s="2" t="n"/>
      <c r="NPH13" s="2" t="n"/>
      <c r="NPI13" s="2" t="n"/>
      <c r="NPJ13" s="2" t="n"/>
      <c r="NPK13" s="2" t="n"/>
      <c r="NPL13" s="2" t="n"/>
      <c r="NPM13" s="2" t="n"/>
      <c r="NPN13" s="2" t="n"/>
      <c r="NPO13" s="2" t="n"/>
      <c r="NPP13" s="2" t="n"/>
      <c r="NPQ13" s="2" t="n"/>
      <c r="NPR13" s="2" t="n"/>
      <c r="NPS13" s="2" t="n"/>
      <c r="NPT13" s="2" t="n"/>
      <c r="NPU13" s="2" t="n"/>
      <c r="NPV13" s="2" t="n"/>
      <c r="NPW13" s="2" t="n"/>
      <c r="NPX13" s="2" t="n"/>
      <c r="NPY13" s="2" t="n"/>
      <c r="NPZ13" s="2" t="n"/>
      <c r="NQA13" s="2" t="n"/>
      <c r="NQB13" s="2" t="n"/>
      <c r="NQC13" s="2" t="n"/>
      <c r="NQD13" s="2" t="n"/>
      <c r="NQE13" s="2" t="n"/>
      <c r="NQF13" s="2" t="n"/>
      <c r="NQG13" s="2" t="n"/>
      <c r="NQH13" s="2" t="n"/>
      <c r="NQI13" s="2" t="n"/>
      <c r="NQJ13" s="2" t="n"/>
      <c r="NQK13" s="2" t="n"/>
      <c r="NQL13" s="2" t="n"/>
      <c r="NQM13" s="2" t="n"/>
      <c r="NQN13" s="2" t="n"/>
      <c r="NQO13" s="2" t="n"/>
      <c r="NQP13" s="2" t="n"/>
      <c r="NQQ13" s="2" t="n"/>
      <c r="NQR13" s="2" t="n"/>
      <c r="NQS13" s="2" t="n"/>
      <c r="NQT13" s="2" t="n"/>
      <c r="NQU13" s="2" t="n"/>
      <c r="NQV13" s="2" t="n"/>
      <c r="NQW13" s="2" t="n"/>
      <c r="NQX13" s="2" t="n"/>
      <c r="NQY13" s="2" t="n"/>
      <c r="NQZ13" s="2" t="n"/>
      <c r="NRA13" s="2" t="n"/>
      <c r="NRB13" s="2" t="n"/>
      <c r="NRC13" s="2" t="n"/>
      <c r="NRD13" s="2" t="n"/>
      <c r="NRE13" s="2" t="n"/>
      <c r="NRF13" s="2" t="n"/>
      <c r="NRG13" s="2" t="n"/>
      <c r="NRH13" s="2" t="n"/>
      <c r="NRI13" s="2" t="n"/>
      <c r="NRJ13" s="2" t="n"/>
      <c r="NRK13" s="2" t="n"/>
      <c r="NRL13" s="2" t="n"/>
      <c r="NRM13" s="2" t="n"/>
      <c r="NRN13" s="2" t="n"/>
      <c r="NRO13" s="2" t="n"/>
      <c r="NRP13" s="2" t="n"/>
      <c r="NRQ13" s="2" t="n"/>
      <c r="NRR13" s="2" t="n"/>
      <c r="NRS13" s="2" t="n"/>
      <c r="NRT13" s="2" t="n"/>
      <c r="NRU13" s="2" t="n"/>
      <c r="NRV13" s="2" t="n"/>
      <c r="NRW13" s="2" t="n"/>
      <c r="NRX13" s="2" t="n"/>
      <c r="NRY13" s="2" t="n"/>
      <c r="NRZ13" s="2" t="n"/>
      <c r="NSA13" s="2" t="n"/>
      <c r="NSB13" s="2" t="n"/>
      <c r="NSC13" s="2" t="n"/>
      <c r="NSD13" s="2" t="n"/>
      <c r="NSE13" s="2" t="n"/>
      <c r="NSF13" s="2" t="n"/>
      <c r="NSG13" s="2" t="n"/>
      <c r="NSH13" s="2" t="n"/>
      <c r="NSI13" s="2" t="n"/>
      <c r="NSJ13" s="2" t="n"/>
      <c r="NSK13" s="2" t="n"/>
      <c r="NSL13" s="2" t="n"/>
      <c r="NSM13" s="2" t="n"/>
      <c r="NSN13" s="2" t="n"/>
      <c r="NSO13" s="2" t="n"/>
      <c r="NSP13" s="2" t="n"/>
      <c r="NSQ13" s="2" t="n"/>
      <c r="NSR13" s="2" t="n"/>
      <c r="NSS13" s="2" t="n"/>
      <c r="NST13" s="2" t="n"/>
      <c r="NSU13" s="2" t="n"/>
      <c r="NSV13" s="2" t="n"/>
      <c r="NSW13" s="2" t="n"/>
      <c r="NSX13" s="2" t="n"/>
      <c r="NSY13" s="2" t="n"/>
      <c r="NSZ13" s="2" t="n"/>
      <c r="NTA13" s="2" t="n"/>
      <c r="NTB13" s="2" t="n"/>
      <c r="NTC13" s="2" t="n"/>
      <c r="NTD13" s="2" t="n"/>
      <c r="NTE13" s="2" t="n"/>
      <c r="NTF13" s="2" t="n"/>
      <c r="NTG13" s="2" t="n"/>
      <c r="NTH13" s="2" t="n"/>
      <c r="NTI13" s="2" t="n"/>
      <c r="NTJ13" s="2" t="n"/>
      <c r="NTK13" s="2" t="n"/>
      <c r="NTL13" s="2" t="n"/>
      <c r="NTM13" s="2" t="n"/>
      <c r="NTN13" s="2" t="n"/>
      <c r="NTO13" s="2" t="n"/>
      <c r="NTP13" s="2" t="n"/>
      <c r="NTQ13" s="2" t="n"/>
      <c r="NTR13" s="2" t="n"/>
      <c r="NTS13" s="2" t="n"/>
      <c r="NTT13" s="2" t="n"/>
      <c r="NTU13" s="2" t="n"/>
      <c r="NTV13" s="2" t="n"/>
      <c r="NTW13" s="2" t="n"/>
      <c r="NTX13" s="2" t="n"/>
      <c r="NTY13" s="2" t="n"/>
      <c r="NTZ13" s="2" t="n"/>
      <c r="NUA13" s="2" t="n"/>
      <c r="NUB13" s="2" t="n"/>
      <c r="NUC13" s="2" t="n"/>
      <c r="NUD13" s="2" t="n"/>
      <c r="NUE13" s="2" t="n"/>
      <c r="NUF13" s="2" t="n"/>
      <c r="NUG13" s="2" t="n"/>
      <c r="NUH13" s="2" t="n"/>
      <c r="NUI13" s="2" t="n"/>
      <c r="NUJ13" s="2" t="n"/>
      <c r="NUK13" s="2" t="n"/>
      <c r="NUL13" s="2" t="n"/>
      <c r="NUM13" s="2" t="n"/>
      <c r="NUN13" s="2" t="n"/>
      <c r="NUO13" s="2" t="n"/>
      <c r="NUP13" s="2" t="n"/>
      <c r="NUQ13" s="2" t="n"/>
      <c r="NUR13" s="2" t="n"/>
      <c r="NUS13" s="2" t="n"/>
      <c r="NUT13" s="2" t="n"/>
      <c r="NUU13" s="2" t="n"/>
      <c r="NUV13" s="2" t="n"/>
      <c r="NUW13" s="2" t="n"/>
      <c r="NUX13" s="2" t="n"/>
      <c r="NUY13" s="2" t="n"/>
      <c r="NUZ13" s="2" t="n"/>
      <c r="NVA13" s="2" t="n"/>
      <c r="NVB13" s="2" t="n"/>
      <c r="NVC13" s="2" t="n"/>
      <c r="NVD13" s="2" t="n"/>
      <c r="NVE13" s="2" t="n"/>
      <c r="NVF13" s="2" t="n"/>
      <c r="NVG13" s="2" t="n"/>
      <c r="NVH13" s="2" t="n"/>
      <c r="NVI13" s="2" t="n"/>
      <c r="NVJ13" s="2" t="n"/>
      <c r="NVK13" s="2" t="n"/>
      <c r="NVL13" s="2" t="n"/>
      <c r="NVM13" s="2" t="n"/>
      <c r="NVN13" s="2" t="n"/>
      <c r="NVO13" s="2" t="n"/>
      <c r="NVP13" s="2" t="n"/>
      <c r="NVQ13" s="2" t="n"/>
      <c r="NVR13" s="2" t="n"/>
      <c r="NVS13" s="2" t="n"/>
      <c r="NVT13" s="2" t="n"/>
      <c r="NVU13" s="2" t="n"/>
      <c r="NVV13" s="2" t="n"/>
      <c r="NVW13" s="2" t="n"/>
      <c r="NVX13" s="2" t="n"/>
      <c r="NVY13" s="2" t="n"/>
      <c r="NVZ13" s="2" t="n"/>
      <c r="NWA13" s="2" t="n"/>
      <c r="NWB13" s="2" t="n"/>
      <c r="NWC13" s="2" t="n"/>
      <c r="NWD13" s="2" t="n"/>
      <c r="NWE13" s="2" t="n"/>
      <c r="NWF13" s="2" t="n"/>
      <c r="NWG13" s="2" t="n"/>
      <c r="NWH13" s="2" t="n"/>
      <c r="NWI13" s="2" t="n"/>
      <c r="NWJ13" s="2" t="n"/>
      <c r="NWK13" s="2" t="n"/>
      <c r="NWL13" s="2" t="n"/>
      <c r="NWM13" s="2" t="n"/>
      <c r="NWN13" s="2" t="n"/>
      <c r="NWO13" s="2" t="n"/>
      <c r="NWP13" s="2" t="n"/>
      <c r="NWQ13" s="2" t="n"/>
      <c r="NWR13" s="2" t="n"/>
      <c r="NWS13" s="2" t="n"/>
      <c r="NWT13" s="2" t="n"/>
      <c r="NWU13" s="2" t="n"/>
      <c r="NWV13" s="2" t="n"/>
      <c r="NWW13" s="2" t="n"/>
      <c r="NWX13" s="2" t="n"/>
      <c r="NWY13" s="2" t="n"/>
      <c r="NWZ13" s="2" t="n"/>
      <c r="NXA13" s="2" t="n"/>
      <c r="NXB13" s="2" t="n"/>
      <c r="NXC13" s="2" t="n"/>
      <c r="NXD13" s="2" t="n"/>
      <c r="NXE13" s="2" t="n"/>
      <c r="NXF13" s="2" t="n"/>
      <c r="NXG13" s="2" t="n"/>
      <c r="NXH13" s="2" t="n"/>
      <c r="NXI13" s="2" t="n"/>
      <c r="NXJ13" s="2" t="n"/>
      <c r="NXK13" s="2" t="n"/>
      <c r="NXL13" s="2" t="n"/>
      <c r="NXM13" s="2" t="n"/>
      <c r="NXN13" s="2" t="n"/>
      <c r="NXO13" s="2" t="n"/>
      <c r="NXP13" s="2" t="n"/>
      <c r="NXQ13" s="2" t="n"/>
      <c r="NXR13" s="2" t="n"/>
      <c r="NXS13" s="2" t="n"/>
      <c r="NXT13" s="2" t="n"/>
      <c r="NXU13" s="2" t="n"/>
      <c r="NXV13" s="2" t="n"/>
      <c r="NXW13" s="2" t="n"/>
      <c r="NXX13" s="2" t="n"/>
      <c r="NXY13" s="2" t="n"/>
      <c r="NXZ13" s="2" t="n"/>
      <c r="NYA13" s="2" t="n"/>
      <c r="NYB13" s="2" t="n"/>
      <c r="NYC13" s="2" t="n"/>
      <c r="NYD13" s="2" t="n"/>
      <c r="NYE13" s="2" t="n"/>
      <c r="NYF13" s="2" t="n"/>
      <c r="NYG13" s="2" t="n"/>
      <c r="NYH13" s="2" t="n"/>
      <c r="NYI13" s="2" t="n"/>
      <c r="NYJ13" s="2" t="n"/>
      <c r="NYK13" s="2" t="n"/>
      <c r="NYL13" s="2" t="n"/>
      <c r="NYM13" s="2" t="n"/>
      <c r="NYN13" s="2" t="n"/>
      <c r="NYO13" s="2" t="n"/>
      <c r="NYP13" s="2" t="n"/>
      <c r="NYQ13" s="2" t="n"/>
      <c r="NYR13" s="2" t="n"/>
      <c r="NYS13" s="2" t="n"/>
      <c r="NYT13" s="2" t="n"/>
      <c r="NYU13" s="2" t="n"/>
      <c r="NYV13" s="2" t="n"/>
      <c r="NYW13" s="2" t="n"/>
      <c r="NYX13" s="2" t="n"/>
      <c r="NYY13" s="2" t="n"/>
      <c r="NYZ13" s="2" t="n"/>
      <c r="NZA13" s="2" t="n"/>
      <c r="NZB13" s="2" t="n"/>
      <c r="NZC13" s="2" t="n"/>
      <c r="NZD13" s="2" t="n"/>
      <c r="NZE13" s="2" t="n"/>
      <c r="NZF13" s="2" t="n"/>
      <c r="NZG13" s="2" t="n"/>
      <c r="NZH13" s="2" t="n"/>
      <c r="NZI13" s="2" t="n"/>
      <c r="NZJ13" s="2" t="n"/>
      <c r="NZK13" s="2" t="n"/>
      <c r="NZL13" s="2" t="n"/>
      <c r="NZM13" s="2" t="n"/>
      <c r="NZN13" s="2" t="n"/>
      <c r="NZO13" s="2" t="n"/>
      <c r="NZP13" s="2" t="n"/>
      <c r="NZQ13" s="2" t="n"/>
      <c r="NZR13" s="2" t="n"/>
      <c r="NZS13" s="2" t="n"/>
      <c r="NZT13" s="2" t="n"/>
      <c r="NZU13" s="2" t="n"/>
      <c r="NZV13" s="2" t="n"/>
      <c r="NZW13" s="2" t="n"/>
      <c r="NZX13" s="2" t="n"/>
      <c r="NZY13" s="2" t="n"/>
      <c r="NZZ13" s="2" t="n"/>
      <c r="OAA13" s="2" t="n"/>
      <c r="OAB13" s="2" t="n"/>
      <c r="OAC13" s="2" t="n"/>
      <c r="OAD13" s="2" t="n"/>
      <c r="OAE13" s="2" t="n"/>
      <c r="OAF13" s="2" t="n"/>
      <c r="OAG13" s="2" t="n"/>
      <c r="OAH13" s="2" t="n"/>
      <c r="OAI13" s="2" t="n"/>
      <c r="OAJ13" s="2" t="n"/>
      <c r="OAK13" s="2" t="n"/>
      <c r="OAL13" s="2" t="n"/>
      <c r="OAM13" s="2" t="n"/>
      <c r="OAN13" s="2" t="n"/>
      <c r="OAO13" s="2" t="n"/>
      <c r="OAP13" s="2" t="n"/>
      <c r="OAQ13" s="2" t="n"/>
      <c r="OAR13" s="2" t="n"/>
      <c r="OAS13" s="2" t="n"/>
      <c r="OAT13" s="2" t="n"/>
      <c r="OAU13" s="2" t="n"/>
      <c r="OAV13" s="2" t="n"/>
      <c r="OAW13" s="2" t="n"/>
      <c r="OAX13" s="2" t="n"/>
      <c r="OAY13" s="2" t="n"/>
      <c r="OAZ13" s="2" t="n"/>
      <c r="OBA13" s="2" t="n"/>
      <c r="OBB13" s="2" t="n"/>
      <c r="OBC13" s="2" t="n"/>
      <c r="OBD13" s="2" t="n"/>
      <c r="OBE13" s="2" t="n"/>
      <c r="OBF13" s="2" t="n"/>
      <c r="OBG13" s="2" t="n"/>
      <c r="OBH13" s="2" t="n"/>
      <c r="OBI13" s="2" t="n"/>
      <c r="OBJ13" s="2" t="n"/>
      <c r="OBK13" s="2" t="n"/>
      <c r="OBL13" s="2" t="n"/>
      <c r="OBM13" s="2" t="n"/>
      <c r="OBN13" s="2" t="n"/>
      <c r="OBO13" s="2" t="n"/>
      <c r="OBP13" s="2" t="n"/>
      <c r="OBQ13" s="2" t="n"/>
      <c r="OBR13" s="2" t="n"/>
      <c r="OBS13" s="2" t="n"/>
      <c r="OBT13" s="2" t="n"/>
      <c r="OBU13" s="2" t="n"/>
      <c r="OBV13" s="2" t="n"/>
      <c r="OBW13" s="2" t="n"/>
      <c r="OBX13" s="2" t="n"/>
      <c r="OBY13" s="2" t="n"/>
      <c r="OBZ13" s="2" t="n"/>
      <c r="OCA13" s="2" t="n"/>
      <c r="OCB13" s="2" t="n"/>
      <c r="OCC13" s="2" t="n"/>
      <c r="OCD13" s="2" t="n"/>
      <c r="OCE13" s="2" t="n"/>
      <c r="OCF13" s="2" t="n"/>
      <c r="OCG13" s="2" t="n"/>
      <c r="OCH13" s="2" t="n"/>
      <c r="OCI13" s="2" t="n"/>
      <c r="OCJ13" s="2" t="n"/>
      <c r="OCK13" s="2" t="n"/>
      <c r="OCL13" s="2" t="n"/>
      <c r="OCM13" s="2" t="n"/>
      <c r="OCN13" s="2" t="n"/>
      <c r="OCO13" s="2" t="n"/>
      <c r="OCP13" s="2" t="n"/>
      <c r="OCQ13" s="2" t="n"/>
      <c r="OCR13" s="2" t="n"/>
      <c r="OCS13" s="2" t="n"/>
      <c r="OCT13" s="2" t="n"/>
      <c r="OCU13" s="2" t="n"/>
      <c r="OCV13" s="2" t="n"/>
      <c r="OCW13" s="2" t="n"/>
      <c r="OCX13" s="2" t="n"/>
      <c r="OCY13" s="2" t="n"/>
      <c r="OCZ13" s="2" t="n"/>
      <c r="ODA13" s="2" t="n"/>
      <c r="ODB13" s="2" t="n"/>
      <c r="ODC13" s="2" t="n"/>
      <c r="ODD13" s="2" t="n"/>
      <c r="ODE13" s="2" t="n"/>
      <c r="ODF13" s="2" t="n"/>
      <c r="ODG13" s="2" t="n"/>
      <c r="ODH13" s="2" t="n"/>
      <c r="ODI13" s="2" t="n"/>
      <c r="ODJ13" s="2" t="n"/>
      <c r="ODK13" s="2" t="n"/>
      <c r="ODL13" s="2" t="n"/>
      <c r="ODM13" s="2" t="n"/>
      <c r="ODN13" s="2" t="n"/>
      <c r="ODO13" s="2" t="n"/>
      <c r="ODP13" s="2" t="n"/>
      <c r="ODQ13" s="2" t="n"/>
      <c r="ODR13" s="2" t="n"/>
      <c r="ODS13" s="2" t="n"/>
      <c r="ODT13" s="2" t="n"/>
      <c r="ODU13" s="2" t="n"/>
      <c r="ODV13" s="2" t="n"/>
      <c r="ODW13" s="2" t="n"/>
      <c r="ODX13" s="2" t="n"/>
      <c r="ODY13" s="2" t="n"/>
      <c r="ODZ13" s="2" t="n"/>
      <c r="OEA13" s="2" t="n"/>
      <c r="OEB13" s="2" t="n"/>
      <c r="OEC13" s="2" t="n"/>
      <c r="OED13" s="2" t="n"/>
      <c r="OEE13" s="2" t="n"/>
      <c r="OEF13" s="2" t="n"/>
      <c r="OEG13" s="2" t="n"/>
      <c r="OEH13" s="2" t="n"/>
      <c r="OEI13" s="2" t="n"/>
      <c r="OEJ13" s="2" t="n"/>
      <c r="OEK13" s="2" t="n"/>
      <c r="OEL13" s="2" t="n"/>
      <c r="OEM13" s="2" t="n"/>
      <c r="OEN13" s="2" t="n"/>
      <c r="OEO13" s="2" t="n"/>
      <c r="OEP13" s="2" t="n"/>
      <c r="OEQ13" s="2" t="n"/>
      <c r="OER13" s="2" t="n"/>
      <c r="OES13" s="2" t="n"/>
      <c r="OET13" s="2" t="n"/>
      <c r="OEU13" s="2" t="n"/>
      <c r="OEV13" s="2" t="n"/>
      <c r="OEW13" s="2" t="n"/>
      <c r="OEX13" s="2" t="n"/>
      <c r="OEY13" s="2" t="n"/>
      <c r="OEZ13" s="2" t="n"/>
      <c r="OFA13" s="2" t="n"/>
      <c r="OFB13" s="2" t="n"/>
      <c r="OFC13" s="2" t="n"/>
      <c r="OFD13" s="2" t="n"/>
      <c r="OFE13" s="2" t="n"/>
      <c r="OFF13" s="2" t="n"/>
      <c r="OFG13" s="2" t="n"/>
      <c r="OFH13" s="2" t="n"/>
      <c r="OFI13" s="2" t="n"/>
      <c r="OFJ13" s="2" t="n"/>
      <c r="OFK13" s="2" t="n"/>
      <c r="OFL13" s="2" t="n"/>
      <c r="OFM13" s="2" t="n"/>
      <c r="OFN13" s="2" t="n"/>
      <c r="OFO13" s="2" t="n"/>
      <c r="OFP13" s="2" t="n"/>
      <c r="OFQ13" s="2" t="n"/>
      <c r="OFR13" s="2" t="n"/>
      <c r="OFS13" s="2" t="n"/>
      <c r="OFT13" s="2" t="n"/>
      <c r="OFU13" s="2" t="n"/>
      <c r="OFV13" s="2" t="n"/>
      <c r="OFW13" s="2" t="n"/>
      <c r="OFX13" s="2" t="n"/>
      <c r="OFY13" s="2" t="n"/>
      <c r="OFZ13" s="2" t="n"/>
      <c r="OGA13" s="2" t="n"/>
      <c r="OGB13" s="2" t="n"/>
      <c r="OGC13" s="2" t="n"/>
      <c r="OGD13" s="2" t="n"/>
      <c r="OGE13" s="2" t="n"/>
      <c r="OGF13" s="2" t="n"/>
      <c r="OGG13" s="2" t="n"/>
      <c r="OGH13" s="2" t="n"/>
      <c r="OGI13" s="2" t="n"/>
      <c r="OGJ13" s="2" t="n"/>
      <c r="OGK13" s="2" t="n"/>
      <c r="OGL13" s="2" t="n"/>
      <c r="OGM13" s="2" t="n"/>
      <c r="OGN13" s="2" t="n"/>
      <c r="OGO13" s="2" t="n"/>
      <c r="OGP13" s="2" t="n"/>
      <c r="OGQ13" s="2" t="n"/>
      <c r="OGR13" s="2" t="n"/>
      <c r="OGS13" s="2" t="n"/>
      <c r="OGT13" s="2" t="n"/>
      <c r="OGU13" s="2" t="n"/>
      <c r="OGV13" s="2" t="n"/>
      <c r="OGW13" s="2" t="n"/>
      <c r="OGX13" s="2" t="n"/>
      <c r="OGY13" s="2" t="n"/>
      <c r="OGZ13" s="2" t="n"/>
      <c r="OHA13" s="2" t="n"/>
      <c r="OHB13" s="2" t="n"/>
      <c r="OHC13" s="2" t="n"/>
      <c r="OHD13" s="2" t="n"/>
      <c r="OHE13" s="2" t="n"/>
      <c r="OHF13" s="2" t="n"/>
      <c r="OHG13" s="2" t="n"/>
      <c r="OHH13" s="2" t="n"/>
      <c r="OHI13" s="2" t="n"/>
      <c r="OHJ13" s="2" t="n"/>
      <c r="OHK13" s="2" t="n"/>
      <c r="OHL13" s="2" t="n"/>
      <c r="OHM13" s="2" t="n"/>
      <c r="OHN13" s="2" t="n"/>
      <c r="OHO13" s="2" t="n"/>
      <c r="OHP13" s="2" t="n"/>
      <c r="OHQ13" s="2" t="n"/>
      <c r="OHR13" s="2" t="n"/>
      <c r="OHS13" s="2" t="n"/>
      <c r="OHT13" s="2" t="n"/>
      <c r="OHU13" s="2" t="n"/>
      <c r="OHV13" s="2" t="n"/>
      <c r="OHW13" s="2" t="n"/>
      <c r="OHX13" s="2" t="n"/>
      <c r="OHY13" s="2" t="n"/>
      <c r="OHZ13" s="2" t="n"/>
      <c r="OIA13" s="2" t="n"/>
      <c r="OIB13" s="2" t="n"/>
      <c r="OIC13" s="2" t="n"/>
      <c r="OID13" s="2" t="n"/>
      <c r="OIE13" s="2" t="n"/>
      <c r="OIF13" s="2" t="n"/>
      <c r="OIG13" s="2" t="n"/>
      <c r="OIH13" s="2" t="n"/>
      <c r="OII13" s="2" t="n"/>
      <c r="OIJ13" s="2" t="n"/>
      <c r="OIK13" s="2" t="n"/>
      <c r="OIL13" s="2" t="n"/>
      <c r="OIM13" s="2" t="n"/>
      <c r="OIN13" s="2" t="n"/>
      <c r="OIO13" s="2" t="n"/>
      <c r="OIP13" s="2" t="n"/>
      <c r="OIQ13" s="2" t="n"/>
      <c r="OIR13" s="2" t="n"/>
      <c r="OIS13" s="2" t="n"/>
      <c r="OIT13" s="2" t="n"/>
      <c r="OIU13" s="2" t="n"/>
      <c r="OIV13" s="2" t="n"/>
      <c r="OIW13" s="2" t="n"/>
      <c r="OIX13" s="2" t="n"/>
      <c r="OIY13" s="2" t="n"/>
      <c r="OIZ13" s="2" t="n"/>
      <c r="OJA13" s="2" t="n"/>
      <c r="OJB13" s="2" t="n"/>
      <c r="OJC13" s="2" t="n"/>
      <c r="OJD13" s="2" t="n"/>
      <c r="OJE13" s="2" t="n"/>
      <c r="OJF13" s="2" t="n"/>
      <c r="OJG13" s="2" t="n"/>
      <c r="OJH13" s="2" t="n"/>
      <c r="OJI13" s="2" t="n"/>
      <c r="OJJ13" s="2" t="n"/>
      <c r="OJK13" s="2" t="n"/>
      <c r="OJL13" s="2" t="n"/>
      <c r="OJM13" s="2" t="n"/>
      <c r="OJN13" s="2" t="n"/>
      <c r="OJO13" s="2" t="n"/>
      <c r="OJP13" s="2" t="n"/>
      <c r="OJQ13" s="2" t="n"/>
      <c r="OJR13" s="2" t="n"/>
      <c r="OJS13" s="2" t="n"/>
      <c r="OJT13" s="2" t="n"/>
      <c r="OJU13" s="2" t="n"/>
      <c r="OJV13" s="2" t="n"/>
      <c r="OJW13" s="2" t="n"/>
      <c r="OJX13" s="2" t="n"/>
      <c r="OJY13" s="2" t="n"/>
      <c r="OJZ13" s="2" t="n"/>
      <c r="OKA13" s="2" t="n"/>
      <c r="OKB13" s="2" t="n"/>
      <c r="OKC13" s="2" t="n"/>
      <c r="OKD13" s="2" t="n"/>
      <c r="OKE13" s="2" t="n"/>
      <c r="OKF13" s="2" t="n"/>
      <c r="OKG13" s="2" t="n"/>
      <c r="OKH13" s="2" t="n"/>
      <c r="OKI13" s="2" t="n"/>
      <c r="OKJ13" s="2" t="n"/>
      <c r="OKK13" s="2" t="n"/>
      <c r="OKL13" s="2" t="n"/>
      <c r="OKM13" s="2" t="n"/>
      <c r="OKN13" s="2" t="n"/>
      <c r="OKO13" s="2" t="n"/>
      <c r="OKP13" s="2" t="n"/>
      <c r="OKQ13" s="2" t="n"/>
      <c r="OKR13" s="2" t="n"/>
      <c r="OKS13" s="2" t="n"/>
      <c r="OKT13" s="2" t="n"/>
      <c r="OKU13" s="2" t="n"/>
      <c r="OKV13" s="2" t="n"/>
      <c r="OKW13" s="2" t="n"/>
      <c r="OKX13" s="2" t="n"/>
      <c r="OKY13" s="2" t="n"/>
      <c r="OKZ13" s="2" t="n"/>
      <c r="OLA13" s="2" t="n"/>
      <c r="OLB13" s="2" t="n"/>
      <c r="OLC13" s="2" t="n"/>
      <c r="OLD13" s="2" t="n"/>
      <c r="OLE13" s="2" t="n"/>
      <c r="OLF13" s="2" t="n"/>
      <c r="OLG13" s="2" t="n"/>
      <c r="OLH13" s="2" t="n"/>
      <c r="OLI13" s="2" t="n"/>
      <c r="OLJ13" s="2" t="n"/>
      <c r="OLK13" s="2" t="n"/>
      <c r="OLL13" s="2" t="n"/>
      <c r="OLM13" s="2" t="n"/>
      <c r="OLN13" s="2" t="n"/>
      <c r="OLO13" s="2" t="n"/>
      <c r="OLP13" s="2" t="n"/>
      <c r="OLQ13" s="2" t="n"/>
      <c r="OLR13" s="2" t="n"/>
      <c r="OLS13" s="2" t="n"/>
      <c r="OLT13" s="2" t="n"/>
      <c r="OLU13" s="2" t="n"/>
      <c r="OLV13" s="2" t="n"/>
      <c r="OLW13" s="2" t="n"/>
      <c r="OLX13" s="2" t="n"/>
      <c r="OLY13" s="2" t="n"/>
      <c r="OLZ13" s="2" t="n"/>
      <c r="OMA13" s="2" t="n"/>
      <c r="OMB13" s="2" t="n"/>
      <c r="OMC13" s="2" t="n"/>
      <c r="OMD13" s="2" t="n"/>
      <c r="OME13" s="2" t="n"/>
      <c r="OMF13" s="2" t="n"/>
      <c r="OMG13" s="2" t="n"/>
      <c r="OMH13" s="2" t="n"/>
      <c r="OMI13" s="2" t="n"/>
      <c r="OMJ13" s="2" t="n"/>
      <c r="OMK13" s="2" t="n"/>
      <c r="OML13" s="2" t="n"/>
      <c r="OMM13" s="2" t="n"/>
      <c r="OMN13" s="2" t="n"/>
      <c r="OMO13" s="2" t="n"/>
      <c r="OMP13" s="2" t="n"/>
      <c r="OMQ13" s="2" t="n"/>
      <c r="OMR13" s="2" t="n"/>
      <c r="OMS13" s="2" t="n"/>
      <c r="OMT13" s="2" t="n"/>
      <c r="OMU13" s="2" t="n"/>
      <c r="OMV13" s="2" t="n"/>
      <c r="OMW13" s="2" t="n"/>
      <c r="OMX13" s="2" t="n"/>
      <c r="OMY13" s="2" t="n"/>
      <c r="OMZ13" s="2" t="n"/>
      <c r="ONA13" s="2" t="n"/>
      <c r="ONB13" s="2" t="n"/>
      <c r="ONC13" s="2" t="n"/>
      <c r="OND13" s="2" t="n"/>
      <c r="ONE13" s="2" t="n"/>
      <c r="ONF13" s="2" t="n"/>
      <c r="ONG13" s="2" t="n"/>
      <c r="ONH13" s="2" t="n"/>
      <c r="ONI13" s="2" t="n"/>
      <c r="ONJ13" s="2" t="n"/>
      <c r="ONK13" s="2" t="n"/>
      <c r="ONL13" s="2" t="n"/>
      <c r="ONM13" s="2" t="n"/>
      <c r="ONN13" s="2" t="n"/>
      <c r="ONO13" s="2" t="n"/>
      <c r="ONP13" s="2" t="n"/>
      <c r="ONQ13" s="2" t="n"/>
      <c r="ONR13" s="2" t="n"/>
      <c r="ONS13" s="2" t="n"/>
      <c r="ONT13" s="2" t="n"/>
      <c r="ONU13" s="2" t="n"/>
      <c r="ONV13" s="2" t="n"/>
      <c r="ONW13" s="2" t="n"/>
      <c r="ONX13" s="2" t="n"/>
      <c r="ONY13" s="2" t="n"/>
      <c r="ONZ13" s="2" t="n"/>
      <c r="OOA13" s="2" t="n"/>
      <c r="OOB13" s="2" t="n"/>
      <c r="OOC13" s="2" t="n"/>
      <c r="OOD13" s="2" t="n"/>
      <c r="OOE13" s="2" t="n"/>
      <c r="OOF13" s="2" t="n"/>
      <c r="OOG13" s="2" t="n"/>
      <c r="OOH13" s="2" t="n"/>
      <c r="OOI13" s="2" t="n"/>
      <c r="OOJ13" s="2" t="n"/>
      <c r="OOK13" s="2" t="n"/>
      <c r="OOL13" s="2" t="n"/>
      <c r="OOM13" s="2" t="n"/>
      <c r="OON13" s="2" t="n"/>
      <c r="OOO13" s="2" t="n"/>
      <c r="OOP13" s="2" t="n"/>
      <c r="OOQ13" s="2" t="n"/>
      <c r="OOR13" s="2" t="n"/>
      <c r="OOS13" s="2" t="n"/>
      <c r="OOT13" s="2" t="n"/>
      <c r="OOU13" s="2" t="n"/>
      <c r="OOV13" s="2" t="n"/>
      <c r="OOW13" s="2" t="n"/>
      <c r="OOX13" s="2" t="n"/>
      <c r="OOY13" s="2" t="n"/>
      <c r="OOZ13" s="2" t="n"/>
      <c r="OPA13" s="2" t="n"/>
      <c r="OPB13" s="2" t="n"/>
      <c r="OPC13" s="2" t="n"/>
      <c r="OPD13" s="2" t="n"/>
      <c r="OPE13" s="2" t="n"/>
      <c r="OPF13" s="2" t="n"/>
      <c r="OPG13" s="2" t="n"/>
      <c r="OPH13" s="2" t="n"/>
      <c r="OPI13" s="2" t="n"/>
      <c r="OPJ13" s="2" t="n"/>
      <c r="OPK13" s="2" t="n"/>
      <c r="OPL13" s="2" t="n"/>
      <c r="OPM13" s="2" t="n"/>
      <c r="OPN13" s="2" t="n"/>
      <c r="OPO13" s="2" t="n"/>
      <c r="OPP13" s="2" t="n"/>
      <c r="OPQ13" s="2" t="n"/>
      <c r="OPR13" s="2" t="n"/>
      <c r="OPS13" s="2" t="n"/>
      <c r="OPT13" s="2" t="n"/>
      <c r="OPU13" s="2" t="n"/>
      <c r="OPV13" s="2" t="n"/>
      <c r="OPW13" s="2" t="n"/>
      <c r="OPX13" s="2" t="n"/>
      <c r="OPY13" s="2" t="n"/>
      <c r="OPZ13" s="2" t="n"/>
      <c r="OQA13" s="2" t="n"/>
      <c r="OQB13" s="2" t="n"/>
      <c r="OQC13" s="2" t="n"/>
      <c r="OQD13" s="2" t="n"/>
      <c r="OQE13" s="2" t="n"/>
      <c r="OQF13" s="2" t="n"/>
      <c r="OQG13" s="2" t="n"/>
      <c r="OQH13" s="2" t="n"/>
      <c r="OQI13" s="2" t="n"/>
      <c r="OQJ13" s="2" t="n"/>
      <c r="OQK13" s="2" t="n"/>
      <c r="OQL13" s="2" t="n"/>
      <c r="OQM13" s="2" t="n"/>
      <c r="OQN13" s="2" t="n"/>
      <c r="OQO13" s="2" t="n"/>
      <c r="OQP13" s="2" t="n"/>
      <c r="OQQ13" s="2" t="n"/>
      <c r="OQR13" s="2" t="n"/>
      <c r="OQS13" s="2" t="n"/>
      <c r="OQT13" s="2" t="n"/>
      <c r="OQU13" s="2" t="n"/>
      <c r="OQV13" s="2" t="n"/>
      <c r="OQW13" s="2" t="n"/>
      <c r="OQX13" s="2" t="n"/>
      <c r="OQY13" s="2" t="n"/>
      <c r="OQZ13" s="2" t="n"/>
      <c r="ORA13" s="2" t="n"/>
      <c r="ORB13" s="2" t="n"/>
      <c r="ORC13" s="2" t="n"/>
      <c r="ORD13" s="2" t="n"/>
      <c r="ORE13" s="2" t="n"/>
      <c r="ORF13" s="2" t="n"/>
      <c r="ORG13" s="2" t="n"/>
      <c r="ORH13" s="2" t="n"/>
      <c r="ORI13" s="2" t="n"/>
      <c r="ORJ13" s="2" t="n"/>
      <c r="ORK13" s="2" t="n"/>
      <c r="ORL13" s="2" t="n"/>
      <c r="ORM13" s="2" t="n"/>
      <c r="ORN13" s="2" t="n"/>
      <c r="ORO13" s="2" t="n"/>
      <c r="ORP13" s="2" t="n"/>
      <c r="ORQ13" s="2" t="n"/>
      <c r="ORR13" s="2" t="n"/>
      <c r="ORS13" s="2" t="n"/>
      <c r="ORT13" s="2" t="n"/>
      <c r="ORU13" s="2" t="n"/>
      <c r="ORV13" s="2" t="n"/>
      <c r="ORW13" s="2" t="n"/>
      <c r="ORX13" s="2" t="n"/>
      <c r="ORY13" s="2" t="n"/>
      <c r="ORZ13" s="2" t="n"/>
      <c r="OSA13" s="2" t="n"/>
      <c r="OSB13" s="2" t="n"/>
      <c r="OSC13" s="2" t="n"/>
      <c r="OSD13" s="2" t="n"/>
      <c r="OSE13" s="2" t="n"/>
      <c r="OSF13" s="2" t="n"/>
      <c r="OSG13" s="2" t="n"/>
      <c r="OSH13" s="2" t="n"/>
      <c r="OSI13" s="2" t="n"/>
      <c r="OSJ13" s="2" t="n"/>
      <c r="OSK13" s="2" t="n"/>
      <c r="OSL13" s="2" t="n"/>
      <c r="OSM13" s="2" t="n"/>
      <c r="OSN13" s="2" t="n"/>
      <c r="OSO13" s="2" t="n"/>
      <c r="OSP13" s="2" t="n"/>
      <c r="OSQ13" s="2" t="n"/>
      <c r="OSR13" s="2" t="n"/>
      <c r="OSS13" s="2" t="n"/>
      <c r="OST13" s="2" t="n"/>
      <c r="OSU13" s="2" t="n"/>
      <c r="OSV13" s="2" t="n"/>
      <c r="OSW13" s="2" t="n"/>
      <c r="OSX13" s="2" t="n"/>
      <c r="OSY13" s="2" t="n"/>
      <c r="OSZ13" s="2" t="n"/>
      <c r="OTA13" s="2" t="n"/>
      <c r="OTB13" s="2" t="n"/>
      <c r="OTC13" s="2" t="n"/>
      <c r="OTD13" s="2" t="n"/>
      <c r="OTE13" s="2" t="n"/>
      <c r="OTF13" s="2" t="n"/>
      <c r="OTG13" s="2" t="n"/>
      <c r="OTH13" s="2" t="n"/>
      <c r="OTI13" s="2" t="n"/>
      <c r="OTJ13" s="2" t="n"/>
      <c r="OTK13" s="2" t="n"/>
      <c r="OTL13" s="2" t="n"/>
      <c r="OTM13" s="2" t="n"/>
      <c r="OTN13" s="2" t="n"/>
      <c r="OTO13" s="2" t="n"/>
      <c r="OTP13" s="2" t="n"/>
      <c r="OTQ13" s="2" t="n"/>
      <c r="OTR13" s="2" t="n"/>
      <c r="OTS13" s="2" t="n"/>
      <c r="OTT13" s="2" t="n"/>
      <c r="OTU13" s="2" t="n"/>
      <c r="OTV13" s="2" t="n"/>
      <c r="OTW13" s="2" t="n"/>
      <c r="OTX13" s="2" t="n"/>
      <c r="OTY13" s="2" t="n"/>
      <c r="OTZ13" s="2" t="n"/>
      <c r="OUA13" s="2" t="n"/>
      <c r="OUB13" s="2" t="n"/>
      <c r="OUC13" s="2" t="n"/>
      <c r="OUD13" s="2" t="n"/>
      <c r="OUE13" s="2" t="n"/>
      <c r="OUF13" s="2" t="n"/>
      <c r="OUG13" s="2" t="n"/>
      <c r="OUH13" s="2" t="n"/>
      <c r="OUI13" s="2" t="n"/>
      <c r="OUJ13" s="2" t="n"/>
      <c r="OUK13" s="2" t="n"/>
      <c r="OUL13" s="2" t="n"/>
      <c r="OUM13" s="2" t="n"/>
      <c r="OUN13" s="2" t="n"/>
      <c r="OUO13" s="2" t="n"/>
      <c r="OUP13" s="2" t="n"/>
      <c r="OUQ13" s="2" t="n"/>
      <c r="OUR13" s="2" t="n"/>
      <c r="OUS13" s="2" t="n"/>
      <c r="OUT13" s="2" t="n"/>
      <c r="OUU13" s="2" t="n"/>
      <c r="OUV13" s="2" t="n"/>
      <c r="OUW13" s="2" t="n"/>
      <c r="OUX13" s="2" t="n"/>
      <c r="OUY13" s="2" t="n"/>
      <c r="OUZ13" s="2" t="n"/>
      <c r="OVA13" s="2" t="n"/>
      <c r="OVB13" s="2" t="n"/>
      <c r="OVC13" s="2" t="n"/>
      <c r="OVD13" s="2" t="n"/>
      <c r="OVE13" s="2" t="n"/>
      <c r="OVF13" s="2" t="n"/>
      <c r="OVG13" s="2" t="n"/>
      <c r="OVH13" s="2" t="n"/>
      <c r="OVI13" s="2" t="n"/>
      <c r="OVJ13" s="2" t="n"/>
      <c r="OVK13" s="2" t="n"/>
      <c r="OVL13" s="2" t="n"/>
      <c r="OVM13" s="2" t="n"/>
      <c r="OVN13" s="2" t="n"/>
      <c r="OVO13" s="2" t="n"/>
      <c r="OVP13" s="2" t="n"/>
      <c r="OVQ13" s="2" t="n"/>
      <c r="OVR13" s="2" t="n"/>
      <c r="OVS13" s="2" t="n"/>
      <c r="OVT13" s="2" t="n"/>
      <c r="OVU13" s="2" t="n"/>
      <c r="OVV13" s="2" t="n"/>
      <c r="OVW13" s="2" t="n"/>
      <c r="OVX13" s="2" t="n"/>
      <c r="OVY13" s="2" t="n"/>
      <c r="OVZ13" s="2" t="n"/>
      <c r="OWA13" s="2" t="n"/>
      <c r="OWB13" s="2" t="n"/>
      <c r="OWC13" s="2" t="n"/>
      <c r="OWD13" s="2" t="n"/>
      <c r="OWE13" s="2" t="n"/>
      <c r="OWF13" s="2" t="n"/>
      <c r="OWG13" s="2" t="n"/>
      <c r="OWH13" s="2" t="n"/>
      <c r="OWI13" s="2" t="n"/>
      <c r="OWJ13" s="2" t="n"/>
      <c r="OWK13" s="2" t="n"/>
      <c r="OWL13" s="2" t="n"/>
      <c r="OWM13" s="2" t="n"/>
      <c r="OWN13" s="2" t="n"/>
      <c r="OWO13" s="2" t="n"/>
      <c r="OWP13" s="2" t="n"/>
      <c r="OWQ13" s="2" t="n"/>
      <c r="OWR13" s="2" t="n"/>
      <c r="OWS13" s="2" t="n"/>
      <c r="OWT13" s="2" t="n"/>
      <c r="OWU13" s="2" t="n"/>
      <c r="OWV13" s="2" t="n"/>
      <c r="OWW13" s="2" t="n"/>
      <c r="OWX13" s="2" t="n"/>
      <c r="OWY13" s="2" t="n"/>
      <c r="OWZ13" s="2" t="n"/>
      <c r="OXA13" s="2" t="n"/>
      <c r="OXB13" s="2" t="n"/>
      <c r="OXC13" s="2" t="n"/>
      <c r="OXD13" s="2" t="n"/>
      <c r="OXE13" s="2" t="n"/>
      <c r="OXF13" s="2" t="n"/>
      <c r="OXG13" s="2" t="n"/>
      <c r="OXH13" s="2" t="n"/>
      <c r="OXI13" s="2" t="n"/>
      <c r="OXJ13" s="2" t="n"/>
      <c r="OXK13" s="2" t="n"/>
      <c r="OXL13" s="2" t="n"/>
      <c r="OXM13" s="2" t="n"/>
      <c r="OXN13" s="2" t="n"/>
      <c r="OXO13" s="2" t="n"/>
      <c r="OXP13" s="2" t="n"/>
      <c r="OXQ13" s="2" t="n"/>
      <c r="OXR13" s="2" t="n"/>
      <c r="OXS13" s="2" t="n"/>
      <c r="OXT13" s="2" t="n"/>
      <c r="OXU13" s="2" t="n"/>
      <c r="OXV13" s="2" t="n"/>
      <c r="OXW13" s="2" t="n"/>
      <c r="OXX13" s="2" t="n"/>
      <c r="OXY13" s="2" t="n"/>
      <c r="OXZ13" s="2" t="n"/>
      <c r="OYA13" s="2" t="n"/>
      <c r="OYB13" s="2" t="n"/>
      <c r="OYC13" s="2" t="n"/>
      <c r="OYD13" s="2" t="n"/>
      <c r="OYE13" s="2" t="n"/>
      <c r="OYF13" s="2" t="n"/>
      <c r="OYG13" s="2" t="n"/>
      <c r="OYH13" s="2" t="n"/>
      <c r="OYI13" s="2" t="n"/>
      <c r="OYJ13" s="2" t="n"/>
      <c r="OYK13" s="2" t="n"/>
      <c r="OYL13" s="2" t="n"/>
      <c r="OYM13" s="2" t="n"/>
      <c r="OYN13" s="2" t="n"/>
      <c r="OYO13" s="2" t="n"/>
      <c r="OYP13" s="2" t="n"/>
      <c r="OYQ13" s="2" t="n"/>
      <c r="OYR13" s="2" t="n"/>
      <c r="OYS13" s="2" t="n"/>
      <c r="OYT13" s="2" t="n"/>
      <c r="OYU13" s="2" t="n"/>
      <c r="OYV13" s="2" t="n"/>
      <c r="OYW13" s="2" t="n"/>
      <c r="OYX13" s="2" t="n"/>
      <c r="OYY13" s="2" t="n"/>
      <c r="OYZ13" s="2" t="n"/>
      <c r="OZA13" s="2" t="n"/>
      <c r="OZB13" s="2" t="n"/>
      <c r="OZC13" s="2" t="n"/>
      <c r="OZD13" s="2" t="n"/>
      <c r="OZE13" s="2" t="n"/>
      <c r="OZF13" s="2" t="n"/>
      <c r="OZG13" s="2" t="n"/>
      <c r="OZH13" s="2" t="n"/>
      <c r="OZI13" s="2" t="n"/>
      <c r="OZJ13" s="2" t="n"/>
      <c r="OZK13" s="2" t="n"/>
      <c r="OZL13" s="2" t="n"/>
      <c r="OZM13" s="2" t="n"/>
      <c r="OZN13" s="2" t="n"/>
      <c r="OZO13" s="2" t="n"/>
      <c r="OZP13" s="2" t="n"/>
      <c r="OZQ13" s="2" t="n"/>
      <c r="OZR13" s="2" t="n"/>
      <c r="OZS13" s="2" t="n"/>
      <c r="OZT13" s="2" t="n"/>
      <c r="OZU13" s="2" t="n"/>
      <c r="OZV13" s="2" t="n"/>
      <c r="OZW13" s="2" t="n"/>
      <c r="OZX13" s="2" t="n"/>
      <c r="OZY13" s="2" t="n"/>
      <c r="OZZ13" s="2" t="n"/>
      <c r="PAA13" s="2" t="n"/>
      <c r="PAB13" s="2" t="n"/>
      <c r="PAC13" s="2" t="n"/>
      <c r="PAD13" s="2" t="n"/>
      <c r="PAE13" s="2" t="n"/>
      <c r="PAF13" s="2" t="n"/>
      <c r="PAG13" s="2" t="n"/>
      <c r="PAH13" s="2" t="n"/>
      <c r="PAI13" s="2" t="n"/>
      <c r="PAJ13" s="2" t="n"/>
      <c r="PAK13" s="2" t="n"/>
      <c r="PAL13" s="2" t="n"/>
      <c r="PAM13" s="2" t="n"/>
      <c r="PAN13" s="2" t="n"/>
      <c r="PAO13" s="2" t="n"/>
      <c r="PAP13" s="2" t="n"/>
      <c r="PAQ13" s="2" t="n"/>
      <c r="PAR13" s="2" t="n"/>
      <c r="PAS13" s="2" t="n"/>
      <c r="PAT13" s="2" t="n"/>
      <c r="PAU13" s="2" t="n"/>
      <c r="PAV13" s="2" t="n"/>
      <c r="PAW13" s="2" t="n"/>
      <c r="PAX13" s="2" t="n"/>
      <c r="PAY13" s="2" t="n"/>
      <c r="PAZ13" s="2" t="n"/>
      <c r="PBA13" s="2" t="n"/>
      <c r="PBB13" s="2" t="n"/>
      <c r="PBC13" s="2" t="n"/>
      <c r="PBD13" s="2" t="n"/>
      <c r="PBE13" s="2" t="n"/>
      <c r="PBF13" s="2" t="n"/>
      <c r="PBG13" s="2" t="n"/>
      <c r="PBH13" s="2" t="n"/>
      <c r="PBI13" s="2" t="n"/>
      <c r="PBJ13" s="2" t="n"/>
      <c r="PBK13" s="2" t="n"/>
      <c r="PBL13" s="2" t="n"/>
      <c r="PBM13" s="2" t="n"/>
      <c r="PBN13" s="2" t="n"/>
      <c r="PBO13" s="2" t="n"/>
      <c r="PBP13" s="2" t="n"/>
      <c r="PBQ13" s="2" t="n"/>
      <c r="PBR13" s="2" t="n"/>
      <c r="PBS13" s="2" t="n"/>
      <c r="PBT13" s="2" t="n"/>
      <c r="PBU13" s="2" t="n"/>
      <c r="PBV13" s="2" t="n"/>
      <c r="PBW13" s="2" t="n"/>
      <c r="PBX13" s="2" t="n"/>
      <c r="PBY13" s="2" t="n"/>
      <c r="PBZ13" s="2" t="n"/>
      <c r="PCA13" s="2" t="n"/>
      <c r="PCB13" s="2" t="n"/>
      <c r="PCC13" s="2" t="n"/>
      <c r="PCD13" s="2" t="n"/>
      <c r="PCE13" s="2" t="n"/>
      <c r="PCF13" s="2" t="n"/>
      <c r="PCG13" s="2" t="n"/>
      <c r="PCH13" s="2" t="n"/>
      <c r="PCI13" s="2" t="n"/>
      <c r="PCJ13" s="2" t="n"/>
      <c r="PCK13" s="2" t="n"/>
      <c r="PCL13" s="2" t="n"/>
      <c r="PCM13" s="2" t="n"/>
      <c r="PCN13" s="2" t="n"/>
      <c r="PCO13" s="2" t="n"/>
      <c r="PCP13" s="2" t="n"/>
      <c r="PCQ13" s="2" t="n"/>
      <c r="PCR13" s="2" t="n"/>
      <c r="PCS13" s="2" t="n"/>
      <c r="PCT13" s="2" t="n"/>
      <c r="PCU13" s="2" t="n"/>
      <c r="PCV13" s="2" t="n"/>
      <c r="PCW13" s="2" t="n"/>
      <c r="PCX13" s="2" t="n"/>
      <c r="PCY13" s="2" t="n"/>
      <c r="PCZ13" s="2" t="n"/>
      <c r="PDA13" s="2" t="n"/>
      <c r="PDB13" s="2" t="n"/>
      <c r="PDC13" s="2" t="n"/>
      <c r="PDD13" s="2" t="n"/>
      <c r="PDE13" s="2" t="n"/>
      <c r="PDF13" s="2" t="n"/>
      <c r="PDG13" s="2" t="n"/>
      <c r="PDH13" s="2" t="n"/>
      <c r="PDI13" s="2" t="n"/>
      <c r="PDJ13" s="2" t="n"/>
      <c r="PDK13" s="2" t="n"/>
      <c r="PDL13" s="2" t="n"/>
      <c r="PDM13" s="2" t="n"/>
      <c r="PDN13" s="2" t="n"/>
      <c r="PDO13" s="2" t="n"/>
      <c r="PDP13" s="2" t="n"/>
      <c r="PDQ13" s="2" t="n"/>
      <c r="PDR13" s="2" t="n"/>
      <c r="PDS13" s="2" t="n"/>
      <c r="PDT13" s="2" t="n"/>
      <c r="PDU13" s="2" t="n"/>
      <c r="PDV13" s="2" t="n"/>
      <c r="PDW13" s="2" t="n"/>
      <c r="PDX13" s="2" t="n"/>
      <c r="PDY13" s="2" t="n"/>
      <c r="PDZ13" s="2" t="n"/>
      <c r="PEA13" s="2" t="n"/>
      <c r="PEB13" s="2" t="n"/>
      <c r="PEC13" s="2" t="n"/>
      <c r="PED13" s="2" t="n"/>
      <c r="PEE13" s="2" t="n"/>
      <c r="PEF13" s="2" t="n"/>
      <c r="PEG13" s="2" t="n"/>
      <c r="PEH13" s="2" t="n"/>
      <c r="PEI13" s="2" t="n"/>
      <c r="PEJ13" s="2" t="n"/>
      <c r="PEK13" s="2" t="n"/>
      <c r="PEL13" s="2" t="n"/>
      <c r="PEM13" s="2" t="n"/>
      <c r="PEN13" s="2" t="n"/>
      <c r="PEO13" s="2" t="n"/>
      <c r="PEP13" s="2" t="n"/>
      <c r="PEQ13" s="2" t="n"/>
      <c r="PER13" s="2" t="n"/>
      <c r="PES13" s="2" t="n"/>
      <c r="PET13" s="2" t="n"/>
      <c r="PEU13" s="2" t="n"/>
      <c r="PEV13" s="2" t="n"/>
      <c r="PEW13" s="2" t="n"/>
      <c r="PEX13" s="2" t="n"/>
      <c r="PEY13" s="2" t="n"/>
      <c r="PEZ13" s="2" t="n"/>
      <c r="PFA13" s="2" t="n"/>
      <c r="PFB13" s="2" t="n"/>
      <c r="PFC13" s="2" t="n"/>
      <c r="PFD13" s="2" t="n"/>
      <c r="PFE13" s="2" t="n"/>
      <c r="PFF13" s="2" t="n"/>
      <c r="PFG13" s="2" t="n"/>
      <c r="PFH13" s="2" t="n"/>
      <c r="PFI13" s="2" t="n"/>
      <c r="PFJ13" s="2" t="n"/>
      <c r="PFK13" s="2" t="n"/>
      <c r="PFL13" s="2" t="n"/>
      <c r="PFM13" s="2" t="n"/>
      <c r="PFN13" s="2" t="n"/>
      <c r="PFO13" s="2" t="n"/>
      <c r="PFP13" s="2" t="n"/>
      <c r="PFQ13" s="2" t="n"/>
      <c r="PFR13" s="2" t="n"/>
      <c r="PFS13" s="2" t="n"/>
      <c r="PFT13" s="2" t="n"/>
      <c r="PFU13" s="2" t="n"/>
      <c r="PFV13" s="2" t="n"/>
      <c r="PFW13" s="2" t="n"/>
      <c r="PFX13" s="2" t="n"/>
      <c r="PFY13" s="2" t="n"/>
      <c r="PFZ13" s="2" t="n"/>
      <c r="PGA13" s="2" t="n"/>
      <c r="PGB13" s="2" t="n"/>
      <c r="PGC13" s="2" t="n"/>
      <c r="PGD13" s="2" t="n"/>
      <c r="PGE13" s="2" t="n"/>
      <c r="PGF13" s="2" t="n"/>
      <c r="PGG13" s="2" t="n"/>
      <c r="PGH13" s="2" t="n"/>
      <c r="PGI13" s="2" t="n"/>
      <c r="PGJ13" s="2" t="n"/>
      <c r="PGK13" s="2" t="n"/>
      <c r="PGL13" s="2" t="n"/>
      <c r="PGM13" s="2" t="n"/>
      <c r="PGN13" s="2" t="n"/>
      <c r="PGO13" s="2" t="n"/>
      <c r="PGP13" s="2" t="n"/>
      <c r="PGQ13" s="2" t="n"/>
      <c r="PGR13" s="2" t="n"/>
      <c r="PGS13" s="2" t="n"/>
      <c r="PGT13" s="2" t="n"/>
      <c r="PGU13" s="2" t="n"/>
      <c r="PGV13" s="2" t="n"/>
      <c r="PGW13" s="2" t="n"/>
      <c r="PGX13" s="2" t="n"/>
      <c r="PGY13" s="2" t="n"/>
      <c r="PGZ13" s="2" t="n"/>
      <c r="PHA13" s="2" t="n"/>
      <c r="PHB13" s="2" t="n"/>
      <c r="PHC13" s="2" t="n"/>
      <c r="PHD13" s="2" t="n"/>
      <c r="PHE13" s="2" t="n"/>
      <c r="PHF13" s="2" t="n"/>
      <c r="PHG13" s="2" t="n"/>
      <c r="PHH13" s="2" t="n"/>
      <c r="PHI13" s="2" t="n"/>
      <c r="PHJ13" s="2" t="n"/>
      <c r="PHK13" s="2" t="n"/>
      <c r="PHL13" s="2" t="n"/>
      <c r="PHM13" s="2" t="n"/>
      <c r="PHN13" s="2" t="n"/>
      <c r="PHO13" s="2" t="n"/>
      <c r="PHP13" s="2" t="n"/>
      <c r="PHQ13" s="2" t="n"/>
      <c r="PHR13" s="2" t="n"/>
      <c r="PHS13" s="2" t="n"/>
      <c r="PHT13" s="2" t="n"/>
      <c r="PHU13" s="2" t="n"/>
      <c r="PHV13" s="2" t="n"/>
      <c r="PHW13" s="2" t="n"/>
      <c r="PHX13" s="2" t="n"/>
      <c r="PHY13" s="2" t="n"/>
      <c r="PHZ13" s="2" t="n"/>
      <c r="PIA13" s="2" t="n"/>
      <c r="PIB13" s="2" t="n"/>
      <c r="PIC13" s="2" t="n"/>
      <c r="PID13" s="2" t="n"/>
      <c r="PIE13" s="2" t="n"/>
      <c r="PIF13" s="2" t="n"/>
      <c r="PIG13" s="2" t="n"/>
      <c r="PIH13" s="2" t="n"/>
      <c r="PII13" s="2" t="n"/>
      <c r="PIJ13" s="2" t="n"/>
      <c r="PIK13" s="2" t="n"/>
      <c r="PIL13" s="2" t="n"/>
      <c r="PIM13" s="2" t="n"/>
      <c r="PIN13" s="2" t="n"/>
      <c r="PIO13" s="2" t="n"/>
      <c r="PIP13" s="2" t="n"/>
      <c r="PIQ13" s="2" t="n"/>
      <c r="PIR13" s="2" t="n"/>
      <c r="PIS13" s="2" t="n"/>
      <c r="PIT13" s="2" t="n"/>
      <c r="PIU13" s="2" t="n"/>
      <c r="PIV13" s="2" t="n"/>
      <c r="PIW13" s="2" t="n"/>
      <c r="PIX13" s="2" t="n"/>
      <c r="PIY13" s="2" t="n"/>
      <c r="PIZ13" s="2" t="n"/>
      <c r="PJA13" s="2" t="n"/>
      <c r="PJB13" s="2" t="n"/>
      <c r="PJC13" s="2" t="n"/>
      <c r="PJD13" s="2" t="n"/>
      <c r="PJE13" s="2" t="n"/>
      <c r="PJF13" s="2" t="n"/>
      <c r="PJG13" s="2" t="n"/>
      <c r="PJH13" s="2" t="n"/>
      <c r="PJI13" s="2" t="n"/>
      <c r="PJJ13" s="2" t="n"/>
      <c r="PJK13" s="2" t="n"/>
      <c r="PJL13" s="2" t="n"/>
      <c r="PJM13" s="2" t="n"/>
      <c r="PJN13" s="2" t="n"/>
      <c r="PJO13" s="2" t="n"/>
      <c r="PJP13" s="2" t="n"/>
      <c r="PJQ13" s="2" t="n"/>
      <c r="PJR13" s="2" t="n"/>
      <c r="PJS13" s="2" t="n"/>
      <c r="PJT13" s="2" t="n"/>
      <c r="PJU13" s="2" t="n"/>
      <c r="PJV13" s="2" t="n"/>
      <c r="PJW13" s="2" t="n"/>
      <c r="PJX13" s="2" t="n"/>
      <c r="PJY13" s="2" t="n"/>
      <c r="PJZ13" s="2" t="n"/>
      <c r="PKA13" s="2" t="n"/>
      <c r="PKB13" s="2" t="n"/>
      <c r="PKC13" s="2" t="n"/>
      <c r="PKD13" s="2" t="n"/>
      <c r="PKE13" s="2" t="n"/>
      <c r="PKF13" s="2" t="n"/>
      <c r="PKG13" s="2" t="n"/>
      <c r="PKH13" s="2" t="n"/>
      <c r="PKI13" s="2" t="n"/>
      <c r="PKJ13" s="2" t="n"/>
      <c r="PKK13" s="2" t="n"/>
      <c r="PKL13" s="2" t="n"/>
      <c r="PKM13" s="2" t="n"/>
      <c r="PKN13" s="2" t="n"/>
      <c r="PKO13" s="2" t="n"/>
      <c r="PKP13" s="2" t="n"/>
      <c r="PKQ13" s="2" t="n"/>
      <c r="PKR13" s="2" t="n"/>
      <c r="PKS13" s="2" t="n"/>
      <c r="PKT13" s="2" t="n"/>
      <c r="PKU13" s="2" t="n"/>
      <c r="PKV13" s="2" t="n"/>
      <c r="PKW13" s="2" t="n"/>
      <c r="PKX13" s="2" t="n"/>
      <c r="PKY13" s="2" t="n"/>
      <c r="PKZ13" s="2" t="n"/>
      <c r="PLA13" s="2" t="n"/>
      <c r="PLB13" s="2" t="n"/>
      <c r="PLC13" s="2" t="n"/>
      <c r="PLD13" s="2" t="n"/>
      <c r="PLE13" s="2" t="n"/>
      <c r="PLF13" s="2" t="n"/>
      <c r="PLG13" s="2" t="n"/>
      <c r="PLH13" s="2" t="n"/>
      <c r="PLI13" s="2" t="n"/>
      <c r="PLJ13" s="2" t="n"/>
      <c r="PLK13" s="2" t="n"/>
      <c r="PLL13" s="2" t="n"/>
      <c r="PLM13" s="2" t="n"/>
      <c r="PLN13" s="2" t="n"/>
      <c r="PLO13" s="2" t="n"/>
      <c r="PLP13" s="2" t="n"/>
      <c r="PLQ13" s="2" t="n"/>
      <c r="PLR13" s="2" t="n"/>
      <c r="PLS13" s="2" t="n"/>
      <c r="PLT13" s="2" t="n"/>
      <c r="PLU13" s="2" t="n"/>
      <c r="PLV13" s="2" t="n"/>
      <c r="PLW13" s="2" t="n"/>
      <c r="PLX13" s="2" t="n"/>
      <c r="PLY13" s="2" t="n"/>
      <c r="PLZ13" s="2" t="n"/>
      <c r="PMA13" s="2" t="n"/>
      <c r="PMB13" s="2" t="n"/>
      <c r="PMC13" s="2" t="n"/>
      <c r="PMD13" s="2" t="n"/>
      <c r="PME13" s="2" t="n"/>
      <c r="PMF13" s="2" t="n"/>
      <c r="PMG13" s="2" t="n"/>
      <c r="PMH13" s="2" t="n"/>
      <c r="PMI13" s="2" t="n"/>
      <c r="PMJ13" s="2" t="n"/>
      <c r="PMK13" s="2" t="n"/>
      <c r="PML13" s="2" t="n"/>
      <c r="PMM13" s="2" t="n"/>
      <c r="PMN13" s="2" t="n"/>
      <c r="PMO13" s="2" t="n"/>
      <c r="PMP13" s="2" t="n"/>
      <c r="PMQ13" s="2" t="n"/>
      <c r="PMR13" s="2" t="n"/>
      <c r="PMS13" s="2" t="n"/>
      <c r="PMT13" s="2" t="n"/>
      <c r="PMU13" s="2" t="n"/>
      <c r="PMV13" s="2" t="n"/>
      <c r="PMW13" s="2" t="n"/>
      <c r="PMX13" s="2" t="n"/>
      <c r="PMY13" s="2" t="n"/>
      <c r="PMZ13" s="2" t="n"/>
      <c r="PNA13" s="2" t="n"/>
      <c r="PNB13" s="2" t="n"/>
      <c r="PNC13" s="2" t="n"/>
      <c r="PND13" s="2" t="n"/>
      <c r="PNE13" s="2" t="n"/>
      <c r="PNF13" s="2" t="n"/>
      <c r="PNG13" s="2" t="n"/>
      <c r="PNH13" s="2" t="n"/>
      <c r="PNI13" s="2" t="n"/>
      <c r="PNJ13" s="2" t="n"/>
      <c r="PNK13" s="2" t="n"/>
      <c r="PNL13" s="2" t="n"/>
      <c r="PNM13" s="2" t="n"/>
      <c r="PNN13" s="2" t="n"/>
      <c r="PNO13" s="2" t="n"/>
      <c r="PNP13" s="2" t="n"/>
      <c r="PNQ13" s="2" t="n"/>
      <c r="PNR13" s="2" t="n"/>
      <c r="PNS13" s="2" t="n"/>
      <c r="PNT13" s="2" t="n"/>
      <c r="PNU13" s="2" t="n"/>
      <c r="PNV13" s="2" t="n"/>
      <c r="PNW13" s="2" t="n"/>
      <c r="PNX13" s="2" t="n"/>
      <c r="PNY13" s="2" t="n"/>
      <c r="PNZ13" s="2" t="n"/>
      <c r="POA13" s="2" t="n"/>
      <c r="POB13" s="2" t="n"/>
      <c r="POC13" s="2" t="n"/>
      <c r="POD13" s="2" t="n"/>
      <c r="POE13" s="2" t="n"/>
      <c r="POF13" s="2" t="n"/>
      <c r="POG13" s="2" t="n"/>
      <c r="POH13" s="2" t="n"/>
      <c r="POI13" s="2" t="n"/>
      <c r="POJ13" s="2" t="n"/>
      <c r="POK13" s="2" t="n"/>
      <c r="POL13" s="2" t="n"/>
      <c r="POM13" s="2" t="n"/>
      <c r="PON13" s="2" t="n"/>
      <c r="POO13" s="2" t="n"/>
      <c r="POP13" s="2" t="n"/>
      <c r="POQ13" s="2" t="n"/>
      <c r="POR13" s="2" t="n"/>
      <c r="POS13" s="2" t="n"/>
      <c r="POT13" s="2" t="n"/>
      <c r="POU13" s="2" t="n"/>
      <c r="POV13" s="2" t="n"/>
      <c r="POW13" s="2" t="n"/>
      <c r="POX13" s="2" t="n"/>
      <c r="POY13" s="2" t="n"/>
      <c r="POZ13" s="2" t="n"/>
      <c r="PPA13" s="2" t="n"/>
      <c r="PPB13" s="2" t="n"/>
      <c r="PPC13" s="2" t="n"/>
      <c r="PPD13" s="2" t="n"/>
      <c r="PPE13" s="2" t="n"/>
      <c r="PPF13" s="2" t="n"/>
      <c r="PPG13" s="2" t="n"/>
      <c r="PPH13" s="2" t="n"/>
      <c r="PPI13" s="2" t="n"/>
      <c r="PPJ13" s="2" t="n"/>
      <c r="PPK13" s="2" t="n"/>
      <c r="PPL13" s="2" t="n"/>
      <c r="PPM13" s="2" t="n"/>
      <c r="PPN13" s="2" t="n"/>
      <c r="PPO13" s="2" t="n"/>
      <c r="PPP13" s="2" t="n"/>
      <c r="PPQ13" s="2" t="n"/>
      <c r="PPR13" s="2" t="n"/>
      <c r="PPS13" s="2" t="n"/>
      <c r="PPT13" s="2" t="n"/>
      <c r="PPU13" s="2" t="n"/>
      <c r="PPV13" s="2" t="n"/>
      <c r="PPW13" s="2" t="n"/>
      <c r="PPX13" s="2" t="n"/>
      <c r="PPY13" s="2" t="n"/>
      <c r="PPZ13" s="2" t="n"/>
      <c r="PQA13" s="2" t="n"/>
      <c r="PQB13" s="2" t="n"/>
      <c r="PQC13" s="2" t="n"/>
      <c r="PQD13" s="2" t="n"/>
      <c r="PQE13" s="2" t="n"/>
      <c r="PQF13" s="2" t="n"/>
      <c r="PQG13" s="2" t="n"/>
      <c r="PQH13" s="2" t="n"/>
      <c r="PQI13" s="2" t="n"/>
      <c r="PQJ13" s="2" t="n"/>
      <c r="PQK13" s="2" t="n"/>
      <c r="PQL13" s="2" t="n"/>
      <c r="PQM13" s="2" t="n"/>
      <c r="PQN13" s="2" t="n"/>
      <c r="PQO13" s="2" t="n"/>
      <c r="PQP13" s="2" t="n"/>
      <c r="PQQ13" s="2" t="n"/>
      <c r="PQR13" s="2" t="n"/>
      <c r="PQS13" s="2" t="n"/>
      <c r="PQT13" s="2" t="n"/>
      <c r="PQU13" s="2" t="n"/>
      <c r="PQV13" s="2" t="n"/>
      <c r="PQW13" s="2" t="n"/>
      <c r="PQX13" s="2" t="n"/>
      <c r="PQY13" s="2" t="n"/>
      <c r="PQZ13" s="2" t="n"/>
      <c r="PRA13" s="2" t="n"/>
      <c r="PRB13" s="2" t="n"/>
      <c r="PRC13" s="2" t="n"/>
      <c r="PRD13" s="2" t="n"/>
      <c r="PRE13" s="2" t="n"/>
      <c r="PRF13" s="2" t="n"/>
      <c r="PRG13" s="2" t="n"/>
      <c r="PRH13" s="2" t="n"/>
      <c r="PRI13" s="2" t="n"/>
      <c r="PRJ13" s="2" t="n"/>
      <c r="PRK13" s="2" t="n"/>
      <c r="PRL13" s="2" t="n"/>
      <c r="PRM13" s="2" t="n"/>
      <c r="PRN13" s="2" t="n"/>
      <c r="PRO13" s="2" t="n"/>
      <c r="PRP13" s="2" t="n"/>
      <c r="PRQ13" s="2" t="n"/>
      <c r="PRR13" s="2" t="n"/>
      <c r="PRS13" s="2" t="n"/>
      <c r="PRT13" s="2" t="n"/>
      <c r="PRU13" s="2" t="n"/>
      <c r="PRV13" s="2" t="n"/>
      <c r="PRW13" s="2" t="n"/>
      <c r="PRX13" s="2" t="n"/>
      <c r="PRY13" s="2" t="n"/>
      <c r="PRZ13" s="2" t="n"/>
      <c r="PSA13" s="2" t="n"/>
      <c r="PSB13" s="2" t="n"/>
      <c r="PSC13" s="2" t="n"/>
      <c r="PSD13" s="2" t="n"/>
      <c r="PSE13" s="2" t="n"/>
      <c r="PSF13" s="2" t="n"/>
      <c r="PSG13" s="2" t="n"/>
      <c r="PSH13" s="2" t="n"/>
      <c r="PSI13" s="2" t="n"/>
      <c r="PSJ13" s="2" t="n"/>
      <c r="PSK13" s="2" t="n"/>
      <c r="PSL13" s="2" t="n"/>
      <c r="PSM13" s="2" t="n"/>
      <c r="PSN13" s="2" t="n"/>
      <c r="PSO13" s="2" t="n"/>
      <c r="PSP13" s="2" t="n"/>
      <c r="PSQ13" s="2" t="n"/>
      <c r="PSR13" s="2" t="n"/>
      <c r="PSS13" s="2" t="n"/>
      <c r="PST13" s="2" t="n"/>
      <c r="PSU13" s="2" t="n"/>
      <c r="PSV13" s="2" t="n"/>
      <c r="PSW13" s="2" t="n"/>
      <c r="PSX13" s="2" t="n"/>
      <c r="PSY13" s="2" t="n"/>
      <c r="PSZ13" s="2" t="n"/>
      <c r="PTA13" s="2" t="n"/>
      <c r="PTB13" s="2" t="n"/>
      <c r="PTC13" s="2" t="n"/>
      <c r="PTD13" s="2" t="n"/>
      <c r="PTE13" s="2" t="n"/>
      <c r="PTF13" s="2" t="n"/>
      <c r="PTG13" s="2" t="n"/>
      <c r="PTH13" s="2" t="n"/>
      <c r="PTI13" s="2" t="n"/>
      <c r="PTJ13" s="2" t="n"/>
      <c r="PTK13" s="2" t="n"/>
      <c r="PTL13" s="2" t="n"/>
      <c r="PTM13" s="2" t="n"/>
      <c r="PTN13" s="2" t="n"/>
      <c r="PTO13" s="2" t="n"/>
      <c r="PTP13" s="2" t="n"/>
      <c r="PTQ13" s="2" t="n"/>
      <c r="PTR13" s="2" t="n"/>
      <c r="PTS13" s="2" t="n"/>
      <c r="PTT13" s="2" t="n"/>
      <c r="PTU13" s="2" t="n"/>
      <c r="PTV13" s="2" t="n"/>
      <c r="PTW13" s="2" t="n"/>
      <c r="PTX13" s="2" t="n"/>
      <c r="PTY13" s="2" t="n"/>
      <c r="PTZ13" s="2" t="n"/>
      <c r="PUA13" s="2" t="n"/>
      <c r="PUB13" s="2" t="n"/>
      <c r="PUC13" s="2" t="n"/>
      <c r="PUD13" s="2" t="n"/>
      <c r="PUE13" s="2" t="n"/>
      <c r="PUF13" s="2" t="n"/>
      <c r="PUG13" s="2" t="n"/>
      <c r="PUH13" s="2" t="n"/>
      <c r="PUI13" s="2" t="n"/>
      <c r="PUJ13" s="2" t="n"/>
      <c r="PUK13" s="2" t="n"/>
      <c r="PUL13" s="2" t="n"/>
      <c r="PUM13" s="2" t="n"/>
      <c r="PUN13" s="2" t="n"/>
      <c r="PUO13" s="2" t="n"/>
      <c r="PUP13" s="2" t="n"/>
      <c r="PUQ13" s="2" t="n"/>
      <c r="PUR13" s="2" t="n"/>
      <c r="PUS13" s="2" t="n"/>
      <c r="PUT13" s="2" t="n"/>
      <c r="PUU13" s="2" t="n"/>
      <c r="PUV13" s="2" t="n"/>
      <c r="PUW13" s="2" t="n"/>
      <c r="PUX13" s="2" t="n"/>
      <c r="PUY13" s="2" t="n"/>
      <c r="PUZ13" s="2" t="n"/>
      <c r="PVA13" s="2" t="n"/>
      <c r="PVB13" s="2" t="n"/>
      <c r="PVC13" s="2" t="n"/>
      <c r="PVD13" s="2" t="n"/>
      <c r="PVE13" s="2" t="n"/>
      <c r="PVF13" s="2" t="n"/>
      <c r="PVG13" s="2" t="n"/>
      <c r="PVH13" s="2" t="n"/>
      <c r="PVI13" s="2" t="n"/>
      <c r="PVJ13" s="2" t="n"/>
      <c r="PVK13" s="2" t="n"/>
      <c r="PVL13" s="2" t="n"/>
      <c r="PVM13" s="2" t="n"/>
      <c r="PVN13" s="2" t="n"/>
      <c r="PVO13" s="2" t="n"/>
      <c r="PVP13" s="2" t="n"/>
      <c r="PVQ13" s="2" t="n"/>
      <c r="PVR13" s="2" t="n"/>
      <c r="PVS13" s="2" t="n"/>
      <c r="PVT13" s="2" t="n"/>
      <c r="PVU13" s="2" t="n"/>
      <c r="PVV13" s="2" t="n"/>
      <c r="PVW13" s="2" t="n"/>
      <c r="PVX13" s="2" t="n"/>
      <c r="PVY13" s="2" t="n"/>
      <c r="PVZ13" s="2" t="n"/>
      <c r="PWA13" s="2" t="n"/>
      <c r="PWB13" s="2" t="n"/>
      <c r="PWC13" s="2" t="n"/>
      <c r="PWD13" s="2" t="n"/>
      <c r="PWE13" s="2" t="n"/>
      <c r="PWF13" s="2" t="n"/>
      <c r="PWG13" s="2" t="n"/>
      <c r="PWH13" s="2" t="n"/>
      <c r="PWI13" s="2" t="n"/>
      <c r="PWJ13" s="2" t="n"/>
      <c r="PWK13" s="2" t="n"/>
      <c r="PWL13" s="2" t="n"/>
      <c r="PWM13" s="2" t="n"/>
      <c r="PWN13" s="2" t="n"/>
      <c r="PWO13" s="2" t="n"/>
      <c r="PWP13" s="2" t="n"/>
      <c r="PWQ13" s="2" t="n"/>
      <c r="PWR13" s="2" t="n"/>
      <c r="PWS13" s="2" t="n"/>
      <c r="PWT13" s="2" t="n"/>
      <c r="PWU13" s="2" t="n"/>
      <c r="PWV13" s="2" t="n"/>
      <c r="PWW13" s="2" t="n"/>
      <c r="PWX13" s="2" t="n"/>
      <c r="PWY13" s="2" t="n"/>
      <c r="PWZ13" s="2" t="n"/>
      <c r="PXA13" s="2" t="n"/>
      <c r="PXB13" s="2" t="n"/>
      <c r="PXC13" s="2" t="n"/>
      <c r="PXD13" s="2" t="n"/>
      <c r="PXE13" s="2" t="n"/>
      <c r="PXF13" s="2" t="n"/>
      <c r="PXG13" s="2" t="n"/>
      <c r="PXH13" s="2" t="n"/>
      <c r="PXI13" s="2" t="n"/>
      <c r="PXJ13" s="2" t="n"/>
      <c r="PXK13" s="2" t="n"/>
      <c r="PXL13" s="2" t="n"/>
      <c r="PXM13" s="2" t="n"/>
      <c r="PXN13" s="2" t="n"/>
      <c r="PXO13" s="2" t="n"/>
      <c r="PXP13" s="2" t="n"/>
      <c r="PXQ13" s="2" t="n"/>
      <c r="PXR13" s="2" t="n"/>
      <c r="PXS13" s="2" t="n"/>
      <c r="PXT13" s="2" t="n"/>
      <c r="PXU13" s="2" t="n"/>
      <c r="PXV13" s="2" t="n"/>
      <c r="PXW13" s="2" t="n"/>
      <c r="PXX13" s="2" t="n"/>
      <c r="PXY13" s="2" t="n"/>
      <c r="PXZ13" s="2" t="n"/>
      <c r="PYA13" s="2" t="n"/>
      <c r="PYB13" s="2" t="n"/>
      <c r="PYC13" s="2" t="n"/>
      <c r="PYD13" s="2" t="n"/>
      <c r="PYE13" s="2" t="n"/>
      <c r="PYF13" s="2" t="n"/>
      <c r="PYG13" s="2" t="n"/>
      <c r="PYH13" s="2" t="n"/>
      <c r="PYI13" s="2" t="n"/>
      <c r="PYJ13" s="2" t="n"/>
      <c r="PYK13" s="2" t="n"/>
      <c r="PYL13" s="2" t="n"/>
      <c r="PYM13" s="2" t="n"/>
      <c r="PYN13" s="2" t="n"/>
      <c r="PYO13" s="2" t="n"/>
      <c r="PYP13" s="2" t="n"/>
      <c r="PYQ13" s="2" t="n"/>
      <c r="PYR13" s="2" t="n"/>
      <c r="PYS13" s="2" t="n"/>
      <c r="PYT13" s="2" t="n"/>
      <c r="PYU13" s="2" t="n"/>
      <c r="PYV13" s="2" t="n"/>
      <c r="PYW13" s="2" t="n"/>
      <c r="PYX13" s="2" t="n"/>
      <c r="PYY13" s="2" t="n"/>
      <c r="PYZ13" s="2" t="n"/>
      <c r="PZA13" s="2" t="n"/>
      <c r="PZB13" s="2" t="n"/>
      <c r="PZC13" s="2" t="n"/>
      <c r="PZD13" s="2" t="n"/>
      <c r="PZE13" s="2" t="n"/>
      <c r="PZF13" s="2" t="n"/>
      <c r="PZG13" s="2" t="n"/>
      <c r="PZH13" s="2" t="n"/>
      <c r="PZI13" s="2" t="n"/>
      <c r="PZJ13" s="2" t="n"/>
      <c r="PZK13" s="2" t="n"/>
      <c r="PZL13" s="2" t="n"/>
      <c r="PZM13" s="2" t="n"/>
      <c r="PZN13" s="2" t="n"/>
      <c r="PZO13" s="2" t="n"/>
      <c r="PZP13" s="2" t="n"/>
      <c r="PZQ13" s="2" t="n"/>
      <c r="PZR13" s="2" t="n"/>
      <c r="PZS13" s="2" t="n"/>
      <c r="PZT13" s="2" t="n"/>
      <c r="PZU13" s="2" t="n"/>
      <c r="PZV13" s="2" t="n"/>
      <c r="PZW13" s="2" t="n"/>
      <c r="PZX13" s="2" t="n"/>
      <c r="PZY13" s="2" t="n"/>
      <c r="PZZ13" s="2" t="n"/>
      <c r="QAA13" s="2" t="n"/>
      <c r="QAB13" s="2" t="n"/>
      <c r="QAC13" s="2" t="n"/>
      <c r="QAD13" s="2" t="n"/>
      <c r="QAE13" s="2" t="n"/>
      <c r="QAF13" s="2" t="n"/>
      <c r="QAG13" s="2" t="n"/>
      <c r="QAH13" s="2" t="n"/>
      <c r="QAI13" s="2" t="n"/>
      <c r="QAJ13" s="2" t="n"/>
      <c r="QAK13" s="2" t="n"/>
      <c r="QAL13" s="2" t="n"/>
      <c r="QAM13" s="2" t="n"/>
      <c r="QAN13" s="2" t="n"/>
      <c r="QAO13" s="2" t="n"/>
      <c r="QAP13" s="2" t="n"/>
      <c r="QAQ13" s="2" t="n"/>
      <c r="QAR13" s="2" t="n"/>
      <c r="QAS13" s="2" t="n"/>
      <c r="QAT13" s="2" t="n"/>
      <c r="QAU13" s="2" t="n"/>
      <c r="QAV13" s="2" t="n"/>
      <c r="QAW13" s="2" t="n"/>
      <c r="QAX13" s="2" t="n"/>
      <c r="QAY13" s="2" t="n"/>
      <c r="QAZ13" s="2" t="n"/>
      <c r="QBA13" s="2" t="n"/>
      <c r="QBB13" s="2" t="n"/>
      <c r="QBC13" s="2" t="n"/>
      <c r="QBD13" s="2" t="n"/>
      <c r="QBE13" s="2" t="n"/>
      <c r="QBF13" s="2" t="n"/>
      <c r="QBG13" s="2" t="n"/>
      <c r="QBH13" s="2" t="n"/>
      <c r="QBI13" s="2" t="n"/>
      <c r="QBJ13" s="2" t="n"/>
      <c r="QBK13" s="2" t="n"/>
      <c r="QBL13" s="2" t="n"/>
      <c r="QBM13" s="2" t="n"/>
      <c r="QBN13" s="2" t="n"/>
      <c r="QBO13" s="2" t="n"/>
      <c r="QBP13" s="2" t="n"/>
      <c r="QBQ13" s="2" t="n"/>
      <c r="QBR13" s="2" t="n"/>
      <c r="QBS13" s="2" t="n"/>
      <c r="QBT13" s="2" t="n"/>
      <c r="QBU13" s="2" t="n"/>
      <c r="QBV13" s="2" t="n"/>
      <c r="QBW13" s="2" t="n"/>
      <c r="QBX13" s="2" t="n"/>
      <c r="QBY13" s="2" t="n"/>
      <c r="QBZ13" s="2" t="n"/>
      <c r="QCA13" s="2" t="n"/>
      <c r="QCB13" s="2" t="n"/>
      <c r="QCC13" s="2" t="n"/>
      <c r="QCD13" s="2" t="n"/>
      <c r="QCE13" s="2" t="n"/>
      <c r="QCF13" s="2" t="n"/>
      <c r="QCG13" s="2" t="n"/>
      <c r="QCH13" s="2" t="n"/>
      <c r="QCI13" s="2" t="n"/>
      <c r="QCJ13" s="2" t="n"/>
      <c r="QCK13" s="2" t="n"/>
      <c r="QCL13" s="2" t="n"/>
      <c r="QCM13" s="2" t="n"/>
      <c r="QCN13" s="2" t="n"/>
      <c r="QCO13" s="2" t="n"/>
      <c r="QCP13" s="2" t="n"/>
      <c r="QCQ13" s="2" t="n"/>
      <c r="QCR13" s="2" t="n"/>
      <c r="QCS13" s="2" t="n"/>
      <c r="QCT13" s="2" t="n"/>
      <c r="QCU13" s="2" t="n"/>
      <c r="QCV13" s="2" t="n"/>
      <c r="QCW13" s="2" t="n"/>
      <c r="QCX13" s="2" t="n"/>
      <c r="QCY13" s="2" t="n"/>
      <c r="QCZ13" s="2" t="n"/>
      <c r="QDA13" s="2" t="n"/>
      <c r="QDB13" s="2" t="n"/>
      <c r="QDC13" s="2" t="n"/>
      <c r="QDD13" s="2" t="n"/>
      <c r="QDE13" s="2" t="n"/>
      <c r="QDF13" s="2" t="n"/>
      <c r="QDG13" s="2" t="n"/>
      <c r="QDH13" s="2" t="n"/>
      <c r="QDI13" s="2" t="n"/>
      <c r="QDJ13" s="2" t="n"/>
      <c r="QDK13" s="2" t="n"/>
      <c r="QDL13" s="2" t="n"/>
      <c r="QDM13" s="2" t="n"/>
      <c r="QDN13" s="2" t="n"/>
      <c r="QDO13" s="2" t="n"/>
      <c r="QDP13" s="2" t="n"/>
      <c r="QDQ13" s="2" t="n"/>
      <c r="QDR13" s="2" t="n"/>
      <c r="QDS13" s="2" t="n"/>
      <c r="QDT13" s="2" t="n"/>
      <c r="QDU13" s="2" t="n"/>
      <c r="QDV13" s="2" t="n"/>
      <c r="QDW13" s="2" t="n"/>
      <c r="QDX13" s="2" t="n"/>
      <c r="QDY13" s="2" t="n"/>
      <c r="QDZ13" s="2" t="n"/>
      <c r="QEA13" s="2" t="n"/>
      <c r="QEB13" s="2" t="n"/>
      <c r="QEC13" s="2" t="n"/>
      <c r="QED13" s="2" t="n"/>
      <c r="QEE13" s="2" t="n"/>
      <c r="QEF13" s="2" t="n"/>
      <c r="QEG13" s="2" t="n"/>
      <c r="QEH13" s="2" t="n"/>
      <c r="QEI13" s="2" t="n"/>
      <c r="QEJ13" s="2" t="n"/>
      <c r="QEK13" s="2" t="n"/>
      <c r="QEL13" s="2" t="n"/>
      <c r="QEM13" s="2" t="n"/>
      <c r="QEN13" s="2" t="n"/>
      <c r="QEO13" s="2" t="n"/>
      <c r="QEP13" s="2" t="n"/>
      <c r="QEQ13" s="2" t="n"/>
      <c r="QER13" s="2" t="n"/>
      <c r="QES13" s="2" t="n"/>
      <c r="QET13" s="2" t="n"/>
      <c r="QEU13" s="2" t="n"/>
      <c r="QEV13" s="2" t="n"/>
      <c r="QEW13" s="2" t="n"/>
      <c r="QEX13" s="2" t="n"/>
      <c r="QEY13" s="2" t="n"/>
      <c r="QEZ13" s="2" t="n"/>
      <c r="QFA13" s="2" t="n"/>
      <c r="QFB13" s="2" t="n"/>
      <c r="QFC13" s="2" t="n"/>
      <c r="QFD13" s="2" t="n"/>
      <c r="QFE13" s="2" t="n"/>
      <c r="QFF13" s="2" t="n"/>
      <c r="QFG13" s="2" t="n"/>
      <c r="QFH13" s="2" t="n"/>
      <c r="QFI13" s="2" t="n"/>
      <c r="QFJ13" s="2" t="n"/>
      <c r="QFK13" s="2" t="n"/>
      <c r="QFL13" s="2" t="n"/>
      <c r="QFM13" s="2" t="n"/>
      <c r="QFN13" s="2" t="n"/>
      <c r="QFO13" s="2" t="n"/>
      <c r="QFP13" s="2" t="n"/>
      <c r="QFQ13" s="2" t="n"/>
      <c r="QFR13" s="2" t="n"/>
      <c r="QFS13" s="2" t="n"/>
      <c r="QFT13" s="2" t="n"/>
      <c r="QFU13" s="2" t="n"/>
      <c r="QFV13" s="2" t="n"/>
      <c r="QFW13" s="2" t="n"/>
      <c r="QFX13" s="2" t="n"/>
      <c r="QFY13" s="2" t="n"/>
      <c r="QFZ13" s="2" t="n"/>
      <c r="QGA13" s="2" t="n"/>
      <c r="QGB13" s="2" t="n"/>
      <c r="QGC13" s="2" t="n"/>
      <c r="QGD13" s="2" t="n"/>
      <c r="QGE13" s="2" t="n"/>
      <c r="QGF13" s="2" t="n"/>
      <c r="QGG13" s="2" t="n"/>
      <c r="QGH13" s="2" t="n"/>
      <c r="QGI13" s="2" t="n"/>
      <c r="QGJ13" s="2" t="n"/>
      <c r="QGK13" s="2" t="n"/>
      <c r="QGL13" s="2" t="n"/>
      <c r="QGM13" s="2" t="n"/>
      <c r="QGN13" s="2" t="n"/>
      <c r="QGO13" s="2" t="n"/>
      <c r="QGP13" s="2" t="n"/>
      <c r="QGQ13" s="2" t="n"/>
      <c r="QGR13" s="2" t="n"/>
      <c r="QGS13" s="2" t="n"/>
      <c r="QGT13" s="2" t="n"/>
      <c r="QGU13" s="2" t="n"/>
      <c r="QGV13" s="2" t="n"/>
      <c r="QGW13" s="2" t="n"/>
      <c r="QGX13" s="2" t="n"/>
      <c r="QGY13" s="2" t="n"/>
      <c r="QGZ13" s="2" t="n"/>
      <c r="QHA13" s="2" t="n"/>
      <c r="QHB13" s="2" t="n"/>
      <c r="QHC13" s="2" t="n"/>
      <c r="QHD13" s="2" t="n"/>
      <c r="QHE13" s="2" t="n"/>
      <c r="QHF13" s="2" t="n"/>
      <c r="QHG13" s="2" t="n"/>
      <c r="QHH13" s="2" t="n"/>
      <c r="QHI13" s="2" t="n"/>
      <c r="QHJ13" s="2" t="n"/>
      <c r="QHK13" s="2" t="n"/>
      <c r="QHL13" s="2" t="n"/>
      <c r="QHM13" s="2" t="n"/>
      <c r="QHN13" s="2" t="n"/>
      <c r="QHO13" s="2" t="n"/>
      <c r="QHP13" s="2" t="n"/>
      <c r="QHQ13" s="2" t="n"/>
      <c r="QHR13" s="2" t="n"/>
      <c r="QHS13" s="2" t="n"/>
      <c r="QHT13" s="2" t="n"/>
      <c r="QHU13" s="2" t="n"/>
      <c r="QHV13" s="2" t="n"/>
      <c r="QHW13" s="2" t="n"/>
      <c r="QHX13" s="2" t="n"/>
      <c r="QHY13" s="2" t="n"/>
      <c r="QHZ13" s="2" t="n"/>
      <c r="QIA13" s="2" t="n"/>
      <c r="QIB13" s="2" t="n"/>
      <c r="QIC13" s="2" t="n"/>
      <c r="QID13" s="2" t="n"/>
      <c r="QIE13" s="2" t="n"/>
      <c r="QIF13" s="2" t="n"/>
      <c r="QIG13" s="2" t="n"/>
      <c r="QIH13" s="2" t="n"/>
      <c r="QII13" s="2" t="n"/>
      <c r="QIJ13" s="2" t="n"/>
      <c r="QIK13" s="2" t="n"/>
      <c r="QIL13" s="2" t="n"/>
      <c r="QIM13" s="2" t="n"/>
      <c r="QIN13" s="2" t="n"/>
      <c r="QIO13" s="2" t="n"/>
      <c r="QIP13" s="2" t="n"/>
      <c r="QIQ13" s="2" t="n"/>
      <c r="QIR13" s="2" t="n"/>
      <c r="QIS13" s="2" t="n"/>
      <c r="QIT13" s="2" t="n"/>
      <c r="QIU13" s="2" t="n"/>
      <c r="QIV13" s="2" t="n"/>
      <c r="QIW13" s="2" t="n"/>
      <c r="QIX13" s="2" t="n"/>
      <c r="QIY13" s="2" t="n"/>
      <c r="QIZ13" s="2" t="n"/>
      <c r="QJA13" s="2" t="n"/>
      <c r="QJB13" s="2" t="n"/>
      <c r="QJC13" s="2" t="n"/>
      <c r="QJD13" s="2" t="n"/>
      <c r="QJE13" s="2" t="n"/>
      <c r="QJF13" s="2" t="n"/>
      <c r="QJG13" s="2" t="n"/>
      <c r="QJH13" s="2" t="n"/>
      <c r="QJI13" s="2" t="n"/>
      <c r="QJJ13" s="2" t="n"/>
      <c r="QJK13" s="2" t="n"/>
      <c r="QJL13" s="2" t="n"/>
      <c r="QJM13" s="2" t="n"/>
      <c r="QJN13" s="2" t="n"/>
      <c r="QJO13" s="2" t="n"/>
      <c r="QJP13" s="2" t="n"/>
      <c r="QJQ13" s="2" t="n"/>
      <c r="QJR13" s="2" t="n"/>
      <c r="QJS13" s="2" t="n"/>
      <c r="QJT13" s="2" t="n"/>
      <c r="QJU13" s="2" t="n"/>
      <c r="QJV13" s="2" t="n"/>
      <c r="QJW13" s="2" t="n"/>
      <c r="QJX13" s="2" t="n"/>
      <c r="QJY13" s="2" t="n"/>
      <c r="QJZ13" s="2" t="n"/>
      <c r="QKA13" s="2" t="n"/>
      <c r="QKB13" s="2" t="n"/>
      <c r="QKC13" s="2" t="n"/>
      <c r="QKD13" s="2" t="n"/>
      <c r="QKE13" s="2" t="n"/>
      <c r="QKF13" s="2" t="n"/>
      <c r="QKG13" s="2" t="n"/>
      <c r="QKH13" s="2" t="n"/>
      <c r="QKI13" s="2" t="n"/>
      <c r="QKJ13" s="2" t="n"/>
      <c r="QKK13" s="2" t="n"/>
      <c r="QKL13" s="2" t="n"/>
      <c r="QKM13" s="2" t="n"/>
      <c r="QKN13" s="2" t="n"/>
      <c r="QKO13" s="2" t="n"/>
      <c r="QKP13" s="2" t="n"/>
      <c r="QKQ13" s="2" t="n"/>
      <c r="QKR13" s="2" t="n"/>
      <c r="QKS13" s="2" t="n"/>
      <c r="QKT13" s="2" t="n"/>
      <c r="QKU13" s="2" t="n"/>
      <c r="QKV13" s="2" t="n"/>
      <c r="QKW13" s="2" t="n"/>
      <c r="QKX13" s="2" t="n"/>
      <c r="QKY13" s="2" t="n"/>
      <c r="QKZ13" s="2" t="n"/>
      <c r="QLA13" s="2" t="n"/>
      <c r="QLB13" s="2" t="n"/>
      <c r="QLC13" s="2" t="n"/>
      <c r="QLD13" s="2" t="n"/>
      <c r="QLE13" s="2" t="n"/>
      <c r="QLF13" s="2" t="n"/>
      <c r="QLG13" s="2" t="n"/>
      <c r="QLH13" s="2" t="n"/>
      <c r="QLI13" s="2" t="n"/>
      <c r="QLJ13" s="2" t="n"/>
      <c r="QLK13" s="2" t="n"/>
      <c r="QLL13" s="2" t="n"/>
      <c r="QLM13" s="2" t="n"/>
      <c r="QLN13" s="2" t="n"/>
      <c r="QLO13" s="2" t="n"/>
      <c r="QLP13" s="2" t="n"/>
      <c r="QLQ13" s="2" t="n"/>
      <c r="QLR13" s="2" t="n"/>
      <c r="QLS13" s="2" t="n"/>
      <c r="QLT13" s="2" t="n"/>
      <c r="QLU13" s="2" t="n"/>
      <c r="QLV13" s="2" t="n"/>
      <c r="QLW13" s="2" t="n"/>
      <c r="QLX13" s="2" t="n"/>
      <c r="QLY13" s="2" t="n"/>
      <c r="QLZ13" s="2" t="n"/>
      <c r="QMA13" s="2" t="n"/>
      <c r="QMB13" s="2" t="n"/>
      <c r="QMC13" s="2" t="n"/>
      <c r="QMD13" s="2" t="n"/>
      <c r="QME13" s="2" t="n"/>
      <c r="QMF13" s="2" t="n"/>
      <c r="QMG13" s="2" t="n"/>
      <c r="QMH13" s="2" t="n"/>
      <c r="QMI13" s="2" t="n"/>
      <c r="QMJ13" s="2" t="n"/>
      <c r="QMK13" s="2" t="n"/>
      <c r="QML13" s="2" t="n"/>
      <c r="QMM13" s="2" t="n"/>
      <c r="QMN13" s="2" t="n"/>
      <c r="QMO13" s="2" t="n"/>
      <c r="QMP13" s="2" t="n"/>
      <c r="QMQ13" s="2" t="n"/>
      <c r="QMR13" s="2" t="n"/>
      <c r="QMS13" s="2" t="n"/>
      <c r="QMT13" s="2" t="n"/>
      <c r="QMU13" s="2" t="n"/>
      <c r="QMV13" s="2" t="n"/>
      <c r="QMW13" s="2" t="n"/>
      <c r="QMX13" s="2" t="n"/>
      <c r="QMY13" s="2" t="n"/>
      <c r="QMZ13" s="2" t="n"/>
      <c r="QNA13" s="2" t="n"/>
      <c r="QNB13" s="2" t="n"/>
      <c r="QNC13" s="2" t="n"/>
      <c r="QND13" s="2" t="n"/>
      <c r="QNE13" s="2" t="n"/>
      <c r="QNF13" s="2" t="n"/>
      <c r="QNG13" s="2" t="n"/>
      <c r="QNH13" s="2" t="n"/>
      <c r="QNI13" s="2" t="n"/>
      <c r="QNJ13" s="2" t="n"/>
      <c r="QNK13" s="2" t="n"/>
      <c r="QNL13" s="2" t="n"/>
      <c r="QNM13" s="2" t="n"/>
      <c r="QNN13" s="2" t="n"/>
      <c r="QNO13" s="2" t="n"/>
      <c r="QNP13" s="2" t="n"/>
      <c r="QNQ13" s="2" t="n"/>
      <c r="QNR13" s="2" t="n"/>
      <c r="QNS13" s="2" t="n"/>
      <c r="QNT13" s="2" t="n"/>
      <c r="QNU13" s="2" t="n"/>
      <c r="QNV13" s="2" t="n"/>
      <c r="QNW13" s="2" t="n"/>
      <c r="QNX13" s="2" t="n"/>
      <c r="QNY13" s="2" t="n"/>
      <c r="QNZ13" s="2" t="n"/>
      <c r="QOA13" s="2" t="n"/>
      <c r="QOB13" s="2" t="n"/>
      <c r="QOC13" s="2" t="n"/>
      <c r="QOD13" s="2" t="n"/>
      <c r="QOE13" s="2" t="n"/>
      <c r="QOF13" s="2" t="n"/>
      <c r="QOG13" s="2" t="n"/>
      <c r="QOH13" s="2" t="n"/>
      <c r="QOI13" s="2" t="n"/>
      <c r="QOJ13" s="2" t="n"/>
      <c r="QOK13" s="2" t="n"/>
      <c r="QOL13" s="2" t="n"/>
      <c r="QOM13" s="2" t="n"/>
      <c r="QON13" s="2" t="n"/>
      <c r="QOO13" s="2" t="n"/>
      <c r="QOP13" s="2" t="n"/>
      <c r="QOQ13" s="2" t="n"/>
      <c r="QOR13" s="2" t="n"/>
      <c r="QOS13" s="2" t="n"/>
      <c r="QOT13" s="2" t="n"/>
      <c r="QOU13" s="2" t="n"/>
      <c r="QOV13" s="2" t="n"/>
      <c r="QOW13" s="2" t="n"/>
      <c r="QOX13" s="2" t="n"/>
      <c r="QOY13" s="2" t="n"/>
      <c r="QOZ13" s="2" t="n"/>
      <c r="QPA13" s="2" t="n"/>
      <c r="QPB13" s="2" t="n"/>
      <c r="QPC13" s="2" t="n"/>
      <c r="QPD13" s="2" t="n"/>
      <c r="QPE13" s="2" t="n"/>
      <c r="QPF13" s="2" t="n"/>
      <c r="QPG13" s="2" t="n"/>
      <c r="QPH13" s="2" t="n"/>
      <c r="QPI13" s="2" t="n"/>
      <c r="QPJ13" s="2" t="n"/>
      <c r="QPK13" s="2" t="n"/>
      <c r="QPL13" s="2" t="n"/>
      <c r="QPM13" s="2" t="n"/>
      <c r="QPN13" s="2" t="n"/>
      <c r="QPO13" s="2" t="n"/>
      <c r="QPP13" s="2" t="n"/>
      <c r="QPQ13" s="2" t="n"/>
      <c r="QPR13" s="2" t="n"/>
      <c r="QPS13" s="2" t="n"/>
      <c r="QPT13" s="2" t="n"/>
      <c r="QPU13" s="2" t="n"/>
      <c r="QPV13" s="2" t="n"/>
      <c r="QPW13" s="2" t="n"/>
      <c r="QPX13" s="2" t="n"/>
      <c r="QPY13" s="2" t="n"/>
      <c r="QPZ13" s="2" t="n"/>
      <c r="QQA13" s="2" t="n"/>
      <c r="QQB13" s="2" t="n"/>
      <c r="QQC13" s="2" t="n"/>
      <c r="QQD13" s="2" t="n"/>
      <c r="QQE13" s="2" t="n"/>
      <c r="QQF13" s="2" t="n"/>
      <c r="QQG13" s="2" t="n"/>
      <c r="QQH13" s="2" t="n"/>
      <c r="QQI13" s="2" t="n"/>
      <c r="QQJ13" s="2" t="n"/>
      <c r="QQK13" s="2" t="n"/>
      <c r="QQL13" s="2" t="n"/>
      <c r="QQM13" s="2" t="n"/>
      <c r="QQN13" s="2" t="n"/>
      <c r="QQO13" s="2" t="n"/>
      <c r="QQP13" s="2" t="n"/>
      <c r="QQQ13" s="2" t="n"/>
      <c r="QQR13" s="2" t="n"/>
      <c r="QQS13" s="2" t="n"/>
      <c r="QQT13" s="2" t="n"/>
      <c r="QQU13" s="2" t="n"/>
      <c r="QQV13" s="2" t="n"/>
      <c r="QQW13" s="2" t="n"/>
      <c r="QQX13" s="2" t="n"/>
      <c r="QQY13" s="2" t="n"/>
      <c r="QQZ13" s="2" t="n"/>
      <c r="QRA13" s="2" t="n"/>
      <c r="QRB13" s="2" t="n"/>
      <c r="QRC13" s="2" t="n"/>
      <c r="QRD13" s="2" t="n"/>
      <c r="QRE13" s="2" t="n"/>
      <c r="QRF13" s="2" t="n"/>
      <c r="QRG13" s="2" t="n"/>
      <c r="QRH13" s="2" t="n"/>
      <c r="QRI13" s="2" t="n"/>
      <c r="QRJ13" s="2" t="n"/>
      <c r="QRK13" s="2" t="n"/>
      <c r="QRL13" s="2" t="n"/>
      <c r="QRM13" s="2" t="n"/>
      <c r="QRN13" s="2" t="n"/>
      <c r="QRO13" s="2" t="n"/>
      <c r="QRP13" s="2" t="n"/>
      <c r="QRQ13" s="2" t="n"/>
      <c r="QRR13" s="2" t="n"/>
      <c r="QRS13" s="2" t="n"/>
      <c r="QRT13" s="2" t="n"/>
      <c r="QRU13" s="2" t="n"/>
      <c r="QRV13" s="2" t="n"/>
      <c r="QRW13" s="2" t="n"/>
      <c r="QRX13" s="2" t="n"/>
      <c r="QRY13" s="2" t="n"/>
      <c r="QRZ13" s="2" t="n"/>
      <c r="QSA13" s="2" t="n"/>
      <c r="QSB13" s="2" t="n"/>
      <c r="QSC13" s="2" t="n"/>
      <c r="QSD13" s="2" t="n"/>
      <c r="QSE13" s="2" t="n"/>
      <c r="QSF13" s="2" t="n"/>
      <c r="QSG13" s="2" t="n"/>
      <c r="QSH13" s="2" t="n"/>
      <c r="QSI13" s="2" t="n"/>
      <c r="QSJ13" s="2" t="n"/>
      <c r="QSK13" s="2" t="n"/>
      <c r="QSL13" s="2" t="n"/>
      <c r="QSM13" s="2" t="n"/>
      <c r="QSN13" s="2" t="n"/>
      <c r="QSO13" s="2" t="n"/>
      <c r="QSP13" s="2" t="n"/>
      <c r="QSQ13" s="2" t="n"/>
      <c r="QSR13" s="2" t="n"/>
      <c r="QSS13" s="2" t="n"/>
      <c r="QST13" s="2" t="n"/>
      <c r="QSU13" s="2" t="n"/>
      <c r="QSV13" s="2" t="n"/>
      <c r="QSW13" s="2" t="n"/>
      <c r="QSX13" s="2" t="n"/>
      <c r="QSY13" s="2" t="n"/>
      <c r="QSZ13" s="2" t="n"/>
      <c r="QTA13" s="2" t="n"/>
      <c r="QTB13" s="2" t="n"/>
      <c r="QTC13" s="2" t="n"/>
      <c r="QTD13" s="2" t="n"/>
      <c r="QTE13" s="2" t="n"/>
      <c r="QTF13" s="2" t="n"/>
      <c r="QTG13" s="2" t="n"/>
      <c r="QTH13" s="2" t="n"/>
      <c r="QTI13" s="2" t="n"/>
      <c r="QTJ13" s="2" t="n"/>
      <c r="QTK13" s="2" t="n"/>
      <c r="QTL13" s="2" t="n"/>
      <c r="QTM13" s="2" t="n"/>
      <c r="QTN13" s="2" t="n"/>
      <c r="QTO13" s="2" t="n"/>
      <c r="QTP13" s="2" t="n"/>
      <c r="QTQ13" s="2" t="n"/>
      <c r="QTR13" s="2" t="n"/>
      <c r="QTS13" s="2" t="n"/>
      <c r="QTT13" s="2" t="n"/>
      <c r="QTU13" s="2" t="n"/>
      <c r="QTV13" s="2" t="n"/>
      <c r="QTW13" s="2" t="n"/>
      <c r="QTX13" s="2" t="n"/>
      <c r="QTY13" s="2" t="n"/>
      <c r="QTZ13" s="2" t="n"/>
      <c r="QUA13" s="2" t="n"/>
      <c r="QUB13" s="2" t="n"/>
      <c r="QUC13" s="2" t="n"/>
      <c r="QUD13" s="2" t="n"/>
      <c r="QUE13" s="2" t="n"/>
      <c r="QUF13" s="2" t="n"/>
      <c r="QUG13" s="2" t="n"/>
      <c r="QUH13" s="2" t="n"/>
      <c r="QUI13" s="2" t="n"/>
      <c r="QUJ13" s="2" t="n"/>
      <c r="QUK13" s="2" t="n"/>
      <c r="QUL13" s="2" t="n"/>
      <c r="QUM13" s="2" t="n"/>
      <c r="QUN13" s="2" t="n"/>
      <c r="QUO13" s="2" t="n"/>
      <c r="QUP13" s="2" t="n"/>
      <c r="QUQ13" s="2" t="n"/>
      <c r="QUR13" s="2" t="n"/>
      <c r="QUS13" s="2" t="n"/>
      <c r="QUT13" s="2" t="n"/>
      <c r="QUU13" s="2" t="n"/>
      <c r="QUV13" s="2" t="n"/>
      <c r="QUW13" s="2" t="n"/>
      <c r="QUX13" s="2" t="n"/>
      <c r="QUY13" s="2" t="n"/>
      <c r="QUZ13" s="2" t="n"/>
      <c r="QVA13" s="2" t="n"/>
      <c r="QVB13" s="2" t="n"/>
      <c r="QVC13" s="2" t="n"/>
      <c r="QVD13" s="2" t="n"/>
      <c r="QVE13" s="2" t="n"/>
      <c r="QVF13" s="2" t="n"/>
      <c r="QVG13" s="2" t="n"/>
      <c r="QVH13" s="2" t="n"/>
      <c r="QVI13" s="2" t="n"/>
      <c r="QVJ13" s="2" t="n"/>
      <c r="QVK13" s="2" t="n"/>
      <c r="QVL13" s="2" t="n"/>
      <c r="QVM13" s="2" t="n"/>
      <c r="QVN13" s="2" t="n"/>
      <c r="QVO13" s="2" t="n"/>
      <c r="QVP13" s="2" t="n"/>
      <c r="QVQ13" s="2" t="n"/>
      <c r="QVR13" s="2" t="n"/>
      <c r="QVS13" s="2" t="n"/>
      <c r="QVT13" s="2" t="n"/>
      <c r="QVU13" s="2" t="n"/>
      <c r="QVV13" s="2" t="n"/>
      <c r="QVW13" s="2" t="n"/>
      <c r="QVX13" s="2" t="n"/>
      <c r="QVY13" s="2" t="n"/>
      <c r="QVZ13" s="2" t="n"/>
      <c r="QWA13" s="2" t="n"/>
      <c r="QWB13" s="2" t="n"/>
      <c r="QWC13" s="2" t="n"/>
      <c r="QWD13" s="2" t="n"/>
      <c r="QWE13" s="2" t="n"/>
      <c r="QWF13" s="2" t="n"/>
      <c r="QWG13" s="2" t="n"/>
      <c r="QWH13" s="2" t="n"/>
      <c r="QWI13" s="2" t="n"/>
      <c r="QWJ13" s="2" t="n"/>
      <c r="QWK13" s="2" t="n"/>
      <c r="QWL13" s="2" t="n"/>
      <c r="QWM13" s="2" t="n"/>
      <c r="QWN13" s="2" t="n"/>
      <c r="QWO13" s="2" t="n"/>
      <c r="QWP13" s="2" t="n"/>
      <c r="QWQ13" s="2" t="n"/>
      <c r="QWR13" s="2" t="n"/>
      <c r="QWS13" s="2" t="n"/>
      <c r="QWT13" s="2" t="n"/>
      <c r="QWU13" s="2" t="n"/>
      <c r="QWV13" s="2" t="n"/>
      <c r="QWW13" s="2" t="n"/>
      <c r="QWX13" s="2" t="n"/>
      <c r="QWY13" s="2" t="n"/>
      <c r="QWZ13" s="2" t="n"/>
      <c r="QXA13" s="2" t="n"/>
      <c r="QXB13" s="2" t="n"/>
      <c r="QXC13" s="2" t="n"/>
      <c r="QXD13" s="2" t="n"/>
      <c r="QXE13" s="2" t="n"/>
      <c r="QXF13" s="2" t="n"/>
      <c r="QXG13" s="2" t="n"/>
      <c r="QXH13" s="2" t="n"/>
      <c r="QXI13" s="2" t="n"/>
      <c r="QXJ13" s="2" t="n"/>
      <c r="QXK13" s="2" t="n"/>
      <c r="QXL13" s="2" t="n"/>
      <c r="QXM13" s="2" t="n"/>
      <c r="QXN13" s="2" t="n"/>
      <c r="QXO13" s="2" t="n"/>
      <c r="QXP13" s="2" t="n"/>
      <c r="QXQ13" s="2" t="n"/>
      <c r="QXR13" s="2" t="n"/>
      <c r="QXS13" s="2" t="n"/>
      <c r="QXT13" s="2" t="n"/>
      <c r="QXU13" s="2" t="n"/>
      <c r="QXV13" s="2" t="n"/>
      <c r="QXW13" s="2" t="n"/>
      <c r="QXX13" s="2" t="n"/>
      <c r="QXY13" s="2" t="n"/>
      <c r="QXZ13" s="2" t="n"/>
      <c r="QYA13" s="2" t="n"/>
      <c r="QYB13" s="2" t="n"/>
      <c r="QYC13" s="2" t="n"/>
      <c r="QYD13" s="2" t="n"/>
      <c r="QYE13" s="2" t="n"/>
      <c r="QYF13" s="2" t="n"/>
      <c r="QYG13" s="2" t="n"/>
      <c r="QYH13" s="2" t="n"/>
      <c r="QYI13" s="2" t="n"/>
      <c r="QYJ13" s="2" t="n"/>
      <c r="QYK13" s="2" t="n"/>
      <c r="QYL13" s="2" t="n"/>
      <c r="QYM13" s="2" t="n"/>
      <c r="QYN13" s="2" t="n"/>
      <c r="QYO13" s="2" t="n"/>
      <c r="QYP13" s="2" t="n"/>
      <c r="QYQ13" s="2" t="n"/>
      <c r="QYR13" s="2" t="n"/>
      <c r="QYS13" s="2" t="n"/>
      <c r="QYT13" s="2" t="n"/>
      <c r="QYU13" s="2" t="n"/>
      <c r="QYV13" s="2" t="n"/>
      <c r="QYW13" s="2" t="n"/>
      <c r="QYX13" s="2" t="n"/>
      <c r="QYY13" s="2" t="n"/>
      <c r="QYZ13" s="2" t="n"/>
      <c r="QZA13" s="2" t="n"/>
      <c r="QZB13" s="2" t="n"/>
      <c r="QZC13" s="2" t="n"/>
      <c r="QZD13" s="2" t="n"/>
      <c r="QZE13" s="2" t="n"/>
      <c r="QZF13" s="2" t="n"/>
      <c r="QZG13" s="2" t="n"/>
      <c r="QZH13" s="2" t="n"/>
      <c r="QZI13" s="2" t="n"/>
      <c r="QZJ13" s="2" t="n"/>
      <c r="QZK13" s="2" t="n"/>
      <c r="QZL13" s="2" t="n"/>
      <c r="QZM13" s="2" t="n"/>
      <c r="QZN13" s="2" t="n"/>
      <c r="QZO13" s="2" t="n"/>
      <c r="QZP13" s="2" t="n"/>
      <c r="QZQ13" s="2" t="n"/>
      <c r="QZR13" s="2" t="n"/>
      <c r="QZS13" s="2" t="n"/>
      <c r="QZT13" s="2" t="n"/>
      <c r="QZU13" s="2" t="n"/>
      <c r="QZV13" s="2" t="n"/>
      <c r="QZW13" s="2" t="n"/>
      <c r="QZX13" s="2" t="n"/>
      <c r="QZY13" s="2" t="n"/>
      <c r="QZZ13" s="2" t="n"/>
      <c r="RAA13" s="2" t="n"/>
      <c r="RAB13" s="2" t="n"/>
      <c r="RAC13" s="2" t="n"/>
      <c r="RAD13" s="2" t="n"/>
      <c r="RAE13" s="2" t="n"/>
      <c r="RAF13" s="2" t="n"/>
      <c r="RAG13" s="2" t="n"/>
      <c r="RAH13" s="2" t="n"/>
      <c r="RAI13" s="2" t="n"/>
      <c r="RAJ13" s="2" t="n"/>
      <c r="RAK13" s="2" t="n"/>
      <c r="RAL13" s="2" t="n"/>
      <c r="RAM13" s="2" t="n"/>
      <c r="RAN13" s="2" t="n"/>
      <c r="RAO13" s="2" t="n"/>
      <c r="RAP13" s="2" t="n"/>
      <c r="RAQ13" s="2" t="n"/>
      <c r="RAR13" s="2" t="n"/>
      <c r="RAS13" s="2" t="n"/>
      <c r="RAT13" s="2" t="n"/>
      <c r="RAU13" s="2" t="n"/>
      <c r="RAV13" s="2" t="n"/>
      <c r="RAW13" s="2" t="n"/>
      <c r="RAX13" s="2" t="n"/>
      <c r="RAY13" s="2" t="n"/>
      <c r="RAZ13" s="2" t="n"/>
      <c r="RBA13" s="2" t="n"/>
      <c r="RBB13" s="2" t="n"/>
      <c r="RBC13" s="2" t="n"/>
      <c r="RBD13" s="2" t="n"/>
      <c r="RBE13" s="2" t="n"/>
      <c r="RBF13" s="2" t="n"/>
      <c r="RBG13" s="2" t="n"/>
      <c r="RBH13" s="2" t="n"/>
      <c r="RBI13" s="2" t="n"/>
      <c r="RBJ13" s="2" t="n"/>
      <c r="RBK13" s="2" t="n"/>
      <c r="RBL13" s="2" t="n"/>
      <c r="RBM13" s="2" t="n"/>
      <c r="RBN13" s="2" t="n"/>
      <c r="RBO13" s="2" t="n"/>
      <c r="RBP13" s="2" t="n"/>
      <c r="RBQ13" s="2" t="n"/>
      <c r="RBR13" s="2" t="n"/>
      <c r="RBS13" s="2" t="n"/>
      <c r="RBT13" s="2" t="n"/>
      <c r="RBU13" s="2" t="n"/>
      <c r="RBV13" s="2" t="n"/>
      <c r="RBW13" s="2" t="n"/>
      <c r="RBX13" s="2" t="n"/>
      <c r="RBY13" s="2" t="n"/>
      <c r="RBZ13" s="2" t="n"/>
      <c r="RCA13" s="2" t="n"/>
      <c r="RCB13" s="2" t="n"/>
      <c r="RCC13" s="2" t="n"/>
      <c r="RCD13" s="2" t="n"/>
      <c r="RCE13" s="2" t="n"/>
      <c r="RCF13" s="2" t="n"/>
      <c r="RCG13" s="2" t="n"/>
      <c r="RCH13" s="2" t="n"/>
      <c r="RCI13" s="2" t="n"/>
      <c r="RCJ13" s="2" t="n"/>
      <c r="RCK13" s="2" t="n"/>
      <c r="RCL13" s="2" t="n"/>
      <c r="RCM13" s="2" t="n"/>
      <c r="RCN13" s="2" t="n"/>
      <c r="RCO13" s="2" t="n"/>
      <c r="RCP13" s="2" t="n"/>
      <c r="RCQ13" s="2" t="n"/>
      <c r="RCR13" s="2" t="n"/>
      <c r="RCS13" s="2" t="n"/>
      <c r="RCT13" s="2" t="n"/>
      <c r="RCU13" s="2" t="n"/>
      <c r="RCV13" s="2" t="n"/>
      <c r="RCW13" s="2" t="n"/>
      <c r="RCX13" s="2" t="n"/>
      <c r="RCY13" s="2" t="n"/>
      <c r="RCZ13" s="2" t="n"/>
      <c r="RDA13" s="2" t="n"/>
      <c r="RDB13" s="2" t="n"/>
      <c r="RDC13" s="2" t="n"/>
      <c r="RDD13" s="2" t="n"/>
      <c r="RDE13" s="2" t="n"/>
      <c r="RDF13" s="2" t="n"/>
      <c r="RDG13" s="2" t="n"/>
      <c r="RDH13" s="2" t="n"/>
      <c r="RDI13" s="2" t="n"/>
      <c r="RDJ13" s="2" t="n"/>
      <c r="RDK13" s="2" t="n"/>
      <c r="RDL13" s="2" t="n"/>
      <c r="RDM13" s="2" t="n"/>
      <c r="RDN13" s="2" t="n"/>
      <c r="RDO13" s="2" t="n"/>
      <c r="RDP13" s="2" t="n"/>
      <c r="RDQ13" s="2" t="n"/>
      <c r="RDR13" s="2" t="n"/>
      <c r="RDS13" s="2" t="n"/>
      <c r="RDT13" s="2" t="n"/>
      <c r="RDU13" s="2" t="n"/>
      <c r="RDV13" s="2" t="n"/>
      <c r="RDW13" s="2" t="n"/>
      <c r="RDX13" s="2" t="n"/>
      <c r="RDY13" s="2" t="n"/>
      <c r="RDZ13" s="2" t="n"/>
      <c r="REA13" s="2" t="n"/>
      <c r="REB13" s="2" t="n"/>
      <c r="REC13" s="2" t="n"/>
      <c r="RED13" s="2" t="n"/>
      <c r="REE13" s="2" t="n"/>
      <c r="REF13" s="2" t="n"/>
      <c r="REG13" s="2" t="n"/>
      <c r="REH13" s="2" t="n"/>
      <c r="REI13" s="2" t="n"/>
      <c r="REJ13" s="2" t="n"/>
      <c r="REK13" s="2" t="n"/>
      <c r="REL13" s="2" t="n"/>
      <c r="REM13" s="2" t="n"/>
      <c r="REN13" s="2" t="n"/>
      <c r="REO13" s="2" t="n"/>
      <c r="REP13" s="2" t="n"/>
      <c r="REQ13" s="2" t="n"/>
      <c r="RER13" s="2" t="n"/>
      <c r="RES13" s="2" t="n"/>
      <c r="RET13" s="2" t="n"/>
      <c r="REU13" s="2" t="n"/>
      <c r="REV13" s="2" t="n"/>
      <c r="REW13" s="2" t="n"/>
      <c r="REX13" s="2" t="n"/>
      <c r="REY13" s="2" t="n"/>
      <c r="REZ13" s="2" t="n"/>
      <c r="RFA13" s="2" t="n"/>
      <c r="RFB13" s="2" t="n"/>
      <c r="RFC13" s="2" t="n"/>
      <c r="RFD13" s="2" t="n"/>
      <c r="RFE13" s="2" t="n"/>
      <c r="RFF13" s="2" t="n"/>
      <c r="RFG13" s="2" t="n"/>
      <c r="RFH13" s="2" t="n"/>
      <c r="RFI13" s="2" t="n"/>
      <c r="RFJ13" s="2" t="n"/>
      <c r="RFK13" s="2" t="n"/>
      <c r="RFL13" s="2" t="n"/>
      <c r="RFM13" s="2" t="n"/>
      <c r="RFN13" s="2" t="n"/>
      <c r="RFO13" s="2" t="n"/>
      <c r="RFP13" s="2" t="n"/>
      <c r="RFQ13" s="2" t="n"/>
      <c r="RFR13" s="2" t="n"/>
      <c r="RFS13" s="2" t="n"/>
      <c r="RFT13" s="2" t="n"/>
      <c r="RFU13" s="2" t="n"/>
      <c r="RFV13" s="2" t="n"/>
      <c r="RFW13" s="2" t="n"/>
      <c r="RFX13" s="2" t="n"/>
      <c r="RFY13" s="2" t="n"/>
      <c r="RFZ13" s="2" t="n"/>
      <c r="RGA13" s="2" t="n"/>
      <c r="RGB13" s="2" t="n"/>
      <c r="RGC13" s="2" t="n"/>
      <c r="RGD13" s="2" t="n"/>
      <c r="RGE13" s="2" t="n"/>
      <c r="RGF13" s="2" t="n"/>
      <c r="RGG13" s="2" t="n"/>
      <c r="RGH13" s="2" t="n"/>
      <c r="RGI13" s="2" t="n"/>
      <c r="RGJ13" s="2" t="n"/>
      <c r="RGK13" s="2" t="n"/>
      <c r="RGL13" s="2" t="n"/>
      <c r="RGM13" s="2" t="n"/>
      <c r="RGN13" s="2" t="n"/>
      <c r="RGO13" s="2" t="n"/>
      <c r="RGP13" s="2" t="n"/>
      <c r="RGQ13" s="2" t="n"/>
      <c r="RGR13" s="2" t="n"/>
      <c r="RGS13" s="2" t="n"/>
      <c r="RGT13" s="2" t="n"/>
      <c r="RGU13" s="2" t="n"/>
      <c r="RGV13" s="2" t="n"/>
      <c r="RGW13" s="2" t="n"/>
      <c r="RGX13" s="2" t="n"/>
      <c r="RGY13" s="2" t="n"/>
      <c r="RGZ13" s="2" t="n"/>
      <c r="RHA13" s="2" t="n"/>
      <c r="RHB13" s="2" t="n"/>
      <c r="RHC13" s="2" t="n"/>
      <c r="RHD13" s="2" t="n"/>
      <c r="RHE13" s="2" t="n"/>
      <c r="RHF13" s="2" t="n"/>
      <c r="RHG13" s="2" t="n"/>
      <c r="RHH13" s="2" t="n"/>
      <c r="RHI13" s="2" t="n"/>
      <c r="RHJ13" s="2" t="n"/>
      <c r="RHK13" s="2" t="n"/>
      <c r="RHL13" s="2" t="n"/>
      <c r="RHM13" s="2" t="n"/>
      <c r="RHN13" s="2" t="n"/>
      <c r="RHO13" s="2" t="n"/>
      <c r="RHP13" s="2" t="n"/>
      <c r="RHQ13" s="2" t="n"/>
      <c r="RHR13" s="2" t="n"/>
      <c r="RHS13" s="2" t="n"/>
      <c r="RHT13" s="2" t="n"/>
      <c r="RHU13" s="2" t="n"/>
      <c r="RHV13" s="2" t="n"/>
      <c r="RHW13" s="2" t="n"/>
      <c r="RHX13" s="2" t="n"/>
      <c r="RHY13" s="2" t="n"/>
      <c r="RHZ13" s="2" t="n"/>
      <c r="RIA13" s="2" t="n"/>
      <c r="RIB13" s="2" t="n"/>
      <c r="RIC13" s="2" t="n"/>
      <c r="RID13" s="2" t="n"/>
      <c r="RIE13" s="2" t="n"/>
      <c r="RIF13" s="2" t="n"/>
      <c r="RIG13" s="2" t="n"/>
      <c r="RIH13" s="2" t="n"/>
      <c r="RII13" s="2" t="n"/>
      <c r="RIJ13" s="2" t="n"/>
      <c r="RIK13" s="2" t="n"/>
      <c r="RIL13" s="2" t="n"/>
      <c r="RIM13" s="2" t="n"/>
      <c r="RIN13" s="2" t="n"/>
      <c r="RIO13" s="2" t="n"/>
      <c r="RIP13" s="2" t="n"/>
      <c r="RIQ13" s="2" t="n"/>
      <c r="RIR13" s="2" t="n"/>
      <c r="RIS13" s="2" t="n"/>
      <c r="RIT13" s="2" t="n"/>
      <c r="RIU13" s="2" t="n"/>
      <c r="RIV13" s="2" t="n"/>
      <c r="RIW13" s="2" t="n"/>
      <c r="RIX13" s="2" t="n"/>
      <c r="RIY13" s="2" t="n"/>
      <c r="RIZ13" s="2" t="n"/>
      <c r="RJA13" s="2" t="n"/>
      <c r="RJB13" s="2" t="n"/>
      <c r="RJC13" s="2" t="n"/>
      <c r="RJD13" s="2" t="n"/>
      <c r="RJE13" s="2" t="n"/>
      <c r="RJF13" s="2" t="n"/>
      <c r="RJG13" s="2" t="n"/>
      <c r="RJH13" s="2" t="n"/>
      <c r="RJI13" s="2" t="n"/>
      <c r="RJJ13" s="2" t="n"/>
      <c r="RJK13" s="2" t="n"/>
      <c r="RJL13" s="2" t="n"/>
      <c r="RJM13" s="2" t="n"/>
      <c r="RJN13" s="2" t="n"/>
      <c r="RJO13" s="2" t="n"/>
      <c r="RJP13" s="2" t="n"/>
      <c r="RJQ13" s="2" t="n"/>
      <c r="RJR13" s="2" t="n"/>
      <c r="RJS13" s="2" t="n"/>
      <c r="RJT13" s="2" t="n"/>
      <c r="RJU13" s="2" t="n"/>
      <c r="RJV13" s="2" t="n"/>
      <c r="RJW13" s="2" t="n"/>
      <c r="RJX13" s="2" t="n"/>
      <c r="RJY13" s="2" t="n"/>
      <c r="RJZ13" s="2" t="n"/>
      <c r="RKA13" s="2" t="n"/>
      <c r="RKB13" s="2" t="n"/>
      <c r="RKC13" s="2" t="n"/>
      <c r="RKD13" s="2" t="n"/>
      <c r="RKE13" s="2" t="n"/>
      <c r="RKF13" s="2" t="n"/>
      <c r="RKG13" s="2" t="n"/>
      <c r="RKH13" s="2" t="n"/>
      <c r="RKI13" s="2" t="n"/>
      <c r="RKJ13" s="2" t="n"/>
      <c r="RKK13" s="2" t="n"/>
      <c r="RKL13" s="2" t="n"/>
      <c r="RKM13" s="2" t="n"/>
      <c r="RKN13" s="2" t="n"/>
      <c r="RKO13" s="2" t="n"/>
      <c r="RKP13" s="2" t="n"/>
      <c r="RKQ13" s="2" t="n"/>
      <c r="RKR13" s="2" t="n"/>
      <c r="RKS13" s="2" t="n"/>
      <c r="RKT13" s="2" t="n"/>
      <c r="RKU13" s="2" t="n"/>
      <c r="RKV13" s="2" t="n"/>
      <c r="RKW13" s="2" t="n"/>
      <c r="RKX13" s="2" t="n"/>
      <c r="RKY13" s="2" t="n"/>
      <c r="RKZ13" s="2" t="n"/>
      <c r="RLA13" s="2" t="n"/>
      <c r="RLB13" s="2" t="n"/>
      <c r="RLC13" s="2" t="n"/>
      <c r="RLD13" s="2" t="n"/>
      <c r="RLE13" s="2" t="n"/>
      <c r="RLF13" s="2" t="n"/>
      <c r="RLG13" s="2" t="n"/>
      <c r="RLH13" s="2" t="n"/>
      <c r="RLI13" s="2" t="n"/>
      <c r="RLJ13" s="2" t="n"/>
      <c r="RLK13" s="2" t="n"/>
      <c r="RLL13" s="2" t="n"/>
      <c r="RLM13" s="2" t="n"/>
      <c r="RLN13" s="2" t="n"/>
      <c r="RLO13" s="2" t="n"/>
      <c r="RLP13" s="2" t="n"/>
      <c r="RLQ13" s="2" t="n"/>
      <c r="RLR13" s="2" t="n"/>
      <c r="RLS13" s="2" t="n"/>
      <c r="RLT13" s="2" t="n"/>
      <c r="RLU13" s="2" t="n"/>
      <c r="RLV13" s="2" t="n"/>
      <c r="RLW13" s="2" t="n"/>
      <c r="RLX13" s="2" t="n"/>
      <c r="RLY13" s="2" t="n"/>
      <c r="RLZ13" s="2" t="n"/>
      <c r="RMA13" s="2" t="n"/>
      <c r="RMB13" s="2" t="n"/>
      <c r="RMC13" s="2" t="n"/>
      <c r="RMD13" s="2" t="n"/>
      <c r="RME13" s="2" t="n"/>
      <c r="RMF13" s="2" t="n"/>
      <c r="RMG13" s="2" t="n"/>
      <c r="RMH13" s="2" t="n"/>
      <c r="RMI13" s="2" t="n"/>
      <c r="RMJ13" s="2" t="n"/>
      <c r="RMK13" s="2" t="n"/>
      <c r="RML13" s="2" t="n"/>
      <c r="RMM13" s="2" t="n"/>
      <c r="RMN13" s="2" t="n"/>
      <c r="RMO13" s="2" t="n"/>
      <c r="RMP13" s="2" t="n"/>
      <c r="RMQ13" s="2" t="n"/>
      <c r="RMR13" s="2" t="n"/>
      <c r="RMS13" s="2" t="n"/>
      <c r="RMT13" s="2" t="n"/>
      <c r="RMU13" s="2" t="n"/>
      <c r="RMV13" s="2" t="n"/>
      <c r="RMW13" s="2" t="n"/>
      <c r="RMX13" s="2" t="n"/>
      <c r="RMY13" s="2" t="n"/>
      <c r="RMZ13" s="2" t="n"/>
      <c r="RNA13" s="2" t="n"/>
      <c r="RNB13" s="2" t="n"/>
      <c r="RNC13" s="2" t="n"/>
      <c r="RND13" s="2" t="n"/>
      <c r="RNE13" s="2" t="n"/>
      <c r="RNF13" s="2" t="n"/>
      <c r="RNG13" s="2" t="n"/>
      <c r="RNH13" s="2" t="n"/>
      <c r="RNI13" s="2" t="n"/>
      <c r="RNJ13" s="2" t="n"/>
      <c r="RNK13" s="2" t="n"/>
      <c r="RNL13" s="2" t="n"/>
      <c r="RNM13" s="2" t="n"/>
      <c r="RNN13" s="2" t="n"/>
      <c r="RNO13" s="2" t="n"/>
      <c r="RNP13" s="2" t="n"/>
      <c r="RNQ13" s="2" t="n"/>
      <c r="RNR13" s="2" t="n"/>
      <c r="RNS13" s="2" t="n"/>
      <c r="RNT13" s="2" t="n"/>
      <c r="RNU13" s="2" t="n"/>
      <c r="RNV13" s="2" t="n"/>
      <c r="RNW13" s="2" t="n"/>
      <c r="RNX13" s="2" t="n"/>
      <c r="RNY13" s="2" t="n"/>
      <c r="RNZ13" s="2" t="n"/>
      <c r="ROA13" s="2" t="n"/>
      <c r="ROB13" s="2" t="n"/>
      <c r="ROC13" s="2" t="n"/>
      <c r="ROD13" s="2" t="n"/>
      <c r="ROE13" s="2" t="n"/>
      <c r="ROF13" s="2" t="n"/>
      <c r="ROG13" s="2" t="n"/>
      <c r="ROH13" s="2" t="n"/>
      <c r="ROI13" s="2" t="n"/>
      <c r="ROJ13" s="2" t="n"/>
      <c r="ROK13" s="2" t="n"/>
      <c r="ROL13" s="2" t="n"/>
      <c r="ROM13" s="2" t="n"/>
      <c r="RON13" s="2" t="n"/>
      <c r="ROO13" s="2" t="n"/>
      <c r="ROP13" s="2" t="n"/>
      <c r="ROQ13" s="2" t="n"/>
      <c r="ROR13" s="2" t="n"/>
      <c r="ROS13" s="2" t="n"/>
      <c r="ROT13" s="2" t="n"/>
      <c r="ROU13" s="2" t="n"/>
      <c r="ROV13" s="2" t="n"/>
      <c r="ROW13" s="2" t="n"/>
      <c r="ROX13" s="2" t="n"/>
      <c r="ROY13" s="2" t="n"/>
      <c r="ROZ13" s="2" t="n"/>
      <c r="RPA13" s="2" t="n"/>
      <c r="RPB13" s="2" t="n"/>
      <c r="RPC13" s="2" t="n"/>
      <c r="RPD13" s="2" t="n"/>
      <c r="RPE13" s="2" t="n"/>
      <c r="RPF13" s="2" t="n"/>
      <c r="RPG13" s="2" t="n"/>
      <c r="RPH13" s="2" t="n"/>
      <c r="RPI13" s="2" t="n"/>
      <c r="RPJ13" s="2" t="n"/>
      <c r="RPK13" s="2" t="n"/>
      <c r="RPL13" s="2" t="n"/>
      <c r="RPM13" s="2" t="n"/>
      <c r="RPN13" s="2" t="n"/>
      <c r="RPO13" s="2" t="n"/>
      <c r="RPP13" s="2" t="n"/>
      <c r="RPQ13" s="2" t="n"/>
      <c r="RPR13" s="2" t="n"/>
      <c r="RPS13" s="2" t="n"/>
      <c r="RPT13" s="2" t="n"/>
      <c r="RPU13" s="2" t="n"/>
      <c r="RPV13" s="2" t="n"/>
      <c r="RPW13" s="2" t="n"/>
      <c r="RPX13" s="2" t="n"/>
      <c r="RPY13" s="2" t="n"/>
      <c r="RPZ13" s="2" t="n"/>
      <c r="RQA13" s="2" t="n"/>
      <c r="RQB13" s="2" t="n"/>
      <c r="RQC13" s="2" t="n"/>
      <c r="RQD13" s="2" t="n"/>
      <c r="RQE13" s="2" t="n"/>
      <c r="RQF13" s="2" t="n"/>
      <c r="RQG13" s="2" t="n"/>
      <c r="RQH13" s="2" t="n"/>
      <c r="RQI13" s="2" t="n"/>
      <c r="RQJ13" s="2" t="n"/>
      <c r="RQK13" s="2" t="n"/>
      <c r="RQL13" s="2" t="n"/>
      <c r="RQM13" s="2" t="n"/>
      <c r="RQN13" s="2" t="n"/>
      <c r="RQO13" s="2" t="n"/>
      <c r="RQP13" s="2" t="n"/>
      <c r="RQQ13" s="2" t="n"/>
      <c r="RQR13" s="2" t="n"/>
      <c r="RQS13" s="2" t="n"/>
      <c r="RQT13" s="2" t="n"/>
      <c r="RQU13" s="2" t="n"/>
      <c r="RQV13" s="2" t="n"/>
      <c r="RQW13" s="2" t="n"/>
      <c r="RQX13" s="2" t="n"/>
      <c r="RQY13" s="2" t="n"/>
      <c r="RQZ13" s="2" t="n"/>
      <c r="RRA13" s="2" t="n"/>
      <c r="RRB13" s="2" t="n"/>
      <c r="RRC13" s="2" t="n"/>
      <c r="RRD13" s="2" t="n"/>
      <c r="RRE13" s="2" t="n"/>
      <c r="RRF13" s="2" t="n"/>
      <c r="RRG13" s="2" t="n"/>
      <c r="RRH13" s="2" t="n"/>
      <c r="RRI13" s="2" t="n"/>
      <c r="RRJ13" s="2" t="n"/>
      <c r="RRK13" s="2" t="n"/>
      <c r="RRL13" s="2" t="n"/>
      <c r="RRM13" s="2" t="n"/>
      <c r="RRN13" s="2" t="n"/>
      <c r="RRO13" s="2" t="n"/>
      <c r="RRP13" s="2" t="n"/>
      <c r="RRQ13" s="2" t="n"/>
      <c r="RRR13" s="2" t="n"/>
      <c r="RRS13" s="2" t="n"/>
      <c r="RRT13" s="2" t="n"/>
      <c r="RRU13" s="2" t="n"/>
      <c r="RRV13" s="2" t="n"/>
      <c r="RRW13" s="2" t="n"/>
      <c r="RRX13" s="2" t="n"/>
      <c r="RRY13" s="2" t="n"/>
      <c r="RRZ13" s="2" t="n"/>
      <c r="RSA13" s="2" t="n"/>
      <c r="RSB13" s="2" t="n"/>
      <c r="RSC13" s="2" t="n"/>
      <c r="RSD13" s="2" t="n"/>
      <c r="RSE13" s="2" t="n"/>
      <c r="RSF13" s="2" t="n"/>
      <c r="RSG13" s="2" t="n"/>
      <c r="RSH13" s="2" t="n"/>
      <c r="RSI13" s="2" t="n"/>
      <c r="RSJ13" s="2" t="n"/>
      <c r="RSK13" s="2" t="n"/>
      <c r="RSL13" s="2" t="n"/>
      <c r="RSM13" s="2" t="n"/>
      <c r="RSN13" s="2" t="n"/>
      <c r="RSO13" s="2" t="n"/>
      <c r="RSP13" s="2" t="n"/>
      <c r="RSQ13" s="2" t="n"/>
      <c r="RSR13" s="2" t="n"/>
      <c r="RSS13" s="2" t="n"/>
      <c r="RST13" s="2" t="n"/>
      <c r="RSU13" s="2" t="n"/>
      <c r="RSV13" s="2" t="n"/>
      <c r="RSW13" s="2" t="n"/>
      <c r="RSX13" s="2" t="n"/>
      <c r="RSY13" s="2" t="n"/>
      <c r="RSZ13" s="2" t="n"/>
      <c r="RTA13" s="2" t="n"/>
      <c r="RTB13" s="2" t="n"/>
      <c r="RTC13" s="2" t="n"/>
      <c r="RTD13" s="2" t="n"/>
      <c r="RTE13" s="2" t="n"/>
      <c r="RTF13" s="2" t="n"/>
      <c r="RTG13" s="2" t="n"/>
      <c r="RTH13" s="2" t="n"/>
      <c r="RTI13" s="2" t="n"/>
      <c r="RTJ13" s="2" t="n"/>
      <c r="RTK13" s="2" t="n"/>
      <c r="RTL13" s="2" t="n"/>
      <c r="RTM13" s="2" t="n"/>
      <c r="RTN13" s="2" t="n"/>
      <c r="RTO13" s="2" t="n"/>
      <c r="RTP13" s="2" t="n"/>
      <c r="RTQ13" s="2" t="n"/>
      <c r="RTR13" s="2" t="n"/>
      <c r="RTS13" s="2" t="n"/>
      <c r="RTT13" s="2" t="n"/>
      <c r="RTU13" s="2" t="n"/>
      <c r="RTV13" s="2" t="n"/>
      <c r="RTW13" s="2" t="n"/>
      <c r="RTX13" s="2" t="n"/>
      <c r="RTY13" s="2" t="n"/>
      <c r="RTZ13" s="2" t="n"/>
      <c r="RUA13" s="2" t="n"/>
      <c r="RUB13" s="2" t="n"/>
      <c r="RUC13" s="2" t="n"/>
      <c r="RUD13" s="2" t="n"/>
      <c r="RUE13" s="2" t="n"/>
      <c r="RUF13" s="2" t="n"/>
      <c r="RUG13" s="2" t="n"/>
      <c r="RUH13" s="2" t="n"/>
      <c r="RUI13" s="2" t="n"/>
      <c r="RUJ13" s="2" t="n"/>
      <c r="RUK13" s="2" t="n"/>
      <c r="RUL13" s="2" t="n"/>
      <c r="RUM13" s="2" t="n"/>
      <c r="RUN13" s="2" t="n"/>
      <c r="RUO13" s="2" t="n"/>
      <c r="RUP13" s="2" t="n"/>
      <c r="RUQ13" s="2" t="n"/>
      <c r="RUR13" s="2" t="n"/>
      <c r="RUS13" s="2" t="n"/>
      <c r="RUT13" s="2" t="n"/>
      <c r="RUU13" s="2" t="n"/>
      <c r="RUV13" s="2" t="n"/>
      <c r="RUW13" s="2" t="n"/>
      <c r="RUX13" s="2" t="n"/>
      <c r="RUY13" s="2" t="n"/>
      <c r="RUZ13" s="2" t="n"/>
      <c r="RVA13" s="2" t="n"/>
      <c r="RVB13" s="2" t="n"/>
      <c r="RVC13" s="2" t="n"/>
      <c r="RVD13" s="2" t="n"/>
      <c r="RVE13" s="2" t="n"/>
      <c r="RVF13" s="2" t="n"/>
      <c r="RVG13" s="2" t="n"/>
      <c r="RVH13" s="2" t="n"/>
      <c r="RVI13" s="2" t="n"/>
      <c r="RVJ13" s="2" t="n"/>
      <c r="RVK13" s="2" t="n"/>
      <c r="RVL13" s="2" t="n"/>
      <c r="RVM13" s="2" t="n"/>
      <c r="RVN13" s="2" t="n"/>
      <c r="RVO13" s="2" t="n"/>
      <c r="RVP13" s="2" t="n"/>
      <c r="RVQ13" s="2" t="n"/>
      <c r="RVR13" s="2" t="n"/>
      <c r="RVS13" s="2" t="n"/>
      <c r="RVT13" s="2" t="n"/>
      <c r="RVU13" s="2" t="n"/>
      <c r="RVV13" s="2" t="n"/>
      <c r="RVW13" s="2" t="n"/>
      <c r="RVX13" s="2" t="n"/>
      <c r="RVY13" s="2" t="n"/>
      <c r="RVZ13" s="2" t="n"/>
      <c r="RWA13" s="2" t="n"/>
      <c r="RWB13" s="2" t="n"/>
      <c r="RWC13" s="2" t="n"/>
      <c r="RWD13" s="2" t="n"/>
      <c r="RWE13" s="2" t="n"/>
      <c r="RWF13" s="2" t="n"/>
      <c r="RWG13" s="2" t="n"/>
      <c r="RWH13" s="2" t="n"/>
      <c r="RWI13" s="2" t="n"/>
      <c r="RWJ13" s="2" t="n"/>
      <c r="RWK13" s="2" t="n"/>
      <c r="RWL13" s="2" t="n"/>
      <c r="RWM13" s="2" t="n"/>
      <c r="RWN13" s="2" t="n"/>
      <c r="RWO13" s="2" t="n"/>
      <c r="RWP13" s="2" t="n"/>
      <c r="RWQ13" s="2" t="n"/>
      <c r="RWR13" s="2" t="n"/>
      <c r="RWS13" s="2" t="n"/>
      <c r="RWT13" s="2" t="n"/>
      <c r="RWU13" s="2" t="n"/>
      <c r="RWV13" s="2" t="n"/>
      <c r="RWW13" s="2" t="n"/>
      <c r="RWX13" s="2" t="n"/>
      <c r="RWY13" s="2" t="n"/>
      <c r="RWZ13" s="2" t="n"/>
      <c r="RXA13" s="2" t="n"/>
      <c r="RXB13" s="2" t="n"/>
      <c r="RXC13" s="2" t="n"/>
      <c r="RXD13" s="2" t="n"/>
      <c r="RXE13" s="2" t="n"/>
      <c r="RXF13" s="2" t="n"/>
      <c r="RXG13" s="2" t="n"/>
      <c r="RXH13" s="2" t="n"/>
      <c r="RXI13" s="2" t="n"/>
      <c r="RXJ13" s="2" t="n"/>
      <c r="RXK13" s="2" t="n"/>
      <c r="RXL13" s="2" t="n"/>
      <c r="RXM13" s="2" t="n"/>
      <c r="RXN13" s="2" t="n"/>
      <c r="RXO13" s="2" t="n"/>
      <c r="RXP13" s="2" t="n"/>
      <c r="RXQ13" s="2" t="n"/>
      <c r="RXR13" s="2" t="n"/>
      <c r="RXS13" s="2" t="n"/>
      <c r="RXT13" s="2" t="n"/>
      <c r="RXU13" s="2" t="n"/>
      <c r="RXV13" s="2" t="n"/>
      <c r="RXW13" s="2" t="n"/>
      <c r="RXX13" s="2" t="n"/>
      <c r="RXY13" s="2" t="n"/>
      <c r="RXZ13" s="2" t="n"/>
      <c r="RYA13" s="2" t="n"/>
      <c r="RYB13" s="2" t="n"/>
      <c r="RYC13" s="2" t="n"/>
      <c r="RYD13" s="2" t="n"/>
      <c r="RYE13" s="2" t="n"/>
      <c r="RYF13" s="2" t="n"/>
      <c r="RYG13" s="2" t="n"/>
      <c r="RYH13" s="2" t="n"/>
      <c r="RYI13" s="2" t="n"/>
      <c r="RYJ13" s="2" t="n"/>
      <c r="RYK13" s="2" t="n"/>
      <c r="RYL13" s="2" t="n"/>
      <c r="RYM13" s="2" t="n"/>
      <c r="RYN13" s="2" t="n"/>
      <c r="RYO13" s="2" t="n"/>
      <c r="RYP13" s="2" t="n"/>
      <c r="RYQ13" s="2" t="n"/>
      <c r="RYR13" s="2" t="n"/>
      <c r="RYS13" s="2" t="n"/>
      <c r="RYT13" s="2" t="n"/>
      <c r="RYU13" s="2" t="n"/>
      <c r="RYV13" s="2" t="n"/>
      <c r="RYW13" s="2" t="n"/>
      <c r="RYX13" s="2" t="n"/>
      <c r="RYY13" s="2" t="n"/>
      <c r="RYZ13" s="2" t="n"/>
      <c r="RZA13" s="2" t="n"/>
      <c r="RZB13" s="2" t="n"/>
      <c r="RZC13" s="2" t="n"/>
      <c r="RZD13" s="2" t="n"/>
      <c r="RZE13" s="2" t="n"/>
      <c r="RZF13" s="2" t="n"/>
      <c r="RZG13" s="2" t="n"/>
      <c r="RZH13" s="2" t="n"/>
      <c r="RZI13" s="2" t="n"/>
      <c r="RZJ13" s="2" t="n"/>
      <c r="RZK13" s="2" t="n"/>
      <c r="RZL13" s="2" t="n"/>
      <c r="RZM13" s="2" t="n"/>
      <c r="RZN13" s="2" t="n"/>
      <c r="RZO13" s="2" t="n"/>
      <c r="RZP13" s="2" t="n"/>
      <c r="RZQ13" s="2" t="n"/>
      <c r="RZR13" s="2" t="n"/>
      <c r="RZS13" s="2" t="n"/>
      <c r="RZT13" s="2" t="n"/>
      <c r="RZU13" s="2" t="n"/>
      <c r="RZV13" s="2" t="n"/>
      <c r="RZW13" s="2" t="n"/>
      <c r="RZX13" s="2" t="n"/>
      <c r="RZY13" s="2" t="n"/>
      <c r="RZZ13" s="2" t="n"/>
      <c r="SAA13" s="2" t="n"/>
      <c r="SAB13" s="2" t="n"/>
      <c r="SAC13" s="2" t="n"/>
      <c r="SAD13" s="2" t="n"/>
      <c r="SAE13" s="2" t="n"/>
      <c r="SAF13" s="2" t="n"/>
      <c r="SAG13" s="2" t="n"/>
      <c r="SAH13" s="2" t="n"/>
      <c r="SAI13" s="2" t="n"/>
      <c r="SAJ13" s="2" t="n"/>
      <c r="SAK13" s="2" t="n"/>
      <c r="SAL13" s="2" t="n"/>
      <c r="SAM13" s="2" t="n"/>
      <c r="SAN13" s="2" t="n"/>
      <c r="SAO13" s="2" t="n"/>
      <c r="SAP13" s="2" t="n"/>
      <c r="SAQ13" s="2" t="n"/>
      <c r="SAR13" s="2" t="n"/>
      <c r="SAS13" s="2" t="n"/>
      <c r="SAT13" s="2" t="n"/>
      <c r="SAU13" s="2" t="n"/>
      <c r="SAV13" s="2" t="n"/>
      <c r="SAW13" s="2" t="n"/>
      <c r="SAX13" s="2" t="n"/>
      <c r="SAY13" s="2" t="n"/>
      <c r="SAZ13" s="2" t="n"/>
      <c r="SBA13" s="2" t="n"/>
      <c r="SBB13" s="2" t="n"/>
      <c r="SBC13" s="2" t="n"/>
      <c r="SBD13" s="2" t="n"/>
      <c r="SBE13" s="2" t="n"/>
      <c r="SBF13" s="2" t="n"/>
      <c r="SBG13" s="2" t="n"/>
      <c r="SBH13" s="2" t="n"/>
      <c r="SBI13" s="2" t="n"/>
      <c r="SBJ13" s="2" t="n"/>
      <c r="SBK13" s="2" t="n"/>
      <c r="SBL13" s="2" t="n"/>
      <c r="SBM13" s="2" t="n"/>
      <c r="SBN13" s="2" t="n"/>
      <c r="SBO13" s="2" t="n"/>
      <c r="SBP13" s="2" t="n"/>
      <c r="SBQ13" s="2" t="n"/>
      <c r="SBR13" s="2" t="n"/>
      <c r="SBS13" s="2" t="n"/>
      <c r="SBT13" s="2" t="n"/>
      <c r="SBU13" s="2" t="n"/>
      <c r="SBV13" s="2" t="n"/>
      <c r="SBW13" s="2" t="n"/>
      <c r="SBX13" s="2" t="n"/>
      <c r="SBY13" s="2" t="n"/>
      <c r="SBZ13" s="2" t="n"/>
      <c r="SCA13" s="2" t="n"/>
      <c r="SCB13" s="2" t="n"/>
      <c r="SCC13" s="2" t="n"/>
      <c r="SCD13" s="2" t="n"/>
      <c r="SCE13" s="2" t="n"/>
      <c r="SCF13" s="2" t="n"/>
      <c r="SCG13" s="2" t="n"/>
      <c r="SCH13" s="2" t="n"/>
      <c r="SCI13" s="2" t="n"/>
      <c r="SCJ13" s="2" t="n"/>
      <c r="SCK13" s="2" t="n"/>
      <c r="SCL13" s="2" t="n"/>
      <c r="SCM13" s="2" t="n"/>
      <c r="SCN13" s="2" t="n"/>
      <c r="SCO13" s="2" t="n"/>
      <c r="SCP13" s="2" t="n"/>
      <c r="SCQ13" s="2" t="n"/>
      <c r="SCR13" s="2" t="n"/>
      <c r="SCS13" s="2" t="n"/>
      <c r="SCT13" s="2" t="n"/>
      <c r="SCU13" s="2" t="n"/>
      <c r="SCV13" s="2" t="n"/>
      <c r="SCW13" s="2" t="n"/>
      <c r="SCX13" s="2" t="n"/>
      <c r="SCY13" s="2" t="n"/>
      <c r="SCZ13" s="2" t="n"/>
      <c r="SDA13" s="2" t="n"/>
      <c r="SDB13" s="2" t="n"/>
      <c r="SDC13" s="2" t="n"/>
      <c r="SDD13" s="2" t="n"/>
      <c r="SDE13" s="2" t="n"/>
      <c r="SDF13" s="2" t="n"/>
      <c r="SDG13" s="2" t="n"/>
      <c r="SDH13" s="2" t="n"/>
      <c r="SDI13" s="2" t="n"/>
      <c r="SDJ13" s="2" t="n"/>
      <c r="SDK13" s="2" t="n"/>
      <c r="SDL13" s="2" t="n"/>
      <c r="SDM13" s="2" t="n"/>
      <c r="SDN13" s="2" t="n"/>
      <c r="SDO13" s="2" t="n"/>
      <c r="SDP13" s="2" t="n"/>
      <c r="SDQ13" s="2" t="n"/>
      <c r="SDR13" s="2" t="n"/>
      <c r="SDS13" s="2" t="n"/>
      <c r="SDT13" s="2" t="n"/>
      <c r="SDU13" s="2" t="n"/>
      <c r="SDV13" s="2" t="n"/>
      <c r="SDW13" s="2" t="n"/>
      <c r="SDX13" s="2" t="n"/>
      <c r="SDY13" s="2" t="n"/>
      <c r="SDZ13" s="2" t="n"/>
      <c r="SEA13" s="2" t="n"/>
      <c r="SEB13" s="2" t="n"/>
      <c r="SEC13" s="2" t="n"/>
      <c r="SED13" s="2" t="n"/>
      <c r="SEE13" s="2" t="n"/>
      <c r="SEF13" s="2" t="n"/>
      <c r="SEG13" s="2" t="n"/>
      <c r="SEH13" s="2" t="n"/>
      <c r="SEI13" s="2" t="n"/>
      <c r="SEJ13" s="2" t="n"/>
      <c r="SEK13" s="2" t="n"/>
      <c r="SEL13" s="2" t="n"/>
      <c r="SEM13" s="2" t="n"/>
      <c r="SEN13" s="2" t="n"/>
      <c r="SEO13" s="2" t="n"/>
      <c r="SEP13" s="2" t="n"/>
      <c r="SEQ13" s="2" t="n"/>
      <c r="SER13" s="2" t="n"/>
      <c r="SES13" s="2" t="n"/>
      <c r="SET13" s="2" t="n"/>
      <c r="SEU13" s="2" t="n"/>
      <c r="SEV13" s="2" t="n"/>
      <c r="SEW13" s="2" t="n"/>
      <c r="SEX13" s="2" t="n"/>
      <c r="SEY13" s="2" t="n"/>
      <c r="SEZ13" s="2" t="n"/>
      <c r="SFA13" s="2" t="n"/>
      <c r="SFB13" s="2" t="n"/>
      <c r="SFC13" s="2" t="n"/>
      <c r="SFD13" s="2" t="n"/>
      <c r="SFE13" s="2" t="n"/>
      <c r="SFF13" s="2" t="n"/>
      <c r="SFG13" s="2" t="n"/>
      <c r="SFH13" s="2" t="n"/>
      <c r="SFI13" s="2" t="n"/>
      <c r="SFJ13" s="2" t="n"/>
      <c r="SFK13" s="2" t="n"/>
      <c r="SFL13" s="2" t="n"/>
      <c r="SFM13" s="2" t="n"/>
      <c r="SFN13" s="2" t="n"/>
      <c r="SFO13" s="2" t="n"/>
      <c r="SFP13" s="2" t="n"/>
      <c r="SFQ13" s="2" t="n"/>
      <c r="SFR13" s="2" t="n"/>
      <c r="SFS13" s="2" t="n"/>
      <c r="SFT13" s="2" t="n"/>
      <c r="SFU13" s="2" t="n"/>
      <c r="SFV13" s="2" t="n"/>
      <c r="SFW13" s="2" t="n"/>
      <c r="SFX13" s="2" t="n"/>
      <c r="SFY13" s="2" t="n"/>
      <c r="SFZ13" s="2" t="n"/>
      <c r="SGA13" s="2" t="n"/>
      <c r="SGB13" s="2" t="n"/>
      <c r="SGC13" s="2" t="n"/>
      <c r="SGD13" s="2" t="n"/>
      <c r="SGE13" s="2" t="n"/>
      <c r="SGF13" s="2" t="n"/>
      <c r="SGG13" s="2" t="n"/>
      <c r="SGH13" s="2" t="n"/>
      <c r="SGI13" s="2" t="n"/>
      <c r="SGJ13" s="2" t="n"/>
      <c r="SGK13" s="2" t="n"/>
      <c r="SGL13" s="2" t="n"/>
      <c r="SGM13" s="2" t="n"/>
      <c r="SGN13" s="2" t="n"/>
      <c r="SGO13" s="2" t="n"/>
      <c r="SGP13" s="2" t="n"/>
      <c r="SGQ13" s="2" t="n"/>
      <c r="SGR13" s="2" t="n"/>
      <c r="SGS13" s="2" t="n"/>
      <c r="SGT13" s="2" t="n"/>
      <c r="SGU13" s="2" t="n"/>
      <c r="SGV13" s="2" t="n"/>
      <c r="SGW13" s="2" t="n"/>
      <c r="SGX13" s="2" t="n"/>
      <c r="SGY13" s="2" t="n"/>
      <c r="SGZ13" s="2" t="n"/>
      <c r="SHA13" s="2" t="n"/>
      <c r="SHB13" s="2" t="n"/>
      <c r="SHC13" s="2" t="n"/>
      <c r="SHD13" s="2" t="n"/>
      <c r="SHE13" s="2" t="n"/>
      <c r="SHF13" s="2" t="n"/>
      <c r="SHG13" s="2" t="n"/>
      <c r="SHH13" s="2" t="n"/>
      <c r="SHI13" s="2" t="n"/>
      <c r="SHJ13" s="2" t="n"/>
      <c r="SHK13" s="2" t="n"/>
      <c r="SHL13" s="2" t="n"/>
      <c r="SHM13" s="2" t="n"/>
      <c r="SHN13" s="2" t="n"/>
      <c r="SHO13" s="2" t="n"/>
      <c r="SHP13" s="2" t="n"/>
      <c r="SHQ13" s="2" t="n"/>
      <c r="SHR13" s="2" t="n"/>
      <c r="SHS13" s="2" t="n"/>
      <c r="SHT13" s="2" t="n"/>
      <c r="SHU13" s="2" t="n"/>
      <c r="SHV13" s="2" t="n"/>
      <c r="SHW13" s="2" t="n"/>
      <c r="SHX13" s="2" t="n"/>
      <c r="SHY13" s="2" t="n"/>
      <c r="SHZ13" s="2" t="n"/>
      <c r="SIA13" s="2" t="n"/>
      <c r="SIB13" s="2" t="n"/>
      <c r="SIC13" s="2" t="n"/>
      <c r="SID13" s="2" t="n"/>
      <c r="SIE13" s="2" t="n"/>
      <c r="SIF13" s="2" t="n"/>
      <c r="SIG13" s="2" t="n"/>
      <c r="SIH13" s="2" t="n"/>
      <c r="SII13" s="2" t="n"/>
      <c r="SIJ13" s="2" t="n"/>
      <c r="SIK13" s="2" t="n"/>
      <c r="SIL13" s="2" t="n"/>
      <c r="SIM13" s="2" t="n"/>
      <c r="SIN13" s="2" t="n"/>
      <c r="SIO13" s="2" t="n"/>
      <c r="SIP13" s="2" t="n"/>
      <c r="SIQ13" s="2" t="n"/>
      <c r="SIR13" s="2" t="n"/>
      <c r="SIS13" s="2" t="n"/>
      <c r="SIT13" s="2" t="n"/>
      <c r="SIU13" s="2" t="n"/>
      <c r="SIV13" s="2" t="n"/>
      <c r="SIW13" s="2" t="n"/>
      <c r="SIX13" s="2" t="n"/>
      <c r="SIY13" s="2" t="n"/>
      <c r="SIZ13" s="2" t="n"/>
      <c r="SJA13" s="2" t="n"/>
      <c r="SJB13" s="2" t="n"/>
      <c r="SJC13" s="2" t="n"/>
      <c r="SJD13" s="2" t="n"/>
      <c r="SJE13" s="2" t="n"/>
      <c r="SJF13" s="2" t="n"/>
      <c r="SJG13" s="2" t="n"/>
      <c r="SJH13" s="2" t="n"/>
      <c r="SJI13" s="2" t="n"/>
      <c r="SJJ13" s="2" t="n"/>
      <c r="SJK13" s="2" t="n"/>
      <c r="SJL13" s="2" t="n"/>
      <c r="SJM13" s="2" t="n"/>
      <c r="SJN13" s="2" t="n"/>
      <c r="SJO13" s="2" t="n"/>
      <c r="SJP13" s="2" t="n"/>
      <c r="SJQ13" s="2" t="n"/>
      <c r="SJR13" s="2" t="n"/>
      <c r="SJS13" s="2" t="n"/>
      <c r="SJT13" s="2" t="n"/>
      <c r="SJU13" s="2" t="n"/>
      <c r="SJV13" s="2" t="n"/>
      <c r="SJW13" s="2" t="n"/>
      <c r="SJX13" s="2" t="n"/>
      <c r="SJY13" s="2" t="n"/>
      <c r="SJZ13" s="2" t="n"/>
      <c r="SKA13" s="2" t="n"/>
      <c r="SKB13" s="2" t="n"/>
      <c r="SKC13" s="2" t="n"/>
      <c r="SKD13" s="2" t="n"/>
      <c r="SKE13" s="2" t="n"/>
      <c r="SKF13" s="2" t="n"/>
      <c r="SKG13" s="2" t="n"/>
      <c r="SKH13" s="2" t="n"/>
      <c r="SKI13" s="2" t="n"/>
      <c r="SKJ13" s="2" t="n"/>
      <c r="SKK13" s="2" t="n"/>
      <c r="SKL13" s="2" t="n"/>
      <c r="SKM13" s="2" t="n"/>
      <c r="SKN13" s="2" t="n"/>
      <c r="SKO13" s="2" t="n"/>
      <c r="SKP13" s="2" t="n"/>
      <c r="SKQ13" s="2" t="n"/>
      <c r="SKR13" s="2" t="n"/>
      <c r="SKS13" s="2" t="n"/>
      <c r="SKT13" s="2" t="n"/>
      <c r="SKU13" s="2" t="n"/>
      <c r="SKV13" s="2" t="n"/>
      <c r="SKW13" s="2" t="n"/>
      <c r="SKX13" s="2" t="n"/>
      <c r="SKY13" s="2" t="n"/>
      <c r="SKZ13" s="2" t="n"/>
      <c r="SLA13" s="2" t="n"/>
      <c r="SLB13" s="2" t="n"/>
      <c r="SLC13" s="2" t="n"/>
      <c r="SLD13" s="2" t="n"/>
      <c r="SLE13" s="2" t="n"/>
      <c r="SLF13" s="2" t="n"/>
      <c r="SLG13" s="2" t="n"/>
      <c r="SLH13" s="2" t="n"/>
      <c r="SLI13" s="2" t="n"/>
      <c r="SLJ13" s="2" t="n"/>
      <c r="SLK13" s="2" t="n"/>
      <c r="SLL13" s="2" t="n"/>
      <c r="SLM13" s="2" t="n"/>
      <c r="SLN13" s="2" t="n"/>
      <c r="SLO13" s="2" t="n"/>
      <c r="SLP13" s="2" t="n"/>
      <c r="SLQ13" s="2" t="n"/>
      <c r="SLR13" s="2" t="n"/>
      <c r="SLS13" s="2" t="n"/>
      <c r="SLT13" s="2" t="n"/>
      <c r="SLU13" s="2" t="n"/>
      <c r="SLV13" s="2" t="n"/>
      <c r="SLW13" s="2" t="n"/>
      <c r="SLX13" s="2" t="n"/>
      <c r="SLY13" s="2" t="n"/>
      <c r="SLZ13" s="2" t="n"/>
      <c r="SMA13" s="2" t="n"/>
      <c r="SMB13" s="2" t="n"/>
      <c r="SMC13" s="2" t="n"/>
      <c r="SMD13" s="2" t="n"/>
      <c r="SME13" s="2" t="n"/>
      <c r="SMF13" s="2" t="n"/>
      <c r="SMG13" s="2" t="n"/>
      <c r="SMH13" s="2" t="n"/>
      <c r="SMI13" s="2" t="n"/>
      <c r="SMJ13" s="2" t="n"/>
      <c r="SMK13" s="2" t="n"/>
      <c r="SML13" s="2" t="n"/>
      <c r="SMM13" s="2" t="n"/>
      <c r="SMN13" s="2" t="n"/>
      <c r="SMO13" s="2" t="n"/>
      <c r="SMP13" s="2" t="n"/>
      <c r="SMQ13" s="2" t="n"/>
      <c r="SMR13" s="2" t="n"/>
      <c r="SMS13" s="2" t="n"/>
      <c r="SMT13" s="2" t="n"/>
      <c r="SMU13" s="2" t="n"/>
      <c r="SMV13" s="2" t="n"/>
      <c r="SMW13" s="2" t="n"/>
      <c r="SMX13" s="2" t="n"/>
      <c r="SMY13" s="2" t="n"/>
      <c r="SMZ13" s="2" t="n"/>
      <c r="SNA13" s="2" t="n"/>
      <c r="SNB13" s="2" t="n"/>
      <c r="SNC13" s="2" t="n"/>
      <c r="SND13" s="2" t="n"/>
      <c r="SNE13" s="2" t="n"/>
      <c r="SNF13" s="2" t="n"/>
      <c r="SNG13" s="2" t="n"/>
      <c r="SNH13" s="2" t="n"/>
      <c r="SNI13" s="2" t="n"/>
      <c r="SNJ13" s="2" t="n"/>
      <c r="SNK13" s="2" t="n"/>
      <c r="SNL13" s="2" t="n"/>
      <c r="SNM13" s="2" t="n"/>
      <c r="SNN13" s="2" t="n"/>
      <c r="SNO13" s="2" t="n"/>
      <c r="SNP13" s="2" t="n"/>
      <c r="SNQ13" s="2" t="n"/>
      <c r="SNR13" s="2" t="n"/>
      <c r="SNS13" s="2" t="n"/>
      <c r="SNT13" s="2" t="n"/>
      <c r="SNU13" s="2" t="n"/>
      <c r="SNV13" s="2" t="n"/>
      <c r="SNW13" s="2" t="n"/>
      <c r="SNX13" s="2" t="n"/>
      <c r="SNY13" s="2" t="n"/>
      <c r="SNZ13" s="2" t="n"/>
      <c r="SOA13" s="2" t="n"/>
      <c r="SOB13" s="2" t="n"/>
      <c r="SOC13" s="2" t="n"/>
      <c r="SOD13" s="2" t="n"/>
      <c r="SOE13" s="2" t="n"/>
      <c r="SOF13" s="2" t="n"/>
      <c r="SOG13" s="2" t="n"/>
      <c r="SOH13" s="2" t="n"/>
      <c r="SOI13" s="2" t="n"/>
      <c r="SOJ13" s="2" t="n"/>
      <c r="SOK13" s="2" t="n"/>
      <c r="SOL13" s="2" t="n"/>
      <c r="SOM13" s="2" t="n"/>
      <c r="SON13" s="2" t="n"/>
      <c r="SOO13" s="2" t="n"/>
      <c r="SOP13" s="2" t="n"/>
      <c r="SOQ13" s="2" t="n"/>
      <c r="SOR13" s="2" t="n"/>
      <c r="SOS13" s="2" t="n"/>
      <c r="SOT13" s="2" t="n"/>
      <c r="SOU13" s="2" t="n"/>
      <c r="SOV13" s="2" t="n"/>
      <c r="SOW13" s="2" t="n"/>
      <c r="SOX13" s="2" t="n"/>
      <c r="SOY13" s="2" t="n"/>
      <c r="SOZ13" s="2" t="n"/>
      <c r="SPA13" s="2" t="n"/>
      <c r="SPB13" s="2" t="n"/>
      <c r="SPC13" s="2" t="n"/>
      <c r="SPD13" s="2" t="n"/>
      <c r="SPE13" s="2" t="n"/>
      <c r="SPF13" s="2" t="n"/>
      <c r="SPG13" s="2" t="n"/>
      <c r="SPH13" s="2" t="n"/>
      <c r="SPI13" s="2" t="n"/>
      <c r="SPJ13" s="2" t="n"/>
      <c r="SPK13" s="2" t="n"/>
      <c r="SPL13" s="2" t="n"/>
      <c r="SPM13" s="2" t="n"/>
      <c r="SPN13" s="2" t="n"/>
      <c r="SPO13" s="2" t="n"/>
      <c r="SPP13" s="2" t="n"/>
      <c r="SPQ13" s="2" t="n"/>
      <c r="SPR13" s="2" t="n"/>
      <c r="SPS13" s="2" t="n"/>
      <c r="SPT13" s="2" t="n"/>
      <c r="SPU13" s="2" t="n"/>
      <c r="SPV13" s="2" t="n"/>
      <c r="SPW13" s="2" t="n"/>
      <c r="SPX13" s="2" t="n"/>
      <c r="SPY13" s="2" t="n"/>
      <c r="SPZ13" s="2" t="n"/>
      <c r="SQA13" s="2" t="n"/>
      <c r="SQB13" s="2" t="n"/>
      <c r="SQC13" s="2" t="n"/>
      <c r="SQD13" s="2" t="n"/>
      <c r="SQE13" s="2" t="n"/>
      <c r="SQF13" s="2" t="n"/>
      <c r="SQG13" s="2" t="n"/>
      <c r="SQH13" s="2" t="n"/>
      <c r="SQI13" s="2" t="n"/>
      <c r="SQJ13" s="2" t="n"/>
      <c r="SQK13" s="2" t="n"/>
      <c r="SQL13" s="2" t="n"/>
      <c r="SQM13" s="2" t="n"/>
      <c r="SQN13" s="2" t="n"/>
      <c r="SQO13" s="2" t="n"/>
      <c r="SQP13" s="2" t="n"/>
      <c r="SQQ13" s="2" t="n"/>
      <c r="SQR13" s="2" t="n"/>
      <c r="SQS13" s="2" t="n"/>
      <c r="SQT13" s="2" t="n"/>
      <c r="SQU13" s="2" t="n"/>
      <c r="SQV13" s="2" t="n"/>
      <c r="SQW13" s="2" t="n"/>
      <c r="SQX13" s="2" t="n"/>
      <c r="SQY13" s="2" t="n"/>
      <c r="SQZ13" s="2" t="n"/>
      <c r="SRA13" s="2" t="n"/>
      <c r="SRB13" s="2" t="n"/>
      <c r="SRC13" s="2" t="n"/>
      <c r="SRD13" s="2" t="n"/>
      <c r="SRE13" s="2" t="n"/>
      <c r="SRF13" s="2" t="n"/>
      <c r="SRG13" s="2" t="n"/>
      <c r="SRH13" s="2" t="n"/>
      <c r="SRI13" s="2" t="n"/>
      <c r="SRJ13" s="2" t="n"/>
      <c r="SRK13" s="2" t="n"/>
      <c r="SRL13" s="2" t="n"/>
      <c r="SRM13" s="2" t="n"/>
      <c r="SRN13" s="2" t="n"/>
      <c r="SRO13" s="2" t="n"/>
      <c r="SRP13" s="2" t="n"/>
      <c r="SRQ13" s="2" t="n"/>
      <c r="SRR13" s="2" t="n"/>
      <c r="SRS13" s="2" t="n"/>
      <c r="SRT13" s="2" t="n"/>
      <c r="SRU13" s="2" t="n"/>
      <c r="SRV13" s="2" t="n"/>
      <c r="SRW13" s="2" t="n"/>
      <c r="SRX13" s="2" t="n"/>
      <c r="SRY13" s="2" t="n"/>
      <c r="SRZ13" s="2" t="n"/>
      <c r="SSA13" s="2" t="n"/>
      <c r="SSB13" s="2" t="n"/>
      <c r="SSC13" s="2" t="n"/>
      <c r="SSD13" s="2" t="n"/>
      <c r="SSE13" s="2" t="n"/>
      <c r="SSF13" s="2" t="n"/>
      <c r="SSG13" s="2" t="n"/>
      <c r="SSH13" s="2" t="n"/>
      <c r="SSI13" s="2" t="n"/>
      <c r="SSJ13" s="2" t="n"/>
      <c r="SSK13" s="2" t="n"/>
      <c r="SSL13" s="2" t="n"/>
      <c r="SSM13" s="2" t="n"/>
      <c r="SSN13" s="2" t="n"/>
      <c r="SSO13" s="2" t="n"/>
      <c r="SSP13" s="2" t="n"/>
      <c r="SSQ13" s="2" t="n"/>
      <c r="SSR13" s="2" t="n"/>
      <c r="SSS13" s="2" t="n"/>
      <c r="SST13" s="2" t="n"/>
      <c r="SSU13" s="2" t="n"/>
      <c r="SSV13" s="2" t="n"/>
      <c r="SSW13" s="2" t="n"/>
      <c r="SSX13" s="2" t="n"/>
      <c r="SSY13" s="2" t="n"/>
      <c r="SSZ13" s="2" t="n"/>
      <c r="STA13" s="2" t="n"/>
      <c r="STB13" s="2" t="n"/>
      <c r="STC13" s="2" t="n"/>
      <c r="STD13" s="2" t="n"/>
      <c r="STE13" s="2" t="n"/>
      <c r="STF13" s="2" t="n"/>
      <c r="STG13" s="2" t="n"/>
      <c r="STH13" s="2" t="n"/>
      <c r="STI13" s="2" t="n"/>
      <c r="STJ13" s="2" t="n"/>
      <c r="STK13" s="2" t="n"/>
      <c r="STL13" s="2" t="n"/>
      <c r="STM13" s="2" t="n"/>
      <c r="STN13" s="2" t="n"/>
      <c r="STO13" s="2" t="n"/>
      <c r="STP13" s="2" t="n"/>
      <c r="STQ13" s="2" t="n"/>
      <c r="STR13" s="2" t="n"/>
      <c r="STS13" s="2" t="n"/>
      <c r="STT13" s="2" t="n"/>
      <c r="STU13" s="2" t="n"/>
      <c r="STV13" s="2" t="n"/>
      <c r="STW13" s="2" t="n"/>
      <c r="STX13" s="2" t="n"/>
      <c r="STY13" s="2" t="n"/>
      <c r="STZ13" s="2" t="n"/>
      <c r="SUA13" s="2" t="n"/>
      <c r="SUB13" s="2" t="n"/>
      <c r="SUC13" s="2" t="n"/>
      <c r="SUD13" s="2" t="n"/>
      <c r="SUE13" s="2" t="n"/>
      <c r="SUF13" s="2" t="n"/>
      <c r="SUG13" s="2" t="n"/>
      <c r="SUH13" s="2" t="n"/>
      <c r="SUI13" s="2" t="n"/>
      <c r="SUJ13" s="2" t="n"/>
      <c r="SUK13" s="2" t="n"/>
      <c r="SUL13" s="2" t="n"/>
      <c r="SUM13" s="2" t="n"/>
      <c r="SUN13" s="2" t="n"/>
      <c r="SUO13" s="2" t="n"/>
      <c r="SUP13" s="2" t="n"/>
      <c r="SUQ13" s="2" t="n"/>
      <c r="SUR13" s="2" t="n"/>
      <c r="SUS13" s="2" t="n"/>
      <c r="SUT13" s="2" t="n"/>
      <c r="SUU13" s="2" t="n"/>
      <c r="SUV13" s="2" t="n"/>
      <c r="SUW13" s="2" t="n"/>
      <c r="SUX13" s="2" t="n"/>
      <c r="SUY13" s="2" t="n"/>
      <c r="SUZ13" s="2" t="n"/>
      <c r="SVA13" s="2" t="n"/>
      <c r="SVB13" s="2" t="n"/>
      <c r="SVC13" s="2" t="n"/>
      <c r="SVD13" s="2" t="n"/>
      <c r="SVE13" s="2" t="n"/>
      <c r="SVF13" s="2" t="n"/>
      <c r="SVG13" s="2" t="n"/>
      <c r="SVH13" s="2" t="n"/>
      <c r="SVI13" s="2" t="n"/>
      <c r="SVJ13" s="2" t="n"/>
      <c r="SVK13" s="2" t="n"/>
      <c r="SVL13" s="2" t="n"/>
      <c r="SVM13" s="2" t="n"/>
      <c r="SVN13" s="2" t="n"/>
      <c r="SVO13" s="2" t="n"/>
      <c r="SVP13" s="2" t="n"/>
      <c r="SVQ13" s="2" t="n"/>
      <c r="SVR13" s="2" t="n"/>
      <c r="SVS13" s="2" t="n"/>
      <c r="SVT13" s="2" t="n"/>
      <c r="SVU13" s="2" t="n"/>
      <c r="SVV13" s="2" t="n"/>
      <c r="SVW13" s="2" t="n"/>
      <c r="SVX13" s="2" t="n"/>
      <c r="SVY13" s="2" t="n"/>
      <c r="SVZ13" s="2" t="n"/>
      <c r="SWA13" s="2" t="n"/>
      <c r="SWB13" s="2" t="n"/>
      <c r="SWC13" s="2" t="n"/>
      <c r="SWD13" s="2" t="n"/>
      <c r="SWE13" s="2" t="n"/>
      <c r="SWF13" s="2" t="n"/>
      <c r="SWG13" s="2" t="n"/>
      <c r="SWH13" s="2" t="n"/>
      <c r="SWI13" s="2" t="n"/>
      <c r="SWJ13" s="2" t="n"/>
      <c r="SWK13" s="2" t="n"/>
      <c r="SWL13" s="2" t="n"/>
      <c r="SWM13" s="2" t="n"/>
      <c r="SWN13" s="2" t="n"/>
      <c r="SWO13" s="2" t="n"/>
      <c r="SWP13" s="2" t="n"/>
      <c r="SWQ13" s="2" t="n"/>
      <c r="SWR13" s="2" t="n"/>
      <c r="SWS13" s="2" t="n"/>
      <c r="SWT13" s="2" t="n"/>
      <c r="SWU13" s="2" t="n"/>
      <c r="SWV13" s="2" t="n"/>
      <c r="SWW13" s="2" t="n"/>
      <c r="SWX13" s="2" t="n"/>
      <c r="SWY13" s="2" t="n"/>
      <c r="SWZ13" s="2" t="n"/>
      <c r="SXA13" s="2" t="n"/>
      <c r="SXB13" s="2" t="n"/>
      <c r="SXC13" s="2" t="n"/>
      <c r="SXD13" s="2" t="n"/>
      <c r="SXE13" s="2" t="n"/>
      <c r="SXF13" s="2" t="n"/>
      <c r="SXG13" s="2" t="n"/>
      <c r="SXH13" s="2" t="n"/>
      <c r="SXI13" s="2" t="n"/>
      <c r="SXJ13" s="2" t="n"/>
      <c r="SXK13" s="2" t="n"/>
      <c r="SXL13" s="2" t="n"/>
      <c r="SXM13" s="2" t="n"/>
      <c r="SXN13" s="2" t="n"/>
      <c r="SXO13" s="2" t="n"/>
      <c r="SXP13" s="2" t="n"/>
      <c r="SXQ13" s="2" t="n"/>
      <c r="SXR13" s="2" t="n"/>
      <c r="SXS13" s="2" t="n"/>
      <c r="SXT13" s="2" t="n"/>
      <c r="SXU13" s="2" t="n"/>
      <c r="SXV13" s="2" t="n"/>
      <c r="SXW13" s="2" t="n"/>
      <c r="SXX13" s="2" t="n"/>
      <c r="SXY13" s="2" t="n"/>
      <c r="SXZ13" s="2" t="n"/>
      <c r="SYA13" s="2" t="n"/>
      <c r="SYB13" s="2" t="n"/>
      <c r="SYC13" s="2" t="n"/>
      <c r="SYD13" s="2" t="n"/>
      <c r="SYE13" s="2" t="n"/>
      <c r="SYF13" s="2" t="n"/>
      <c r="SYG13" s="2" t="n"/>
      <c r="SYH13" s="2" t="n"/>
      <c r="SYI13" s="2" t="n"/>
      <c r="SYJ13" s="2" t="n"/>
      <c r="SYK13" s="2" t="n"/>
      <c r="SYL13" s="2" t="n"/>
      <c r="SYM13" s="2" t="n"/>
      <c r="SYN13" s="2" t="n"/>
      <c r="SYO13" s="2" t="n"/>
      <c r="SYP13" s="2" t="n"/>
      <c r="SYQ13" s="2" t="n"/>
      <c r="SYR13" s="2" t="n"/>
      <c r="SYS13" s="2" t="n"/>
      <c r="SYT13" s="2" t="n"/>
      <c r="SYU13" s="2" t="n"/>
      <c r="SYV13" s="2" t="n"/>
      <c r="SYW13" s="2" t="n"/>
      <c r="SYX13" s="2" t="n"/>
      <c r="SYY13" s="2" t="n"/>
      <c r="SYZ13" s="2" t="n"/>
      <c r="SZA13" s="2" t="n"/>
      <c r="SZB13" s="2" t="n"/>
      <c r="SZC13" s="2" t="n"/>
      <c r="SZD13" s="2" t="n"/>
      <c r="SZE13" s="2" t="n"/>
      <c r="SZF13" s="2" t="n"/>
      <c r="SZG13" s="2" t="n"/>
      <c r="SZH13" s="2" t="n"/>
      <c r="SZI13" s="2" t="n"/>
      <c r="SZJ13" s="2" t="n"/>
      <c r="SZK13" s="2" t="n"/>
      <c r="SZL13" s="2" t="n"/>
      <c r="SZM13" s="2" t="n"/>
      <c r="SZN13" s="2" t="n"/>
      <c r="SZO13" s="2" t="n"/>
      <c r="SZP13" s="2" t="n"/>
      <c r="SZQ13" s="2" t="n"/>
      <c r="SZR13" s="2" t="n"/>
      <c r="SZS13" s="2" t="n"/>
      <c r="SZT13" s="2" t="n"/>
      <c r="SZU13" s="2" t="n"/>
      <c r="SZV13" s="2" t="n"/>
      <c r="SZW13" s="2" t="n"/>
      <c r="SZX13" s="2" t="n"/>
      <c r="SZY13" s="2" t="n"/>
      <c r="SZZ13" s="2" t="n"/>
      <c r="TAA13" s="2" t="n"/>
      <c r="TAB13" s="2" t="n"/>
      <c r="TAC13" s="2" t="n"/>
      <c r="TAD13" s="2" t="n"/>
      <c r="TAE13" s="2" t="n"/>
      <c r="TAF13" s="2" t="n"/>
      <c r="TAG13" s="2" t="n"/>
      <c r="TAH13" s="2" t="n"/>
      <c r="TAI13" s="2" t="n"/>
      <c r="TAJ13" s="2" t="n"/>
      <c r="TAK13" s="2" t="n"/>
      <c r="TAL13" s="2" t="n"/>
      <c r="TAM13" s="2" t="n"/>
      <c r="TAN13" s="2" t="n"/>
      <c r="TAO13" s="2" t="n"/>
      <c r="TAP13" s="2" t="n"/>
      <c r="TAQ13" s="2" t="n"/>
      <c r="TAR13" s="2" t="n"/>
      <c r="TAS13" s="2" t="n"/>
      <c r="TAT13" s="2" t="n"/>
      <c r="TAU13" s="2" t="n"/>
      <c r="TAV13" s="2" t="n"/>
      <c r="TAW13" s="2" t="n"/>
      <c r="TAX13" s="2" t="n"/>
      <c r="TAY13" s="2" t="n"/>
      <c r="TAZ13" s="2" t="n"/>
      <c r="TBA13" s="2" t="n"/>
      <c r="TBB13" s="2" t="n"/>
      <c r="TBC13" s="2" t="n"/>
      <c r="TBD13" s="2" t="n"/>
      <c r="TBE13" s="2" t="n"/>
      <c r="TBF13" s="2" t="n"/>
      <c r="TBG13" s="2" t="n"/>
      <c r="TBH13" s="2" t="n"/>
      <c r="TBI13" s="2" t="n"/>
      <c r="TBJ13" s="2" t="n"/>
      <c r="TBK13" s="2" t="n"/>
      <c r="TBL13" s="2" t="n"/>
      <c r="TBM13" s="2" t="n"/>
      <c r="TBN13" s="2" t="n"/>
      <c r="TBO13" s="2" t="n"/>
      <c r="TBP13" s="2" t="n"/>
      <c r="TBQ13" s="2" t="n"/>
      <c r="TBR13" s="2" t="n"/>
      <c r="TBS13" s="2" t="n"/>
      <c r="TBT13" s="2" t="n"/>
      <c r="TBU13" s="2" t="n"/>
      <c r="TBV13" s="2" t="n"/>
      <c r="TBW13" s="2" t="n"/>
      <c r="TBX13" s="2" t="n"/>
      <c r="TBY13" s="2" t="n"/>
      <c r="TBZ13" s="2" t="n"/>
      <c r="TCA13" s="2" t="n"/>
      <c r="TCB13" s="2" t="n"/>
      <c r="TCC13" s="2" t="n"/>
      <c r="TCD13" s="2" t="n"/>
      <c r="TCE13" s="2" t="n"/>
      <c r="TCF13" s="2" t="n"/>
      <c r="TCG13" s="2" t="n"/>
      <c r="TCH13" s="2" t="n"/>
      <c r="TCI13" s="2" t="n"/>
      <c r="TCJ13" s="2" t="n"/>
      <c r="TCK13" s="2" t="n"/>
      <c r="TCL13" s="2" t="n"/>
      <c r="TCM13" s="2" t="n"/>
      <c r="TCN13" s="2" t="n"/>
      <c r="TCO13" s="2" t="n"/>
      <c r="TCP13" s="2" t="n"/>
      <c r="TCQ13" s="2" t="n"/>
      <c r="TCR13" s="2" t="n"/>
      <c r="TCS13" s="2" t="n"/>
      <c r="TCT13" s="2" t="n"/>
      <c r="TCU13" s="2" t="n"/>
      <c r="TCV13" s="2" t="n"/>
      <c r="TCW13" s="2" t="n"/>
      <c r="TCX13" s="2" t="n"/>
      <c r="TCY13" s="2" t="n"/>
      <c r="TCZ13" s="2" t="n"/>
      <c r="TDA13" s="2" t="n"/>
      <c r="TDB13" s="2" t="n"/>
      <c r="TDC13" s="2" t="n"/>
      <c r="TDD13" s="2" t="n"/>
      <c r="TDE13" s="2" t="n"/>
      <c r="TDF13" s="2" t="n"/>
      <c r="TDG13" s="2" t="n"/>
      <c r="TDH13" s="2" t="n"/>
      <c r="TDI13" s="2" t="n"/>
      <c r="TDJ13" s="2" t="n"/>
      <c r="TDK13" s="2" t="n"/>
      <c r="TDL13" s="2" t="n"/>
      <c r="TDM13" s="2" t="n"/>
      <c r="TDN13" s="2" t="n"/>
      <c r="TDO13" s="2" t="n"/>
      <c r="TDP13" s="2" t="n"/>
      <c r="TDQ13" s="2" t="n"/>
      <c r="TDR13" s="2" t="n"/>
      <c r="TDS13" s="2" t="n"/>
      <c r="TDT13" s="2" t="n"/>
      <c r="TDU13" s="2" t="n"/>
      <c r="TDV13" s="2" t="n"/>
      <c r="TDW13" s="2" t="n"/>
      <c r="TDX13" s="2" t="n"/>
      <c r="TDY13" s="2" t="n"/>
      <c r="TDZ13" s="2" t="n"/>
      <c r="TEA13" s="2" t="n"/>
      <c r="TEB13" s="2" t="n"/>
      <c r="TEC13" s="2" t="n"/>
      <c r="TED13" s="2" t="n"/>
      <c r="TEE13" s="2" t="n"/>
      <c r="TEF13" s="2" t="n"/>
      <c r="TEG13" s="2" t="n"/>
      <c r="TEH13" s="2" t="n"/>
      <c r="TEI13" s="2" t="n"/>
      <c r="TEJ13" s="2" t="n"/>
      <c r="TEK13" s="2" t="n"/>
      <c r="TEL13" s="2" t="n"/>
      <c r="TEM13" s="2" t="n"/>
      <c r="TEN13" s="2" t="n"/>
      <c r="TEO13" s="2" t="n"/>
      <c r="TEP13" s="2" t="n"/>
      <c r="TEQ13" s="2" t="n"/>
      <c r="TER13" s="2" t="n"/>
      <c r="TES13" s="2" t="n"/>
      <c r="TET13" s="2" t="n"/>
      <c r="TEU13" s="2" t="n"/>
      <c r="TEV13" s="2" t="n"/>
      <c r="TEW13" s="2" t="n"/>
      <c r="TEX13" s="2" t="n"/>
      <c r="TEY13" s="2" t="n"/>
      <c r="TEZ13" s="2" t="n"/>
      <c r="TFA13" s="2" t="n"/>
      <c r="TFB13" s="2" t="n"/>
      <c r="TFC13" s="2" t="n"/>
      <c r="TFD13" s="2" t="n"/>
      <c r="TFE13" s="2" t="n"/>
      <c r="TFF13" s="2" t="n"/>
      <c r="TFG13" s="2" t="n"/>
      <c r="TFH13" s="2" t="n"/>
      <c r="TFI13" s="2" t="n"/>
      <c r="TFJ13" s="2" t="n"/>
      <c r="TFK13" s="2" t="n"/>
      <c r="TFL13" s="2" t="n"/>
      <c r="TFM13" s="2" t="n"/>
      <c r="TFN13" s="2" t="n"/>
      <c r="TFO13" s="2" t="n"/>
      <c r="TFP13" s="2" t="n"/>
      <c r="TFQ13" s="2" t="n"/>
      <c r="TFR13" s="2" t="n"/>
      <c r="TFS13" s="2" t="n"/>
      <c r="TFT13" s="2" t="n"/>
      <c r="TFU13" s="2" t="n"/>
      <c r="TFV13" s="2" t="n"/>
      <c r="TFW13" s="2" t="n"/>
      <c r="TFX13" s="2" t="n"/>
      <c r="TFY13" s="2" t="n"/>
      <c r="TFZ13" s="2" t="n"/>
      <c r="TGA13" s="2" t="n"/>
      <c r="TGB13" s="2" t="n"/>
      <c r="TGC13" s="2" t="n"/>
      <c r="TGD13" s="2" t="n"/>
      <c r="TGE13" s="2" t="n"/>
      <c r="TGF13" s="2" t="n"/>
      <c r="TGG13" s="2" t="n"/>
      <c r="TGH13" s="2" t="n"/>
      <c r="TGI13" s="2" t="n"/>
      <c r="TGJ13" s="2" t="n"/>
      <c r="TGK13" s="2" t="n"/>
      <c r="TGL13" s="2" t="n"/>
      <c r="TGM13" s="2" t="n"/>
      <c r="TGN13" s="2" t="n"/>
      <c r="TGO13" s="2" t="n"/>
      <c r="TGP13" s="2" t="n"/>
      <c r="TGQ13" s="2" t="n"/>
      <c r="TGR13" s="2" t="n"/>
      <c r="TGS13" s="2" t="n"/>
      <c r="TGT13" s="2" t="n"/>
      <c r="TGU13" s="2" t="n"/>
      <c r="TGV13" s="2" t="n"/>
      <c r="TGW13" s="2" t="n"/>
      <c r="TGX13" s="2" t="n"/>
      <c r="TGY13" s="2" t="n"/>
      <c r="TGZ13" s="2" t="n"/>
      <c r="THA13" s="2" t="n"/>
      <c r="THB13" s="2" t="n"/>
      <c r="THC13" s="2" t="n"/>
      <c r="THD13" s="2" t="n"/>
      <c r="THE13" s="2" t="n"/>
      <c r="THF13" s="2" t="n"/>
      <c r="THG13" s="2" t="n"/>
      <c r="THH13" s="2" t="n"/>
      <c r="THI13" s="2" t="n"/>
      <c r="THJ13" s="2" t="n"/>
      <c r="THK13" s="2" t="n"/>
      <c r="THL13" s="2" t="n"/>
      <c r="THM13" s="2" t="n"/>
      <c r="THN13" s="2" t="n"/>
      <c r="THO13" s="2" t="n"/>
      <c r="THP13" s="2" t="n"/>
      <c r="THQ13" s="2" t="n"/>
      <c r="THR13" s="2" t="n"/>
      <c r="THS13" s="2" t="n"/>
      <c r="THT13" s="2" t="n"/>
      <c r="THU13" s="2" t="n"/>
      <c r="THV13" s="2" t="n"/>
      <c r="THW13" s="2" t="n"/>
      <c r="THX13" s="2" t="n"/>
      <c r="THY13" s="2" t="n"/>
      <c r="THZ13" s="2" t="n"/>
      <c r="TIA13" s="2" t="n"/>
      <c r="TIB13" s="2" t="n"/>
      <c r="TIC13" s="2" t="n"/>
      <c r="TID13" s="2" t="n"/>
      <c r="TIE13" s="2" t="n"/>
      <c r="TIF13" s="2" t="n"/>
      <c r="TIG13" s="2" t="n"/>
      <c r="TIH13" s="2" t="n"/>
      <c r="TII13" s="2" t="n"/>
      <c r="TIJ13" s="2" t="n"/>
      <c r="TIK13" s="2" t="n"/>
      <c r="TIL13" s="2" t="n"/>
      <c r="TIM13" s="2" t="n"/>
      <c r="TIN13" s="2" t="n"/>
      <c r="TIO13" s="2" t="n"/>
      <c r="TIP13" s="2" t="n"/>
      <c r="TIQ13" s="2" t="n"/>
      <c r="TIR13" s="2" t="n"/>
      <c r="TIS13" s="2" t="n"/>
      <c r="TIT13" s="2" t="n"/>
      <c r="TIU13" s="2" t="n"/>
      <c r="TIV13" s="2" t="n"/>
      <c r="TIW13" s="2" t="n"/>
      <c r="TIX13" s="2" t="n"/>
      <c r="TIY13" s="2" t="n"/>
      <c r="TIZ13" s="2" t="n"/>
      <c r="TJA13" s="2" t="n"/>
      <c r="TJB13" s="2" t="n"/>
      <c r="TJC13" s="2" t="n"/>
      <c r="TJD13" s="2" t="n"/>
      <c r="TJE13" s="2" t="n"/>
      <c r="TJF13" s="2" t="n"/>
      <c r="TJG13" s="2" t="n"/>
      <c r="TJH13" s="2" t="n"/>
      <c r="TJI13" s="2" t="n"/>
      <c r="TJJ13" s="2" t="n"/>
      <c r="TJK13" s="2" t="n"/>
      <c r="TJL13" s="2" t="n"/>
      <c r="TJM13" s="2" t="n"/>
      <c r="TJN13" s="2" t="n"/>
      <c r="TJO13" s="2" t="n"/>
      <c r="TJP13" s="2" t="n"/>
      <c r="TJQ13" s="2" t="n"/>
      <c r="TJR13" s="2" t="n"/>
      <c r="TJS13" s="2" t="n"/>
      <c r="TJT13" s="2" t="n"/>
      <c r="TJU13" s="2" t="n"/>
      <c r="TJV13" s="2" t="n"/>
      <c r="TJW13" s="2" t="n"/>
      <c r="TJX13" s="2" t="n"/>
      <c r="TJY13" s="2" t="n"/>
      <c r="TJZ13" s="2" t="n"/>
      <c r="TKA13" s="2" t="n"/>
      <c r="TKB13" s="2" t="n"/>
      <c r="TKC13" s="2" t="n"/>
      <c r="TKD13" s="2" t="n"/>
      <c r="TKE13" s="2" t="n"/>
      <c r="TKF13" s="2" t="n"/>
      <c r="TKG13" s="2" t="n"/>
      <c r="TKH13" s="2" t="n"/>
      <c r="TKI13" s="2" t="n"/>
      <c r="TKJ13" s="2" t="n"/>
      <c r="TKK13" s="2" t="n"/>
      <c r="TKL13" s="2" t="n"/>
      <c r="TKM13" s="2" t="n"/>
      <c r="TKN13" s="2" t="n"/>
      <c r="TKO13" s="2" t="n"/>
      <c r="TKP13" s="2" t="n"/>
      <c r="TKQ13" s="2" t="n"/>
      <c r="TKR13" s="2" t="n"/>
      <c r="TKS13" s="2" t="n"/>
      <c r="TKT13" s="2" t="n"/>
      <c r="TKU13" s="2" t="n"/>
      <c r="TKV13" s="2" t="n"/>
      <c r="TKW13" s="2" t="n"/>
      <c r="TKX13" s="2" t="n"/>
      <c r="TKY13" s="2" t="n"/>
      <c r="TKZ13" s="2" t="n"/>
      <c r="TLA13" s="2" t="n"/>
      <c r="TLB13" s="2" t="n"/>
      <c r="TLC13" s="2" t="n"/>
      <c r="TLD13" s="2" t="n"/>
      <c r="TLE13" s="2" t="n"/>
      <c r="TLF13" s="2" t="n"/>
      <c r="TLG13" s="2" t="n"/>
      <c r="TLH13" s="2" t="n"/>
      <c r="TLI13" s="2" t="n"/>
      <c r="TLJ13" s="2" t="n"/>
      <c r="TLK13" s="2" t="n"/>
      <c r="TLL13" s="2" t="n"/>
      <c r="TLM13" s="2" t="n"/>
      <c r="TLN13" s="2" t="n"/>
      <c r="TLO13" s="2" t="n"/>
      <c r="TLP13" s="2" t="n"/>
      <c r="TLQ13" s="2" t="n"/>
      <c r="TLR13" s="2" t="n"/>
      <c r="TLS13" s="2" t="n"/>
      <c r="TLT13" s="2" t="n"/>
      <c r="TLU13" s="2" t="n"/>
      <c r="TLV13" s="2" t="n"/>
      <c r="TLW13" s="2" t="n"/>
      <c r="TLX13" s="2" t="n"/>
      <c r="TLY13" s="2" t="n"/>
      <c r="TLZ13" s="2" t="n"/>
      <c r="TMA13" s="2" t="n"/>
      <c r="TMB13" s="2" t="n"/>
      <c r="TMC13" s="2" t="n"/>
      <c r="TMD13" s="2" t="n"/>
      <c r="TME13" s="2" t="n"/>
      <c r="TMF13" s="2" t="n"/>
      <c r="TMG13" s="2" t="n"/>
      <c r="TMH13" s="2" t="n"/>
      <c r="TMI13" s="2" t="n"/>
      <c r="TMJ13" s="2" t="n"/>
      <c r="TMK13" s="2" t="n"/>
      <c r="TML13" s="2" t="n"/>
      <c r="TMM13" s="2" t="n"/>
      <c r="TMN13" s="2" t="n"/>
      <c r="TMO13" s="2" t="n"/>
      <c r="TMP13" s="2" t="n"/>
      <c r="TMQ13" s="2" t="n"/>
      <c r="TMR13" s="2" t="n"/>
      <c r="TMS13" s="2" t="n"/>
      <c r="TMT13" s="2" t="n"/>
      <c r="TMU13" s="2" t="n"/>
      <c r="TMV13" s="2" t="n"/>
      <c r="TMW13" s="2" t="n"/>
      <c r="TMX13" s="2" t="n"/>
      <c r="TMY13" s="2" t="n"/>
      <c r="TMZ13" s="2" t="n"/>
      <c r="TNA13" s="2" t="n"/>
      <c r="TNB13" s="2" t="n"/>
      <c r="TNC13" s="2" t="n"/>
      <c r="TND13" s="2" t="n"/>
      <c r="TNE13" s="2" t="n"/>
      <c r="TNF13" s="2" t="n"/>
      <c r="TNG13" s="2" t="n"/>
      <c r="TNH13" s="2" t="n"/>
      <c r="TNI13" s="2" t="n"/>
      <c r="TNJ13" s="2" t="n"/>
      <c r="TNK13" s="2" t="n"/>
      <c r="TNL13" s="2" t="n"/>
      <c r="TNM13" s="2" t="n"/>
      <c r="TNN13" s="2" t="n"/>
      <c r="TNO13" s="2" t="n"/>
      <c r="TNP13" s="2" t="n"/>
      <c r="TNQ13" s="2" t="n"/>
      <c r="TNR13" s="2" t="n"/>
      <c r="TNS13" s="2" t="n"/>
      <c r="TNT13" s="2" t="n"/>
      <c r="TNU13" s="2" t="n"/>
      <c r="TNV13" s="2" t="n"/>
      <c r="TNW13" s="2" t="n"/>
      <c r="TNX13" s="2" t="n"/>
      <c r="TNY13" s="2" t="n"/>
      <c r="TNZ13" s="2" t="n"/>
      <c r="TOA13" s="2" t="n"/>
      <c r="TOB13" s="2" t="n"/>
      <c r="TOC13" s="2" t="n"/>
      <c r="TOD13" s="2" t="n"/>
      <c r="TOE13" s="2" t="n"/>
      <c r="TOF13" s="2" t="n"/>
      <c r="TOG13" s="2" t="n"/>
      <c r="TOH13" s="2" t="n"/>
      <c r="TOI13" s="2" t="n"/>
      <c r="TOJ13" s="2" t="n"/>
      <c r="TOK13" s="2" t="n"/>
      <c r="TOL13" s="2" t="n"/>
      <c r="TOM13" s="2" t="n"/>
      <c r="TON13" s="2" t="n"/>
      <c r="TOO13" s="2" t="n"/>
      <c r="TOP13" s="2" t="n"/>
      <c r="TOQ13" s="2" t="n"/>
      <c r="TOR13" s="2" t="n"/>
      <c r="TOS13" s="2" t="n"/>
      <c r="TOT13" s="2" t="n"/>
      <c r="TOU13" s="2" t="n"/>
      <c r="TOV13" s="2" t="n"/>
      <c r="TOW13" s="2" t="n"/>
      <c r="TOX13" s="2" t="n"/>
      <c r="TOY13" s="2" t="n"/>
      <c r="TOZ13" s="2" t="n"/>
      <c r="TPA13" s="2" t="n"/>
      <c r="TPB13" s="2" t="n"/>
      <c r="TPC13" s="2" t="n"/>
      <c r="TPD13" s="2" t="n"/>
      <c r="TPE13" s="2" t="n"/>
      <c r="TPF13" s="2" t="n"/>
      <c r="TPG13" s="2" t="n"/>
      <c r="TPH13" s="2" t="n"/>
      <c r="TPI13" s="2" t="n"/>
      <c r="TPJ13" s="2" t="n"/>
      <c r="TPK13" s="2" t="n"/>
      <c r="TPL13" s="2" t="n"/>
      <c r="TPM13" s="2" t="n"/>
      <c r="TPN13" s="2" t="n"/>
      <c r="TPO13" s="2" t="n"/>
      <c r="TPP13" s="2" t="n"/>
      <c r="TPQ13" s="2" t="n"/>
      <c r="TPR13" s="2" t="n"/>
      <c r="TPS13" s="2" t="n"/>
      <c r="TPT13" s="2" t="n"/>
      <c r="TPU13" s="2" t="n"/>
      <c r="TPV13" s="2" t="n"/>
      <c r="TPW13" s="2" t="n"/>
      <c r="TPX13" s="2" t="n"/>
      <c r="TPY13" s="2" t="n"/>
      <c r="TPZ13" s="2" t="n"/>
      <c r="TQA13" s="2" t="n"/>
      <c r="TQB13" s="2" t="n"/>
      <c r="TQC13" s="2" t="n"/>
      <c r="TQD13" s="2" t="n"/>
      <c r="TQE13" s="2" t="n"/>
      <c r="TQF13" s="2" t="n"/>
      <c r="TQG13" s="2" t="n"/>
      <c r="TQH13" s="2" t="n"/>
      <c r="TQI13" s="2" t="n"/>
      <c r="TQJ13" s="2" t="n"/>
      <c r="TQK13" s="2" t="n"/>
      <c r="TQL13" s="2" t="n"/>
      <c r="TQM13" s="2" t="n"/>
      <c r="TQN13" s="2" t="n"/>
      <c r="TQO13" s="2" t="n"/>
      <c r="TQP13" s="2" t="n"/>
      <c r="TQQ13" s="2" t="n"/>
      <c r="TQR13" s="2" t="n"/>
      <c r="TQS13" s="2" t="n"/>
      <c r="TQT13" s="2" t="n"/>
      <c r="TQU13" s="2" t="n"/>
      <c r="TQV13" s="2" t="n"/>
      <c r="TQW13" s="2" t="n"/>
      <c r="TQX13" s="2" t="n"/>
      <c r="TQY13" s="2" t="n"/>
      <c r="TQZ13" s="2" t="n"/>
      <c r="TRA13" s="2" t="n"/>
      <c r="TRB13" s="2" t="n"/>
      <c r="TRC13" s="2" t="n"/>
      <c r="TRD13" s="2" t="n"/>
      <c r="TRE13" s="2" t="n"/>
      <c r="TRF13" s="2" t="n"/>
      <c r="TRG13" s="2" t="n"/>
      <c r="TRH13" s="2" t="n"/>
      <c r="TRI13" s="2" t="n"/>
      <c r="TRJ13" s="2" t="n"/>
      <c r="TRK13" s="2" t="n"/>
      <c r="TRL13" s="2" t="n"/>
      <c r="TRM13" s="2" t="n"/>
      <c r="TRN13" s="2" t="n"/>
      <c r="TRO13" s="2" t="n"/>
      <c r="TRP13" s="2" t="n"/>
      <c r="TRQ13" s="2" t="n"/>
      <c r="TRR13" s="2" t="n"/>
      <c r="TRS13" s="2" t="n"/>
      <c r="TRT13" s="2" t="n"/>
      <c r="TRU13" s="2" t="n"/>
      <c r="TRV13" s="2" t="n"/>
      <c r="TRW13" s="2" t="n"/>
      <c r="TRX13" s="2" t="n"/>
      <c r="TRY13" s="2" t="n"/>
      <c r="TRZ13" s="2" t="n"/>
      <c r="TSA13" s="2" t="n"/>
      <c r="TSB13" s="2" t="n"/>
      <c r="TSC13" s="2" t="n"/>
      <c r="TSD13" s="2" t="n"/>
      <c r="TSE13" s="2" t="n"/>
      <c r="TSF13" s="2" t="n"/>
      <c r="TSG13" s="2" t="n"/>
      <c r="TSH13" s="2" t="n"/>
      <c r="TSI13" s="2" t="n"/>
      <c r="TSJ13" s="2" t="n"/>
      <c r="TSK13" s="2" t="n"/>
      <c r="TSL13" s="2" t="n"/>
      <c r="TSM13" s="2" t="n"/>
      <c r="TSN13" s="2" t="n"/>
      <c r="TSO13" s="2" t="n"/>
      <c r="TSP13" s="2" t="n"/>
      <c r="TSQ13" s="2" t="n"/>
      <c r="TSR13" s="2" t="n"/>
      <c r="TSS13" s="2" t="n"/>
      <c r="TST13" s="2" t="n"/>
      <c r="TSU13" s="2" t="n"/>
      <c r="TSV13" s="2" t="n"/>
      <c r="TSW13" s="2" t="n"/>
      <c r="TSX13" s="2" t="n"/>
      <c r="TSY13" s="2" t="n"/>
      <c r="TSZ13" s="2" t="n"/>
      <c r="TTA13" s="2" t="n"/>
      <c r="TTB13" s="2" t="n"/>
      <c r="TTC13" s="2" t="n"/>
      <c r="TTD13" s="2" t="n"/>
      <c r="TTE13" s="2" t="n"/>
      <c r="TTF13" s="2" t="n"/>
      <c r="TTG13" s="2" t="n"/>
      <c r="TTH13" s="2" t="n"/>
      <c r="TTI13" s="2" t="n"/>
      <c r="TTJ13" s="2" t="n"/>
      <c r="TTK13" s="2" t="n"/>
      <c r="TTL13" s="2" t="n"/>
      <c r="TTM13" s="2" t="n"/>
      <c r="TTN13" s="2" t="n"/>
      <c r="TTO13" s="2" t="n"/>
      <c r="TTP13" s="2" t="n"/>
      <c r="TTQ13" s="2" t="n"/>
      <c r="TTR13" s="2" t="n"/>
      <c r="TTS13" s="2" t="n"/>
      <c r="TTT13" s="2" t="n"/>
      <c r="TTU13" s="2" t="n"/>
      <c r="TTV13" s="2" t="n"/>
      <c r="TTW13" s="2" t="n"/>
      <c r="TTX13" s="2" t="n"/>
      <c r="TTY13" s="2" t="n"/>
      <c r="TTZ13" s="2" t="n"/>
      <c r="TUA13" s="2" t="n"/>
      <c r="TUB13" s="2" t="n"/>
      <c r="TUC13" s="2" t="n"/>
      <c r="TUD13" s="2" t="n"/>
      <c r="TUE13" s="2" t="n"/>
      <c r="TUF13" s="2" t="n"/>
      <c r="TUG13" s="2" t="n"/>
      <c r="TUH13" s="2" t="n"/>
      <c r="TUI13" s="2" t="n"/>
      <c r="TUJ13" s="2" t="n"/>
      <c r="TUK13" s="2" t="n"/>
      <c r="TUL13" s="2" t="n"/>
      <c r="TUM13" s="2" t="n"/>
      <c r="TUN13" s="2" t="n"/>
      <c r="TUO13" s="2" t="n"/>
      <c r="TUP13" s="2" t="n"/>
      <c r="TUQ13" s="2" t="n"/>
      <c r="TUR13" s="2" t="n"/>
      <c r="TUS13" s="2" t="n"/>
      <c r="TUT13" s="2" t="n"/>
      <c r="TUU13" s="2" t="n"/>
      <c r="TUV13" s="2" t="n"/>
      <c r="TUW13" s="2" t="n"/>
      <c r="TUX13" s="2" t="n"/>
      <c r="TUY13" s="2" t="n"/>
      <c r="TUZ13" s="2" t="n"/>
      <c r="TVA13" s="2" t="n"/>
      <c r="TVB13" s="2" t="n"/>
      <c r="TVC13" s="2" t="n"/>
      <c r="TVD13" s="2" t="n"/>
      <c r="TVE13" s="2" t="n"/>
      <c r="TVF13" s="2" t="n"/>
      <c r="TVG13" s="2" t="n"/>
      <c r="TVH13" s="2" t="n"/>
      <c r="TVI13" s="2" t="n"/>
      <c r="TVJ13" s="2" t="n"/>
      <c r="TVK13" s="2" t="n"/>
      <c r="TVL13" s="2" t="n"/>
      <c r="TVM13" s="2" t="n"/>
      <c r="TVN13" s="2" t="n"/>
      <c r="TVO13" s="2" t="n"/>
      <c r="TVP13" s="2" t="n"/>
      <c r="TVQ13" s="2" t="n"/>
      <c r="TVR13" s="2" t="n"/>
      <c r="TVS13" s="2" t="n"/>
      <c r="TVT13" s="2" t="n"/>
      <c r="TVU13" s="2" t="n"/>
      <c r="TVV13" s="2" t="n"/>
      <c r="TVW13" s="2" t="n"/>
      <c r="TVX13" s="2" t="n"/>
      <c r="TVY13" s="2" t="n"/>
      <c r="TVZ13" s="2" t="n"/>
      <c r="TWA13" s="2" t="n"/>
      <c r="TWB13" s="2" t="n"/>
      <c r="TWC13" s="2" t="n"/>
      <c r="TWD13" s="2" t="n"/>
      <c r="TWE13" s="2" t="n"/>
      <c r="TWF13" s="2" t="n"/>
      <c r="TWG13" s="2" t="n"/>
      <c r="TWH13" s="2" t="n"/>
      <c r="TWI13" s="2" t="n"/>
      <c r="TWJ13" s="2" t="n"/>
      <c r="TWK13" s="2" t="n"/>
      <c r="TWL13" s="2" t="n"/>
      <c r="TWM13" s="2" t="n"/>
      <c r="TWN13" s="2" t="n"/>
      <c r="TWO13" s="2" t="n"/>
      <c r="TWP13" s="2" t="n"/>
      <c r="TWQ13" s="2" t="n"/>
      <c r="TWR13" s="2" t="n"/>
      <c r="TWS13" s="2" t="n"/>
      <c r="TWT13" s="2" t="n"/>
      <c r="TWU13" s="2" t="n"/>
      <c r="TWV13" s="2" t="n"/>
      <c r="TWW13" s="2" t="n"/>
      <c r="TWX13" s="2" t="n"/>
      <c r="TWY13" s="2" t="n"/>
      <c r="TWZ13" s="2" t="n"/>
      <c r="TXA13" s="2" t="n"/>
      <c r="TXB13" s="2" t="n"/>
      <c r="TXC13" s="2" t="n"/>
      <c r="TXD13" s="2" t="n"/>
      <c r="TXE13" s="2" t="n"/>
      <c r="TXF13" s="2" t="n"/>
      <c r="TXG13" s="2" t="n"/>
      <c r="TXH13" s="2" t="n"/>
      <c r="TXI13" s="2" t="n"/>
      <c r="TXJ13" s="2" t="n"/>
      <c r="TXK13" s="2" t="n"/>
      <c r="TXL13" s="2" t="n"/>
      <c r="TXM13" s="2" t="n"/>
      <c r="TXN13" s="2" t="n"/>
      <c r="TXO13" s="2" t="n"/>
      <c r="TXP13" s="2" t="n"/>
      <c r="TXQ13" s="2" t="n"/>
      <c r="TXR13" s="2" t="n"/>
      <c r="TXS13" s="2" t="n"/>
      <c r="TXT13" s="2" t="n"/>
      <c r="TXU13" s="2" t="n"/>
      <c r="TXV13" s="2" t="n"/>
      <c r="TXW13" s="2" t="n"/>
      <c r="TXX13" s="2" t="n"/>
      <c r="TXY13" s="2" t="n"/>
      <c r="TXZ13" s="2" t="n"/>
      <c r="TYA13" s="2" t="n"/>
      <c r="TYB13" s="2" t="n"/>
      <c r="TYC13" s="2" t="n"/>
      <c r="TYD13" s="2" t="n"/>
      <c r="TYE13" s="2" t="n"/>
      <c r="TYF13" s="2" t="n"/>
      <c r="TYG13" s="2" t="n"/>
      <c r="TYH13" s="2" t="n"/>
      <c r="TYI13" s="2" t="n"/>
      <c r="TYJ13" s="2" t="n"/>
      <c r="TYK13" s="2" t="n"/>
      <c r="TYL13" s="2" t="n"/>
      <c r="TYM13" s="2" t="n"/>
      <c r="TYN13" s="2" t="n"/>
      <c r="TYO13" s="2" t="n"/>
      <c r="TYP13" s="2" t="n"/>
      <c r="TYQ13" s="2" t="n"/>
      <c r="TYR13" s="2" t="n"/>
      <c r="TYS13" s="2" t="n"/>
      <c r="TYT13" s="2" t="n"/>
      <c r="TYU13" s="2" t="n"/>
      <c r="TYV13" s="2" t="n"/>
      <c r="TYW13" s="2" t="n"/>
      <c r="TYX13" s="2" t="n"/>
      <c r="TYY13" s="2" t="n"/>
      <c r="TYZ13" s="2" t="n"/>
      <c r="TZA13" s="2" t="n"/>
      <c r="TZB13" s="2" t="n"/>
      <c r="TZC13" s="2" t="n"/>
      <c r="TZD13" s="2" t="n"/>
      <c r="TZE13" s="2" t="n"/>
      <c r="TZF13" s="2" t="n"/>
      <c r="TZG13" s="2" t="n"/>
      <c r="TZH13" s="2" t="n"/>
      <c r="TZI13" s="2" t="n"/>
      <c r="TZJ13" s="2" t="n"/>
      <c r="TZK13" s="2" t="n"/>
      <c r="TZL13" s="2" t="n"/>
      <c r="TZM13" s="2" t="n"/>
      <c r="TZN13" s="2" t="n"/>
      <c r="TZO13" s="2" t="n"/>
      <c r="TZP13" s="2" t="n"/>
      <c r="TZQ13" s="2" t="n"/>
      <c r="TZR13" s="2" t="n"/>
      <c r="TZS13" s="2" t="n"/>
      <c r="TZT13" s="2" t="n"/>
      <c r="TZU13" s="2" t="n"/>
      <c r="TZV13" s="2" t="n"/>
      <c r="TZW13" s="2" t="n"/>
      <c r="TZX13" s="2" t="n"/>
      <c r="TZY13" s="2" t="n"/>
      <c r="TZZ13" s="2" t="n"/>
      <c r="UAA13" s="2" t="n"/>
      <c r="UAB13" s="2" t="n"/>
      <c r="UAC13" s="2" t="n"/>
      <c r="UAD13" s="2" t="n"/>
      <c r="UAE13" s="2" t="n"/>
      <c r="UAF13" s="2" t="n"/>
      <c r="UAG13" s="2" t="n"/>
      <c r="UAH13" s="2" t="n"/>
      <c r="UAI13" s="2" t="n"/>
      <c r="UAJ13" s="2" t="n"/>
      <c r="UAK13" s="2" t="n"/>
      <c r="UAL13" s="2" t="n"/>
      <c r="UAM13" s="2" t="n"/>
      <c r="UAN13" s="2" t="n"/>
      <c r="UAO13" s="2" t="n"/>
      <c r="UAP13" s="2" t="n"/>
      <c r="UAQ13" s="2" t="n"/>
      <c r="UAR13" s="2" t="n"/>
      <c r="UAS13" s="2" t="n"/>
      <c r="UAT13" s="2" t="n"/>
      <c r="UAU13" s="2" t="n"/>
      <c r="UAV13" s="2" t="n"/>
      <c r="UAW13" s="2" t="n"/>
      <c r="UAX13" s="2" t="n"/>
      <c r="UAY13" s="2" t="n"/>
      <c r="UAZ13" s="2" t="n"/>
      <c r="UBA13" s="2" t="n"/>
      <c r="UBB13" s="2" t="n"/>
      <c r="UBC13" s="2" t="n"/>
      <c r="UBD13" s="2" t="n"/>
      <c r="UBE13" s="2" t="n"/>
      <c r="UBF13" s="2" t="n"/>
      <c r="UBG13" s="2" t="n"/>
      <c r="UBH13" s="2" t="n"/>
      <c r="UBI13" s="2" t="n"/>
      <c r="UBJ13" s="2" t="n"/>
      <c r="UBK13" s="2" t="n"/>
      <c r="UBL13" s="2" t="n"/>
      <c r="UBM13" s="2" t="n"/>
      <c r="UBN13" s="2" t="n"/>
      <c r="UBO13" s="2" t="n"/>
      <c r="UBP13" s="2" t="n"/>
      <c r="UBQ13" s="2" t="n"/>
      <c r="UBR13" s="2" t="n"/>
      <c r="UBS13" s="2" t="n"/>
      <c r="UBT13" s="2" t="n"/>
      <c r="UBU13" s="2" t="n"/>
      <c r="UBV13" s="2" t="n"/>
      <c r="UBW13" s="2" t="n"/>
      <c r="UBX13" s="2" t="n"/>
      <c r="UBY13" s="2" t="n"/>
      <c r="UBZ13" s="2" t="n"/>
      <c r="UCA13" s="2" t="n"/>
      <c r="UCB13" s="2" t="n"/>
      <c r="UCC13" s="2" t="n"/>
      <c r="UCD13" s="2" t="n"/>
      <c r="UCE13" s="2" t="n"/>
      <c r="UCF13" s="2" t="n"/>
      <c r="UCG13" s="2" t="n"/>
      <c r="UCH13" s="2" t="n"/>
      <c r="UCI13" s="2" t="n"/>
      <c r="UCJ13" s="2" t="n"/>
      <c r="UCK13" s="2" t="n"/>
      <c r="UCL13" s="2" t="n"/>
      <c r="UCM13" s="2" t="n"/>
      <c r="UCN13" s="2" t="n"/>
      <c r="UCO13" s="2" t="n"/>
      <c r="UCP13" s="2" t="n"/>
      <c r="UCQ13" s="2" t="n"/>
      <c r="UCR13" s="2" t="n"/>
      <c r="UCS13" s="2" t="n"/>
      <c r="UCT13" s="2" t="n"/>
      <c r="UCU13" s="2" t="n"/>
      <c r="UCV13" s="2" t="n"/>
      <c r="UCW13" s="2" t="n"/>
      <c r="UCX13" s="2" t="n"/>
      <c r="UCY13" s="2" t="n"/>
      <c r="UCZ13" s="2" t="n"/>
      <c r="UDA13" s="2" t="n"/>
      <c r="UDB13" s="2" t="n"/>
      <c r="UDC13" s="2" t="n"/>
      <c r="UDD13" s="2" t="n"/>
      <c r="UDE13" s="2" t="n"/>
      <c r="UDF13" s="2" t="n"/>
      <c r="UDG13" s="2" t="n"/>
      <c r="UDH13" s="2" t="n"/>
      <c r="UDI13" s="2" t="n"/>
      <c r="UDJ13" s="2" t="n"/>
      <c r="UDK13" s="2" t="n"/>
      <c r="UDL13" s="2" t="n"/>
      <c r="UDM13" s="2" t="n"/>
      <c r="UDN13" s="2" t="n"/>
      <c r="UDO13" s="2" t="n"/>
      <c r="UDP13" s="2" t="n"/>
      <c r="UDQ13" s="2" t="n"/>
      <c r="UDR13" s="2" t="n"/>
      <c r="UDS13" s="2" t="n"/>
      <c r="UDT13" s="2" t="n"/>
      <c r="UDU13" s="2" t="n"/>
      <c r="UDV13" s="2" t="n"/>
      <c r="UDW13" s="2" t="n"/>
      <c r="UDX13" s="2" t="n"/>
      <c r="UDY13" s="2" t="n"/>
      <c r="UDZ13" s="2" t="n"/>
      <c r="UEA13" s="2" t="n"/>
      <c r="UEB13" s="2" t="n"/>
      <c r="UEC13" s="2" t="n"/>
      <c r="UED13" s="2" t="n"/>
      <c r="UEE13" s="2" t="n"/>
      <c r="UEF13" s="2" t="n"/>
      <c r="UEG13" s="2" t="n"/>
      <c r="UEH13" s="2" t="n"/>
      <c r="UEI13" s="2" t="n"/>
      <c r="UEJ13" s="2" t="n"/>
      <c r="UEK13" s="2" t="n"/>
      <c r="UEL13" s="2" t="n"/>
      <c r="UEM13" s="2" t="n"/>
      <c r="UEN13" s="2" t="n"/>
      <c r="UEO13" s="2" t="n"/>
      <c r="UEP13" s="2" t="n"/>
      <c r="UEQ13" s="2" t="n"/>
      <c r="UER13" s="2" t="n"/>
      <c r="UES13" s="2" t="n"/>
      <c r="UET13" s="2" t="n"/>
      <c r="UEU13" s="2" t="n"/>
      <c r="UEV13" s="2" t="n"/>
      <c r="UEW13" s="2" t="n"/>
      <c r="UEX13" s="2" t="n"/>
      <c r="UEY13" s="2" t="n"/>
      <c r="UEZ13" s="2" t="n"/>
      <c r="UFA13" s="2" t="n"/>
      <c r="UFB13" s="2" t="n"/>
      <c r="UFC13" s="2" t="n"/>
      <c r="UFD13" s="2" t="n"/>
      <c r="UFE13" s="2" t="n"/>
      <c r="UFF13" s="2" t="n"/>
      <c r="UFG13" s="2" t="n"/>
      <c r="UFH13" s="2" t="n"/>
      <c r="UFI13" s="2" t="n"/>
      <c r="UFJ13" s="2" t="n"/>
      <c r="UFK13" s="2" t="n"/>
      <c r="UFL13" s="2" t="n"/>
      <c r="UFM13" s="2" t="n"/>
      <c r="UFN13" s="2" t="n"/>
      <c r="UFO13" s="2" t="n"/>
      <c r="UFP13" s="2" t="n"/>
      <c r="UFQ13" s="2" t="n"/>
      <c r="UFR13" s="2" t="n"/>
      <c r="UFS13" s="2" t="n"/>
      <c r="UFT13" s="2" t="n"/>
      <c r="UFU13" s="2" t="n"/>
      <c r="UFV13" s="2" t="n"/>
      <c r="UFW13" s="2" t="n"/>
      <c r="UFX13" s="2" t="n"/>
      <c r="UFY13" s="2" t="n"/>
      <c r="UFZ13" s="2" t="n"/>
      <c r="UGA13" s="2" t="n"/>
      <c r="UGB13" s="2" t="n"/>
      <c r="UGC13" s="2" t="n"/>
      <c r="UGD13" s="2" t="n"/>
      <c r="UGE13" s="2" t="n"/>
      <c r="UGF13" s="2" t="n"/>
      <c r="UGG13" s="2" t="n"/>
      <c r="UGH13" s="2" t="n"/>
      <c r="UGI13" s="2" t="n"/>
      <c r="UGJ13" s="2" t="n"/>
      <c r="UGK13" s="2" t="n"/>
      <c r="UGL13" s="2" t="n"/>
      <c r="UGM13" s="2" t="n"/>
      <c r="UGN13" s="2" t="n"/>
      <c r="UGO13" s="2" t="n"/>
      <c r="UGP13" s="2" t="n"/>
      <c r="UGQ13" s="2" t="n"/>
      <c r="UGR13" s="2" t="n"/>
      <c r="UGS13" s="2" t="n"/>
      <c r="UGT13" s="2" t="n"/>
      <c r="UGU13" s="2" t="n"/>
      <c r="UGV13" s="2" t="n"/>
      <c r="UGW13" s="2" t="n"/>
      <c r="UGX13" s="2" t="n"/>
      <c r="UGY13" s="2" t="n"/>
      <c r="UGZ13" s="2" t="n"/>
      <c r="UHA13" s="2" t="n"/>
      <c r="UHB13" s="2" t="n"/>
      <c r="UHC13" s="2" t="n"/>
      <c r="UHD13" s="2" t="n"/>
      <c r="UHE13" s="2" t="n"/>
      <c r="UHF13" s="2" t="n"/>
      <c r="UHG13" s="2" t="n"/>
      <c r="UHH13" s="2" t="n"/>
      <c r="UHI13" s="2" t="n"/>
      <c r="UHJ13" s="2" t="n"/>
      <c r="UHK13" s="2" t="n"/>
      <c r="UHL13" s="2" t="n"/>
      <c r="UHM13" s="2" t="n"/>
      <c r="UHN13" s="2" t="n"/>
      <c r="UHO13" s="2" t="n"/>
      <c r="UHP13" s="2" t="n"/>
      <c r="UHQ13" s="2" t="n"/>
      <c r="UHR13" s="2" t="n"/>
      <c r="UHS13" s="2" t="n"/>
      <c r="UHT13" s="2" t="n"/>
      <c r="UHU13" s="2" t="n"/>
      <c r="UHV13" s="2" t="n"/>
      <c r="UHW13" s="2" t="n"/>
      <c r="UHX13" s="2" t="n"/>
      <c r="UHY13" s="2" t="n"/>
      <c r="UHZ13" s="2" t="n"/>
      <c r="UIA13" s="2" t="n"/>
      <c r="UIB13" s="2" t="n"/>
      <c r="UIC13" s="2" t="n"/>
      <c r="UID13" s="2" t="n"/>
      <c r="UIE13" s="2" t="n"/>
      <c r="UIF13" s="2" t="n"/>
      <c r="UIG13" s="2" t="n"/>
      <c r="UIH13" s="2" t="n"/>
      <c r="UII13" s="2" t="n"/>
      <c r="UIJ13" s="2" t="n"/>
      <c r="UIK13" s="2" t="n"/>
      <c r="UIL13" s="2" t="n"/>
      <c r="UIM13" s="2" t="n"/>
      <c r="UIN13" s="2" t="n"/>
      <c r="UIO13" s="2" t="n"/>
      <c r="UIP13" s="2" t="n"/>
      <c r="UIQ13" s="2" t="n"/>
      <c r="UIR13" s="2" t="n"/>
      <c r="UIS13" s="2" t="n"/>
      <c r="UIT13" s="2" t="n"/>
      <c r="UIU13" s="2" t="n"/>
      <c r="UIV13" s="2" t="n"/>
      <c r="UIW13" s="2" t="n"/>
      <c r="UIX13" s="2" t="n"/>
      <c r="UIY13" s="2" t="n"/>
      <c r="UIZ13" s="2" t="n"/>
      <c r="UJA13" s="2" t="n"/>
      <c r="UJB13" s="2" t="n"/>
      <c r="UJC13" s="2" t="n"/>
      <c r="UJD13" s="2" t="n"/>
      <c r="UJE13" s="2" t="n"/>
      <c r="UJF13" s="2" t="n"/>
      <c r="UJG13" s="2" t="n"/>
      <c r="UJH13" s="2" t="n"/>
      <c r="UJI13" s="2" t="n"/>
      <c r="UJJ13" s="2" t="n"/>
      <c r="UJK13" s="2" t="n"/>
      <c r="UJL13" s="2" t="n"/>
      <c r="UJM13" s="2" t="n"/>
      <c r="UJN13" s="2" t="n"/>
      <c r="UJO13" s="2" t="n"/>
      <c r="UJP13" s="2" t="n"/>
      <c r="UJQ13" s="2" t="n"/>
      <c r="UJR13" s="2" t="n"/>
      <c r="UJS13" s="2" t="n"/>
      <c r="UJT13" s="2" t="n"/>
      <c r="UJU13" s="2" t="n"/>
      <c r="UJV13" s="2" t="n"/>
      <c r="UJW13" s="2" t="n"/>
      <c r="UJX13" s="2" t="n"/>
      <c r="UJY13" s="2" t="n"/>
      <c r="UJZ13" s="2" t="n"/>
      <c r="UKA13" s="2" t="n"/>
      <c r="UKB13" s="2" t="n"/>
      <c r="UKC13" s="2" t="n"/>
      <c r="UKD13" s="2" t="n"/>
      <c r="UKE13" s="2" t="n"/>
      <c r="UKF13" s="2" t="n"/>
      <c r="UKG13" s="2" t="n"/>
      <c r="UKH13" s="2" t="n"/>
      <c r="UKI13" s="2" t="n"/>
      <c r="UKJ13" s="2" t="n"/>
      <c r="UKK13" s="2" t="n"/>
      <c r="UKL13" s="2" t="n"/>
      <c r="UKM13" s="2" t="n"/>
      <c r="UKN13" s="2" t="n"/>
      <c r="UKO13" s="2" t="n"/>
      <c r="UKP13" s="2" t="n"/>
      <c r="UKQ13" s="2" t="n"/>
      <c r="UKR13" s="2" t="n"/>
      <c r="UKS13" s="2" t="n"/>
      <c r="UKT13" s="2" t="n"/>
      <c r="UKU13" s="2" t="n"/>
      <c r="UKV13" s="2" t="n"/>
      <c r="UKW13" s="2" t="n"/>
      <c r="UKX13" s="2" t="n"/>
      <c r="UKY13" s="2" t="n"/>
      <c r="UKZ13" s="2" t="n"/>
      <c r="ULA13" s="2" t="n"/>
      <c r="ULB13" s="2" t="n"/>
      <c r="ULC13" s="2" t="n"/>
      <c r="ULD13" s="2" t="n"/>
      <c r="ULE13" s="2" t="n"/>
      <c r="ULF13" s="2" t="n"/>
      <c r="ULG13" s="2" t="n"/>
      <c r="ULH13" s="2" t="n"/>
      <c r="ULI13" s="2" t="n"/>
      <c r="ULJ13" s="2" t="n"/>
      <c r="ULK13" s="2" t="n"/>
      <c r="ULL13" s="2" t="n"/>
      <c r="ULM13" s="2" t="n"/>
      <c r="ULN13" s="2" t="n"/>
      <c r="ULO13" s="2" t="n"/>
      <c r="ULP13" s="2" t="n"/>
      <c r="ULQ13" s="2" t="n"/>
      <c r="ULR13" s="2" t="n"/>
      <c r="ULS13" s="2" t="n"/>
      <c r="ULT13" s="2" t="n"/>
      <c r="ULU13" s="2" t="n"/>
      <c r="ULV13" s="2" t="n"/>
      <c r="ULW13" s="2" t="n"/>
      <c r="ULX13" s="2" t="n"/>
      <c r="ULY13" s="2" t="n"/>
      <c r="ULZ13" s="2" t="n"/>
      <c r="UMA13" s="2" t="n"/>
      <c r="UMB13" s="2" t="n"/>
      <c r="UMC13" s="2" t="n"/>
      <c r="UMD13" s="2" t="n"/>
      <c r="UME13" s="2" t="n"/>
      <c r="UMF13" s="2" t="n"/>
      <c r="UMG13" s="2" t="n"/>
      <c r="UMH13" s="2" t="n"/>
      <c r="UMI13" s="2" t="n"/>
      <c r="UMJ13" s="2" t="n"/>
      <c r="UMK13" s="2" t="n"/>
      <c r="UML13" s="2" t="n"/>
      <c r="UMM13" s="2" t="n"/>
      <c r="UMN13" s="2" t="n"/>
      <c r="UMO13" s="2" t="n"/>
      <c r="UMP13" s="2" t="n"/>
      <c r="UMQ13" s="2" t="n"/>
      <c r="UMR13" s="2" t="n"/>
      <c r="UMS13" s="2" t="n"/>
      <c r="UMT13" s="2" t="n"/>
      <c r="UMU13" s="2" t="n"/>
      <c r="UMV13" s="2" t="n"/>
      <c r="UMW13" s="2" t="n"/>
      <c r="UMX13" s="2" t="n"/>
      <c r="UMY13" s="2" t="n"/>
      <c r="UMZ13" s="2" t="n"/>
      <c r="UNA13" s="2" t="n"/>
      <c r="UNB13" s="2" t="n"/>
      <c r="UNC13" s="2" t="n"/>
      <c r="UND13" s="2" t="n"/>
      <c r="UNE13" s="2" t="n"/>
      <c r="UNF13" s="2" t="n"/>
      <c r="UNG13" s="2" t="n"/>
      <c r="UNH13" s="2" t="n"/>
      <c r="UNI13" s="2" t="n"/>
      <c r="UNJ13" s="2" t="n"/>
      <c r="UNK13" s="2" t="n"/>
      <c r="UNL13" s="2" t="n"/>
      <c r="UNM13" s="2" t="n"/>
      <c r="UNN13" s="2" t="n"/>
      <c r="UNO13" s="2" t="n"/>
      <c r="UNP13" s="2" t="n"/>
      <c r="UNQ13" s="2" t="n"/>
      <c r="UNR13" s="2" t="n"/>
      <c r="UNS13" s="2" t="n"/>
      <c r="UNT13" s="2" t="n"/>
      <c r="UNU13" s="2" t="n"/>
      <c r="UNV13" s="2" t="n"/>
      <c r="UNW13" s="2" t="n"/>
      <c r="UNX13" s="2" t="n"/>
      <c r="UNY13" s="2" t="n"/>
      <c r="UNZ13" s="2" t="n"/>
      <c r="UOA13" s="2" t="n"/>
      <c r="UOB13" s="2" t="n"/>
      <c r="UOC13" s="2" t="n"/>
      <c r="UOD13" s="2" t="n"/>
      <c r="UOE13" s="2" t="n"/>
      <c r="UOF13" s="2" t="n"/>
      <c r="UOG13" s="2" t="n"/>
      <c r="UOH13" s="2" t="n"/>
      <c r="UOI13" s="2" t="n"/>
      <c r="UOJ13" s="2" t="n"/>
      <c r="UOK13" s="2" t="n"/>
      <c r="UOL13" s="2" t="n"/>
      <c r="UOM13" s="2" t="n"/>
      <c r="UON13" s="2" t="n"/>
      <c r="UOO13" s="2" t="n"/>
      <c r="UOP13" s="2" t="n"/>
      <c r="UOQ13" s="2" t="n"/>
      <c r="UOR13" s="2" t="n"/>
      <c r="UOS13" s="2" t="n"/>
      <c r="UOT13" s="2" t="n"/>
      <c r="UOU13" s="2" t="n"/>
      <c r="UOV13" s="2" t="n"/>
      <c r="UOW13" s="2" t="n"/>
      <c r="UOX13" s="2" t="n"/>
      <c r="UOY13" s="2" t="n"/>
      <c r="UOZ13" s="2" t="n"/>
      <c r="UPA13" s="2" t="n"/>
      <c r="UPB13" s="2" t="n"/>
      <c r="UPC13" s="2" t="n"/>
      <c r="UPD13" s="2" t="n"/>
      <c r="UPE13" s="2" t="n"/>
      <c r="UPF13" s="2" t="n"/>
      <c r="UPG13" s="2" t="n"/>
      <c r="UPH13" s="2" t="n"/>
      <c r="UPI13" s="2" t="n"/>
      <c r="UPJ13" s="2" t="n"/>
      <c r="UPK13" s="2" t="n"/>
      <c r="UPL13" s="2" t="n"/>
      <c r="UPM13" s="2" t="n"/>
      <c r="UPN13" s="2" t="n"/>
      <c r="UPO13" s="2" t="n"/>
      <c r="UPP13" s="2" t="n"/>
      <c r="UPQ13" s="2" t="n"/>
      <c r="UPR13" s="2" t="n"/>
      <c r="UPS13" s="2" t="n"/>
      <c r="UPT13" s="2" t="n"/>
      <c r="UPU13" s="2" t="n"/>
      <c r="UPV13" s="2" t="n"/>
      <c r="UPW13" s="2" t="n"/>
      <c r="UPX13" s="2" t="n"/>
      <c r="UPY13" s="2" t="n"/>
      <c r="UPZ13" s="2" t="n"/>
      <c r="UQA13" s="2" t="n"/>
      <c r="UQB13" s="2" t="n"/>
      <c r="UQC13" s="2" t="n"/>
      <c r="UQD13" s="2" t="n"/>
      <c r="UQE13" s="2" t="n"/>
      <c r="UQF13" s="2" t="n"/>
      <c r="UQG13" s="2" t="n"/>
      <c r="UQH13" s="2" t="n"/>
      <c r="UQI13" s="2" t="n"/>
      <c r="UQJ13" s="2" t="n"/>
      <c r="UQK13" s="2" t="n"/>
      <c r="UQL13" s="2" t="n"/>
      <c r="UQM13" s="2" t="n"/>
      <c r="UQN13" s="2" t="n"/>
      <c r="UQO13" s="2" t="n"/>
      <c r="UQP13" s="2" t="n"/>
      <c r="UQQ13" s="2" t="n"/>
      <c r="UQR13" s="2" t="n"/>
      <c r="UQS13" s="2" t="n"/>
      <c r="UQT13" s="2" t="n"/>
      <c r="UQU13" s="2" t="n"/>
      <c r="UQV13" s="2" t="n"/>
      <c r="UQW13" s="2" t="n"/>
      <c r="UQX13" s="2" t="n"/>
      <c r="UQY13" s="2" t="n"/>
      <c r="UQZ13" s="2" t="n"/>
      <c r="URA13" s="2" t="n"/>
      <c r="URB13" s="2" t="n"/>
      <c r="URC13" s="2" t="n"/>
      <c r="URD13" s="2" t="n"/>
      <c r="URE13" s="2" t="n"/>
      <c r="URF13" s="2" t="n"/>
      <c r="URG13" s="2" t="n"/>
      <c r="URH13" s="2" t="n"/>
      <c r="URI13" s="2" t="n"/>
      <c r="URJ13" s="2" t="n"/>
      <c r="URK13" s="2" t="n"/>
      <c r="URL13" s="2" t="n"/>
      <c r="URM13" s="2" t="n"/>
      <c r="URN13" s="2" t="n"/>
      <c r="URO13" s="2" t="n"/>
      <c r="URP13" s="2" t="n"/>
      <c r="URQ13" s="2" t="n"/>
      <c r="URR13" s="2" t="n"/>
      <c r="URS13" s="2" t="n"/>
      <c r="URT13" s="2" t="n"/>
      <c r="URU13" s="2" t="n"/>
      <c r="URV13" s="2" t="n"/>
      <c r="URW13" s="2" t="n"/>
      <c r="URX13" s="2" t="n"/>
      <c r="URY13" s="2" t="n"/>
      <c r="URZ13" s="2" t="n"/>
      <c r="USA13" s="2" t="n"/>
      <c r="USB13" s="2" t="n"/>
      <c r="USC13" s="2" t="n"/>
      <c r="USD13" s="2" t="n"/>
      <c r="USE13" s="2" t="n"/>
      <c r="USF13" s="2" t="n"/>
      <c r="USG13" s="2" t="n"/>
      <c r="USH13" s="2" t="n"/>
      <c r="USI13" s="2" t="n"/>
      <c r="USJ13" s="2" t="n"/>
      <c r="USK13" s="2" t="n"/>
      <c r="USL13" s="2" t="n"/>
      <c r="USM13" s="2" t="n"/>
      <c r="USN13" s="2" t="n"/>
      <c r="USO13" s="2" t="n"/>
      <c r="USP13" s="2" t="n"/>
      <c r="USQ13" s="2" t="n"/>
      <c r="USR13" s="2" t="n"/>
      <c r="USS13" s="2" t="n"/>
      <c r="UST13" s="2" t="n"/>
      <c r="USU13" s="2" t="n"/>
      <c r="USV13" s="2" t="n"/>
      <c r="USW13" s="2" t="n"/>
      <c r="USX13" s="2" t="n"/>
      <c r="USY13" s="2" t="n"/>
      <c r="USZ13" s="2" t="n"/>
      <c r="UTA13" s="2" t="n"/>
      <c r="UTB13" s="2" t="n"/>
      <c r="UTC13" s="2" t="n"/>
      <c r="UTD13" s="2" t="n"/>
      <c r="UTE13" s="2" t="n"/>
      <c r="UTF13" s="2" t="n"/>
      <c r="UTG13" s="2" t="n"/>
      <c r="UTH13" s="2" t="n"/>
      <c r="UTI13" s="2" t="n"/>
      <c r="UTJ13" s="2" t="n"/>
      <c r="UTK13" s="2" t="n"/>
      <c r="UTL13" s="2" t="n"/>
      <c r="UTM13" s="2" t="n"/>
      <c r="UTN13" s="2" t="n"/>
      <c r="UTO13" s="2" t="n"/>
      <c r="UTP13" s="2" t="n"/>
      <c r="UTQ13" s="2" t="n"/>
      <c r="UTR13" s="2" t="n"/>
      <c r="UTS13" s="2" t="n"/>
      <c r="UTT13" s="2" t="n"/>
      <c r="UTU13" s="2" t="n"/>
      <c r="UTV13" s="2" t="n"/>
      <c r="UTW13" s="2" t="n"/>
      <c r="UTX13" s="2" t="n"/>
      <c r="UTY13" s="2" t="n"/>
      <c r="UTZ13" s="2" t="n"/>
      <c r="UUA13" s="2" t="n"/>
      <c r="UUB13" s="2" t="n"/>
      <c r="UUC13" s="2" t="n"/>
      <c r="UUD13" s="2" t="n"/>
      <c r="UUE13" s="2" t="n"/>
      <c r="UUF13" s="2" t="n"/>
      <c r="UUG13" s="2" t="n"/>
      <c r="UUH13" s="2" t="n"/>
      <c r="UUI13" s="2" t="n"/>
      <c r="UUJ13" s="2" t="n"/>
      <c r="UUK13" s="2" t="n"/>
      <c r="UUL13" s="2" t="n"/>
      <c r="UUM13" s="2" t="n"/>
      <c r="UUN13" s="2" t="n"/>
      <c r="UUO13" s="2" t="n"/>
      <c r="UUP13" s="2" t="n"/>
      <c r="UUQ13" s="2" t="n"/>
      <c r="UUR13" s="2" t="n"/>
      <c r="UUS13" s="2" t="n"/>
      <c r="UUT13" s="2" t="n"/>
      <c r="UUU13" s="2" t="n"/>
      <c r="UUV13" s="2" t="n"/>
      <c r="UUW13" s="2" t="n"/>
      <c r="UUX13" s="2" t="n"/>
      <c r="UUY13" s="2" t="n"/>
      <c r="UUZ13" s="2" t="n"/>
      <c r="UVA13" s="2" t="n"/>
      <c r="UVB13" s="2" t="n"/>
      <c r="UVC13" s="2" t="n"/>
      <c r="UVD13" s="2" t="n"/>
      <c r="UVE13" s="2" t="n"/>
      <c r="UVF13" s="2" t="n"/>
      <c r="UVG13" s="2" t="n"/>
      <c r="UVH13" s="2" t="n"/>
      <c r="UVI13" s="2" t="n"/>
      <c r="UVJ13" s="2" t="n"/>
      <c r="UVK13" s="2" t="n"/>
      <c r="UVL13" s="2" t="n"/>
      <c r="UVM13" s="2" t="n"/>
      <c r="UVN13" s="2" t="n"/>
      <c r="UVO13" s="2" t="n"/>
      <c r="UVP13" s="2" t="n"/>
      <c r="UVQ13" s="2" t="n"/>
      <c r="UVR13" s="2" t="n"/>
      <c r="UVS13" s="2" t="n"/>
      <c r="UVT13" s="2" t="n"/>
      <c r="UVU13" s="2" t="n"/>
      <c r="UVV13" s="2" t="n"/>
      <c r="UVW13" s="2" t="n"/>
      <c r="UVX13" s="2" t="n"/>
      <c r="UVY13" s="2" t="n"/>
      <c r="UVZ13" s="2" t="n"/>
      <c r="UWA13" s="2" t="n"/>
      <c r="UWB13" s="2" t="n"/>
      <c r="UWC13" s="2" t="n"/>
      <c r="UWD13" s="2" t="n"/>
      <c r="UWE13" s="2" t="n"/>
      <c r="UWF13" s="2" t="n"/>
      <c r="UWG13" s="2" t="n"/>
      <c r="UWH13" s="2" t="n"/>
      <c r="UWI13" s="2" t="n"/>
      <c r="UWJ13" s="2" t="n"/>
      <c r="UWK13" s="2" t="n"/>
      <c r="UWL13" s="2" t="n"/>
      <c r="UWM13" s="2" t="n"/>
      <c r="UWN13" s="2" t="n"/>
      <c r="UWO13" s="2" t="n"/>
      <c r="UWP13" s="2" t="n"/>
      <c r="UWQ13" s="2" t="n"/>
      <c r="UWR13" s="2" t="n"/>
      <c r="UWS13" s="2" t="n"/>
      <c r="UWT13" s="2" t="n"/>
      <c r="UWU13" s="2" t="n"/>
      <c r="UWV13" s="2" t="n"/>
      <c r="UWW13" s="2" t="n"/>
      <c r="UWX13" s="2" t="n"/>
      <c r="UWY13" s="2" t="n"/>
      <c r="UWZ13" s="2" t="n"/>
      <c r="UXA13" s="2" t="n"/>
      <c r="UXB13" s="2" t="n"/>
      <c r="UXC13" s="2" t="n"/>
      <c r="UXD13" s="2" t="n"/>
      <c r="UXE13" s="2" t="n"/>
      <c r="UXF13" s="2" t="n"/>
      <c r="UXG13" s="2" t="n"/>
      <c r="UXH13" s="2" t="n"/>
      <c r="UXI13" s="2" t="n"/>
      <c r="UXJ13" s="2" t="n"/>
      <c r="UXK13" s="2" t="n"/>
      <c r="UXL13" s="2" t="n"/>
      <c r="UXM13" s="2" t="n"/>
      <c r="UXN13" s="2" t="n"/>
      <c r="UXO13" s="2" t="n"/>
      <c r="UXP13" s="2" t="n"/>
      <c r="UXQ13" s="2" t="n"/>
      <c r="UXR13" s="2" t="n"/>
      <c r="UXS13" s="2" t="n"/>
      <c r="UXT13" s="2" t="n"/>
      <c r="UXU13" s="2" t="n"/>
      <c r="UXV13" s="2" t="n"/>
      <c r="UXW13" s="2" t="n"/>
      <c r="UXX13" s="2" t="n"/>
      <c r="UXY13" s="2" t="n"/>
      <c r="UXZ13" s="2" t="n"/>
      <c r="UYA13" s="2" t="n"/>
      <c r="UYB13" s="2" t="n"/>
      <c r="UYC13" s="2" t="n"/>
      <c r="UYD13" s="2" t="n"/>
      <c r="UYE13" s="2" t="n"/>
      <c r="UYF13" s="2" t="n"/>
      <c r="UYG13" s="2" t="n"/>
      <c r="UYH13" s="2" t="n"/>
      <c r="UYI13" s="2" t="n"/>
      <c r="UYJ13" s="2" t="n"/>
      <c r="UYK13" s="2" t="n"/>
      <c r="UYL13" s="2" t="n"/>
      <c r="UYM13" s="2" t="n"/>
      <c r="UYN13" s="2" t="n"/>
      <c r="UYO13" s="2" t="n"/>
      <c r="UYP13" s="2" t="n"/>
      <c r="UYQ13" s="2" t="n"/>
      <c r="UYR13" s="2" t="n"/>
      <c r="UYS13" s="2" t="n"/>
      <c r="UYT13" s="2" t="n"/>
      <c r="UYU13" s="2" t="n"/>
      <c r="UYV13" s="2" t="n"/>
      <c r="UYW13" s="2" t="n"/>
      <c r="UYX13" s="2" t="n"/>
      <c r="UYY13" s="2" t="n"/>
      <c r="UYZ13" s="2" t="n"/>
      <c r="UZA13" s="2" t="n"/>
      <c r="UZB13" s="2" t="n"/>
      <c r="UZC13" s="2" t="n"/>
      <c r="UZD13" s="2" t="n"/>
      <c r="UZE13" s="2" t="n"/>
      <c r="UZF13" s="2" t="n"/>
      <c r="UZG13" s="2" t="n"/>
      <c r="UZH13" s="2" t="n"/>
      <c r="UZI13" s="2" t="n"/>
      <c r="UZJ13" s="2" t="n"/>
      <c r="UZK13" s="2" t="n"/>
      <c r="UZL13" s="2" t="n"/>
      <c r="UZM13" s="2" t="n"/>
      <c r="UZN13" s="2" t="n"/>
      <c r="UZO13" s="2" t="n"/>
      <c r="UZP13" s="2" t="n"/>
      <c r="UZQ13" s="2" t="n"/>
      <c r="UZR13" s="2" t="n"/>
      <c r="UZS13" s="2" t="n"/>
      <c r="UZT13" s="2" t="n"/>
      <c r="UZU13" s="2" t="n"/>
      <c r="UZV13" s="2" t="n"/>
      <c r="UZW13" s="2" t="n"/>
      <c r="UZX13" s="2" t="n"/>
      <c r="UZY13" s="2" t="n"/>
      <c r="UZZ13" s="2" t="n"/>
      <c r="VAA13" s="2" t="n"/>
      <c r="VAB13" s="2" t="n"/>
      <c r="VAC13" s="2" t="n"/>
      <c r="VAD13" s="2" t="n"/>
      <c r="VAE13" s="2" t="n"/>
      <c r="VAF13" s="2" t="n"/>
      <c r="VAG13" s="2" t="n"/>
      <c r="VAH13" s="2" t="n"/>
      <c r="VAI13" s="2" t="n"/>
      <c r="VAJ13" s="2" t="n"/>
      <c r="VAK13" s="2" t="n"/>
      <c r="VAL13" s="2" t="n"/>
      <c r="VAM13" s="2" t="n"/>
      <c r="VAN13" s="2" t="n"/>
      <c r="VAO13" s="2" t="n"/>
      <c r="VAP13" s="2" t="n"/>
      <c r="VAQ13" s="2" t="n"/>
      <c r="VAR13" s="2" t="n"/>
      <c r="VAS13" s="2" t="n"/>
      <c r="VAT13" s="2" t="n"/>
      <c r="VAU13" s="2" t="n"/>
      <c r="VAV13" s="2" t="n"/>
      <c r="VAW13" s="2" t="n"/>
      <c r="VAX13" s="2" t="n"/>
      <c r="VAY13" s="2" t="n"/>
      <c r="VAZ13" s="2" t="n"/>
      <c r="VBA13" s="2" t="n"/>
      <c r="VBB13" s="2" t="n"/>
      <c r="VBC13" s="2" t="n"/>
      <c r="VBD13" s="2" t="n"/>
      <c r="VBE13" s="2" t="n"/>
      <c r="VBF13" s="2" t="n"/>
      <c r="VBG13" s="2" t="n"/>
      <c r="VBH13" s="2" t="n"/>
      <c r="VBI13" s="2" t="n"/>
      <c r="VBJ13" s="2" t="n"/>
      <c r="VBK13" s="2" t="n"/>
      <c r="VBL13" s="2" t="n"/>
      <c r="VBM13" s="2" t="n"/>
      <c r="VBN13" s="2" t="n"/>
      <c r="VBO13" s="2" t="n"/>
      <c r="VBP13" s="2" t="n"/>
      <c r="VBQ13" s="2" t="n"/>
      <c r="VBR13" s="2" t="n"/>
      <c r="VBS13" s="2" t="n"/>
      <c r="VBT13" s="2" t="n"/>
      <c r="VBU13" s="2" t="n"/>
      <c r="VBV13" s="2" t="n"/>
      <c r="VBW13" s="2" t="n"/>
      <c r="VBX13" s="2" t="n"/>
      <c r="VBY13" s="2" t="n"/>
      <c r="VBZ13" s="2" t="n"/>
      <c r="VCA13" s="2" t="n"/>
      <c r="VCB13" s="2" t="n"/>
      <c r="VCC13" s="2" t="n"/>
      <c r="VCD13" s="2" t="n"/>
      <c r="VCE13" s="2" t="n"/>
      <c r="VCF13" s="2" t="n"/>
      <c r="VCG13" s="2" t="n"/>
      <c r="VCH13" s="2" t="n"/>
      <c r="VCI13" s="2" t="n"/>
      <c r="VCJ13" s="2" t="n"/>
      <c r="VCK13" s="2" t="n"/>
      <c r="VCL13" s="2" t="n"/>
      <c r="VCM13" s="2" t="n"/>
      <c r="VCN13" s="2" t="n"/>
      <c r="VCO13" s="2" t="n"/>
      <c r="VCP13" s="2" t="n"/>
      <c r="VCQ13" s="2" t="n"/>
      <c r="VCR13" s="2" t="n"/>
      <c r="VCS13" s="2" t="n"/>
      <c r="VCT13" s="2" t="n"/>
      <c r="VCU13" s="2" t="n"/>
      <c r="VCV13" s="2" t="n"/>
      <c r="VCW13" s="2" t="n"/>
      <c r="VCX13" s="2" t="n"/>
      <c r="VCY13" s="2" t="n"/>
      <c r="VCZ13" s="2" t="n"/>
      <c r="VDA13" s="2" t="n"/>
      <c r="VDB13" s="2" t="n"/>
      <c r="VDC13" s="2" t="n"/>
      <c r="VDD13" s="2" t="n"/>
      <c r="VDE13" s="2" t="n"/>
      <c r="VDF13" s="2" t="n"/>
      <c r="VDG13" s="2" t="n"/>
      <c r="VDH13" s="2" t="n"/>
      <c r="VDI13" s="2" t="n"/>
      <c r="VDJ13" s="2" t="n"/>
      <c r="VDK13" s="2" t="n"/>
      <c r="VDL13" s="2" t="n"/>
      <c r="VDM13" s="2" t="n"/>
      <c r="VDN13" s="2" t="n"/>
      <c r="VDO13" s="2" t="n"/>
      <c r="VDP13" s="2" t="n"/>
      <c r="VDQ13" s="2" t="n"/>
      <c r="VDR13" s="2" t="n"/>
      <c r="VDS13" s="2" t="n"/>
      <c r="VDT13" s="2" t="n"/>
      <c r="VDU13" s="2" t="n"/>
      <c r="VDV13" s="2" t="n"/>
      <c r="VDW13" s="2" t="n"/>
      <c r="VDX13" s="2" t="n"/>
      <c r="VDY13" s="2" t="n"/>
      <c r="VDZ13" s="2" t="n"/>
      <c r="VEA13" s="2" t="n"/>
      <c r="VEB13" s="2" t="n"/>
      <c r="VEC13" s="2" t="n"/>
      <c r="VED13" s="2" t="n"/>
      <c r="VEE13" s="2" t="n"/>
      <c r="VEF13" s="2" t="n"/>
      <c r="VEG13" s="2" t="n"/>
      <c r="VEH13" s="2" t="n"/>
      <c r="VEI13" s="2" t="n"/>
      <c r="VEJ13" s="2" t="n"/>
      <c r="VEK13" s="2" t="n"/>
      <c r="VEL13" s="2" t="n"/>
      <c r="VEM13" s="2" t="n"/>
      <c r="VEN13" s="2" t="n"/>
      <c r="VEO13" s="2" t="n"/>
      <c r="VEP13" s="2" t="n"/>
      <c r="VEQ13" s="2" t="n"/>
      <c r="VER13" s="2" t="n"/>
      <c r="VES13" s="2" t="n"/>
      <c r="VET13" s="2" t="n"/>
      <c r="VEU13" s="2" t="n"/>
      <c r="VEV13" s="2" t="n"/>
      <c r="VEW13" s="2" t="n"/>
      <c r="VEX13" s="2" t="n"/>
      <c r="VEY13" s="2" t="n"/>
      <c r="VEZ13" s="2" t="n"/>
      <c r="VFA13" s="2" t="n"/>
      <c r="VFB13" s="2" t="n"/>
      <c r="VFC13" s="2" t="n"/>
      <c r="VFD13" s="2" t="n"/>
      <c r="VFE13" s="2" t="n"/>
      <c r="VFF13" s="2" t="n"/>
      <c r="VFG13" s="2" t="n"/>
      <c r="VFH13" s="2" t="n"/>
      <c r="VFI13" s="2" t="n"/>
      <c r="VFJ13" s="2" t="n"/>
      <c r="VFK13" s="2" t="n"/>
      <c r="VFL13" s="2" t="n"/>
      <c r="VFM13" s="2" t="n"/>
      <c r="VFN13" s="2" t="n"/>
      <c r="VFO13" s="2" t="n"/>
      <c r="VFP13" s="2" t="n"/>
      <c r="VFQ13" s="2" t="n"/>
      <c r="VFR13" s="2" t="n"/>
      <c r="VFS13" s="2" t="n"/>
      <c r="VFT13" s="2" t="n"/>
      <c r="VFU13" s="2" t="n"/>
      <c r="VFV13" s="2" t="n"/>
      <c r="VFW13" s="2" t="n"/>
      <c r="VFX13" s="2" t="n"/>
      <c r="VFY13" s="2" t="n"/>
      <c r="VFZ13" s="2" t="n"/>
      <c r="VGA13" s="2" t="n"/>
      <c r="VGB13" s="2" t="n"/>
      <c r="VGC13" s="2" t="n"/>
      <c r="VGD13" s="2" t="n"/>
      <c r="VGE13" s="2" t="n"/>
      <c r="VGF13" s="2" t="n"/>
      <c r="VGG13" s="2" t="n"/>
      <c r="VGH13" s="2" t="n"/>
      <c r="VGI13" s="2" t="n"/>
      <c r="VGJ13" s="2" t="n"/>
      <c r="VGK13" s="2" t="n"/>
      <c r="VGL13" s="2" t="n"/>
      <c r="VGM13" s="2" t="n"/>
      <c r="VGN13" s="2" t="n"/>
      <c r="VGO13" s="2" t="n"/>
      <c r="VGP13" s="2" t="n"/>
      <c r="VGQ13" s="2" t="n"/>
      <c r="VGR13" s="2" t="n"/>
      <c r="VGS13" s="2" t="n"/>
      <c r="VGT13" s="2" t="n"/>
      <c r="VGU13" s="2" t="n"/>
      <c r="VGV13" s="2" t="n"/>
      <c r="VGW13" s="2" t="n"/>
      <c r="VGX13" s="2" t="n"/>
      <c r="VGY13" s="2" t="n"/>
      <c r="VGZ13" s="2" t="n"/>
      <c r="VHA13" s="2" t="n"/>
      <c r="VHB13" s="2" t="n"/>
      <c r="VHC13" s="2" t="n"/>
      <c r="VHD13" s="2" t="n"/>
      <c r="VHE13" s="2" t="n"/>
      <c r="VHF13" s="2" t="n"/>
      <c r="VHG13" s="2" t="n"/>
      <c r="VHH13" s="2" t="n"/>
      <c r="VHI13" s="2" t="n"/>
      <c r="VHJ13" s="2" t="n"/>
      <c r="VHK13" s="2" t="n"/>
      <c r="VHL13" s="2" t="n"/>
      <c r="VHM13" s="2" t="n"/>
      <c r="VHN13" s="2" t="n"/>
      <c r="VHO13" s="2" t="n"/>
      <c r="VHP13" s="2" t="n"/>
      <c r="VHQ13" s="2" t="n"/>
      <c r="VHR13" s="2" t="n"/>
      <c r="VHS13" s="2" t="n"/>
      <c r="VHT13" s="2" t="n"/>
      <c r="VHU13" s="2" t="n"/>
      <c r="VHV13" s="2" t="n"/>
      <c r="VHW13" s="2" t="n"/>
      <c r="VHX13" s="2" t="n"/>
      <c r="VHY13" s="2" t="n"/>
      <c r="VHZ13" s="2" t="n"/>
      <c r="VIA13" s="2" t="n"/>
      <c r="VIB13" s="2" t="n"/>
      <c r="VIC13" s="2" t="n"/>
      <c r="VID13" s="2" t="n"/>
      <c r="VIE13" s="2" t="n"/>
      <c r="VIF13" s="2" t="n"/>
      <c r="VIG13" s="2" t="n"/>
      <c r="VIH13" s="2" t="n"/>
      <c r="VII13" s="2" t="n"/>
      <c r="VIJ13" s="2" t="n"/>
      <c r="VIK13" s="2" t="n"/>
      <c r="VIL13" s="2" t="n"/>
      <c r="VIM13" s="2" t="n"/>
      <c r="VIN13" s="2" t="n"/>
      <c r="VIO13" s="2" t="n"/>
      <c r="VIP13" s="2" t="n"/>
      <c r="VIQ13" s="2" t="n"/>
      <c r="VIR13" s="2" t="n"/>
      <c r="VIS13" s="2" t="n"/>
      <c r="VIT13" s="2" t="n"/>
      <c r="VIU13" s="2" t="n"/>
      <c r="VIV13" s="2" t="n"/>
      <c r="VIW13" s="2" t="n"/>
      <c r="VIX13" s="2" t="n"/>
      <c r="VIY13" s="2" t="n"/>
      <c r="VIZ13" s="2" t="n"/>
      <c r="VJA13" s="2" t="n"/>
      <c r="VJB13" s="2" t="n"/>
      <c r="VJC13" s="2" t="n"/>
      <c r="VJD13" s="2" t="n"/>
      <c r="VJE13" s="2" t="n"/>
      <c r="VJF13" s="2" t="n"/>
      <c r="VJG13" s="2" t="n"/>
      <c r="VJH13" s="2" t="n"/>
      <c r="VJI13" s="2" t="n"/>
      <c r="VJJ13" s="2" t="n"/>
      <c r="VJK13" s="2" t="n"/>
      <c r="VJL13" s="2" t="n"/>
      <c r="VJM13" s="2" t="n"/>
      <c r="VJN13" s="2" t="n"/>
      <c r="VJO13" s="2" t="n"/>
      <c r="VJP13" s="2" t="n"/>
      <c r="VJQ13" s="2" t="n"/>
      <c r="VJR13" s="2" t="n"/>
      <c r="VJS13" s="2" t="n"/>
      <c r="VJT13" s="2" t="n"/>
      <c r="VJU13" s="2" t="n"/>
      <c r="VJV13" s="2" t="n"/>
      <c r="VJW13" s="2" t="n"/>
      <c r="VJX13" s="2" t="n"/>
      <c r="VJY13" s="2" t="n"/>
      <c r="VJZ13" s="2" t="n"/>
      <c r="VKA13" s="2" t="n"/>
      <c r="VKB13" s="2" t="n"/>
      <c r="VKC13" s="2" t="n"/>
      <c r="VKD13" s="2" t="n"/>
      <c r="VKE13" s="2" t="n"/>
      <c r="VKF13" s="2" t="n"/>
      <c r="VKG13" s="2" t="n"/>
      <c r="VKH13" s="2" t="n"/>
      <c r="VKI13" s="2" t="n"/>
      <c r="VKJ13" s="2" t="n"/>
      <c r="VKK13" s="2" t="n"/>
      <c r="VKL13" s="2" t="n"/>
      <c r="VKM13" s="2" t="n"/>
      <c r="VKN13" s="2" t="n"/>
      <c r="VKO13" s="2" t="n"/>
      <c r="VKP13" s="2" t="n"/>
      <c r="VKQ13" s="2" t="n"/>
      <c r="VKR13" s="2" t="n"/>
      <c r="VKS13" s="2" t="n"/>
      <c r="VKT13" s="2" t="n"/>
      <c r="VKU13" s="2" t="n"/>
      <c r="VKV13" s="2" t="n"/>
      <c r="VKW13" s="2" t="n"/>
      <c r="VKX13" s="2" t="n"/>
      <c r="VKY13" s="2" t="n"/>
      <c r="VKZ13" s="2" t="n"/>
      <c r="VLA13" s="2" t="n"/>
      <c r="VLB13" s="2" t="n"/>
      <c r="VLC13" s="2" t="n"/>
      <c r="VLD13" s="2" t="n"/>
      <c r="VLE13" s="2" t="n"/>
      <c r="VLF13" s="2" t="n"/>
      <c r="VLG13" s="2" t="n"/>
      <c r="VLH13" s="2" t="n"/>
      <c r="VLI13" s="2" t="n"/>
      <c r="VLJ13" s="2" t="n"/>
      <c r="VLK13" s="2" t="n"/>
      <c r="VLL13" s="2" t="n"/>
      <c r="VLM13" s="2" t="n"/>
      <c r="VLN13" s="2" t="n"/>
      <c r="VLO13" s="2" t="n"/>
      <c r="VLP13" s="2" t="n"/>
      <c r="VLQ13" s="2" t="n"/>
      <c r="VLR13" s="2" t="n"/>
      <c r="VLS13" s="2" t="n"/>
      <c r="VLT13" s="2" t="n"/>
      <c r="VLU13" s="2" t="n"/>
      <c r="VLV13" s="2" t="n"/>
      <c r="VLW13" s="2" t="n"/>
      <c r="VLX13" s="2" t="n"/>
      <c r="VLY13" s="2" t="n"/>
      <c r="VLZ13" s="2" t="n"/>
      <c r="VMA13" s="2" t="n"/>
      <c r="VMB13" s="2" t="n"/>
      <c r="VMC13" s="2" t="n"/>
      <c r="VMD13" s="2" t="n"/>
      <c r="VME13" s="2" t="n"/>
      <c r="VMF13" s="2" t="n"/>
      <c r="VMG13" s="2" t="n"/>
      <c r="VMH13" s="2" t="n"/>
      <c r="VMI13" s="2" t="n"/>
      <c r="VMJ13" s="2" t="n"/>
      <c r="VMK13" s="2" t="n"/>
      <c r="VML13" s="2" t="n"/>
      <c r="VMM13" s="2" t="n"/>
      <c r="VMN13" s="2" t="n"/>
      <c r="VMO13" s="2" t="n"/>
      <c r="VMP13" s="2" t="n"/>
      <c r="VMQ13" s="2" t="n"/>
      <c r="VMR13" s="2" t="n"/>
      <c r="VMS13" s="2" t="n"/>
      <c r="VMT13" s="2" t="n"/>
      <c r="VMU13" s="2" t="n"/>
      <c r="VMV13" s="2" t="n"/>
      <c r="VMW13" s="2" t="n"/>
      <c r="VMX13" s="2" t="n"/>
      <c r="VMY13" s="2" t="n"/>
      <c r="VMZ13" s="2" t="n"/>
      <c r="VNA13" s="2" t="n"/>
      <c r="VNB13" s="2" t="n"/>
      <c r="VNC13" s="2" t="n"/>
      <c r="VND13" s="2" t="n"/>
      <c r="VNE13" s="2" t="n"/>
      <c r="VNF13" s="2" t="n"/>
      <c r="VNG13" s="2" t="n"/>
      <c r="VNH13" s="2" t="n"/>
      <c r="VNI13" s="2" t="n"/>
      <c r="VNJ13" s="2" t="n"/>
      <c r="VNK13" s="2" t="n"/>
      <c r="VNL13" s="2" t="n"/>
      <c r="VNM13" s="2" t="n"/>
      <c r="VNN13" s="2" t="n"/>
      <c r="VNO13" s="2" t="n"/>
      <c r="VNP13" s="2" t="n"/>
      <c r="VNQ13" s="2" t="n"/>
      <c r="VNR13" s="2" t="n"/>
      <c r="VNS13" s="2" t="n"/>
      <c r="VNT13" s="2" t="n"/>
      <c r="VNU13" s="2" t="n"/>
      <c r="VNV13" s="2" t="n"/>
      <c r="VNW13" s="2" t="n"/>
      <c r="VNX13" s="2" t="n"/>
      <c r="VNY13" s="2" t="n"/>
      <c r="VNZ13" s="2" t="n"/>
      <c r="VOA13" s="2" t="n"/>
      <c r="VOB13" s="2" t="n"/>
      <c r="VOC13" s="2" t="n"/>
      <c r="VOD13" s="2" t="n"/>
      <c r="VOE13" s="2" t="n"/>
      <c r="VOF13" s="2" t="n"/>
      <c r="VOG13" s="2" t="n"/>
      <c r="VOH13" s="2" t="n"/>
      <c r="VOI13" s="2" t="n"/>
      <c r="VOJ13" s="2" t="n"/>
      <c r="VOK13" s="2" t="n"/>
      <c r="VOL13" s="2" t="n"/>
      <c r="VOM13" s="2" t="n"/>
      <c r="VON13" s="2" t="n"/>
      <c r="VOO13" s="2" t="n"/>
      <c r="VOP13" s="2" t="n"/>
      <c r="VOQ13" s="2" t="n"/>
      <c r="VOR13" s="2" t="n"/>
      <c r="VOS13" s="2" t="n"/>
      <c r="VOT13" s="2" t="n"/>
      <c r="VOU13" s="2" t="n"/>
      <c r="VOV13" s="2" t="n"/>
      <c r="VOW13" s="2" t="n"/>
      <c r="VOX13" s="2" t="n"/>
      <c r="VOY13" s="2" t="n"/>
      <c r="VOZ13" s="2" t="n"/>
      <c r="VPA13" s="2" t="n"/>
      <c r="VPB13" s="2" t="n"/>
      <c r="VPC13" s="2" t="n"/>
      <c r="VPD13" s="2" t="n"/>
      <c r="VPE13" s="2" t="n"/>
      <c r="VPF13" s="2" t="n"/>
      <c r="VPG13" s="2" t="n"/>
      <c r="VPH13" s="2" t="n"/>
      <c r="VPI13" s="2" t="n"/>
      <c r="VPJ13" s="2" t="n"/>
      <c r="VPK13" s="2" t="n"/>
      <c r="VPL13" s="2" t="n"/>
      <c r="VPM13" s="2" t="n"/>
      <c r="VPN13" s="2" t="n"/>
      <c r="VPO13" s="2" t="n"/>
      <c r="VPP13" s="2" t="n"/>
      <c r="VPQ13" s="2" t="n"/>
      <c r="VPR13" s="2" t="n"/>
      <c r="VPS13" s="2" t="n"/>
      <c r="VPT13" s="2" t="n"/>
      <c r="VPU13" s="2" t="n"/>
      <c r="VPV13" s="2" t="n"/>
      <c r="VPW13" s="2" t="n"/>
      <c r="VPX13" s="2" t="n"/>
      <c r="VPY13" s="2" t="n"/>
      <c r="VPZ13" s="2" t="n"/>
      <c r="VQA13" s="2" t="n"/>
      <c r="VQB13" s="2" t="n"/>
      <c r="VQC13" s="2" t="n"/>
      <c r="VQD13" s="2" t="n"/>
      <c r="VQE13" s="2" t="n"/>
      <c r="VQF13" s="2" t="n"/>
      <c r="VQG13" s="2" t="n"/>
      <c r="VQH13" s="2" t="n"/>
      <c r="VQI13" s="2" t="n"/>
      <c r="VQJ13" s="2" t="n"/>
      <c r="VQK13" s="2" t="n"/>
      <c r="VQL13" s="2" t="n"/>
      <c r="VQM13" s="2" t="n"/>
      <c r="VQN13" s="2" t="n"/>
      <c r="VQO13" s="2" t="n"/>
      <c r="VQP13" s="2" t="n"/>
      <c r="VQQ13" s="2" t="n"/>
      <c r="VQR13" s="2" t="n"/>
      <c r="VQS13" s="2" t="n"/>
      <c r="VQT13" s="2" t="n"/>
      <c r="VQU13" s="2" t="n"/>
      <c r="VQV13" s="2" t="n"/>
      <c r="VQW13" s="2" t="n"/>
      <c r="VQX13" s="2" t="n"/>
      <c r="VQY13" s="2" t="n"/>
      <c r="VQZ13" s="2" t="n"/>
      <c r="VRA13" s="2" t="n"/>
      <c r="VRB13" s="2" t="n"/>
      <c r="VRC13" s="2" t="n"/>
      <c r="VRD13" s="2" t="n"/>
      <c r="VRE13" s="2" t="n"/>
      <c r="VRF13" s="2" t="n"/>
      <c r="VRG13" s="2" t="n"/>
      <c r="VRH13" s="2" t="n"/>
      <c r="VRI13" s="2" t="n"/>
      <c r="VRJ13" s="2" t="n"/>
      <c r="VRK13" s="2" t="n"/>
      <c r="VRL13" s="2" t="n"/>
      <c r="VRM13" s="2" t="n"/>
      <c r="VRN13" s="2" t="n"/>
      <c r="VRO13" s="2" t="n"/>
      <c r="VRP13" s="2" t="n"/>
      <c r="VRQ13" s="2" t="n"/>
      <c r="VRR13" s="2" t="n"/>
      <c r="VRS13" s="2" t="n"/>
      <c r="VRT13" s="2" t="n"/>
      <c r="VRU13" s="2" t="n"/>
      <c r="VRV13" s="2" t="n"/>
      <c r="VRW13" s="2" t="n"/>
      <c r="VRX13" s="2" t="n"/>
      <c r="VRY13" s="2" t="n"/>
      <c r="VRZ13" s="2" t="n"/>
      <c r="VSA13" s="2" t="n"/>
      <c r="VSB13" s="2" t="n"/>
      <c r="VSC13" s="2" t="n"/>
      <c r="VSD13" s="2" t="n"/>
      <c r="VSE13" s="2" t="n"/>
      <c r="VSF13" s="2" t="n"/>
      <c r="VSG13" s="2" t="n"/>
      <c r="VSH13" s="2" t="n"/>
      <c r="VSI13" s="2" t="n"/>
      <c r="VSJ13" s="2" t="n"/>
      <c r="VSK13" s="2" t="n"/>
      <c r="VSL13" s="2" t="n"/>
      <c r="VSM13" s="2" t="n"/>
      <c r="VSN13" s="2" t="n"/>
      <c r="VSO13" s="2" t="n"/>
      <c r="VSP13" s="2" t="n"/>
      <c r="VSQ13" s="2" t="n"/>
      <c r="VSR13" s="2" t="n"/>
      <c r="VSS13" s="2" t="n"/>
      <c r="VST13" s="2" t="n"/>
      <c r="VSU13" s="2" t="n"/>
      <c r="VSV13" s="2" t="n"/>
      <c r="VSW13" s="2" t="n"/>
      <c r="VSX13" s="2" t="n"/>
      <c r="VSY13" s="2" t="n"/>
      <c r="VSZ13" s="2" t="n"/>
      <c r="VTA13" s="2" t="n"/>
      <c r="VTB13" s="2" t="n"/>
      <c r="VTC13" s="2" t="n"/>
      <c r="VTD13" s="2" t="n"/>
      <c r="VTE13" s="2" t="n"/>
      <c r="VTF13" s="2" t="n"/>
      <c r="VTG13" s="2" t="n"/>
      <c r="VTH13" s="2" t="n"/>
      <c r="VTI13" s="2" t="n"/>
      <c r="VTJ13" s="2" t="n"/>
      <c r="VTK13" s="2" t="n"/>
      <c r="VTL13" s="2" t="n"/>
      <c r="VTM13" s="2" t="n"/>
      <c r="VTN13" s="2" t="n"/>
      <c r="VTO13" s="2" t="n"/>
      <c r="VTP13" s="2" t="n"/>
      <c r="VTQ13" s="2" t="n"/>
      <c r="VTR13" s="2" t="n"/>
      <c r="VTS13" s="2" t="n"/>
      <c r="VTT13" s="2" t="n"/>
      <c r="VTU13" s="2" t="n"/>
      <c r="VTV13" s="2" t="n"/>
      <c r="VTW13" s="2" t="n"/>
      <c r="VTX13" s="2" t="n"/>
      <c r="VTY13" s="2" t="n"/>
      <c r="VTZ13" s="2" t="n"/>
      <c r="VUA13" s="2" t="n"/>
      <c r="VUB13" s="2" t="n"/>
      <c r="VUC13" s="2" t="n"/>
      <c r="VUD13" s="2" t="n"/>
      <c r="VUE13" s="2" t="n"/>
      <c r="VUF13" s="2" t="n"/>
      <c r="VUG13" s="2" t="n"/>
      <c r="VUH13" s="2" t="n"/>
      <c r="VUI13" s="2" t="n"/>
      <c r="VUJ13" s="2" t="n"/>
      <c r="VUK13" s="2" t="n"/>
      <c r="VUL13" s="2" t="n"/>
      <c r="VUM13" s="2" t="n"/>
      <c r="VUN13" s="2" t="n"/>
      <c r="VUO13" s="2" t="n"/>
      <c r="VUP13" s="2" t="n"/>
      <c r="VUQ13" s="2" t="n"/>
      <c r="VUR13" s="2" t="n"/>
      <c r="VUS13" s="2" t="n"/>
      <c r="VUT13" s="2" t="n"/>
      <c r="VUU13" s="2" t="n"/>
      <c r="VUV13" s="2" t="n"/>
      <c r="VUW13" s="2" t="n"/>
      <c r="VUX13" s="2" t="n"/>
      <c r="VUY13" s="2" t="n"/>
      <c r="VUZ13" s="2" t="n"/>
      <c r="VVA13" s="2" t="n"/>
      <c r="VVB13" s="2" t="n"/>
      <c r="VVC13" s="2" t="n"/>
      <c r="VVD13" s="2" t="n"/>
      <c r="VVE13" s="2" t="n"/>
      <c r="VVF13" s="2" t="n"/>
      <c r="VVG13" s="2" t="n"/>
      <c r="VVH13" s="2" t="n"/>
      <c r="VVI13" s="2" t="n"/>
      <c r="VVJ13" s="2" t="n"/>
      <c r="VVK13" s="2" t="n"/>
      <c r="VVL13" s="2" t="n"/>
      <c r="VVM13" s="2" t="n"/>
      <c r="VVN13" s="2" t="n"/>
      <c r="VVO13" s="2" t="n"/>
      <c r="VVP13" s="2" t="n"/>
      <c r="VVQ13" s="2" t="n"/>
      <c r="VVR13" s="2" t="n"/>
      <c r="VVS13" s="2" t="n"/>
      <c r="VVT13" s="2" t="n"/>
      <c r="VVU13" s="2" t="n"/>
      <c r="VVV13" s="2" t="n"/>
      <c r="VVW13" s="2" t="n"/>
      <c r="VVX13" s="2" t="n"/>
      <c r="VVY13" s="2" t="n"/>
      <c r="VVZ13" s="2" t="n"/>
      <c r="VWA13" s="2" t="n"/>
      <c r="VWB13" s="2" t="n"/>
      <c r="VWC13" s="2" t="n"/>
      <c r="VWD13" s="2" t="n"/>
      <c r="VWE13" s="2" t="n"/>
      <c r="VWF13" s="2" t="n"/>
      <c r="VWG13" s="2" t="n"/>
      <c r="VWH13" s="2" t="n"/>
      <c r="VWI13" s="2" t="n"/>
      <c r="VWJ13" s="2" t="n"/>
      <c r="VWK13" s="2" t="n"/>
      <c r="VWL13" s="2" t="n"/>
      <c r="VWM13" s="2" t="n"/>
      <c r="VWN13" s="2" t="n"/>
      <c r="VWO13" s="2" t="n"/>
      <c r="VWP13" s="2" t="n"/>
      <c r="VWQ13" s="2" t="n"/>
      <c r="VWR13" s="2" t="n"/>
      <c r="VWS13" s="2" t="n"/>
      <c r="VWT13" s="2" t="n"/>
      <c r="VWU13" s="2" t="n"/>
      <c r="VWV13" s="2" t="n"/>
      <c r="VWW13" s="2" t="n"/>
      <c r="VWX13" s="2" t="n"/>
      <c r="VWY13" s="2" t="n"/>
      <c r="VWZ13" s="2" t="n"/>
      <c r="VXA13" s="2" t="n"/>
      <c r="VXB13" s="2" t="n"/>
      <c r="VXC13" s="2" t="n"/>
      <c r="VXD13" s="2" t="n"/>
      <c r="VXE13" s="2" t="n"/>
      <c r="VXF13" s="2" t="n"/>
      <c r="VXG13" s="2" t="n"/>
      <c r="VXH13" s="2" t="n"/>
      <c r="VXI13" s="2" t="n"/>
      <c r="VXJ13" s="2" t="n"/>
      <c r="VXK13" s="2" t="n"/>
      <c r="VXL13" s="2" t="n"/>
      <c r="VXM13" s="2" t="n"/>
      <c r="VXN13" s="2" t="n"/>
      <c r="VXO13" s="2" t="n"/>
      <c r="VXP13" s="2" t="n"/>
      <c r="VXQ13" s="2" t="n"/>
      <c r="VXR13" s="2" t="n"/>
      <c r="VXS13" s="2" t="n"/>
      <c r="VXT13" s="2" t="n"/>
      <c r="VXU13" s="2" t="n"/>
      <c r="VXV13" s="2" t="n"/>
      <c r="VXW13" s="2" t="n"/>
      <c r="VXX13" s="2" t="n"/>
      <c r="VXY13" s="2" t="n"/>
      <c r="VXZ13" s="2" t="n"/>
      <c r="VYA13" s="2" t="n"/>
      <c r="VYB13" s="2" t="n"/>
      <c r="VYC13" s="2" t="n"/>
      <c r="VYD13" s="2" t="n"/>
      <c r="VYE13" s="2" t="n"/>
      <c r="VYF13" s="2" t="n"/>
      <c r="VYG13" s="2" t="n"/>
      <c r="VYH13" s="2" t="n"/>
      <c r="VYI13" s="2" t="n"/>
      <c r="VYJ13" s="2" t="n"/>
      <c r="VYK13" s="2" t="n"/>
      <c r="VYL13" s="2" t="n"/>
      <c r="VYM13" s="2" t="n"/>
      <c r="VYN13" s="2" t="n"/>
      <c r="VYO13" s="2" t="n"/>
      <c r="VYP13" s="2" t="n"/>
      <c r="VYQ13" s="2" t="n"/>
      <c r="VYR13" s="2" t="n"/>
      <c r="VYS13" s="2" t="n"/>
      <c r="VYT13" s="2" t="n"/>
      <c r="VYU13" s="2" t="n"/>
      <c r="VYV13" s="2" t="n"/>
      <c r="VYW13" s="2" t="n"/>
      <c r="VYX13" s="2" t="n"/>
      <c r="VYY13" s="2" t="n"/>
      <c r="VYZ13" s="2" t="n"/>
      <c r="VZA13" s="2" t="n"/>
      <c r="VZB13" s="2" t="n"/>
      <c r="VZC13" s="2" t="n"/>
      <c r="VZD13" s="2" t="n"/>
      <c r="VZE13" s="2" t="n"/>
      <c r="VZF13" s="2" t="n"/>
      <c r="VZG13" s="2" t="n"/>
      <c r="VZH13" s="2" t="n"/>
      <c r="VZI13" s="2" t="n"/>
      <c r="VZJ13" s="2" t="n"/>
      <c r="VZK13" s="2" t="n"/>
      <c r="VZL13" s="2" t="n"/>
      <c r="VZM13" s="2" t="n"/>
      <c r="VZN13" s="2" t="n"/>
      <c r="VZO13" s="2" t="n"/>
      <c r="VZP13" s="2" t="n"/>
      <c r="VZQ13" s="2" t="n"/>
      <c r="VZR13" s="2" t="n"/>
      <c r="VZS13" s="2" t="n"/>
      <c r="VZT13" s="2" t="n"/>
      <c r="VZU13" s="2" t="n"/>
      <c r="VZV13" s="2" t="n"/>
      <c r="VZW13" s="2" t="n"/>
      <c r="VZX13" s="2" t="n"/>
      <c r="VZY13" s="2" t="n"/>
      <c r="VZZ13" s="2" t="n"/>
      <c r="WAA13" s="2" t="n"/>
      <c r="WAB13" s="2" t="n"/>
      <c r="WAC13" s="2" t="n"/>
      <c r="WAD13" s="2" t="n"/>
      <c r="WAE13" s="2" t="n"/>
      <c r="WAF13" s="2" t="n"/>
      <c r="WAG13" s="2" t="n"/>
      <c r="WAH13" s="2" t="n"/>
      <c r="WAI13" s="2" t="n"/>
      <c r="WAJ13" s="2" t="n"/>
      <c r="WAK13" s="2" t="n"/>
      <c r="WAL13" s="2" t="n"/>
      <c r="WAM13" s="2" t="n"/>
      <c r="WAN13" s="2" t="n"/>
      <c r="WAO13" s="2" t="n"/>
      <c r="WAP13" s="2" t="n"/>
      <c r="WAQ13" s="2" t="n"/>
      <c r="WAR13" s="2" t="n"/>
      <c r="WAS13" s="2" t="n"/>
      <c r="WAT13" s="2" t="n"/>
      <c r="WAU13" s="2" t="n"/>
      <c r="WAV13" s="2" t="n"/>
      <c r="WAW13" s="2" t="n"/>
      <c r="WAX13" s="2" t="n"/>
      <c r="WAY13" s="2" t="n"/>
      <c r="WAZ13" s="2" t="n"/>
      <c r="WBA13" s="2" t="n"/>
      <c r="WBB13" s="2" t="n"/>
      <c r="WBC13" s="2" t="n"/>
      <c r="WBD13" s="2" t="n"/>
      <c r="WBE13" s="2" t="n"/>
      <c r="WBF13" s="2" t="n"/>
      <c r="WBG13" s="2" t="n"/>
      <c r="WBH13" s="2" t="n"/>
      <c r="WBI13" s="2" t="n"/>
      <c r="WBJ13" s="2" t="n"/>
      <c r="WBK13" s="2" t="n"/>
      <c r="WBL13" s="2" t="n"/>
      <c r="WBM13" s="2" t="n"/>
      <c r="WBN13" s="2" t="n"/>
      <c r="WBO13" s="2" t="n"/>
      <c r="WBP13" s="2" t="n"/>
      <c r="WBQ13" s="2" t="n"/>
      <c r="WBR13" s="2" t="n"/>
      <c r="WBS13" s="2" t="n"/>
      <c r="WBT13" s="2" t="n"/>
      <c r="WBU13" s="2" t="n"/>
      <c r="WBV13" s="2" t="n"/>
      <c r="WBW13" s="2" t="n"/>
      <c r="WBX13" s="2" t="n"/>
      <c r="WBY13" s="2" t="n"/>
      <c r="WBZ13" s="2" t="n"/>
      <c r="WCA13" s="2" t="n"/>
      <c r="WCB13" s="2" t="n"/>
      <c r="WCC13" s="2" t="n"/>
      <c r="WCD13" s="2" t="n"/>
      <c r="WCE13" s="2" t="n"/>
      <c r="WCF13" s="2" t="n"/>
      <c r="WCG13" s="2" t="n"/>
      <c r="WCH13" s="2" t="n"/>
      <c r="WCI13" s="2" t="n"/>
      <c r="WCJ13" s="2" t="n"/>
      <c r="WCK13" s="2" t="n"/>
      <c r="WCL13" s="2" t="n"/>
      <c r="WCM13" s="2" t="n"/>
      <c r="WCN13" s="2" t="n"/>
      <c r="WCO13" s="2" t="n"/>
      <c r="WCP13" s="2" t="n"/>
      <c r="WCQ13" s="2" t="n"/>
      <c r="WCR13" s="2" t="n"/>
      <c r="WCS13" s="2" t="n"/>
      <c r="WCT13" s="2" t="n"/>
      <c r="WCU13" s="2" t="n"/>
      <c r="WCV13" s="2" t="n"/>
      <c r="WCW13" s="2" t="n"/>
      <c r="WCX13" s="2" t="n"/>
      <c r="WCY13" s="2" t="n"/>
      <c r="WCZ13" s="2" t="n"/>
      <c r="WDA13" s="2" t="n"/>
      <c r="WDB13" s="2" t="n"/>
      <c r="WDC13" s="2" t="n"/>
      <c r="WDD13" s="2" t="n"/>
      <c r="WDE13" s="2" t="n"/>
      <c r="WDF13" s="2" t="n"/>
      <c r="WDG13" s="2" t="n"/>
      <c r="WDH13" s="2" t="n"/>
      <c r="WDI13" s="2" t="n"/>
      <c r="WDJ13" s="2" t="n"/>
      <c r="WDK13" s="2" t="n"/>
      <c r="WDL13" s="2" t="n"/>
      <c r="WDM13" s="2" t="n"/>
      <c r="WDN13" s="2" t="n"/>
      <c r="WDO13" s="2" t="n"/>
      <c r="WDP13" s="2" t="n"/>
      <c r="WDQ13" s="2" t="n"/>
      <c r="WDR13" s="2" t="n"/>
      <c r="WDS13" s="2" t="n"/>
      <c r="WDT13" s="2" t="n"/>
      <c r="WDU13" s="2" t="n"/>
      <c r="WDV13" s="2" t="n"/>
      <c r="WDW13" s="2" t="n"/>
      <c r="WDX13" s="2" t="n"/>
      <c r="WDY13" s="2" t="n"/>
      <c r="WDZ13" s="2" t="n"/>
      <c r="WEA13" s="2" t="n"/>
      <c r="WEB13" s="2" t="n"/>
      <c r="WEC13" s="2" t="n"/>
      <c r="WED13" s="2" t="n"/>
      <c r="WEE13" s="2" t="n"/>
      <c r="WEF13" s="2" t="n"/>
      <c r="WEG13" s="2" t="n"/>
      <c r="WEH13" s="2" t="n"/>
      <c r="WEI13" s="2" t="n"/>
      <c r="WEJ13" s="2" t="n"/>
      <c r="WEK13" s="2" t="n"/>
      <c r="WEL13" s="2" t="n"/>
      <c r="WEM13" s="2" t="n"/>
      <c r="WEN13" s="2" t="n"/>
      <c r="WEO13" s="2" t="n"/>
      <c r="WEP13" s="2" t="n"/>
      <c r="WEQ13" s="2" t="n"/>
      <c r="WER13" s="2" t="n"/>
      <c r="WES13" s="2" t="n"/>
      <c r="WET13" s="2" t="n"/>
      <c r="WEU13" s="2" t="n"/>
      <c r="WEV13" s="2" t="n"/>
      <c r="WEW13" s="2" t="n"/>
      <c r="WEX13" s="2" t="n"/>
      <c r="WEY13" s="2" t="n"/>
      <c r="WEZ13" s="2" t="n"/>
      <c r="WFA13" s="2" t="n"/>
      <c r="WFB13" s="2" t="n"/>
      <c r="WFC13" s="2" t="n"/>
      <c r="WFD13" s="2" t="n"/>
      <c r="WFE13" s="2" t="n"/>
      <c r="WFF13" s="2" t="n"/>
      <c r="WFG13" s="2" t="n"/>
      <c r="WFH13" s="2" t="n"/>
      <c r="WFI13" s="2" t="n"/>
      <c r="WFJ13" s="2" t="n"/>
      <c r="WFK13" s="2" t="n"/>
      <c r="WFL13" s="2" t="n"/>
      <c r="WFM13" s="2" t="n"/>
      <c r="WFN13" s="2" t="n"/>
      <c r="WFO13" s="2" t="n"/>
      <c r="WFP13" s="2" t="n"/>
      <c r="WFQ13" s="2" t="n"/>
      <c r="WFR13" s="2" t="n"/>
      <c r="WFS13" s="2" t="n"/>
      <c r="WFT13" s="2" t="n"/>
      <c r="WFU13" s="2" t="n"/>
      <c r="WFV13" s="2" t="n"/>
      <c r="WFW13" s="2" t="n"/>
      <c r="WFX13" s="2" t="n"/>
      <c r="WFY13" s="2" t="n"/>
      <c r="WFZ13" s="2" t="n"/>
      <c r="WGA13" s="2" t="n"/>
      <c r="WGB13" s="2" t="n"/>
      <c r="WGC13" s="2" t="n"/>
      <c r="WGD13" s="2" t="n"/>
      <c r="WGE13" s="2" t="n"/>
      <c r="WGF13" s="2" t="n"/>
      <c r="WGG13" s="2" t="n"/>
      <c r="WGH13" s="2" t="n"/>
      <c r="WGI13" s="2" t="n"/>
      <c r="WGJ13" s="2" t="n"/>
      <c r="WGK13" s="2" t="n"/>
      <c r="WGL13" s="2" t="n"/>
      <c r="WGM13" s="2" t="n"/>
      <c r="WGN13" s="2" t="n"/>
      <c r="WGO13" s="2" t="n"/>
      <c r="WGP13" s="2" t="n"/>
      <c r="WGQ13" s="2" t="n"/>
      <c r="WGR13" s="2" t="n"/>
      <c r="WGS13" s="2" t="n"/>
      <c r="WGT13" s="2" t="n"/>
      <c r="WGU13" s="2" t="n"/>
      <c r="WGV13" s="2" t="n"/>
      <c r="WGW13" s="2" t="n"/>
      <c r="WGX13" s="2" t="n"/>
      <c r="WGY13" s="2" t="n"/>
      <c r="WGZ13" s="2" t="n"/>
      <c r="WHA13" s="2" t="n"/>
      <c r="WHB13" s="2" t="n"/>
      <c r="WHC13" s="2" t="n"/>
      <c r="WHD13" s="2" t="n"/>
      <c r="WHE13" s="2" t="n"/>
      <c r="WHF13" s="2" t="n"/>
      <c r="WHG13" s="2" t="n"/>
      <c r="WHH13" s="2" t="n"/>
      <c r="WHI13" s="2" t="n"/>
      <c r="WHJ13" s="2" t="n"/>
      <c r="WHK13" s="2" t="n"/>
      <c r="WHL13" s="2" t="n"/>
      <c r="WHM13" s="2" t="n"/>
      <c r="WHN13" s="2" t="n"/>
      <c r="WHO13" s="2" t="n"/>
      <c r="WHP13" s="2" t="n"/>
      <c r="WHQ13" s="2" t="n"/>
      <c r="WHR13" s="2" t="n"/>
      <c r="WHS13" s="2" t="n"/>
      <c r="WHT13" s="2" t="n"/>
      <c r="WHU13" s="2" t="n"/>
      <c r="WHV13" s="2" t="n"/>
      <c r="WHW13" s="2" t="n"/>
      <c r="WHX13" s="2" t="n"/>
      <c r="WHY13" s="2" t="n"/>
      <c r="WHZ13" s="2" t="n"/>
      <c r="WIA13" s="2" t="n"/>
      <c r="WIB13" s="2" t="n"/>
      <c r="WIC13" s="2" t="n"/>
      <c r="WID13" s="2" t="n"/>
      <c r="WIE13" s="2" t="n"/>
      <c r="WIF13" s="2" t="n"/>
      <c r="WIG13" s="2" t="n"/>
      <c r="WIH13" s="2" t="n"/>
      <c r="WII13" s="2" t="n"/>
      <c r="WIJ13" s="2" t="n"/>
      <c r="WIK13" s="2" t="n"/>
      <c r="WIL13" s="2" t="n"/>
      <c r="WIM13" s="2" t="n"/>
      <c r="WIN13" s="2" t="n"/>
      <c r="WIO13" s="2" t="n"/>
      <c r="WIP13" s="2" t="n"/>
      <c r="WIQ13" s="2" t="n"/>
      <c r="WIR13" s="2" t="n"/>
      <c r="WIS13" s="2" t="n"/>
      <c r="WIT13" s="2" t="n"/>
      <c r="WIU13" s="2" t="n"/>
      <c r="WIV13" s="2" t="n"/>
      <c r="WIW13" s="2" t="n"/>
      <c r="WIX13" s="2" t="n"/>
      <c r="WIY13" s="2" t="n"/>
      <c r="WIZ13" s="2" t="n"/>
      <c r="WJA13" s="2" t="n"/>
      <c r="WJB13" s="2" t="n"/>
      <c r="WJC13" s="2" t="n"/>
      <c r="WJD13" s="2" t="n"/>
      <c r="WJE13" s="2" t="n"/>
      <c r="WJF13" s="2" t="n"/>
      <c r="WJG13" s="2" t="n"/>
      <c r="WJH13" s="2" t="n"/>
      <c r="WJI13" s="2" t="n"/>
      <c r="WJJ13" s="2" t="n"/>
      <c r="WJK13" s="2" t="n"/>
      <c r="WJL13" s="2" t="n"/>
      <c r="WJM13" s="2" t="n"/>
      <c r="WJN13" s="2" t="n"/>
      <c r="WJO13" s="2" t="n"/>
      <c r="WJP13" s="2" t="n"/>
      <c r="WJQ13" s="2" t="n"/>
      <c r="WJR13" s="2" t="n"/>
      <c r="WJS13" s="2" t="n"/>
      <c r="WJT13" s="2" t="n"/>
      <c r="WJU13" s="2" t="n"/>
      <c r="WJV13" s="2" t="n"/>
      <c r="WJW13" s="2" t="n"/>
      <c r="WJX13" s="2" t="n"/>
      <c r="WJY13" s="2" t="n"/>
      <c r="WJZ13" s="2" t="n"/>
      <c r="WKA13" s="2" t="n"/>
      <c r="WKB13" s="2" t="n"/>
      <c r="WKC13" s="2" t="n"/>
      <c r="WKD13" s="2" t="n"/>
      <c r="WKE13" s="2" t="n"/>
      <c r="WKF13" s="2" t="n"/>
      <c r="WKG13" s="2" t="n"/>
      <c r="WKH13" s="2" t="n"/>
      <c r="WKI13" s="2" t="n"/>
      <c r="WKJ13" s="2" t="n"/>
      <c r="WKK13" s="2" t="n"/>
      <c r="WKL13" s="2" t="n"/>
      <c r="WKM13" s="2" t="n"/>
      <c r="WKN13" s="2" t="n"/>
      <c r="WKO13" s="2" t="n"/>
      <c r="WKP13" s="2" t="n"/>
      <c r="WKQ13" s="2" t="n"/>
      <c r="WKR13" s="2" t="n"/>
      <c r="WKS13" s="2" t="n"/>
      <c r="WKT13" s="2" t="n"/>
      <c r="WKU13" s="2" t="n"/>
      <c r="WKV13" s="2" t="n"/>
      <c r="WKW13" s="2" t="n"/>
      <c r="WKX13" s="2" t="n"/>
      <c r="WKY13" s="2" t="n"/>
      <c r="WKZ13" s="2" t="n"/>
      <c r="WLA13" s="2" t="n"/>
      <c r="WLB13" s="2" t="n"/>
      <c r="WLC13" s="2" t="n"/>
      <c r="WLD13" s="2" t="n"/>
      <c r="WLE13" s="2" t="n"/>
      <c r="WLF13" s="2" t="n"/>
      <c r="WLG13" s="2" t="n"/>
      <c r="WLH13" s="2" t="n"/>
      <c r="WLI13" s="2" t="n"/>
      <c r="WLJ13" s="2" t="n"/>
      <c r="WLK13" s="2" t="n"/>
      <c r="WLL13" s="2" t="n"/>
      <c r="WLM13" s="2" t="n"/>
      <c r="WLN13" s="2" t="n"/>
      <c r="WLO13" s="2" t="n"/>
      <c r="WLP13" s="2" t="n"/>
      <c r="WLQ13" s="2" t="n"/>
      <c r="WLR13" s="2" t="n"/>
      <c r="WLS13" s="2" t="n"/>
      <c r="WLT13" s="2" t="n"/>
      <c r="WLU13" s="2" t="n"/>
      <c r="WLV13" s="2" t="n"/>
      <c r="WLW13" s="2" t="n"/>
      <c r="WLX13" s="2" t="n"/>
      <c r="WLY13" s="2" t="n"/>
      <c r="WLZ13" s="2" t="n"/>
      <c r="WMA13" s="2" t="n"/>
      <c r="WMB13" s="2" t="n"/>
      <c r="WMC13" s="2" t="n"/>
      <c r="WMD13" s="2" t="n"/>
      <c r="WME13" s="2" t="n"/>
      <c r="WMF13" s="2" t="n"/>
      <c r="WMG13" s="2" t="n"/>
      <c r="WMH13" s="2" t="n"/>
      <c r="WMI13" s="2" t="n"/>
      <c r="WMJ13" s="2" t="n"/>
      <c r="WMK13" s="2" t="n"/>
      <c r="WML13" s="2" t="n"/>
      <c r="WMM13" s="2" t="n"/>
      <c r="WMN13" s="2" t="n"/>
      <c r="WMO13" s="2" t="n"/>
      <c r="WMP13" s="2" t="n"/>
      <c r="WMQ13" s="2" t="n"/>
      <c r="WMR13" s="2" t="n"/>
      <c r="WMS13" s="2" t="n"/>
      <c r="WMT13" s="2" t="n"/>
      <c r="WMU13" s="2" t="n"/>
      <c r="WMV13" s="2" t="n"/>
      <c r="WMW13" s="2" t="n"/>
      <c r="WMX13" s="2" t="n"/>
      <c r="WMY13" s="2" t="n"/>
      <c r="WMZ13" s="2" t="n"/>
      <c r="WNA13" s="2" t="n"/>
      <c r="WNB13" s="2" t="n"/>
      <c r="WNC13" s="2" t="n"/>
      <c r="WND13" s="2" t="n"/>
      <c r="WNE13" s="2" t="n"/>
      <c r="WNF13" s="2" t="n"/>
      <c r="WNG13" s="2" t="n"/>
      <c r="WNH13" s="2" t="n"/>
      <c r="WNI13" s="2" t="n"/>
      <c r="WNJ13" s="2" t="n"/>
      <c r="WNK13" s="2" t="n"/>
      <c r="WNL13" s="2" t="n"/>
      <c r="WNM13" s="2" t="n"/>
      <c r="WNN13" s="2" t="n"/>
      <c r="WNO13" s="2" t="n"/>
      <c r="WNP13" s="2" t="n"/>
      <c r="WNQ13" s="2" t="n"/>
      <c r="WNR13" s="2" t="n"/>
      <c r="WNS13" s="2" t="n"/>
      <c r="WNT13" s="2" t="n"/>
      <c r="WNU13" s="2" t="n"/>
      <c r="WNV13" s="2" t="n"/>
      <c r="WNW13" s="2" t="n"/>
      <c r="WNX13" s="2" t="n"/>
      <c r="WNY13" s="2" t="n"/>
      <c r="WNZ13" s="2" t="n"/>
      <c r="WOA13" s="2" t="n"/>
      <c r="WOB13" s="2" t="n"/>
      <c r="WOC13" s="2" t="n"/>
      <c r="WOD13" s="2" t="n"/>
      <c r="WOE13" s="2" t="n"/>
      <c r="WOF13" s="2" t="n"/>
      <c r="WOG13" s="2" t="n"/>
      <c r="WOH13" s="2" t="n"/>
      <c r="WOI13" s="2" t="n"/>
      <c r="WOJ13" s="2" t="n"/>
      <c r="WOK13" s="2" t="n"/>
      <c r="WOL13" s="2" t="n"/>
      <c r="WOM13" s="2" t="n"/>
      <c r="WON13" s="2" t="n"/>
      <c r="WOO13" s="2" t="n"/>
      <c r="WOP13" s="2" t="n"/>
      <c r="WOQ13" s="2" t="n"/>
      <c r="WOR13" s="2" t="n"/>
      <c r="WOS13" s="2" t="n"/>
      <c r="WOT13" s="2" t="n"/>
      <c r="WOU13" s="2" t="n"/>
      <c r="WOV13" s="2" t="n"/>
      <c r="WOW13" s="2" t="n"/>
      <c r="WOX13" s="2" t="n"/>
      <c r="WOY13" s="2" t="n"/>
      <c r="WOZ13" s="2" t="n"/>
      <c r="WPA13" s="2" t="n"/>
      <c r="WPB13" s="2" t="n"/>
      <c r="WPC13" s="2" t="n"/>
      <c r="WPD13" s="2" t="n"/>
      <c r="WPE13" s="2" t="n"/>
      <c r="WPF13" s="2" t="n"/>
      <c r="WPG13" s="2" t="n"/>
      <c r="WPH13" s="2" t="n"/>
      <c r="WPI13" s="2" t="n"/>
      <c r="WPJ13" s="2" t="n"/>
      <c r="WPK13" s="2" t="n"/>
      <c r="WPL13" s="2" t="n"/>
      <c r="WPM13" s="2" t="n"/>
      <c r="WPN13" s="2" t="n"/>
      <c r="WPO13" s="2" t="n"/>
      <c r="WPP13" s="2" t="n"/>
      <c r="WPQ13" s="2" t="n"/>
      <c r="WPR13" s="2" t="n"/>
      <c r="WPS13" s="2" t="n"/>
      <c r="WPT13" s="2" t="n"/>
      <c r="WPU13" s="2" t="n"/>
      <c r="WPV13" s="2" t="n"/>
      <c r="WPW13" s="2" t="n"/>
      <c r="WPX13" s="2" t="n"/>
      <c r="WPY13" s="2" t="n"/>
      <c r="WPZ13" s="2" t="n"/>
      <c r="WQA13" s="2" t="n"/>
      <c r="WQB13" s="2" t="n"/>
      <c r="WQC13" s="2" t="n"/>
      <c r="WQD13" s="2" t="n"/>
      <c r="WQE13" s="2" t="n"/>
      <c r="WQF13" s="2" t="n"/>
      <c r="WQG13" s="2" t="n"/>
      <c r="WQH13" s="2" t="n"/>
      <c r="WQI13" s="2" t="n"/>
      <c r="WQJ13" s="2" t="n"/>
      <c r="WQK13" s="2" t="n"/>
      <c r="WQL13" s="2" t="n"/>
      <c r="WQM13" s="2" t="n"/>
      <c r="WQN13" s="2" t="n"/>
      <c r="WQO13" s="2" t="n"/>
      <c r="WQP13" s="2" t="n"/>
      <c r="WQQ13" s="2" t="n"/>
      <c r="WQR13" s="2" t="n"/>
      <c r="WQS13" s="2" t="n"/>
      <c r="WQT13" s="2" t="n"/>
      <c r="WQU13" s="2" t="n"/>
      <c r="WQV13" s="2" t="n"/>
      <c r="WQW13" s="2" t="n"/>
      <c r="WQX13" s="2" t="n"/>
      <c r="WQY13" s="2" t="n"/>
      <c r="WQZ13" s="2" t="n"/>
      <c r="WRA13" s="2" t="n"/>
      <c r="WRB13" s="2" t="n"/>
      <c r="WRC13" s="2" t="n"/>
      <c r="WRD13" s="2" t="n"/>
      <c r="WRE13" s="2" t="n"/>
      <c r="WRF13" s="2" t="n"/>
      <c r="WRG13" s="2" t="n"/>
      <c r="WRH13" s="2" t="n"/>
      <c r="WRI13" s="2" t="n"/>
      <c r="WRJ13" s="2" t="n"/>
      <c r="WRK13" s="2" t="n"/>
      <c r="WRL13" s="2" t="n"/>
      <c r="WRM13" s="2" t="n"/>
      <c r="WRN13" s="2" t="n"/>
      <c r="WRO13" s="2" t="n"/>
      <c r="WRP13" s="2" t="n"/>
      <c r="WRQ13" s="2" t="n"/>
      <c r="WRR13" s="2" t="n"/>
      <c r="WRS13" s="2" t="n"/>
      <c r="WRT13" s="2" t="n"/>
      <c r="WRU13" s="2" t="n"/>
      <c r="WRV13" s="2" t="n"/>
      <c r="WRW13" s="2" t="n"/>
      <c r="WRX13" s="2" t="n"/>
      <c r="WRY13" s="2" t="n"/>
      <c r="WRZ13" s="2" t="n"/>
      <c r="WSA13" s="2" t="n"/>
      <c r="WSB13" s="2" t="n"/>
      <c r="WSC13" s="2" t="n"/>
      <c r="WSD13" s="2" t="n"/>
      <c r="WSE13" s="2" t="n"/>
      <c r="WSF13" s="2" t="n"/>
      <c r="WSG13" s="2" t="n"/>
      <c r="WSH13" s="2" t="n"/>
      <c r="WSI13" s="2" t="n"/>
      <c r="WSJ13" s="2" t="n"/>
      <c r="WSK13" s="2" t="n"/>
      <c r="WSL13" s="2" t="n"/>
      <c r="WSM13" s="2" t="n"/>
      <c r="WSN13" s="2" t="n"/>
      <c r="WSO13" s="2" t="n"/>
      <c r="WSP13" s="2" t="n"/>
      <c r="WSQ13" s="2" t="n"/>
      <c r="WSR13" s="2" t="n"/>
      <c r="WSS13" s="2" t="n"/>
      <c r="WST13" s="2" t="n"/>
      <c r="WSU13" s="2" t="n"/>
      <c r="WSV13" s="2" t="n"/>
      <c r="WSW13" s="2" t="n"/>
      <c r="WSX13" s="2" t="n"/>
      <c r="WSY13" s="2" t="n"/>
      <c r="WSZ13" s="2" t="n"/>
      <c r="WTA13" s="2" t="n"/>
      <c r="WTB13" s="2" t="n"/>
      <c r="WTC13" s="2" t="n"/>
      <c r="WTD13" s="2" t="n"/>
      <c r="WTE13" s="2" t="n"/>
      <c r="WTF13" s="2" t="n"/>
      <c r="WTG13" s="2" t="n"/>
      <c r="WTH13" s="2" t="n"/>
      <c r="WTI13" s="2" t="n"/>
      <c r="WTJ13" s="2" t="n"/>
      <c r="WTK13" s="2" t="n"/>
      <c r="WTL13" s="2" t="n"/>
      <c r="WTM13" s="2" t="n"/>
      <c r="WTN13" s="2" t="n"/>
      <c r="WTO13" s="2" t="n"/>
      <c r="WTP13" s="2" t="n"/>
      <c r="WTQ13" s="2" t="n"/>
      <c r="WTR13" s="2" t="n"/>
      <c r="WTS13" s="2" t="n"/>
      <c r="WTT13" s="2" t="n"/>
      <c r="WTU13" s="2" t="n"/>
      <c r="WTV13" s="2" t="n"/>
      <c r="WTW13" s="2" t="n"/>
      <c r="WTX13" s="2" t="n"/>
      <c r="WTY13" s="2" t="n"/>
      <c r="WTZ13" s="2" t="n"/>
      <c r="WUA13" s="2" t="n"/>
      <c r="WUB13" s="2" t="n"/>
      <c r="WUC13" s="2" t="n"/>
      <c r="WUD13" s="2" t="n"/>
      <c r="WUE13" s="2" t="n"/>
      <c r="WUF13" s="2" t="n"/>
      <c r="WUG13" s="2" t="n"/>
      <c r="WUH13" s="2" t="n"/>
      <c r="WUI13" s="2" t="n"/>
      <c r="WUJ13" s="2" t="n"/>
      <c r="WUK13" s="2" t="n"/>
      <c r="WUL13" s="2" t="n"/>
      <c r="WUM13" s="2" t="n"/>
      <c r="WUN13" s="2" t="n"/>
      <c r="WUO13" s="2" t="n"/>
      <c r="WUP13" s="2" t="n"/>
      <c r="WUQ13" s="2" t="n"/>
      <c r="WUR13" s="2" t="n"/>
      <c r="WUS13" s="2" t="n"/>
      <c r="WUT13" s="2" t="n"/>
      <c r="WUU13" s="2" t="n"/>
      <c r="WUV13" s="2" t="n"/>
      <c r="WUW13" s="2" t="n"/>
      <c r="WUX13" s="2" t="n"/>
      <c r="WUY13" s="2" t="n"/>
      <c r="WUZ13" s="2" t="n"/>
      <c r="WVA13" s="2" t="n"/>
      <c r="WVB13" s="2" t="n"/>
      <c r="WVC13" s="2" t="n"/>
      <c r="WVD13" s="2" t="n"/>
      <c r="WVE13" s="2" t="n"/>
      <c r="WVF13" s="2" t="n"/>
      <c r="WVG13" s="2" t="n"/>
      <c r="WVH13" s="2" t="n"/>
      <c r="WVI13" s="2" t="n"/>
      <c r="WVJ13" s="2" t="n"/>
      <c r="WVK13" s="2" t="n"/>
      <c r="WVL13" s="2" t="n"/>
      <c r="WVM13" s="2" t="n"/>
      <c r="WVN13" s="2" t="n"/>
      <c r="WVO13" s="2" t="n"/>
      <c r="WVP13" s="2" t="n"/>
      <c r="WVQ13" s="2" t="n"/>
      <c r="WVR13" s="2" t="n"/>
      <c r="WVS13" s="2" t="n"/>
      <c r="WVT13" s="2" t="n"/>
      <c r="WVU13" s="2" t="n"/>
      <c r="WVV13" s="2" t="n"/>
      <c r="WVW13" s="2" t="n"/>
      <c r="WVX13" s="2" t="n"/>
      <c r="WVY13" s="2" t="n"/>
      <c r="WVZ13" s="2" t="n"/>
      <c r="WWA13" s="2" t="n"/>
      <c r="WWB13" s="2" t="n"/>
      <c r="WWC13" s="2" t="n"/>
      <c r="WWD13" s="2" t="n"/>
      <c r="WWE13" s="2" t="n"/>
      <c r="WWF13" s="2" t="n"/>
      <c r="WWG13" s="2" t="n"/>
      <c r="WWH13" s="2" t="n"/>
      <c r="WWI13" s="2" t="n"/>
      <c r="WWJ13" s="2" t="n"/>
      <c r="WWK13" s="2" t="n"/>
      <c r="WWL13" s="2" t="n"/>
      <c r="WWM13" s="2" t="n"/>
      <c r="WWN13" s="2" t="n"/>
      <c r="WWO13" s="2" t="n"/>
      <c r="WWP13" s="2" t="n"/>
      <c r="WWQ13" s="2" t="n"/>
      <c r="WWR13" s="2" t="n"/>
      <c r="WWS13" s="2" t="n"/>
      <c r="WWT13" s="2" t="n"/>
      <c r="WWU13" s="2" t="n"/>
      <c r="WWV13" s="2" t="n"/>
      <c r="WWW13" s="2" t="n"/>
      <c r="WWX13" s="2" t="n"/>
      <c r="WWY13" s="2" t="n"/>
      <c r="WWZ13" s="2" t="n"/>
      <c r="WXA13" s="2" t="n"/>
      <c r="WXB13" s="2" t="n"/>
      <c r="WXC13" s="2" t="n"/>
      <c r="WXD13" s="2" t="n"/>
      <c r="WXE13" s="2" t="n"/>
      <c r="WXF13" s="2" t="n"/>
      <c r="WXG13" s="2" t="n"/>
      <c r="WXH13" s="2" t="n"/>
      <c r="WXI13" s="2" t="n"/>
      <c r="WXJ13" s="2" t="n"/>
      <c r="WXK13" s="2" t="n"/>
      <c r="WXL13" s="2" t="n"/>
      <c r="WXM13" s="2" t="n"/>
      <c r="WXN13" s="2" t="n"/>
      <c r="WXO13" s="2" t="n"/>
      <c r="WXP13" s="2" t="n"/>
      <c r="WXQ13" s="2" t="n"/>
      <c r="WXR13" s="2" t="n"/>
      <c r="WXS13" s="2" t="n"/>
      <c r="WXT13" s="2" t="n"/>
      <c r="WXU13" s="2" t="n"/>
      <c r="WXV13" s="2" t="n"/>
      <c r="WXW13" s="2" t="n"/>
      <c r="WXX13" s="2" t="n"/>
      <c r="WXY13" s="2" t="n"/>
      <c r="WXZ13" s="2" t="n"/>
      <c r="WYA13" s="2" t="n"/>
      <c r="WYB13" s="2" t="n"/>
      <c r="WYC13" s="2" t="n"/>
      <c r="WYD13" s="2" t="n"/>
      <c r="WYE13" s="2" t="n"/>
      <c r="WYF13" s="2" t="n"/>
      <c r="WYG13" s="2" t="n"/>
      <c r="WYH13" s="2" t="n"/>
      <c r="WYI13" s="2" t="n"/>
      <c r="WYJ13" s="2" t="n"/>
      <c r="WYK13" s="2" t="n"/>
      <c r="WYL13" s="2" t="n"/>
      <c r="WYM13" s="2" t="n"/>
      <c r="WYN13" s="2" t="n"/>
      <c r="WYO13" s="2" t="n"/>
      <c r="WYP13" s="2" t="n"/>
      <c r="WYQ13" s="2" t="n"/>
      <c r="WYR13" s="2" t="n"/>
      <c r="WYS13" s="2" t="n"/>
      <c r="WYT13" s="2" t="n"/>
      <c r="WYU13" s="2" t="n"/>
      <c r="WYV13" s="2" t="n"/>
      <c r="WYW13" s="2" t="n"/>
      <c r="WYX13" s="2" t="n"/>
      <c r="WYY13" s="2" t="n"/>
      <c r="WYZ13" s="2" t="n"/>
      <c r="WZA13" s="2" t="n"/>
      <c r="WZB13" s="2" t="n"/>
      <c r="WZC13" s="2" t="n"/>
      <c r="WZD13" s="2" t="n"/>
      <c r="WZE13" s="2" t="n"/>
      <c r="WZF13" s="2" t="n"/>
      <c r="WZG13" s="2" t="n"/>
      <c r="WZH13" s="2" t="n"/>
      <c r="WZI13" s="2" t="n"/>
      <c r="WZJ13" s="2" t="n"/>
      <c r="WZK13" s="2" t="n"/>
      <c r="WZL13" s="2" t="n"/>
      <c r="WZM13" s="2" t="n"/>
      <c r="WZN13" s="2" t="n"/>
      <c r="WZO13" s="2" t="n"/>
      <c r="WZP13" s="2" t="n"/>
      <c r="WZQ13" s="2" t="n"/>
      <c r="WZR13" s="2" t="n"/>
      <c r="WZS13" s="2" t="n"/>
      <c r="WZT13" s="2" t="n"/>
      <c r="WZU13" s="2" t="n"/>
      <c r="WZV13" s="2" t="n"/>
      <c r="WZW13" s="2" t="n"/>
      <c r="WZX13" s="2" t="n"/>
      <c r="WZY13" s="2" t="n"/>
      <c r="WZZ13" s="2" t="n"/>
      <c r="XAA13" s="2" t="n"/>
      <c r="XAB13" s="2" t="n"/>
      <c r="XAC13" s="2" t="n"/>
      <c r="XAD13" s="2" t="n"/>
      <c r="XAE13" s="2" t="n"/>
      <c r="XAF13" s="2" t="n"/>
      <c r="XAG13" s="2" t="n"/>
      <c r="XAH13" s="2" t="n"/>
      <c r="XAI13" s="2" t="n"/>
      <c r="XAJ13" s="2" t="n"/>
      <c r="XAK13" s="2" t="n"/>
      <c r="XAL13" s="2" t="n"/>
      <c r="XAM13" s="2" t="n"/>
      <c r="XAN13" s="2" t="n"/>
      <c r="XAO13" s="2" t="n"/>
      <c r="XAP13" s="2" t="n"/>
      <c r="XAQ13" s="2" t="n"/>
      <c r="XAR13" s="2" t="n"/>
      <c r="XAS13" s="2" t="n"/>
      <c r="XAT13" s="2" t="n"/>
      <c r="XAU13" s="2" t="n"/>
      <c r="XAV13" s="2" t="n"/>
      <c r="XAW13" s="2" t="n"/>
      <c r="XAX13" s="2" t="n"/>
      <c r="XAY13" s="2" t="n"/>
      <c r="XAZ13" s="2" t="n"/>
      <c r="XBA13" s="2" t="n"/>
      <c r="XBB13" s="2" t="n"/>
      <c r="XBC13" s="2" t="n"/>
      <c r="XBD13" s="2" t="n"/>
      <c r="XBE13" s="2" t="n"/>
      <c r="XBF13" s="2" t="n"/>
      <c r="XBG13" s="2" t="n"/>
      <c r="XBH13" s="2" t="n"/>
      <c r="XBI13" s="2" t="n"/>
      <c r="XBJ13" s="2" t="n"/>
      <c r="XBK13" s="2" t="n"/>
      <c r="XBL13" s="2" t="n"/>
      <c r="XBM13" s="2" t="n"/>
      <c r="XBN13" s="2" t="n"/>
      <c r="XBO13" s="2" t="n"/>
      <c r="XBP13" s="2" t="n"/>
      <c r="XBQ13" s="2" t="n"/>
      <c r="XBR13" s="2" t="n"/>
      <c r="XBS13" s="2" t="n"/>
      <c r="XBT13" s="2" t="n"/>
      <c r="XBU13" s="2" t="n"/>
      <c r="XBV13" s="2" t="n"/>
      <c r="XBW13" s="2" t="n"/>
      <c r="XBX13" s="2" t="n"/>
      <c r="XBY13" s="2" t="n"/>
      <c r="XBZ13" s="2" t="n"/>
      <c r="XCA13" s="2" t="n"/>
      <c r="XCB13" s="2" t="n"/>
      <c r="XCC13" s="2" t="n"/>
      <c r="XCD13" s="2" t="n"/>
      <c r="XCE13" s="2" t="n"/>
      <c r="XCF13" s="2" t="n"/>
      <c r="XCG13" s="2" t="n"/>
      <c r="XCH13" s="2" t="n"/>
      <c r="XCI13" s="2" t="n"/>
      <c r="XCJ13" s="2" t="n"/>
      <c r="XCK13" s="2" t="n"/>
      <c r="XCL13" s="2" t="n"/>
      <c r="XCM13" s="2" t="n"/>
      <c r="XCN13" s="2" t="n"/>
      <c r="XCO13" s="2" t="n"/>
      <c r="XCP13" s="2" t="n"/>
      <c r="XCQ13" s="2" t="n"/>
      <c r="XCR13" s="2" t="n"/>
      <c r="XCS13" s="2" t="n"/>
      <c r="XCT13" s="2" t="n"/>
      <c r="XCU13" s="2" t="n"/>
      <c r="XCV13" s="2" t="n"/>
      <c r="XCW13" s="2" t="n"/>
      <c r="XCX13" s="2" t="n"/>
      <c r="XCY13" s="2" t="n"/>
      <c r="XCZ13" s="2" t="n"/>
      <c r="XDA13" s="2" t="n"/>
      <c r="XDB13" s="2" t="n"/>
      <c r="XDC13" s="2" t="n"/>
      <c r="XDD13" s="2" t="n"/>
      <c r="XDE13" s="2" t="n"/>
      <c r="XDF13" s="2" t="n"/>
      <c r="XDG13" s="2" t="n"/>
      <c r="XDH13" s="2" t="n"/>
      <c r="XDI13" s="2" t="n"/>
      <c r="XDJ13" s="2" t="n"/>
      <c r="XDK13" s="2" t="n"/>
      <c r="XDL13" s="2" t="n"/>
      <c r="XDM13" s="2" t="n"/>
      <c r="XDN13" s="2" t="n"/>
      <c r="XDO13" s="2" t="n"/>
      <c r="XDP13" s="2" t="n"/>
      <c r="XDQ13" s="2" t="n"/>
      <c r="XDR13" s="2" t="n"/>
      <c r="XDS13" s="2" t="n"/>
      <c r="XDT13" s="2" t="n"/>
      <c r="XDU13" s="2" t="n"/>
      <c r="XDV13" s="2" t="n"/>
      <c r="XDW13" s="2" t="n"/>
      <c r="XDX13" s="2" t="n"/>
      <c r="XDY13" s="2" t="n"/>
      <c r="XDZ13" s="2" t="n"/>
      <c r="XEA13" s="2" t="n"/>
      <c r="XEB13" s="2" t="n"/>
      <c r="XEC13" s="2" t="n"/>
      <c r="XED13" s="2" t="n"/>
      <c r="XEE13" s="2" t="n"/>
      <c r="XEF13" s="2" t="n"/>
      <c r="XEG13" s="2" t="n"/>
      <c r="XEH13" s="2" t="n"/>
      <c r="XEI13" s="2" t="n"/>
      <c r="XEJ13" s="2" t="n"/>
      <c r="XEK13" s="2" t="n"/>
      <c r="XEL13" s="2" t="n"/>
      <c r="XEM13" s="2" t="n"/>
      <c r="XEN13" s="2" t="n"/>
      <c r="XEO13" s="2" t="n"/>
      <c r="XEP13" s="2" t="n"/>
      <c r="XEQ13" s="2" t="n"/>
      <c r="XER13" s="2" t="n"/>
      <c r="XES13" s="2" t="n"/>
      <c r="XET13" s="2" t="n"/>
      <c r="XEU13" s="2" t="n"/>
      <c r="XEV13" s="2" t="n"/>
      <c r="XEW13" s="2" t="n"/>
    </row>
    <row r="14" ht="27" customFormat="1" customHeight="1" s="2">
      <c r="A14" s="15">
        <f>A13+1</f>
        <v/>
      </c>
      <c r="B14" s="17" t="n">
        <v>191770</v>
      </c>
      <c r="C14" s="17">
        <f>COUNTIF(D:D,D14)</f>
        <v/>
      </c>
      <c r="D14" s="18" t="inlineStr">
        <is>
          <t>Li Yunyan</t>
        </is>
      </c>
      <c r="E14" s="24" t="inlineStr">
        <is>
          <t>Female</t>
        </is>
      </c>
      <c r="F14" s="19" t="inlineStr">
        <is>
          <t>431024198904053702</t>
        </is>
      </c>
      <c r="G14" s="23" t="inlineStr">
        <is>
          <t>抛光</t>
        </is>
      </c>
      <c r="H14" s="23" t="inlineStr">
        <is>
          <t>抛光</t>
        </is>
      </c>
      <c r="I14" s="42" t="n"/>
      <c r="J14" s="231" t="n"/>
      <c r="K14" s="232" t="n"/>
      <c r="L14" s="42" t="n"/>
      <c r="M14" s="38" t="n">
        <v>21</v>
      </c>
      <c r="N14" s="38">
        <f>SUMIF(#REF!,D:D,#REF!)</f>
        <v/>
      </c>
      <c r="O14" s="38">
        <f>SUMIF(#REF!,D:D,#REF!)</f>
        <v/>
      </c>
      <c r="P14" s="38">
        <f>SUMIF(#REF!,D:D,#REF!)</f>
        <v/>
      </c>
      <c r="Q14" s="54" t="n"/>
      <c r="R14" s="54" t="n"/>
      <c r="S14" s="233">
        <f>T14+V14+X14+80</f>
        <v/>
      </c>
      <c r="T14" s="233" t="n">
        <v>1720</v>
      </c>
      <c r="U14" s="42">
        <f>_xlfn.IFERROR(ROUND(T14/$M14*$N14,0),0)</f>
        <v/>
      </c>
      <c r="V14" s="225" t="n">
        <v>450</v>
      </c>
      <c r="W14" s="42">
        <f>_xlfn.IFERROR(ROUND(V14/$M14*$N14,0),0)</f>
        <v/>
      </c>
      <c r="X14" s="38" t="n"/>
      <c r="Y14" s="54" t="n"/>
      <c r="Z14" s="65" t="n">
        <v>14.83</v>
      </c>
      <c r="AA14" s="42">
        <f>_xlfn.IFERROR(ROUND(O14*Z14,0),0)</f>
        <v/>
      </c>
      <c r="AB14" s="234" t="n">
        <v>19.77</v>
      </c>
      <c r="AC14" s="42">
        <f>_xlfn.IFERROR(ROUND(P14*AB14,0),0)</f>
        <v/>
      </c>
      <c r="AD14" s="54" t="n"/>
      <c r="AE14" s="54" t="n"/>
      <c r="AF14" s="230" t="n">
        <v>0</v>
      </c>
      <c r="AG14" s="38" t="n"/>
      <c r="AH14" s="54" t="n"/>
      <c r="AI14" s="70">
        <f>SUMIF(#REF!,D:D,#REF!)</f>
        <v/>
      </c>
      <c r="AJ14" s="72" t="n"/>
      <c r="AK14" s="223">
        <f>ROUND(U14+W14+Y14+AA14+AC14+AD14+AE14+AF14+AG14+AH14+AI14+AJ14,0)</f>
        <v/>
      </c>
      <c r="AL14" s="221" t="n">
        <v>0</v>
      </c>
      <c r="AM14" s="225" t="n"/>
      <c r="AN14" s="221" t="n">
        <v>4787</v>
      </c>
      <c r="AO14" s="221" t="n">
        <v>10000</v>
      </c>
      <c r="AP14" s="221" t="n">
        <v>0</v>
      </c>
      <c r="AQ14" s="221" t="n">
        <v>0</v>
      </c>
      <c r="AR14" s="221" t="n">
        <v>0</v>
      </c>
      <c r="AS14" s="221" t="n"/>
      <c r="AT14" s="221" t="n"/>
      <c r="AU14" s="221">
        <f>SUM(AP14:AT14)-AL14-AM14</f>
        <v/>
      </c>
      <c r="AV14" s="221">
        <f>AK14+BA14+BB14+BC14+AN14</f>
        <v/>
      </c>
      <c r="AW14" s="221">
        <f>AO14+5000+AU14</f>
        <v/>
      </c>
      <c r="AX14" s="221">
        <f>AV14-AW14</f>
        <v/>
      </c>
      <c r="AY14" s="221">
        <f>BW14</f>
        <v/>
      </c>
      <c r="AZ14" s="221">
        <f>-ROUND(MAX((AX14)*{0.03;0.1;0.2;0.25;0.3;0.35;0.45}-{0;2520;16920;31920;52920;85920;193920},0),2)+AY14</f>
        <v/>
      </c>
      <c r="BA14" s="221" t="n">
        <v>0</v>
      </c>
      <c r="BB14" s="221">
        <f>SUMIF(#REF!,D:D,#REF!)</f>
        <v/>
      </c>
      <c r="BC14" s="224" t="n"/>
      <c r="BD14" s="223">
        <f>ROUND(AL14+AM14+AZ14+BC14+BA14+BB14,0)</f>
        <v/>
      </c>
      <c r="BE14" s="225">
        <f>ROUND(AK14+BD14,0)</f>
        <v/>
      </c>
      <c r="BF14" s="226">
        <f>SUMIF('[1]日薪'!$E:$E,D:D,'[1]日薪'!$G:$G)</f>
        <v/>
      </c>
      <c r="BG14" s="226">
        <f>BE14-BF14</f>
        <v/>
      </c>
      <c r="BH14" s="95" t="n"/>
      <c r="BI14" t="inlineStr"/>
      <c r="BJ14" s="97">
        <f>SUMIF('[2]直工（银行代发）'!$D:$DD,D:D,'[2]直工（银行代发）'!$BE:$BE)</f>
        <v/>
      </c>
      <c r="BK14" s="97">
        <f>SUMIF('[2]没有银行卡'!$D:$D,D:D,'[2]没有银行卡'!$BE:$BE)</f>
        <v/>
      </c>
      <c r="BL14" s="97">
        <f>BE14-BJ14-BK14</f>
        <v/>
      </c>
      <c r="BM14" s="227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s="2" t="n"/>
      <c r="BT14" s="2" t="n"/>
      <c r="BU14" s="2" t="n"/>
      <c r="BV14" s="2" t="n"/>
      <c r="BW14">
        <f>SUM(BM14:BV14)</f>
        <v/>
      </c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  <c r="GV14" s="2" t="n"/>
      <c r="GW14" s="2" t="n"/>
      <c r="GX14" s="2" t="n"/>
      <c r="GY14" s="2" t="n"/>
      <c r="GZ14" s="2" t="n"/>
      <c r="HA14" s="2" t="n"/>
      <c r="HB14" s="2" t="n"/>
      <c r="HC14" s="2" t="n"/>
      <c r="HD14" s="2" t="n"/>
      <c r="HE14" s="2" t="n"/>
      <c r="HF14" s="2" t="n"/>
      <c r="HG14" s="2" t="n"/>
      <c r="HH14" s="2" t="n"/>
      <c r="HI14" s="2" t="n"/>
      <c r="HJ14" s="2" t="n"/>
      <c r="HK14" s="2" t="n"/>
      <c r="HL14" s="2" t="n"/>
      <c r="HM14" s="2" t="n"/>
      <c r="HN14" s="2" t="n"/>
      <c r="HO14" s="2" t="n"/>
      <c r="HP14" s="2" t="n"/>
      <c r="HQ14" s="2" t="n"/>
      <c r="HR14" s="2" t="n"/>
      <c r="HS14" s="2" t="n"/>
      <c r="HT14" s="2" t="n"/>
      <c r="HU14" s="2" t="n"/>
      <c r="HV14" s="2" t="n"/>
      <c r="HW14" s="2" t="n"/>
      <c r="HX14" s="2" t="n"/>
      <c r="HY14" s="2" t="n"/>
      <c r="HZ14" s="2" t="n"/>
      <c r="IA14" s="2" t="n"/>
      <c r="IB14" s="2" t="n"/>
      <c r="IC14" s="2" t="n"/>
      <c r="ID14" s="2" t="n"/>
      <c r="IE14" s="2" t="n"/>
      <c r="IF14" s="2" t="n"/>
      <c r="IG14" s="2" t="n"/>
      <c r="IH14" s="2" t="n"/>
      <c r="II14" s="2" t="n"/>
      <c r="IJ14" s="2" t="n"/>
      <c r="IK14" s="2" t="n"/>
      <c r="IL14" s="2" t="n"/>
      <c r="IM14" s="2" t="n"/>
      <c r="IN14" s="2" t="n"/>
      <c r="IO14" s="2" t="n"/>
      <c r="IP14" s="2" t="n"/>
      <c r="IQ14" s="2" t="n"/>
      <c r="IR14" s="2" t="n"/>
      <c r="IS14" s="2" t="n"/>
      <c r="IT14" s="2" t="n"/>
      <c r="IU14" s="2" t="n"/>
      <c r="IV14" s="2" t="n"/>
      <c r="IW14" s="2" t="n"/>
      <c r="IX14" s="2" t="n"/>
      <c r="IY14" s="2" t="n"/>
      <c r="IZ14" s="2" t="n"/>
      <c r="JA14" s="2" t="n"/>
      <c r="JB14" s="2" t="n"/>
      <c r="JC14" s="2" t="n"/>
      <c r="JD14" s="2" t="n"/>
      <c r="JE14" s="2" t="n"/>
      <c r="JF14" s="2" t="n"/>
      <c r="JG14" s="2" t="n"/>
      <c r="JH14" s="2" t="n"/>
      <c r="JI14" s="2" t="n"/>
      <c r="JJ14" s="2" t="n"/>
      <c r="JK14" s="2" t="n"/>
      <c r="JL14" s="2" t="n"/>
      <c r="JM14" s="2" t="n"/>
      <c r="JN14" s="2" t="n"/>
      <c r="JO14" s="2" t="n"/>
      <c r="JP14" s="2" t="n"/>
      <c r="JQ14" s="2" t="n"/>
      <c r="JR14" s="2" t="n"/>
      <c r="JS14" s="2" t="n"/>
      <c r="JT14" s="2" t="n"/>
      <c r="JU14" s="2" t="n"/>
      <c r="JV14" s="2" t="n"/>
      <c r="JW14" s="2" t="n"/>
      <c r="JX14" s="2" t="n"/>
      <c r="JY14" s="2" t="n"/>
      <c r="JZ14" s="2" t="n"/>
      <c r="KA14" s="2" t="n"/>
      <c r="KB14" s="2" t="n"/>
      <c r="KC14" s="2" t="n"/>
      <c r="KD14" s="2" t="n"/>
      <c r="KE14" s="2" t="n"/>
      <c r="KF14" s="2" t="n"/>
      <c r="KG14" s="2" t="n"/>
      <c r="KH14" s="2" t="n"/>
      <c r="KI14" s="2" t="n"/>
      <c r="KJ14" s="2" t="n"/>
      <c r="KK14" s="2" t="n"/>
      <c r="KL14" s="2" t="n"/>
      <c r="KM14" s="2" t="n"/>
      <c r="KN14" s="2" t="n"/>
      <c r="KO14" s="2" t="n"/>
      <c r="KP14" s="2" t="n"/>
      <c r="KQ14" s="2" t="n"/>
      <c r="KR14" s="2" t="n"/>
      <c r="KS14" s="2" t="n"/>
      <c r="KT14" s="2" t="n"/>
      <c r="KU14" s="2" t="n"/>
      <c r="KV14" s="2" t="n"/>
      <c r="KW14" s="2" t="n"/>
      <c r="KX14" s="2" t="n"/>
      <c r="KY14" s="2" t="n"/>
      <c r="KZ14" s="2" t="n"/>
      <c r="LA14" s="2" t="n"/>
      <c r="LB14" s="2" t="n"/>
      <c r="LC14" s="2" t="n"/>
      <c r="LD14" s="2" t="n"/>
      <c r="LE14" s="2" t="n"/>
      <c r="LF14" s="2" t="n"/>
      <c r="LG14" s="2" t="n"/>
      <c r="LH14" s="2" t="n"/>
      <c r="LI14" s="2" t="n"/>
      <c r="LJ14" s="2" t="n"/>
      <c r="LK14" s="2" t="n"/>
      <c r="LL14" s="2" t="n"/>
      <c r="LM14" s="2" t="n"/>
      <c r="LN14" s="2" t="n"/>
      <c r="LO14" s="2" t="n"/>
      <c r="LP14" s="2" t="n"/>
      <c r="LQ14" s="2" t="n"/>
      <c r="LR14" s="2" t="n"/>
      <c r="LS14" s="2" t="n"/>
      <c r="LT14" s="2" t="n"/>
      <c r="LU14" s="2" t="n"/>
      <c r="LV14" s="2" t="n"/>
      <c r="LW14" s="2" t="n"/>
      <c r="LX14" s="2" t="n"/>
      <c r="LY14" s="2" t="n"/>
      <c r="LZ14" s="2" t="n"/>
      <c r="MA14" s="2" t="n"/>
      <c r="MB14" s="2" t="n"/>
      <c r="MC14" s="2" t="n"/>
      <c r="MD14" s="2" t="n"/>
      <c r="ME14" s="2" t="n"/>
      <c r="MF14" s="2" t="n"/>
      <c r="MG14" s="2" t="n"/>
      <c r="MH14" s="2" t="n"/>
      <c r="MI14" s="2" t="n"/>
      <c r="MJ14" s="2" t="n"/>
      <c r="MK14" s="2" t="n"/>
      <c r="ML14" s="2" t="n"/>
      <c r="MM14" s="2" t="n"/>
      <c r="MN14" s="2" t="n"/>
      <c r="MO14" s="2" t="n"/>
      <c r="MP14" s="2" t="n"/>
      <c r="MQ14" s="2" t="n"/>
      <c r="MR14" s="2" t="n"/>
      <c r="MS14" s="2" t="n"/>
      <c r="MT14" s="2" t="n"/>
      <c r="MU14" s="2" t="n"/>
      <c r="MV14" s="2" t="n"/>
      <c r="MW14" s="2" t="n"/>
      <c r="MX14" s="2" t="n"/>
      <c r="MY14" s="2" t="n"/>
      <c r="MZ14" s="2" t="n"/>
      <c r="NA14" s="2" t="n"/>
      <c r="NB14" s="2" t="n"/>
      <c r="NC14" s="2" t="n"/>
      <c r="ND14" s="2" t="n"/>
      <c r="NE14" s="2" t="n"/>
      <c r="NF14" s="2" t="n"/>
      <c r="NG14" s="2" t="n"/>
      <c r="NH14" s="2" t="n"/>
      <c r="NI14" s="2" t="n"/>
      <c r="NJ14" s="2" t="n"/>
      <c r="NK14" s="2" t="n"/>
      <c r="NL14" s="2" t="n"/>
      <c r="NM14" s="2" t="n"/>
      <c r="NN14" s="2" t="n"/>
      <c r="NO14" s="2" t="n"/>
      <c r="NP14" s="2" t="n"/>
      <c r="NQ14" s="2" t="n"/>
      <c r="NR14" s="2" t="n"/>
      <c r="NS14" s="2" t="n"/>
      <c r="NT14" s="2" t="n"/>
      <c r="NU14" s="2" t="n"/>
      <c r="NV14" s="2" t="n"/>
      <c r="NW14" s="2" t="n"/>
      <c r="NX14" s="2" t="n"/>
      <c r="NY14" s="2" t="n"/>
      <c r="NZ14" s="2" t="n"/>
      <c r="OA14" s="2" t="n"/>
      <c r="OB14" s="2" t="n"/>
      <c r="OC14" s="2" t="n"/>
      <c r="OD14" s="2" t="n"/>
      <c r="OE14" s="2" t="n"/>
      <c r="OF14" s="2" t="n"/>
      <c r="OG14" s="2" t="n"/>
      <c r="OH14" s="2" t="n"/>
      <c r="OI14" s="2" t="n"/>
      <c r="OJ14" s="2" t="n"/>
      <c r="OK14" s="2" t="n"/>
      <c r="OL14" s="2" t="n"/>
      <c r="OM14" s="2" t="n"/>
      <c r="ON14" s="2" t="n"/>
      <c r="OO14" s="2" t="n"/>
      <c r="OP14" s="2" t="n"/>
      <c r="OQ14" s="2" t="n"/>
      <c r="OR14" s="2" t="n"/>
      <c r="OS14" s="2" t="n"/>
      <c r="OT14" s="2" t="n"/>
      <c r="OU14" s="2" t="n"/>
      <c r="OV14" s="2" t="n"/>
      <c r="OW14" s="2" t="n"/>
      <c r="OX14" s="2" t="n"/>
      <c r="OY14" s="2" t="n"/>
      <c r="OZ14" s="2" t="n"/>
      <c r="PA14" s="2" t="n"/>
      <c r="PB14" s="2" t="n"/>
      <c r="PC14" s="2" t="n"/>
      <c r="PD14" s="2" t="n"/>
      <c r="PE14" s="2" t="n"/>
      <c r="PF14" s="2" t="n"/>
      <c r="PG14" s="2" t="n"/>
      <c r="PH14" s="2" t="n"/>
      <c r="PI14" s="2" t="n"/>
      <c r="PJ14" s="2" t="n"/>
      <c r="PK14" s="2" t="n"/>
      <c r="PL14" s="2" t="n"/>
      <c r="PM14" s="2" t="n"/>
      <c r="PN14" s="2" t="n"/>
      <c r="PO14" s="2" t="n"/>
      <c r="PP14" s="2" t="n"/>
      <c r="PQ14" s="2" t="n"/>
      <c r="PR14" s="2" t="n"/>
      <c r="PS14" s="2" t="n"/>
      <c r="PT14" s="2" t="n"/>
      <c r="PU14" s="2" t="n"/>
      <c r="PV14" s="2" t="n"/>
      <c r="PW14" s="2" t="n"/>
      <c r="PX14" s="2" t="n"/>
      <c r="PY14" s="2" t="n"/>
      <c r="PZ14" s="2" t="n"/>
      <c r="QA14" s="2" t="n"/>
      <c r="QB14" s="2" t="n"/>
      <c r="QC14" s="2" t="n"/>
      <c r="QD14" s="2" t="n"/>
      <c r="QE14" s="2" t="n"/>
      <c r="QF14" s="2" t="n"/>
      <c r="QG14" s="2" t="n"/>
      <c r="QH14" s="2" t="n"/>
      <c r="QI14" s="2" t="n"/>
      <c r="QJ14" s="2" t="n"/>
      <c r="QK14" s="2" t="n"/>
      <c r="QL14" s="2" t="n"/>
      <c r="QM14" s="2" t="n"/>
      <c r="QN14" s="2" t="n"/>
      <c r="QO14" s="2" t="n"/>
      <c r="QP14" s="2" t="n"/>
      <c r="QQ14" s="2" t="n"/>
      <c r="QR14" s="2" t="n"/>
      <c r="QS14" s="2" t="n"/>
      <c r="QT14" s="2" t="n"/>
      <c r="QU14" s="2" t="n"/>
      <c r="QV14" s="2" t="n"/>
      <c r="QW14" s="2" t="n"/>
      <c r="QX14" s="2" t="n"/>
      <c r="QY14" s="2" t="n"/>
      <c r="QZ14" s="2" t="n"/>
      <c r="RA14" s="2" t="n"/>
      <c r="RB14" s="2" t="n"/>
      <c r="RC14" s="2" t="n"/>
      <c r="RD14" s="2" t="n"/>
      <c r="RE14" s="2" t="n"/>
      <c r="RF14" s="2" t="n"/>
      <c r="RG14" s="2" t="n"/>
      <c r="RH14" s="2" t="n"/>
      <c r="RI14" s="2" t="n"/>
      <c r="RJ14" s="2" t="n"/>
      <c r="RK14" s="2" t="n"/>
      <c r="RL14" s="2" t="n"/>
      <c r="RM14" s="2" t="n"/>
      <c r="RN14" s="2" t="n"/>
      <c r="RO14" s="2" t="n"/>
      <c r="RP14" s="2" t="n"/>
      <c r="RQ14" s="2" t="n"/>
      <c r="RR14" s="2" t="n"/>
      <c r="RS14" s="2" t="n"/>
      <c r="RT14" s="2" t="n"/>
      <c r="RU14" s="2" t="n"/>
      <c r="RV14" s="2" t="n"/>
      <c r="RW14" s="2" t="n"/>
      <c r="RX14" s="2" t="n"/>
      <c r="RY14" s="2" t="n"/>
      <c r="RZ14" s="2" t="n"/>
      <c r="SA14" s="2" t="n"/>
      <c r="SB14" s="2" t="n"/>
      <c r="SC14" s="2" t="n"/>
      <c r="SD14" s="2" t="n"/>
      <c r="SE14" s="2" t="n"/>
      <c r="SF14" s="2" t="n"/>
      <c r="SG14" s="2" t="n"/>
      <c r="SH14" s="2" t="n"/>
      <c r="SI14" s="2" t="n"/>
      <c r="SJ14" s="2" t="n"/>
      <c r="SK14" s="2" t="n"/>
      <c r="SL14" s="2" t="n"/>
      <c r="SM14" s="2" t="n"/>
      <c r="SN14" s="2" t="n"/>
      <c r="SO14" s="2" t="n"/>
      <c r="SP14" s="2" t="n"/>
      <c r="SQ14" s="2" t="n"/>
      <c r="SR14" s="2" t="n"/>
      <c r="SS14" s="2" t="n"/>
      <c r="ST14" s="2" t="n"/>
      <c r="SU14" s="2" t="n"/>
      <c r="SV14" s="2" t="n"/>
      <c r="SW14" s="2" t="n"/>
      <c r="SX14" s="2" t="n"/>
      <c r="SY14" s="2" t="n"/>
      <c r="SZ14" s="2" t="n"/>
      <c r="TA14" s="2" t="n"/>
      <c r="TB14" s="2" t="n"/>
      <c r="TC14" s="2" t="n"/>
      <c r="TD14" s="2" t="n"/>
      <c r="TE14" s="2" t="n"/>
      <c r="TF14" s="2" t="n"/>
      <c r="TG14" s="2" t="n"/>
      <c r="TH14" s="2" t="n"/>
      <c r="TI14" s="2" t="n"/>
      <c r="TJ14" s="2" t="n"/>
      <c r="TK14" s="2" t="n"/>
      <c r="TL14" s="2" t="n"/>
      <c r="TM14" s="2" t="n"/>
      <c r="TN14" s="2" t="n"/>
      <c r="TO14" s="2" t="n"/>
      <c r="TP14" s="2" t="n"/>
      <c r="TQ14" s="2" t="n"/>
      <c r="TR14" s="2" t="n"/>
      <c r="TS14" s="2" t="n"/>
      <c r="TT14" s="2" t="n"/>
      <c r="TU14" s="2" t="n"/>
      <c r="TV14" s="2" t="n"/>
      <c r="TW14" s="2" t="n"/>
      <c r="TX14" s="2" t="n"/>
      <c r="TY14" s="2" t="n"/>
      <c r="TZ14" s="2" t="n"/>
      <c r="UA14" s="2" t="n"/>
      <c r="UB14" s="2" t="n"/>
      <c r="UC14" s="2" t="n"/>
      <c r="UD14" s="2" t="n"/>
      <c r="UE14" s="2" t="n"/>
      <c r="UF14" s="2" t="n"/>
      <c r="UG14" s="2" t="n"/>
      <c r="UH14" s="2" t="n"/>
      <c r="UI14" s="2" t="n"/>
      <c r="UJ14" s="2" t="n"/>
      <c r="UK14" s="2" t="n"/>
      <c r="UL14" s="2" t="n"/>
      <c r="UM14" s="2" t="n"/>
      <c r="UN14" s="2" t="n"/>
      <c r="UO14" s="2" t="n"/>
      <c r="UP14" s="2" t="n"/>
      <c r="UQ14" s="2" t="n"/>
      <c r="UR14" s="2" t="n"/>
      <c r="US14" s="2" t="n"/>
      <c r="UT14" s="2" t="n"/>
      <c r="UU14" s="2" t="n"/>
      <c r="UV14" s="2" t="n"/>
      <c r="UW14" s="2" t="n"/>
      <c r="UX14" s="2" t="n"/>
      <c r="UY14" s="2" t="n"/>
      <c r="UZ14" s="2" t="n"/>
      <c r="VA14" s="2" t="n"/>
      <c r="VB14" s="2" t="n"/>
      <c r="VC14" s="2" t="n"/>
      <c r="VD14" s="2" t="n"/>
      <c r="VE14" s="2" t="n"/>
      <c r="VF14" s="2" t="n"/>
      <c r="VG14" s="2" t="n"/>
      <c r="VH14" s="2" t="n"/>
      <c r="VI14" s="2" t="n"/>
      <c r="VJ14" s="2" t="n"/>
      <c r="VK14" s="2" t="n"/>
      <c r="VL14" s="2" t="n"/>
      <c r="VM14" s="2" t="n"/>
      <c r="VN14" s="2" t="n"/>
      <c r="VO14" s="2" t="n"/>
      <c r="VP14" s="2" t="n"/>
      <c r="VQ14" s="2" t="n"/>
      <c r="VR14" s="2" t="n"/>
      <c r="VS14" s="2" t="n"/>
      <c r="VT14" s="2" t="n"/>
      <c r="VU14" s="2" t="n"/>
      <c r="VV14" s="2" t="n"/>
      <c r="VW14" s="2" t="n"/>
      <c r="VX14" s="2" t="n"/>
      <c r="VY14" s="2" t="n"/>
      <c r="VZ14" s="2" t="n"/>
      <c r="WA14" s="2" t="n"/>
      <c r="WB14" s="2" t="n"/>
      <c r="WC14" s="2" t="n"/>
      <c r="WD14" s="2" t="n"/>
      <c r="WE14" s="2" t="n"/>
      <c r="WF14" s="2" t="n"/>
      <c r="WG14" s="2" t="n"/>
      <c r="WH14" s="2" t="n"/>
      <c r="WI14" s="2" t="n"/>
      <c r="WJ14" s="2" t="n"/>
      <c r="WK14" s="2" t="n"/>
      <c r="WL14" s="2" t="n"/>
      <c r="WM14" s="2" t="n"/>
      <c r="WN14" s="2" t="n"/>
      <c r="WO14" s="2" t="n"/>
      <c r="WP14" s="2" t="n"/>
      <c r="WQ14" s="2" t="n"/>
      <c r="WR14" s="2" t="n"/>
      <c r="WS14" s="2" t="n"/>
      <c r="WT14" s="2" t="n"/>
      <c r="WU14" s="2" t="n"/>
      <c r="WV14" s="2" t="n"/>
      <c r="WW14" s="2" t="n"/>
      <c r="WX14" s="2" t="n"/>
      <c r="WY14" s="2" t="n"/>
      <c r="WZ14" s="2" t="n"/>
      <c r="XA14" s="2" t="n"/>
      <c r="XB14" s="2" t="n"/>
      <c r="XC14" s="2" t="n"/>
      <c r="XD14" s="2" t="n"/>
      <c r="XE14" s="2" t="n"/>
      <c r="XF14" s="2" t="n"/>
      <c r="XG14" s="2" t="n"/>
      <c r="XH14" s="2" t="n"/>
      <c r="XI14" s="2" t="n"/>
      <c r="XJ14" s="2" t="n"/>
      <c r="XK14" s="2" t="n"/>
      <c r="XL14" s="2" t="n"/>
      <c r="XM14" s="2" t="n"/>
      <c r="XN14" s="2" t="n"/>
      <c r="XO14" s="2" t="n"/>
      <c r="XP14" s="2" t="n"/>
      <c r="XQ14" s="2" t="n"/>
      <c r="XR14" s="2" t="n"/>
      <c r="XS14" s="2" t="n"/>
      <c r="XT14" s="2" t="n"/>
      <c r="XU14" s="2" t="n"/>
      <c r="XV14" s="2" t="n"/>
      <c r="XW14" s="2" t="n"/>
      <c r="XX14" s="2" t="n"/>
      <c r="XY14" s="2" t="n"/>
      <c r="XZ14" s="2" t="n"/>
      <c r="YA14" s="2" t="n"/>
      <c r="YB14" s="2" t="n"/>
      <c r="YC14" s="2" t="n"/>
      <c r="YD14" s="2" t="n"/>
      <c r="YE14" s="2" t="n"/>
      <c r="YF14" s="2" t="n"/>
      <c r="YG14" s="2" t="n"/>
      <c r="YH14" s="2" t="n"/>
      <c r="YI14" s="2" t="n"/>
      <c r="YJ14" s="2" t="n"/>
      <c r="YK14" s="2" t="n"/>
      <c r="YL14" s="2" t="n"/>
      <c r="YM14" s="2" t="n"/>
      <c r="YN14" s="2" t="n"/>
      <c r="YO14" s="2" t="n"/>
      <c r="YP14" s="2" t="n"/>
      <c r="YQ14" s="2" t="n"/>
      <c r="YR14" s="2" t="n"/>
      <c r="YS14" s="2" t="n"/>
      <c r="YT14" s="2" t="n"/>
      <c r="YU14" s="2" t="n"/>
      <c r="YV14" s="2" t="n"/>
      <c r="YW14" s="2" t="n"/>
      <c r="YX14" s="2" t="n"/>
      <c r="YY14" s="2" t="n"/>
      <c r="YZ14" s="2" t="n"/>
      <c r="ZA14" s="2" t="n"/>
      <c r="ZB14" s="2" t="n"/>
      <c r="ZC14" s="2" t="n"/>
      <c r="ZD14" s="2" t="n"/>
      <c r="ZE14" s="2" t="n"/>
      <c r="ZF14" s="2" t="n"/>
      <c r="ZG14" s="2" t="n"/>
      <c r="ZH14" s="2" t="n"/>
      <c r="ZI14" s="2" t="n"/>
      <c r="ZJ14" s="2" t="n"/>
      <c r="ZK14" s="2" t="n"/>
      <c r="ZL14" s="2" t="n"/>
      <c r="ZM14" s="2" t="n"/>
      <c r="ZN14" s="2" t="n"/>
      <c r="ZO14" s="2" t="n"/>
      <c r="ZP14" s="2" t="n"/>
      <c r="ZQ14" s="2" t="n"/>
      <c r="ZR14" s="2" t="n"/>
      <c r="ZS14" s="2" t="n"/>
      <c r="ZT14" s="2" t="n"/>
      <c r="ZU14" s="2" t="n"/>
      <c r="ZV14" s="2" t="n"/>
      <c r="ZW14" s="2" t="n"/>
      <c r="ZX14" s="2" t="n"/>
      <c r="ZY14" s="2" t="n"/>
      <c r="ZZ14" s="2" t="n"/>
      <c r="AAA14" s="2" t="n"/>
      <c r="AAB14" s="2" t="n"/>
      <c r="AAC14" s="2" t="n"/>
      <c r="AAD14" s="2" t="n"/>
      <c r="AAE14" s="2" t="n"/>
      <c r="AAF14" s="2" t="n"/>
      <c r="AAG14" s="2" t="n"/>
      <c r="AAH14" s="2" t="n"/>
      <c r="AAI14" s="2" t="n"/>
      <c r="AAJ14" s="2" t="n"/>
      <c r="AAK14" s="2" t="n"/>
      <c r="AAL14" s="2" t="n"/>
      <c r="AAM14" s="2" t="n"/>
      <c r="AAN14" s="2" t="n"/>
      <c r="AAO14" s="2" t="n"/>
      <c r="AAP14" s="2" t="n"/>
      <c r="AAQ14" s="2" t="n"/>
      <c r="AAR14" s="2" t="n"/>
      <c r="AAS14" s="2" t="n"/>
      <c r="AAT14" s="2" t="n"/>
      <c r="AAU14" s="2" t="n"/>
      <c r="AAV14" s="2" t="n"/>
      <c r="AAW14" s="2" t="n"/>
      <c r="AAX14" s="2" t="n"/>
      <c r="AAY14" s="2" t="n"/>
      <c r="AAZ14" s="2" t="n"/>
      <c r="ABA14" s="2" t="n"/>
      <c r="ABB14" s="2" t="n"/>
      <c r="ABC14" s="2" t="n"/>
      <c r="ABD14" s="2" t="n"/>
      <c r="ABE14" s="2" t="n"/>
      <c r="ABF14" s="2" t="n"/>
      <c r="ABG14" s="2" t="n"/>
      <c r="ABH14" s="2" t="n"/>
      <c r="ABI14" s="2" t="n"/>
      <c r="ABJ14" s="2" t="n"/>
      <c r="ABK14" s="2" t="n"/>
      <c r="ABL14" s="2" t="n"/>
      <c r="ABM14" s="2" t="n"/>
      <c r="ABN14" s="2" t="n"/>
      <c r="ABO14" s="2" t="n"/>
      <c r="ABP14" s="2" t="n"/>
      <c r="ABQ14" s="2" t="n"/>
      <c r="ABR14" s="2" t="n"/>
      <c r="ABS14" s="2" t="n"/>
      <c r="ABT14" s="2" t="n"/>
      <c r="ABU14" s="2" t="n"/>
      <c r="ABV14" s="2" t="n"/>
      <c r="ABW14" s="2" t="n"/>
      <c r="ABX14" s="2" t="n"/>
      <c r="ABY14" s="2" t="n"/>
      <c r="ABZ14" s="2" t="n"/>
      <c r="ACA14" s="2" t="n"/>
      <c r="ACB14" s="2" t="n"/>
      <c r="ACC14" s="2" t="n"/>
      <c r="ACD14" s="2" t="n"/>
      <c r="ACE14" s="2" t="n"/>
      <c r="ACF14" s="2" t="n"/>
      <c r="ACG14" s="2" t="n"/>
      <c r="ACH14" s="2" t="n"/>
      <c r="ACI14" s="2" t="n"/>
      <c r="ACJ14" s="2" t="n"/>
      <c r="ACK14" s="2" t="n"/>
      <c r="ACL14" s="2" t="n"/>
      <c r="ACM14" s="2" t="n"/>
      <c r="ACN14" s="2" t="n"/>
      <c r="ACO14" s="2" t="n"/>
      <c r="ACP14" s="2" t="n"/>
      <c r="ACQ14" s="2" t="n"/>
      <c r="ACR14" s="2" t="n"/>
      <c r="ACS14" s="2" t="n"/>
      <c r="ACT14" s="2" t="n"/>
      <c r="ACU14" s="2" t="n"/>
      <c r="ACV14" s="2" t="n"/>
      <c r="ACW14" s="2" t="n"/>
      <c r="ACX14" s="2" t="n"/>
      <c r="ACY14" s="2" t="n"/>
      <c r="ACZ14" s="2" t="n"/>
      <c r="ADA14" s="2" t="n"/>
      <c r="ADB14" s="2" t="n"/>
      <c r="ADC14" s="2" t="n"/>
      <c r="ADD14" s="2" t="n"/>
      <c r="ADE14" s="2" t="n"/>
      <c r="ADF14" s="2" t="n"/>
      <c r="ADG14" s="2" t="n"/>
      <c r="ADH14" s="2" t="n"/>
      <c r="ADI14" s="2" t="n"/>
      <c r="ADJ14" s="2" t="n"/>
      <c r="ADK14" s="2" t="n"/>
      <c r="ADL14" s="2" t="n"/>
      <c r="ADM14" s="2" t="n"/>
      <c r="ADN14" s="2" t="n"/>
      <c r="ADO14" s="2" t="n"/>
      <c r="ADP14" s="2" t="n"/>
      <c r="ADQ14" s="2" t="n"/>
      <c r="ADR14" s="2" t="n"/>
      <c r="ADS14" s="2" t="n"/>
      <c r="ADT14" s="2" t="n"/>
      <c r="ADU14" s="2" t="n"/>
      <c r="ADV14" s="2" t="n"/>
      <c r="ADW14" s="2" t="n"/>
      <c r="ADX14" s="2" t="n"/>
      <c r="ADY14" s="2" t="n"/>
      <c r="ADZ14" s="2" t="n"/>
      <c r="AEA14" s="2" t="n"/>
      <c r="AEB14" s="2" t="n"/>
      <c r="AEC14" s="2" t="n"/>
      <c r="AED14" s="2" t="n"/>
      <c r="AEE14" s="2" t="n"/>
      <c r="AEF14" s="2" t="n"/>
      <c r="AEG14" s="2" t="n"/>
      <c r="AEH14" s="2" t="n"/>
      <c r="AEI14" s="2" t="n"/>
      <c r="AEJ14" s="2" t="n"/>
      <c r="AEK14" s="2" t="n"/>
      <c r="AEL14" s="2" t="n"/>
      <c r="AEM14" s="2" t="n"/>
      <c r="AEN14" s="2" t="n"/>
      <c r="AEO14" s="2" t="n"/>
      <c r="AEP14" s="2" t="n"/>
      <c r="AEQ14" s="2" t="n"/>
      <c r="AER14" s="2" t="n"/>
      <c r="AES14" s="2" t="n"/>
      <c r="AET14" s="2" t="n"/>
      <c r="AEU14" s="2" t="n"/>
      <c r="AEV14" s="2" t="n"/>
      <c r="AEW14" s="2" t="n"/>
      <c r="AEX14" s="2" t="n"/>
      <c r="AEY14" s="2" t="n"/>
      <c r="AEZ14" s="2" t="n"/>
      <c r="AFA14" s="2" t="n"/>
      <c r="AFB14" s="2" t="n"/>
      <c r="AFC14" s="2" t="n"/>
      <c r="AFD14" s="2" t="n"/>
      <c r="AFE14" s="2" t="n"/>
      <c r="AFF14" s="2" t="n"/>
      <c r="AFG14" s="2" t="n"/>
      <c r="AFH14" s="2" t="n"/>
      <c r="AFI14" s="2" t="n"/>
      <c r="AFJ14" s="2" t="n"/>
      <c r="AFK14" s="2" t="n"/>
      <c r="AFL14" s="2" t="n"/>
      <c r="AFM14" s="2" t="n"/>
      <c r="AFN14" s="2" t="n"/>
      <c r="AFO14" s="2" t="n"/>
      <c r="AFP14" s="2" t="n"/>
      <c r="AFQ14" s="2" t="n"/>
      <c r="AFR14" s="2" t="n"/>
      <c r="AFS14" s="2" t="n"/>
      <c r="AFT14" s="2" t="n"/>
      <c r="AFU14" s="2" t="n"/>
      <c r="AFV14" s="2" t="n"/>
      <c r="AFW14" s="2" t="n"/>
      <c r="AFX14" s="2" t="n"/>
      <c r="AFY14" s="2" t="n"/>
      <c r="AFZ14" s="2" t="n"/>
      <c r="AGA14" s="2" t="n"/>
      <c r="AGB14" s="2" t="n"/>
      <c r="AGC14" s="2" t="n"/>
      <c r="AGD14" s="2" t="n"/>
      <c r="AGE14" s="2" t="n"/>
      <c r="AGF14" s="2" t="n"/>
      <c r="AGG14" s="2" t="n"/>
      <c r="AGH14" s="2" t="n"/>
      <c r="AGI14" s="2" t="n"/>
      <c r="AGJ14" s="2" t="n"/>
      <c r="AGK14" s="2" t="n"/>
      <c r="AGL14" s="2" t="n"/>
      <c r="AGM14" s="2" t="n"/>
      <c r="AGN14" s="2" t="n"/>
      <c r="AGO14" s="2" t="n"/>
      <c r="AGP14" s="2" t="n"/>
      <c r="AGQ14" s="2" t="n"/>
      <c r="AGR14" s="2" t="n"/>
      <c r="AGS14" s="2" t="n"/>
      <c r="AGT14" s="2" t="n"/>
      <c r="AGU14" s="2" t="n"/>
      <c r="AGV14" s="2" t="n"/>
      <c r="AGW14" s="2" t="n"/>
      <c r="AGX14" s="2" t="n"/>
      <c r="AGY14" s="2" t="n"/>
      <c r="AGZ14" s="2" t="n"/>
      <c r="AHA14" s="2" t="n"/>
      <c r="AHB14" s="2" t="n"/>
      <c r="AHC14" s="2" t="n"/>
      <c r="AHD14" s="2" t="n"/>
      <c r="AHE14" s="2" t="n"/>
      <c r="AHF14" s="2" t="n"/>
      <c r="AHG14" s="2" t="n"/>
      <c r="AHH14" s="2" t="n"/>
      <c r="AHI14" s="2" t="n"/>
      <c r="AHJ14" s="2" t="n"/>
      <c r="AHK14" s="2" t="n"/>
      <c r="AHL14" s="2" t="n"/>
      <c r="AHM14" s="2" t="n"/>
      <c r="AHN14" s="2" t="n"/>
      <c r="AHO14" s="2" t="n"/>
      <c r="AHP14" s="2" t="n"/>
      <c r="AHQ14" s="2" t="n"/>
      <c r="AHR14" s="2" t="n"/>
      <c r="AHS14" s="2" t="n"/>
      <c r="AHT14" s="2" t="n"/>
      <c r="AHU14" s="2" t="n"/>
      <c r="AHV14" s="2" t="n"/>
      <c r="AHW14" s="2" t="n"/>
      <c r="AHX14" s="2" t="n"/>
      <c r="AHY14" s="2" t="n"/>
      <c r="AHZ14" s="2" t="n"/>
      <c r="AIA14" s="2" t="n"/>
      <c r="AIB14" s="2" t="n"/>
      <c r="AIC14" s="2" t="n"/>
      <c r="AID14" s="2" t="n"/>
      <c r="AIE14" s="2" t="n"/>
      <c r="AIF14" s="2" t="n"/>
      <c r="AIG14" s="2" t="n"/>
      <c r="AIH14" s="2" t="n"/>
      <c r="AII14" s="2" t="n"/>
      <c r="AIJ14" s="2" t="n"/>
      <c r="AIK14" s="2" t="n"/>
      <c r="AIL14" s="2" t="n"/>
      <c r="AIM14" s="2" t="n"/>
      <c r="AIN14" s="2" t="n"/>
      <c r="AIO14" s="2" t="n"/>
      <c r="AIP14" s="2" t="n"/>
      <c r="AIQ14" s="2" t="n"/>
      <c r="AIR14" s="2" t="n"/>
      <c r="AIS14" s="2" t="n"/>
      <c r="AIT14" s="2" t="n"/>
      <c r="AIU14" s="2" t="n"/>
      <c r="AIV14" s="2" t="n"/>
      <c r="AIW14" s="2" t="n"/>
      <c r="AIX14" s="2" t="n"/>
      <c r="AIY14" s="2" t="n"/>
      <c r="AIZ14" s="2" t="n"/>
      <c r="AJA14" s="2" t="n"/>
      <c r="AJB14" s="2" t="n"/>
      <c r="AJC14" s="2" t="n"/>
      <c r="AJD14" s="2" t="n"/>
      <c r="AJE14" s="2" t="n"/>
      <c r="AJF14" s="2" t="n"/>
      <c r="AJG14" s="2" t="n"/>
      <c r="AJH14" s="2" t="n"/>
      <c r="AJI14" s="2" t="n"/>
      <c r="AJJ14" s="2" t="n"/>
      <c r="AJK14" s="2" t="n"/>
      <c r="AJL14" s="2" t="n"/>
      <c r="AJM14" s="2" t="n"/>
      <c r="AJN14" s="2" t="n"/>
      <c r="AJO14" s="2" t="n"/>
      <c r="AJP14" s="2" t="n"/>
      <c r="AJQ14" s="2" t="n"/>
      <c r="AJR14" s="2" t="n"/>
      <c r="AJS14" s="2" t="n"/>
      <c r="AJT14" s="2" t="n"/>
      <c r="AJU14" s="2" t="n"/>
      <c r="AJV14" s="2" t="n"/>
      <c r="AJW14" s="2" t="n"/>
      <c r="AJX14" s="2" t="n"/>
      <c r="AJY14" s="2" t="n"/>
      <c r="AJZ14" s="2" t="n"/>
      <c r="AKA14" s="2" t="n"/>
      <c r="AKB14" s="2" t="n"/>
      <c r="AKC14" s="2" t="n"/>
      <c r="AKD14" s="2" t="n"/>
      <c r="AKE14" s="2" t="n"/>
      <c r="AKF14" s="2" t="n"/>
      <c r="AKG14" s="2" t="n"/>
      <c r="AKH14" s="2" t="n"/>
      <c r="AKI14" s="2" t="n"/>
      <c r="AKJ14" s="2" t="n"/>
      <c r="AKK14" s="2" t="n"/>
      <c r="AKL14" s="2" t="n"/>
      <c r="AKM14" s="2" t="n"/>
      <c r="AKN14" s="2" t="n"/>
      <c r="AKO14" s="2" t="n"/>
      <c r="AKP14" s="2" t="n"/>
      <c r="AKQ14" s="2" t="n"/>
      <c r="AKR14" s="2" t="n"/>
      <c r="AKS14" s="2" t="n"/>
      <c r="AKT14" s="2" t="n"/>
      <c r="AKU14" s="2" t="n"/>
      <c r="AKV14" s="2" t="n"/>
      <c r="AKW14" s="2" t="n"/>
      <c r="AKX14" s="2" t="n"/>
      <c r="AKY14" s="2" t="n"/>
      <c r="AKZ14" s="2" t="n"/>
      <c r="ALA14" s="2" t="n"/>
      <c r="ALB14" s="2" t="n"/>
      <c r="ALC14" s="2" t="n"/>
      <c r="ALD14" s="2" t="n"/>
      <c r="ALE14" s="2" t="n"/>
      <c r="ALF14" s="2" t="n"/>
      <c r="ALG14" s="2" t="n"/>
      <c r="ALH14" s="2" t="n"/>
      <c r="ALI14" s="2" t="n"/>
      <c r="ALJ14" s="2" t="n"/>
      <c r="ALK14" s="2" t="n"/>
      <c r="ALL14" s="2" t="n"/>
      <c r="ALM14" s="2" t="n"/>
      <c r="ALN14" s="2" t="n"/>
      <c r="ALO14" s="2" t="n"/>
      <c r="ALP14" s="2" t="n"/>
      <c r="ALQ14" s="2" t="n"/>
      <c r="ALR14" s="2" t="n"/>
      <c r="ALS14" s="2" t="n"/>
      <c r="ALT14" s="2" t="n"/>
      <c r="ALU14" s="2" t="n"/>
      <c r="ALV14" s="2" t="n"/>
      <c r="ALW14" s="2" t="n"/>
      <c r="ALX14" s="2" t="n"/>
      <c r="ALY14" s="2" t="n"/>
      <c r="ALZ14" s="2" t="n"/>
      <c r="AMA14" s="2" t="n"/>
      <c r="AMB14" s="2" t="n"/>
      <c r="AMC14" s="2" t="n"/>
      <c r="AMD14" s="2" t="n"/>
      <c r="AME14" s="2" t="n"/>
      <c r="AMF14" s="2" t="n"/>
      <c r="AMG14" s="2" t="n"/>
      <c r="AMH14" s="2" t="n"/>
      <c r="AMI14" s="2" t="n"/>
      <c r="AMJ14" s="2" t="n"/>
      <c r="AMK14" s="2" t="n"/>
      <c r="AML14" s="2" t="n"/>
      <c r="AMM14" s="2" t="n"/>
      <c r="AMN14" s="2" t="n"/>
      <c r="AMO14" s="2" t="n"/>
      <c r="AMP14" s="2" t="n"/>
      <c r="AMQ14" s="2" t="n"/>
      <c r="AMR14" s="2" t="n"/>
      <c r="AMS14" s="2" t="n"/>
      <c r="AMT14" s="2" t="n"/>
      <c r="AMU14" s="2" t="n"/>
      <c r="AMV14" s="2" t="n"/>
      <c r="AMW14" s="2" t="n"/>
      <c r="AMX14" s="2" t="n"/>
      <c r="AMY14" s="2" t="n"/>
      <c r="AMZ14" s="2" t="n"/>
      <c r="ANA14" s="2" t="n"/>
      <c r="ANB14" s="2" t="n"/>
      <c r="ANC14" s="2" t="n"/>
      <c r="AND14" s="2" t="n"/>
      <c r="ANE14" s="2" t="n"/>
      <c r="ANF14" s="2" t="n"/>
      <c r="ANG14" s="2" t="n"/>
      <c r="ANH14" s="2" t="n"/>
      <c r="ANI14" s="2" t="n"/>
      <c r="ANJ14" s="2" t="n"/>
      <c r="ANK14" s="2" t="n"/>
      <c r="ANL14" s="2" t="n"/>
      <c r="ANM14" s="2" t="n"/>
      <c r="ANN14" s="2" t="n"/>
      <c r="ANO14" s="2" t="n"/>
      <c r="ANP14" s="2" t="n"/>
      <c r="ANQ14" s="2" t="n"/>
      <c r="ANR14" s="2" t="n"/>
      <c r="ANS14" s="2" t="n"/>
      <c r="ANT14" s="2" t="n"/>
      <c r="ANU14" s="2" t="n"/>
      <c r="ANV14" s="2" t="n"/>
      <c r="ANW14" s="2" t="n"/>
      <c r="ANX14" s="2" t="n"/>
      <c r="ANY14" s="2" t="n"/>
      <c r="ANZ14" s="2" t="n"/>
      <c r="AOA14" s="2" t="n"/>
      <c r="AOB14" s="2" t="n"/>
      <c r="AOC14" s="2" t="n"/>
      <c r="AOD14" s="2" t="n"/>
      <c r="AOE14" s="2" t="n"/>
      <c r="AOF14" s="2" t="n"/>
      <c r="AOG14" s="2" t="n"/>
      <c r="AOH14" s="2" t="n"/>
      <c r="AOI14" s="2" t="n"/>
      <c r="AOJ14" s="2" t="n"/>
      <c r="AOK14" s="2" t="n"/>
      <c r="AOL14" s="2" t="n"/>
      <c r="AOM14" s="2" t="n"/>
      <c r="AON14" s="2" t="n"/>
      <c r="AOO14" s="2" t="n"/>
      <c r="AOP14" s="2" t="n"/>
      <c r="AOQ14" s="2" t="n"/>
      <c r="AOR14" s="2" t="n"/>
      <c r="AOS14" s="2" t="n"/>
      <c r="AOT14" s="2" t="n"/>
      <c r="AOU14" s="2" t="n"/>
      <c r="AOV14" s="2" t="n"/>
      <c r="AOW14" s="2" t="n"/>
      <c r="AOX14" s="2" t="n"/>
      <c r="AOY14" s="2" t="n"/>
      <c r="AOZ14" s="2" t="n"/>
      <c r="APA14" s="2" t="n"/>
      <c r="APB14" s="2" t="n"/>
      <c r="APC14" s="2" t="n"/>
      <c r="APD14" s="2" t="n"/>
      <c r="APE14" s="2" t="n"/>
      <c r="APF14" s="2" t="n"/>
      <c r="APG14" s="2" t="n"/>
      <c r="APH14" s="2" t="n"/>
      <c r="API14" s="2" t="n"/>
      <c r="APJ14" s="2" t="n"/>
      <c r="APK14" s="2" t="n"/>
      <c r="APL14" s="2" t="n"/>
      <c r="APM14" s="2" t="n"/>
      <c r="APN14" s="2" t="n"/>
      <c r="APO14" s="2" t="n"/>
      <c r="APP14" s="2" t="n"/>
      <c r="APQ14" s="2" t="n"/>
      <c r="APR14" s="2" t="n"/>
      <c r="APS14" s="2" t="n"/>
      <c r="APT14" s="2" t="n"/>
      <c r="APU14" s="2" t="n"/>
      <c r="APV14" s="2" t="n"/>
      <c r="APW14" s="2" t="n"/>
      <c r="APX14" s="2" t="n"/>
      <c r="APY14" s="2" t="n"/>
      <c r="APZ14" s="2" t="n"/>
      <c r="AQA14" s="2" t="n"/>
      <c r="AQB14" s="2" t="n"/>
      <c r="AQC14" s="2" t="n"/>
      <c r="AQD14" s="2" t="n"/>
      <c r="AQE14" s="2" t="n"/>
      <c r="AQF14" s="2" t="n"/>
      <c r="AQG14" s="2" t="n"/>
      <c r="AQH14" s="2" t="n"/>
      <c r="AQI14" s="2" t="n"/>
      <c r="AQJ14" s="2" t="n"/>
      <c r="AQK14" s="2" t="n"/>
      <c r="AQL14" s="2" t="n"/>
      <c r="AQM14" s="2" t="n"/>
      <c r="AQN14" s="2" t="n"/>
      <c r="AQO14" s="2" t="n"/>
      <c r="AQP14" s="2" t="n"/>
      <c r="AQQ14" s="2" t="n"/>
      <c r="AQR14" s="2" t="n"/>
      <c r="AQS14" s="2" t="n"/>
      <c r="AQT14" s="2" t="n"/>
      <c r="AQU14" s="2" t="n"/>
      <c r="AQV14" s="2" t="n"/>
      <c r="AQW14" s="2" t="n"/>
      <c r="AQX14" s="2" t="n"/>
      <c r="AQY14" s="2" t="n"/>
      <c r="AQZ14" s="2" t="n"/>
      <c r="ARA14" s="2" t="n"/>
      <c r="ARB14" s="2" t="n"/>
      <c r="ARC14" s="2" t="n"/>
      <c r="ARD14" s="2" t="n"/>
      <c r="ARE14" s="2" t="n"/>
      <c r="ARF14" s="2" t="n"/>
      <c r="ARG14" s="2" t="n"/>
      <c r="ARH14" s="2" t="n"/>
      <c r="ARI14" s="2" t="n"/>
      <c r="ARJ14" s="2" t="n"/>
      <c r="ARK14" s="2" t="n"/>
      <c r="ARL14" s="2" t="n"/>
      <c r="ARM14" s="2" t="n"/>
      <c r="ARN14" s="2" t="n"/>
      <c r="ARO14" s="2" t="n"/>
      <c r="ARP14" s="2" t="n"/>
      <c r="ARQ14" s="2" t="n"/>
      <c r="ARR14" s="2" t="n"/>
      <c r="ARS14" s="2" t="n"/>
      <c r="ART14" s="2" t="n"/>
      <c r="ARU14" s="2" t="n"/>
      <c r="ARV14" s="2" t="n"/>
      <c r="ARW14" s="2" t="n"/>
      <c r="ARX14" s="2" t="n"/>
      <c r="ARY14" s="2" t="n"/>
      <c r="ARZ14" s="2" t="n"/>
      <c r="ASA14" s="2" t="n"/>
      <c r="ASB14" s="2" t="n"/>
      <c r="ASC14" s="2" t="n"/>
      <c r="ASD14" s="2" t="n"/>
      <c r="ASE14" s="2" t="n"/>
      <c r="ASF14" s="2" t="n"/>
      <c r="ASG14" s="2" t="n"/>
      <c r="ASH14" s="2" t="n"/>
      <c r="ASI14" s="2" t="n"/>
      <c r="ASJ14" s="2" t="n"/>
      <c r="ASK14" s="2" t="n"/>
      <c r="ASL14" s="2" t="n"/>
      <c r="ASM14" s="2" t="n"/>
      <c r="ASN14" s="2" t="n"/>
      <c r="ASO14" s="2" t="n"/>
      <c r="ASP14" s="2" t="n"/>
      <c r="ASQ14" s="2" t="n"/>
      <c r="ASR14" s="2" t="n"/>
      <c r="ASS14" s="2" t="n"/>
      <c r="AST14" s="2" t="n"/>
      <c r="ASU14" s="2" t="n"/>
      <c r="ASV14" s="2" t="n"/>
      <c r="ASW14" s="2" t="n"/>
      <c r="ASX14" s="2" t="n"/>
      <c r="ASY14" s="2" t="n"/>
      <c r="ASZ14" s="2" t="n"/>
      <c r="ATA14" s="2" t="n"/>
      <c r="ATB14" s="2" t="n"/>
      <c r="ATC14" s="2" t="n"/>
      <c r="ATD14" s="2" t="n"/>
      <c r="ATE14" s="2" t="n"/>
      <c r="ATF14" s="2" t="n"/>
      <c r="ATG14" s="2" t="n"/>
      <c r="ATH14" s="2" t="n"/>
      <c r="ATI14" s="2" t="n"/>
      <c r="ATJ14" s="2" t="n"/>
      <c r="ATK14" s="2" t="n"/>
      <c r="ATL14" s="2" t="n"/>
      <c r="ATM14" s="2" t="n"/>
      <c r="ATN14" s="2" t="n"/>
      <c r="ATO14" s="2" t="n"/>
      <c r="ATP14" s="2" t="n"/>
      <c r="ATQ14" s="2" t="n"/>
      <c r="ATR14" s="2" t="n"/>
      <c r="ATS14" s="2" t="n"/>
      <c r="ATT14" s="2" t="n"/>
      <c r="ATU14" s="2" t="n"/>
      <c r="ATV14" s="2" t="n"/>
      <c r="ATW14" s="2" t="n"/>
      <c r="ATX14" s="2" t="n"/>
      <c r="ATY14" s="2" t="n"/>
      <c r="ATZ14" s="2" t="n"/>
      <c r="AUA14" s="2" t="n"/>
      <c r="AUB14" s="2" t="n"/>
      <c r="AUC14" s="2" t="n"/>
      <c r="AUD14" s="2" t="n"/>
      <c r="AUE14" s="2" t="n"/>
      <c r="AUF14" s="2" t="n"/>
      <c r="AUG14" s="2" t="n"/>
      <c r="AUH14" s="2" t="n"/>
      <c r="AUI14" s="2" t="n"/>
      <c r="AUJ14" s="2" t="n"/>
      <c r="AUK14" s="2" t="n"/>
      <c r="AUL14" s="2" t="n"/>
      <c r="AUM14" s="2" t="n"/>
      <c r="AUN14" s="2" t="n"/>
      <c r="AUO14" s="2" t="n"/>
      <c r="AUP14" s="2" t="n"/>
      <c r="AUQ14" s="2" t="n"/>
      <c r="AUR14" s="2" t="n"/>
      <c r="AUS14" s="2" t="n"/>
      <c r="AUT14" s="2" t="n"/>
      <c r="AUU14" s="2" t="n"/>
      <c r="AUV14" s="2" t="n"/>
      <c r="AUW14" s="2" t="n"/>
      <c r="AUX14" s="2" t="n"/>
      <c r="AUY14" s="2" t="n"/>
      <c r="AUZ14" s="2" t="n"/>
      <c r="AVA14" s="2" t="n"/>
      <c r="AVB14" s="2" t="n"/>
      <c r="AVC14" s="2" t="n"/>
      <c r="AVD14" s="2" t="n"/>
      <c r="AVE14" s="2" t="n"/>
      <c r="AVF14" s="2" t="n"/>
      <c r="AVG14" s="2" t="n"/>
      <c r="AVH14" s="2" t="n"/>
      <c r="AVI14" s="2" t="n"/>
      <c r="AVJ14" s="2" t="n"/>
      <c r="AVK14" s="2" t="n"/>
      <c r="AVL14" s="2" t="n"/>
      <c r="AVM14" s="2" t="n"/>
      <c r="AVN14" s="2" t="n"/>
      <c r="AVO14" s="2" t="n"/>
      <c r="AVP14" s="2" t="n"/>
      <c r="AVQ14" s="2" t="n"/>
      <c r="AVR14" s="2" t="n"/>
      <c r="AVS14" s="2" t="n"/>
      <c r="AVT14" s="2" t="n"/>
      <c r="AVU14" s="2" t="n"/>
      <c r="AVV14" s="2" t="n"/>
      <c r="AVW14" s="2" t="n"/>
      <c r="AVX14" s="2" t="n"/>
      <c r="AVY14" s="2" t="n"/>
      <c r="AVZ14" s="2" t="n"/>
      <c r="AWA14" s="2" t="n"/>
      <c r="AWB14" s="2" t="n"/>
      <c r="AWC14" s="2" t="n"/>
      <c r="AWD14" s="2" t="n"/>
      <c r="AWE14" s="2" t="n"/>
      <c r="AWF14" s="2" t="n"/>
      <c r="AWG14" s="2" t="n"/>
      <c r="AWH14" s="2" t="n"/>
      <c r="AWI14" s="2" t="n"/>
      <c r="AWJ14" s="2" t="n"/>
      <c r="AWK14" s="2" t="n"/>
      <c r="AWL14" s="2" t="n"/>
      <c r="AWM14" s="2" t="n"/>
      <c r="AWN14" s="2" t="n"/>
      <c r="AWO14" s="2" t="n"/>
      <c r="AWP14" s="2" t="n"/>
      <c r="AWQ14" s="2" t="n"/>
      <c r="AWR14" s="2" t="n"/>
      <c r="AWS14" s="2" t="n"/>
      <c r="AWT14" s="2" t="n"/>
      <c r="AWU14" s="2" t="n"/>
      <c r="AWV14" s="2" t="n"/>
      <c r="AWW14" s="2" t="n"/>
      <c r="AWX14" s="2" t="n"/>
      <c r="AWY14" s="2" t="n"/>
      <c r="AWZ14" s="2" t="n"/>
      <c r="AXA14" s="2" t="n"/>
      <c r="AXB14" s="2" t="n"/>
      <c r="AXC14" s="2" t="n"/>
      <c r="AXD14" s="2" t="n"/>
      <c r="AXE14" s="2" t="n"/>
      <c r="AXF14" s="2" t="n"/>
      <c r="AXG14" s="2" t="n"/>
      <c r="AXH14" s="2" t="n"/>
      <c r="AXI14" s="2" t="n"/>
      <c r="AXJ14" s="2" t="n"/>
      <c r="AXK14" s="2" t="n"/>
      <c r="AXL14" s="2" t="n"/>
      <c r="AXM14" s="2" t="n"/>
      <c r="AXN14" s="2" t="n"/>
      <c r="AXO14" s="2" t="n"/>
      <c r="AXP14" s="2" t="n"/>
      <c r="AXQ14" s="2" t="n"/>
      <c r="AXR14" s="2" t="n"/>
      <c r="AXS14" s="2" t="n"/>
      <c r="AXT14" s="2" t="n"/>
      <c r="AXU14" s="2" t="n"/>
      <c r="AXV14" s="2" t="n"/>
      <c r="AXW14" s="2" t="n"/>
      <c r="AXX14" s="2" t="n"/>
      <c r="AXY14" s="2" t="n"/>
      <c r="AXZ14" s="2" t="n"/>
      <c r="AYA14" s="2" t="n"/>
      <c r="AYB14" s="2" t="n"/>
      <c r="AYC14" s="2" t="n"/>
      <c r="AYD14" s="2" t="n"/>
      <c r="AYE14" s="2" t="n"/>
      <c r="AYF14" s="2" t="n"/>
      <c r="AYG14" s="2" t="n"/>
      <c r="AYH14" s="2" t="n"/>
      <c r="AYI14" s="2" t="n"/>
      <c r="AYJ14" s="2" t="n"/>
      <c r="AYK14" s="2" t="n"/>
      <c r="AYL14" s="2" t="n"/>
      <c r="AYM14" s="2" t="n"/>
      <c r="AYN14" s="2" t="n"/>
      <c r="AYO14" s="2" t="n"/>
      <c r="AYP14" s="2" t="n"/>
      <c r="AYQ14" s="2" t="n"/>
      <c r="AYR14" s="2" t="n"/>
      <c r="AYS14" s="2" t="n"/>
      <c r="AYT14" s="2" t="n"/>
      <c r="AYU14" s="2" t="n"/>
      <c r="AYV14" s="2" t="n"/>
      <c r="AYW14" s="2" t="n"/>
      <c r="AYX14" s="2" t="n"/>
      <c r="AYY14" s="2" t="n"/>
      <c r="AYZ14" s="2" t="n"/>
      <c r="AZA14" s="2" t="n"/>
      <c r="AZB14" s="2" t="n"/>
      <c r="AZC14" s="2" t="n"/>
      <c r="AZD14" s="2" t="n"/>
      <c r="AZE14" s="2" t="n"/>
      <c r="AZF14" s="2" t="n"/>
      <c r="AZG14" s="2" t="n"/>
      <c r="AZH14" s="2" t="n"/>
      <c r="AZI14" s="2" t="n"/>
      <c r="AZJ14" s="2" t="n"/>
      <c r="AZK14" s="2" t="n"/>
      <c r="AZL14" s="2" t="n"/>
      <c r="AZM14" s="2" t="n"/>
      <c r="AZN14" s="2" t="n"/>
      <c r="AZO14" s="2" t="n"/>
      <c r="AZP14" s="2" t="n"/>
      <c r="AZQ14" s="2" t="n"/>
      <c r="AZR14" s="2" t="n"/>
      <c r="AZS14" s="2" t="n"/>
      <c r="AZT14" s="2" t="n"/>
      <c r="AZU14" s="2" t="n"/>
      <c r="AZV14" s="2" t="n"/>
      <c r="AZW14" s="2" t="n"/>
      <c r="AZX14" s="2" t="n"/>
      <c r="AZY14" s="2" t="n"/>
      <c r="AZZ14" s="2" t="n"/>
      <c r="BAA14" s="2" t="n"/>
      <c r="BAB14" s="2" t="n"/>
      <c r="BAC14" s="2" t="n"/>
      <c r="BAD14" s="2" t="n"/>
      <c r="BAE14" s="2" t="n"/>
      <c r="BAF14" s="2" t="n"/>
      <c r="BAG14" s="2" t="n"/>
      <c r="BAH14" s="2" t="n"/>
      <c r="BAI14" s="2" t="n"/>
      <c r="BAJ14" s="2" t="n"/>
      <c r="BAK14" s="2" t="n"/>
      <c r="BAL14" s="2" t="n"/>
      <c r="BAM14" s="2" t="n"/>
      <c r="BAN14" s="2" t="n"/>
      <c r="BAO14" s="2" t="n"/>
      <c r="BAP14" s="2" t="n"/>
      <c r="BAQ14" s="2" t="n"/>
      <c r="BAR14" s="2" t="n"/>
      <c r="BAS14" s="2" t="n"/>
      <c r="BAT14" s="2" t="n"/>
      <c r="BAU14" s="2" t="n"/>
      <c r="BAV14" s="2" t="n"/>
      <c r="BAW14" s="2" t="n"/>
      <c r="BAX14" s="2" t="n"/>
      <c r="BAY14" s="2" t="n"/>
      <c r="BAZ14" s="2" t="n"/>
      <c r="BBA14" s="2" t="n"/>
      <c r="BBB14" s="2" t="n"/>
      <c r="BBC14" s="2" t="n"/>
      <c r="BBD14" s="2" t="n"/>
      <c r="BBE14" s="2" t="n"/>
      <c r="BBF14" s="2" t="n"/>
      <c r="BBG14" s="2" t="n"/>
      <c r="BBH14" s="2" t="n"/>
      <c r="BBI14" s="2" t="n"/>
      <c r="BBJ14" s="2" t="n"/>
      <c r="BBK14" s="2" t="n"/>
      <c r="BBL14" s="2" t="n"/>
      <c r="BBM14" s="2" t="n"/>
      <c r="BBN14" s="2" t="n"/>
      <c r="BBO14" s="2" t="n"/>
      <c r="BBP14" s="2" t="n"/>
      <c r="BBQ14" s="2" t="n"/>
      <c r="BBR14" s="2" t="n"/>
      <c r="BBS14" s="2" t="n"/>
      <c r="BBT14" s="2" t="n"/>
      <c r="BBU14" s="2" t="n"/>
      <c r="BBV14" s="2" t="n"/>
      <c r="BBW14" s="2" t="n"/>
      <c r="BBX14" s="2" t="n"/>
      <c r="BBY14" s="2" t="n"/>
      <c r="BBZ14" s="2" t="n"/>
      <c r="BCA14" s="2" t="n"/>
      <c r="BCB14" s="2" t="n"/>
      <c r="BCC14" s="2" t="n"/>
      <c r="BCD14" s="2" t="n"/>
      <c r="BCE14" s="2" t="n"/>
      <c r="BCF14" s="2" t="n"/>
      <c r="BCG14" s="2" t="n"/>
      <c r="BCH14" s="2" t="n"/>
      <c r="BCI14" s="2" t="n"/>
      <c r="BCJ14" s="2" t="n"/>
      <c r="BCK14" s="2" t="n"/>
      <c r="BCL14" s="2" t="n"/>
      <c r="BCM14" s="2" t="n"/>
      <c r="BCN14" s="2" t="n"/>
      <c r="BCO14" s="2" t="n"/>
      <c r="BCP14" s="2" t="n"/>
      <c r="BCQ14" s="2" t="n"/>
      <c r="BCR14" s="2" t="n"/>
      <c r="BCS14" s="2" t="n"/>
      <c r="BCT14" s="2" t="n"/>
      <c r="BCU14" s="2" t="n"/>
      <c r="BCV14" s="2" t="n"/>
      <c r="BCW14" s="2" t="n"/>
      <c r="BCX14" s="2" t="n"/>
      <c r="BCY14" s="2" t="n"/>
      <c r="BCZ14" s="2" t="n"/>
      <c r="BDA14" s="2" t="n"/>
      <c r="BDB14" s="2" t="n"/>
      <c r="BDC14" s="2" t="n"/>
      <c r="BDD14" s="2" t="n"/>
      <c r="BDE14" s="2" t="n"/>
      <c r="BDF14" s="2" t="n"/>
      <c r="BDG14" s="2" t="n"/>
      <c r="BDH14" s="2" t="n"/>
      <c r="BDI14" s="2" t="n"/>
      <c r="BDJ14" s="2" t="n"/>
      <c r="BDK14" s="2" t="n"/>
      <c r="BDL14" s="2" t="n"/>
      <c r="BDM14" s="2" t="n"/>
      <c r="BDN14" s="2" t="n"/>
      <c r="BDO14" s="2" t="n"/>
      <c r="BDP14" s="2" t="n"/>
      <c r="BDQ14" s="2" t="n"/>
      <c r="BDR14" s="2" t="n"/>
      <c r="BDS14" s="2" t="n"/>
      <c r="BDT14" s="2" t="n"/>
      <c r="BDU14" s="2" t="n"/>
      <c r="BDV14" s="2" t="n"/>
      <c r="BDW14" s="2" t="n"/>
      <c r="BDX14" s="2" t="n"/>
      <c r="BDY14" s="2" t="n"/>
      <c r="BDZ14" s="2" t="n"/>
      <c r="BEA14" s="2" t="n"/>
      <c r="BEB14" s="2" t="n"/>
      <c r="BEC14" s="2" t="n"/>
      <c r="BED14" s="2" t="n"/>
      <c r="BEE14" s="2" t="n"/>
      <c r="BEF14" s="2" t="n"/>
      <c r="BEG14" s="2" t="n"/>
      <c r="BEH14" s="2" t="n"/>
      <c r="BEI14" s="2" t="n"/>
      <c r="BEJ14" s="2" t="n"/>
      <c r="BEK14" s="2" t="n"/>
      <c r="BEL14" s="2" t="n"/>
      <c r="BEM14" s="2" t="n"/>
      <c r="BEN14" s="2" t="n"/>
      <c r="BEO14" s="2" t="n"/>
      <c r="BEP14" s="2" t="n"/>
      <c r="BEQ14" s="2" t="n"/>
      <c r="BER14" s="2" t="n"/>
      <c r="BES14" s="2" t="n"/>
      <c r="BET14" s="2" t="n"/>
      <c r="BEU14" s="2" t="n"/>
      <c r="BEV14" s="2" t="n"/>
      <c r="BEW14" s="2" t="n"/>
      <c r="BEX14" s="2" t="n"/>
      <c r="BEY14" s="2" t="n"/>
      <c r="BEZ14" s="2" t="n"/>
      <c r="BFA14" s="2" t="n"/>
      <c r="BFB14" s="2" t="n"/>
      <c r="BFC14" s="2" t="n"/>
      <c r="BFD14" s="2" t="n"/>
      <c r="BFE14" s="2" t="n"/>
      <c r="BFF14" s="2" t="n"/>
      <c r="BFG14" s="2" t="n"/>
      <c r="BFH14" s="2" t="n"/>
      <c r="BFI14" s="2" t="n"/>
      <c r="BFJ14" s="2" t="n"/>
      <c r="BFK14" s="2" t="n"/>
      <c r="BFL14" s="2" t="n"/>
      <c r="BFM14" s="2" t="n"/>
      <c r="BFN14" s="2" t="n"/>
      <c r="BFO14" s="2" t="n"/>
      <c r="BFP14" s="2" t="n"/>
      <c r="BFQ14" s="2" t="n"/>
      <c r="BFR14" s="2" t="n"/>
      <c r="BFS14" s="2" t="n"/>
      <c r="BFT14" s="2" t="n"/>
      <c r="BFU14" s="2" t="n"/>
      <c r="BFV14" s="2" t="n"/>
      <c r="BFW14" s="2" t="n"/>
      <c r="BFX14" s="2" t="n"/>
      <c r="BFY14" s="2" t="n"/>
      <c r="BFZ14" s="2" t="n"/>
      <c r="BGA14" s="2" t="n"/>
      <c r="BGB14" s="2" t="n"/>
      <c r="BGC14" s="2" t="n"/>
      <c r="BGD14" s="2" t="n"/>
      <c r="BGE14" s="2" t="n"/>
      <c r="BGF14" s="2" t="n"/>
      <c r="BGG14" s="2" t="n"/>
      <c r="BGH14" s="2" t="n"/>
      <c r="BGI14" s="2" t="n"/>
      <c r="BGJ14" s="2" t="n"/>
      <c r="BGK14" s="2" t="n"/>
      <c r="BGL14" s="2" t="n"/>
      <c r="BGM14" s="2" t="n"/>
      <c r="BGN14" s="2" t="n"/>
      <c r="BGO14" s="2" t="n"/>
      <c r="BGP14" s="2" t="n"/>
      <c r="BGQ14" s="2" t="n"/>
      <c r="BGR14" s="2" t="n"/>
      <c r="BGS14" s="2" t="n"/>
      <c r="BGT14" s="2" t="n"/>
      <c r="BGU14" s="2" t="n"/>
      <c r="BGV14" s="2" t="n"/>
      <c r="BGW14" s="2" t="n"/>
      <c r="BGX14" s="2" t="n"/>
      <c r="BGY14" s="2" t="n"/>
      <c r="BGZ14" s="2" t="n"/>
      <c r="BHA14" s="2" t="n"/>
      <c r="BHB14" s="2" t="n"/>
      <c r="BHC14" s="2" t="n"/>
      <c r="BHD14" s="2" t="n"/>
      <c r="BHE14" s="2" t="n"/>
      <c r="BHF14" s="2" t="n"/>
      <c r="BHG14" s="2" t="n"/>
      <c r="BHH14" s="2" t="n"/>
      <c r="BHI14" s="2" t="n"/>
      <c r="BHJ14" s="2" t="n"/>
      <c r="BHK14" s="2" t="n"/>
      <c r="BHL14" s="2" t="n"/>
      <c r="BHM14" s="2" t="n"/>
      <c r="BHN14" s="2" t="n"/>
      <c r="BHO14" s="2" t="n"/>
      <c r="BHP14" s="2" t="n"/>
      <c r="BHQ14" s="2" t="n"/>
      <c r="BHR14" s="2" t="n"/>
      <c r="BHS14" s="2" t="n"/>
      <c r="BHT14" s="2" t="n"/>
      <c r="BHU14" s="2" t="n"/>
      <c r="BHV14" s="2" t="n"/>
      <c r="BHW14" s="2" t="n"/>
      <c r="BHX14" s="2" t="n"/>
      <c r="BHY14" s="2" t="n"/>
      <c r="BHZ14" s="2" t="n"/>
      <c r="BIA14" s="2" t="n"/>
      <c r="BIB14" s="2" t="n"/>
      <c r="BIC14" s="2" t="n"/>
      <c r="BID14" s="2" t="n"/>
      <c r="BIE14" s="2" t="n"/>
      <c r="BIF14" s="2" t="n"/>
      <c r="BIG14" s="2" t="n"/>
      <c r="BIH14" s="2" t="n"/>
      <c r="BII14" s="2" t="n"/>
      <c r="BIJ14" s="2" t="n"/>
      <c r="BIK14" s="2" t="n"/>
      <c r="BIL14" s="2" t="n"/>
      <c r="BIM14" s="2" t="n"/>
      <c r="BIN14" s="2" t="n"/>
      <c r="BIO14" s="2" t="n"/>
      <c r="BIP14" s="2" t="n"/>
      <c r="BIQ14" s="2" t="n"/>
      <c r="BIR14" s="2" t="n"/>
      <c r="BIS14" s="2" t="n"/>
      <c r="BIT14" s="2" t="n"/>
      <c r="BIU14" s="2" t="n"/>
      <c r="BIV14" s="2" t="n"/>
      <c r="BIW14" s="2" t="n"/>
      <c r="BIX14" s="2" t="n"/>
      <c r="BIY14" s="2" t="n"/>
      <c r="BIZ14" s="2" t="n"/>
      <c r="BJA14" s="2" t="n"/>
      <c r="BJB14" s="2" t="n"/>
      <c r="BJC14" s="2" t="n"/>
      <c r="BJD14" s="2" t="n"/>
      <c r="BJE14" s="2" t="n"/>
      <c r="BJF14" s="2" t="n"/>
      <c r="BJG14" s="2" t="n"/>
      <c r="BJH14" s="2" t="n"/>
      <c r="BJI14" s="2" t="n"/>
      <c r="BJJ14" s="2" t="n"/>
      <c r="BJK14" s="2" t="n"/>
      <c r="BJL14" s="2" t="n"/>
      <c r="BJM14" s="2" t="n"/>
      <c r="BJN14" s="2" t="n"/>
      <c r="BJO14" s="2" t="n"/>
      <c r="BJP14" s="2" t="n"/>
      <c r="BJQ14" s="2" t="n"/>
      <c r="BJR14" s="2" t="n"/>
      <c r="BJS14" s="2" t="n"/>
      <c r="BJT14" s="2" t="n"/>
      <c r="BJU14" s="2" t="n"/>
      <c r="BJV14" s="2" t="n"/>
      <c r="BJW14" s="2" t="n"/>
      <c r="BJX14" s="2" t="n"/>
      <c r="BJY14" s="2" t="n"/>
      <c r="BJZ14" s="2" t="n"/>
      <c r="BKA14" s="2" t="n"/>
      <c r="BKB14" s="2" t="n"/>
      <c r="BKC14" s="2" t="n"/>
      <c r="BKD14" s="2" t="n"/>
      <c r="BKE14" s="2" t="n"/>
      <c r="BKF14" s="2" t="n"/>
      <c r="BKG14" s="2" t="n"/>
      <c r="BKH14" s="2" t="n"/>
      <c r="BKI14" s="2" t="n"/>
      <c r="BKJ14" s="2" t="n"/>
      <c r="BKK14" s="2" t="n"/>
      <c r="BKL14" s="2" t="n"/>
      <c r="BKM14" s="2" t="n"/>
      <c r="BKN14" s="2" t="n"/>
      <c r="BKO14" s="2" t="n"/>
      <c r="BKP14" s="2" t="n"/>
      <c r="BKQ14" s="2" t="n"/>
      <c r="BKR14" s="2" t="n"/>
      <c r="BKS14" s="2" t="n"/>
      <c r="BKT14" s="2" t="n"/>
      <c r="BKU14" s="2" t="n"/>
      <c r="BKV14" s="2" t="n"/>
      <c r="BKW14" s="2" t="n"/>
      <c r="BKX14" s="2" t="n"/>
      <c r="BKY14" s="2" t="n"/>
      <c r="BKZ14" s="2" t="n"/>
      <c r="BLA14" s="2" t="n"/>
      <c r="BLB14" s="2" t="n"/>
      <c r="BLC14" s="2" t="n"/>
      <c r="BLD14" s="2" t="n"/>
      <c r="BLE14" s="2" t="n"/>
      <c r="BLF14" s="2" t="n"/>
      <c r="BLG14" s="2" t="n"/>
      <c r="BLH14" s="2" t="n"/>
      <c r="BLI14" s="2" t="n"/>
      <c r="BLJ14" s="2" t="n"/>
      <c r="BLK14" s="2" t="n"/>
      <c r="BLL14" s="2" t="n"/>
      <c r="BLM14" s="2" t="n"/>
      <c r="BLN14" s="2" t="n"/>
      <c r="BLO14" s="2" t="n"/>
      <c r="BLP14" s="2" t="n"/>
      <c r="BLQ14" s="2" t="n"/>
      <c r="BLR14" s="2" t="n"/>
      <c r="BLS14" s="2" t="n"/>
      <c r="BLT14" s="2" t="n"/>
      <c r="BLU14" s="2" t="n"/>
      <c r="BLV14" s="2" t="n"/>
      <c r="BLW14" s="2" t="n"/>
      <c r="BLX14" s="2" t="n"/>
      <c r="BLY14" s="2" t="n"/>
      <c r="BLZ14" s="2" t="n"/>
      <c r="BMA14" s="2" t="n"/>
      <c r="BMB14" s="2" t="n"/>
      <c r="BMC14" s="2" t="n"/>
      <c r="BMD14" s="2" t="n"/>
      <c r="BME14" s="2" t="n"/>
      <c r="BMF14" s="2" t="n"/>
      <c r="BMG14" s="2" t="n"/>
      <c r="BMH14" s="2" t="n"/>
      <c r="BMI14" s="2" t="n"/>
      <c r="BMJ14" s="2" t="n"/>
      <c r="BMK14" s="2" t="n"/>
      <c r="BML14" s="2" t="n"/>
      <c r="BMM14" s="2" t="n"/>
      <c r="BMN14" s="2" t="n"/>
      <c r="BMO14" s="2" t="n"/>
      <c r="BMP14" s="2" t="n"/>
      <c r="BMQ14" s="2" t="n"/>
      <c r="BMR14" s="2" t="n"/>
      <c r="BMS14" s="2" t="n"/>
      <c r="BMT14" s="2" t="n"/>
      <c r="BMU14" s="2" t="n"/>
      <c r="BMV14" s="2" t="n"/>
      <c r="BMW14" s="2" t="n"/>
      <c r="BMX14" s="2" t="n"/>
      <c r="BMY14" s="2" t="n"/>
      <c r="BMZ14" s="2" t="n"/>
      <c r="BNA14" s="2" t="n"/>
      <c r="BNB14" s="2" t="n"/>
      <c r="BNC14" s="2" t="n"/>
      <c r="BND14" s="2" t="n"/>
      <c r="BNE14" s="2" t="n"/>
      <c r="BNF14" s="2" t="n"/>
      <c r="BNG14" s="2" t="n"/>
      <c r="BNH14" s="2" t="n"/>
      <c r="BNI14" s="2" t="n"/>
      <c r="BNJ14" s="2" t="n"/>
      <c r="BNK14" s="2" t="n"/>
      <c r="BNL14" s="2" t="n"/>
      <c r="BNM14" s="2" t="n"/>
      <c r="BNN14" s="2" t="n"/>
      <c r="BNO14" s="2" t="n"/>
      <c r="BNP14" s="2" t="n"/>
      <c r="BNQ14" s="2" t="n"/>
      <c r="BNR14" s="2" t="n"/>
      <c r="BNS14" s="2" t="n"/>
      <c r="BNT14" s="2" t="n"/>
      <c r="BNU14" s="2" t="n"/>
      <c r="BNV14" s="2" t="n"/>
      <c r="BNW14" s="2" t="n"/>
      <c r="BNX14" s="2" t="n"/>
      <c r="BNY14" s="2" t="n"/>
      <c r="BNZ14" s="2" t="n"/>
      <c r="BOA14" s="2" t="n"/>
      <c r="BOB14" s="2" t="n"/>
      <c r="BOC14" s="2" t="n"/>
      <c r="BOD14" s="2" t="n"/>
      <c r="BOE14" s="2" t="n"/>
      <c r="BOF14" s="2" t="n"/>
      <c r="BOG14" s="2" t="n"/>
      <c r="BOH14" s="2" t="n"/>
      <c r="BOI14" s="2" t="n"/>
      <c r="BOJ14" s="2" t="n"/>
      <c r="BOK14" s="2" t="n"/>
      <c r="BOL14" s="2" t="n"/>
      <c r="BOM14" s="2" t="n"/>
      <c r="BON14" s="2" t="n"/>
      <c r="BOO14" s="2" t="n"/>
      <c r="BOP14" s="2" t="n"/>
      <c r="BOQ14" s="2" t="n"/>
      <c r="BOR14" s="2" t="n"/>
      <c r="BOS14" s="2" t="n"/>
      <c r="BOT14" s="2" t="n"/>
      <c r="BOU14" s="2" t="n"/>
      <c r="BOV14" s="2" t="n"/>
      <c r="BOW14" s="2" t="n"/>
      <c r="BOX14" s="2" t="n"/>
      <c r="BOY14" s="2" t="n"/>
      <c r="BOZ14" s="2" t="n"/>
      <c r="BPA14" s="2" t="n"/>
      <c r="BPB14" s="2" t="n"/>
      <c r="BPC14" s="2" t="n"/>
      <c r="BPD14" s="2" t="n"/>
      <c r="BPE14" s="2" t="n"/>
      <c r="BPF14" s="2" t="n"/>
      <c r="BPG14" s="2" t="n"/>
      <c r="BPH14" s="2" t="n"/>
      <c r="BPI14" s="2" t="n"/>
      <c r="BPJ14" s="2" t="n"/>
      <c r="BPK14" s="2" t="n"/>
      <c r="BPL14" s="2" t="n"/>
      <c r="BPM14" s="2" t="n"/>
      <c r="BPN14" s="2" t="n"/>
      <c r="BPO14" s="2" t="n"/>
      <c r="BPP14" s="2" t="n"/>
      <c r="BPQ14" s="2" t="n"/>
      <c r="BPR14" s="2" t="n"/>
      <c r="BPS14" s="2" t="n"/>
      <c r="BPT14" s="2" t="n"/>
      <c r="BPU14" s="2" t="n"/>
      <c r="BPV14" s="2" t="n"/>
      <c r="BPW14" s="2" t="n"/>
      <c r="BPX14" s="2" t="n"/>
      <c r="BPY14" s="2" t="n"/>
      <c r="BPZ14" s="2" t="n"/>
      <c r="BQA14" s="2" t="n"/>
      <c r="BQB14" s="2" t="n"/>
      <c r="BQC14" s="2" t="n"/>
      <c r="BQD14" s="2" t="n"/>
      <c r="BQE14" s="2" t="n"/>
      <c r="BQF14" s="2" t="n"/>
      <c r="BQG14" s="2" t="n"/>
      <c r="BQH14" s="2" t="n"/>
      <c r="BQI14" s="2" t="n"/>
      <c r="BQJ14" s="2" t="n"/>
      <c r="BQK14" s="2" t="n"/>
      <c r="BQL14" s="2" t="n"/>
      <c r="BQM14" s="2" t="n"/>
      <c r="BQN14" s="2" t="n"/>
      <c r="BQO14" s="2" t="n"/>
      <c r="BQP14" s="2" t="n"/>
      <c r="BQQ14" s="2" t="n"/>
      <c r="BQR14" s="2" t="n"/>
      <c r="BQS14" s="2" t="n"/>
      <c r="BQT14" s="2" t="n"/>
      <c r="BQU14" s="2" t="n"/>
      <c r="BQV14" s="2" t="n"/>
      <c r="BQW14" s="2" t="n"/>
      <c r="BQX14" s="2" t="n"/>
      <c r="BQY14" s="2" t="n"/>
      <c r="BQZ14" s="2" t="n"/>
      <c r="BRA14" s="2" t="n"/>
      <c r="BRB14" s="2" t="n"/>
      <c r="BRC14" s="2" t="n"/>
      <c r="BRD14" s="2" t="n"/>
      <c r="BRE14" s="2" t="n"/>
      <c r="BRF14" s="2" t="n"/>
      <c r="BRG14" s="2" t="n"/>
      <c r="BRH14" s="2" t="n"/>
      <c r="BRI14" s="2" t="n"/>
      <c r="BRJ14" s="2" t="n"/>
      <c r="BRK14" s="2" t="n"/>
      <c r="BRL14" s="2" t="n"/>
      <c r="BRM14" s="2" t="n"/>
      <c r="BRN14" s="2" t="n"/>
      <c r="BRO14" s="2" t="n"/>
      <c r="BRP14" s="2" t="n"/>
      <c r="BRQ14" s="2" t="n"/>
      <c r="BRR14" s="2" t="n"/>
      <c r="BRS14" s="2" t="n"/>
      <c r="BRT14" s="2" t="n"/>
      <c r="BRU14" s="2" t="n"/>
      <c r="BRV14" s="2" t="n"/>
      <c r="BRW14" s="2" t="n"/>
      <c r="BRX14" s="2" t="n"/>
      <c r="BRY14" s="2" t="n"/>
      <c r="BRZ14" s="2" t="n"/>
      <c r="BSA14" s="2" t="n"/>
      <c r="BSB14" s="2" t="n"/>
      <c r="BSC14" s="2" t="n"/>
      <c r="BSD14" s="2" t="n"/>
      <c r="BSE14" s="2" t="n"/>
      <c r="BSF14" s="2" t="n"/>
      <c r="BSG14" s="2" t="n"/>
      <c r="BSH14" s="2" t="n"/>
      <c r="BSI14" s="2" t="n"/>
      <c r="BSJ14" s="2" t="n"/>
      <c r="BSK14" s="2" t="n"/>
      <c r="BSL14" s="2" t="n"/>
      <c r="BSM14" s="2" t="n"/>
      <c r="BSN14" s="2" t="n"/>
      <c r="BSO14" s="2" t="n"/>
      <c r="BSP14" s="2" t="n"/>
      <c r="BSQ14" s="2" t="n"/>
      <c r="BSR14" s="2" t="n"/>
      <c r="BSS14" s="2" t="n"/>
      <c r="BST14" s="2" t="n"/>
      <c r="BSU14" s="2" t="n"/>
      <c r="BSV14" s="2" t="n"/>
      <c r="BSW14" s="2" t="n"/>
      <c r="BSX14" s="2" t="n"/>
      <c r="BSY14" s="2" t="n"/>
      <c r="BSZ14" s="2" t="n"/>
      <c r="BTA14" s="2" t="n"/>
      <c r="BTB14" s="2" t="n"/>
      <c r="BTC14" s="2" t="n"/>
      <c r="BTD14" s="2" t="n"/>
      <c r="BTE14" s="2" t="n"/>
      <c r="BTF14" s="2" t="n"/>
      <c r="BTG14" s="2" t="n"/>
      <c r="BTH14" s="2" t="n"/>
      <c r="BTI14" s="2" t="n"/>
      <c r="BTJ14" s="2" t="n"/>
      <c r="BTK14" s="2" t="n"/>
      <c r="BTL14" s="2" t="n"/>
      <c r="BTM14" s="2" t="n"/>
      <c r="BTN14" s="2" t="n"/>
      <c r="BTO14" s="2" t="n"/>
      <c r="BTP14" s="2" t="n"/>
      <c r="BTQ14" s="2" t="n"/>
      <c r="BTR14" s="2" t="n"/>
      <c r="BTS14" s="2" t="n"/>
      <c r="BTT14" s="2" t="n"/>
      <c r="BTU14" s="2" t="n"/>
      <c r="BTV14" s="2" t="n"/>
      <c r="BTW14" s="2" t="n"/>
      <c r="BTX14" s="2" t="n"/>
      <c r="BTY14" s="2" t="n"/>
      <c r="BTZ14" s="2" t="n"/>
      <c r="BUA14" s="2" t="n"/>
      <c r="BUB14" s="2" t="n"/>
      <c r="BUC14" s="2" t="n"/>
      <c r="BUD14" s="2" t="n"/>
      <c r="BUE14" s="2" t="n"/>
      <c r="BUF14" s="2" t="n"/>
      <c r="BUG14" s="2" t="n"/>
      <c r="BUH14" s="2" t="n"/>
      <c r="BUI14" s="2" t="n"/>
      <c r="BUJ14" s="2" t="n"/>
      <c r="BUK14" s="2" t="n"/>
      <c r="BUL14" s="2" t="n"/>
      <c r="BUM14" s="2" t="n"/>
      <c r="BUN14" s="2" t="n"/>
      <c r="BUO14" s="2" t="n"/>
      <c r="BUP14" s="2" t="n"/>
      <c r="BUQ14" s="2" t="n"/>
      <c r="BUR14" s="2" t="n"/>
      <c r="BUS14" s="2" t="n"/>
      <c r="BUT14" s="2" t="n"/>
      <c r="BUU14" s="2" t="n"/>
      <c r="BUV14" s="2" t="n"/>
      <c r="BUW14" s="2" t="n"/>
      <c r="BUX14" s="2" t="n"/>
      <c r="BUY14" s="2" t="n"/>
      <c r="BUZ14" s="2" t="n"/>
      <c r="BVA14" s="2" t="n"/>
      <c r="BVB14" s="2" t="n"/>
      <c r="BVC14" s="2" t="n"/>
      <c r="BVD14" s="2" t="n"/>
      <c r="BVE14" s="2" t="n"/>
      <c r="BVF14" s="2" t="n"/>
      <c r="BVG14" s="2" t="n"/>
      <c r="BVH14" s="2" t="n"/>
      <c r="BVI14" s="2" t="n"/>
      <c r="BVJ14" s="2" t="n"/>
      <c r="BVK14" s="2" t="n"/>
      <c r="BVL14" s="2" t="n"/>
      <c r="BVM14" s="2" t="n"/>
      <c r="BVN14" s="2" t="n"/>
      <c r="BVO14" s="2" t="n"/>
      <c r="BVP14" s="2" t="n"/>
      <c r="BVQ14" s="2" t="n"/>
      <c r="BVR14" s="2" t="n"/>
      <c r="BVS14" s="2" t="n"/>
      <c r="BVT14" s="2" t="n"/>
      <c r="BVU14" s="2" t="n"/>
      <c r="BVV14" s="2" t="n"/>
      <c r="BVW14" s="2" t="n"/>
      <c r="BVX14" s="2" t="n"/>
      <c r="BVY14" s="2" t="n"/>
      <c r="BVZ14" s="2" t="n"/>
      <c r="BWA14" s="2" t="n"/>
      <c r="BWB14" s="2" t="n"/>
      <c r="BWC14" s="2" t="n"/>
      <c r="BWD14" s="2" t="n"/>
      <c r="BWE14" s="2" t="n"/>
      <c r="BWF14" s="2" t="n"/>
      <c r="BWG14" s="2" t="n"/>
      <c r="BWH14" s="2" t="n"/>
      <c r="BWI14" s="2" t="n"/>
      <c r="BWJ14" s="2" t="n"/>
      <c r="BWK14" s="2" t="n"/>
      <c r="BWL14" s="2" t="n"/>
      <c r="BWM14" s="2" t="n"/>
      <c r="BWN14" s="2" t="n"/>
      <c r="BWO14" s="2" t="n"/>
      <c r="BWP14" s="2" t="n"/>
      <c r="BWQ14" s="2" t="n"/>
      <c r="BWR14" s="2" t="n"/>
      <c r="BWS14" s="2" t="n"/>
      <c r="BWT14" s="2" t="n"/>
      <c r="BWU14" s="2" t="n"/>
      <c r="BWV14" s="2" t="n"/>
      <c r="BWW14" s="2" t="n"/>
      <c r="BWX14" s="2" t="n"/>
      <c r="BWY14" s="2" t="n"/>
      <c r="BWZ14" s="2" t="n"/>
      <c r="BXA14" s="2" t="n"/>
      <c r="BXB14" s="2" t="n"/>
      <c r="BXC14" s="2" t="n"/>
      <c r="BXD14" s="2" t="n"/>
      <c r="BXE14" s="2" t="n"/>
      <c r="BXF14" s="2" t="n"/>
      <c r="BXG14" s="2" t="n"/>
      <c r="BXH14" s="2" t="n"/>
      <c r="BXI14" s="2" t="n"/>
      <c r="BXJ14" s="2" t="n"/>
      <c r="BXK14" s="2" t="n"/>
      <c r="BXL14" s="2" t="n"/>
      <c r="BXM14" s="2" t="n"/>
      <c r="BXN14" s="2" t="n"/>
      <c r="BXO14" s="2" t="n"/>
      <c r="BXP14" s="2" t="n"/>
      <c r="BXQ14" s="2" t="n"/>
      <c r="BXR14" s="2" t="n"/>
      <c r="BXS14" s="2" t="n"/>
      <c r="BXT14" s="2" t="n"/>
      <c r="BXU14" s="2" t="n"/>
      <c r="BXV14" s="2" t="n"/>
      <c r="BXW14" s="2" t="n"/>
      <c r="BXX14" s="2" t="n"/>
      <c r="BXY14" s="2" t="n"/>
      <c r="BXZ14" s="2" t="n"/>
      <c r="BYA14" s="2" t="n"/>
      <c r="BYB14" s="2" t="n"/>
      <c r="BYC14" s="2" t="n"/>
      <c r="BYD14" s="2" t="n"/>
      <c r="BYE14" s="2" t="n"/>
      <c r="BYF14" s="2" t="n"/>
      <c r="BYG14" s="2" t="n"/>
      <c r="BYH14" s="2" t="n"/>
      <c r="BYI14" s="2" t="n"/>
      <c r="BYJ14" s="2" t="n"/>
      <c r="BYK14" s="2" t="n"/>
      <c r="BYL14" s="2" t="n"/>
      <c r="BYM14" s="2" t="n"/>
      <c r="BYN14" s="2" t="n"/>
      <c r="BYO14" s="2" t="n"/>
      <c r="BYP14" s="2" t="n"/>
      <c r="BYQ14" s="2" t="n"/>
      <c r="BYR14" s="2" t="n"/>
      <c r="BYS14" s="2" t="n"/>
      <c r="BYT14" s="2" t="n"/>
      <c r="BYU14" s="2" t="n"/>
      <c r="BYV14" s="2" t="n"/>
      <c r="BYW14" s="2" t="n"/>
      <c r="BYX14" s="2" t="n"/>
      <c r="BYY14" s="2" t="n"/>
      <c r="BYZ14" s="2" t="n"/>
      <c r="BZA14" s="2" t="n"/>
      <c r="BZB14" s="2" t="n"/>
      <c r="BZC14" s="2" t="n"/>
      <c r="BZD14" s="2" t="n"/>
      <c r="BZE14" s="2" t="n"/>
      <c r="BZF14" s="2" t="n"/>
      <c r="BZG14" s="2" t="n"/>
      <c r="BZH14" s="2" t="n"/>
      <c r="BZI14" s="2" t="n"/>
      <c r="BZJ14" s="2" t="n"/>
      <c r="BZK14" s="2" t="n"/>
      <c r="BZL14" s="2" t="n"/>
      <c r="BZM14" s="2" t="n"/>
      <c r="BZN14" s="2" t="n"/>
      <c r="BZO14" s="2" t="n"/>
      <c r="BZP14" s="2" t="n"/>
      <c r="BZQ14" s="2" t="n"/>
      <c r="BZR14" s="2" t="n"/>
      <c r="BZS14" s="2" t="n"/>
      <c r="BZT14" s="2" t="n"/>
      <c r="BZU14" s="2" t="n"/>
      <c r="BZV14" s="2" t="n"/>
      <c r="BZW14" s="2" t="n"/>
      <c r="BZX14" s="2" t="n"/>
      <c r="BZY14" s="2" t="n"/>
      <c r="BZZ14" s="2" t="n"/>
      <c r="CAA14" s="2" t="n"/>
      <c r="CAB14" s="2" t="n"/>
      <c r="CAC14" s="2" t="n"/>
      <c r="CAD14" s="2" t="n"/>
      <c r="CAE14" s="2" t="n"/>
      <c r="CAF14" s="2" t="n"/>
      <c r="CAG14" s="2" t="n"/>
      <c r="CAH14" s="2" t="n"/>
      <c r="CAI14" s="2" t="n"/>
      <c r="CAJ14" s="2" t="n"/>
      <c r="CAK14" s="2" t="n"/>
      <c r="CAL14" s="2" t="n"/>
      <c r="CAM14" s="2" t="n"/>
      <c r="CAN14" s="2" t="n"/>
      <c r="CAO14" s="2" t="n"/>
      <c r="CAP14" s="2" t="n"/>
      <c r="CAQ14" s="2" t="n"/>
      <c r="CAR14" s="2" t="n"/>
      <c r="CAS14" s="2" t="n"/>
      <c r="CAT14" s="2" t="n"/>
      <c r="CAU14" s="2" t="n"/>
      <c r="CAV14" s="2" t="n"/>
      <c r="CAW14" s="2" t="n"/>
      <c r="CAX14" s="2" t="n"/>
      <c r="CAY14" s="2" t="n"/>
      <c r="CAZ14" s="2" t="n"/>
      <c r="CBA14" s="2" t="n"/>
      <c r="CBB14" s="2" t="n"/>
      <c r="CBC14" s="2" t="n"/>
      <c r="CBD14" s="2" t="n"/>
      <c r="CBE14" s="2" t="n"/>
      <c r="CBF14" s="2" t="n"/>
      <c r="CBG14" s="2" t="n"/>
      <c r="CBH14" s="2" t="n"/>
      <c r="CBI14" s="2" t="n"/>
      <c r="CBJ14" s="2" t="n"/>
      <c r="CBK14" s="2" t="n"/>
      <c r="CBL14" s="2" t="n"/>
      <c r="CBM14" s="2" t="n"/>
      <c r="CBN14" s="2" t="n"/>
      <c r="CBO14" s="2" t="n"/>
      <c r="CBP14" s="2" t="n"/>
      <c r="CBQ14" s="2" t="n"/>
      <c r="CBR14" s="2" t="n"/>
      <c r="CBS14" s="2" t="n"/>
      <c r="CBT14" s="2" t="n"/>
      <c r="CBU14" s="2" t="n"/>
      <c r="CBV14" s="2" t="n"/>
      <c r="CBW14" s="2" t="n"/>
      <c r="CBX14" s="2" t="n"/>
      <c r="CBY14" s="2" t="n"/>
      <c r="CBZ14" s="2" t="n"/>
      <c r="CCA14" s="2" t="n"/>
      <c r="CCB14" s="2" t="n"/>
      <c r="CCC14" s="2" t="n"/>
      <c r="CCD14" s="2" t="n"/>
      <c r="CCE14" s="2" t="n"/>
      <c r="CCF14" s="2" t="n"/>
      <c r="CCG14" s="2" t="n"/>
      <c r="CCH14" s="2" t="n"/>
      <c r="CCI14" s="2" t="n"/>
      <c r="CCJ14" s="2" t="n"/>
      <c r="CCK14" s="2" t="n"/>
      <c r="CCL14" s="2" t="n"/>
      <c r="CCM14" s="2" t="n"/>
      <c r="CCN14" s="2" t="n"/>
      <c r="CCO14" s="2" t="n"/>
      <c r="CCP14" s="2" t="n"/>
      <c r="CCQ14" s="2" t="n"/>
      <c r="CCR14" s="2" t="n"/>
      <c r="CCS14" s="2" t="n"/>
      <c r="CCT14" s="2" t="n"/>
      <c r="CCU14" s="2" t="n"/>
      <c r="CCV14" s="2" t="n"/>
      <c r="CCW14" s="2" t="n"/>
      <c r="CCX14" s="2" t="n"/>
      <c r="CCY14" s="2" t="n"/>
      <c r="CCZ14" s="2" t="n"/>
      <c r="CDA14" s="2" t="n"/>
      <c r="CDB14" s="2" t="n"/>
      <c r="CDC14" s="2" t="n"/>
      <c r="CDD14" s="2" t="n"/>
      <c r="CDE14" s="2" t="n"/>
      <c r="CDF14" s="2" t="n"/>
      <c r="CDG14" s="2" t="n"/>
      <c r="CDH14" s="2" t="n"/>
      <c r="CDI14" s="2" t="n"/>
      <c r="CDJ14" s="2" t="n"/>
      <c r="CDK14" s="2" t="n"/>
      <c r="CDL14" s="2" t="n"/>
      <c r="CDM14" s="2" t="n"/>
      <c r="CDN14" s="2" t="n"/>
      <c r="CDO14" s="2" t="n"/>
      <c r="CDP14" s="2" t="n"/>
      <c r="CDQ14" s="2" t="n"/>
      <c r="CDR14" s="2" t="n"/>
      <c r="CDS14" s="2" t="n"/>
      <c r="CDT14" s="2" t="n"/>
      <c r="CDU14" s="2" t="n"/>
      <c r="CDV14" s="2" t="n"/>
      <c r="CDW14" s="2" t="n"/>
      <c r="CDX14" s="2" t="n"/>
      <c r="CDY14" s="2" t="n"/>
      <c r="CDZ14" s="2" t="n"/>
      <c r="CEA14" s="2" t="n"/>
      <c r="CEB14" s="2" t="n"/>
      <c r="CEC14" s="2" t="n"/>
      <c r="CED14" s="2" t="n"/>
      <c r="CEE14" s="2" t="n"/>
      <c r="CEF14" s="2" t="n"/>
      <c r="CEG14" s="2" t="n"/>
      <c r="CEH14" s="2" t="n"/>
      <c r="CEI14" s="2" t="n"/>
      <c r="CEJ14" s="2" t="n"/>
      <c r="CEK14" s="2" t="n"/>
      <c r="CEL14" s="2" t="n"/>
      <c r="CEM14" s="2" t="n"/>
      <c r="CEN14" s="2" t="n"/>
      <c r="CEO14" s="2" t="n"/>
      <c r="CEP14" s="2" t="n"/>
      <c r="CEQ14" s="2" t="n"/>
      <c r="CER14" s="2" t="n"/>
      <c r="CES14" s="2" t="n"/>
      <c r="CET14" s="2" t="n"/>
      <c r="CEU14" s="2" t="n"/>
      <c r="CEV14" s="2" t="n"/>
      <c r="CEW14" s="2" t="n"/>
      <c r="CEX14" s="2" t="n"/>
      <c r="CEY14" s="2" t="n"/>
      <c r="CEZ14" s="2" t="n"/>
      <c r="CFA14" s="2" t="n"/>
      <c r="CFB14" s="2" t="n"/>
      <c r="CFC14" s="2" t="n"/>
      <c r="CFD14" s="2" t="n"/>
      <c r="CFE14" s="2" t="n"/>
      <c r="CFF14" s="2" t="n"/>
      <c r="CFG14" s="2" t="n"/>
      <c r="CFH14" s="2" t="n"/>
      <c r="CFI14" s="2" t="n"/>
      <c r="CFJ14" s="2" t="n"/>
      <c r="CFK14" s="2" t="n"/>
      <c r="CFL14" s="2" t="n"/>
      <c r="CFM14" s="2" t="n"/>
      <c r="CFN14" s="2" t="n"/>
      <c r="CFO14" s="2" t="n"/>
      <c r="CFP14" s="2" t="n"/>
      <c r="CFQ14" s="2" t="n"/>
      <c r="CFR14" s="2" t="n"/>
      <c r="CFS14" s="2" t="n"/>
      <c r="CFT14" s="2" t="n"/>
      <c r="CFU14" s="2" t="n"/>
      <c r="CFV14" s="2" t="n"/>
      <c r="CFW14" s="2" t="n"/>
      <c r="CFX14" s="2" t="n"/>
      <c r="CFY14" s="2" t="n"/>
      <c r="CFZ14" s="2" t="n"/>
      <c r="CGA14" s="2" t="n"/>
      <c r="CGB14" s="2" t="n"/>
      <c r="CGC14" s="2" t="n"/>
      <c r="CGD14" s="2" t="n"/>
      <c r="CGE14" s="2" t="n"/>
      <c r="CGF14" s="2" t="n"/>
      <c r="CGG14" s="2" t="n"/>
      <c r="CGH14" s="2" t="n"/>
      <c r="CGI14" s="2" t="n"/>
      <c r="CGJ14" s="2" t="n"/>
      <c r="CGK14" s="2" t="n"/>
      <c r="CGL14" s="2" t="n"/>
      <c r="CGM14" s="2" t="n"/>
      <c r="CGN14" s="2" t="n"/>
      <c r="CGO14" s="2" t="n"/>
      <c r="CGP14" s="2" t="n"/>
      <c r="CGQ14" s="2" t="n"/>
      <c r="CGR14" s="2" t="n"/>
      <c r="CGS14" s="2" t="n"/>
      <c r="CGT14" s="2" t="n"/>
      <c r="CGU14" s="2" t="n"/>
      <c r="CGV14" s="2" t="n"/>
      <c r="CGW14" s="2" t="n"/>
      <c r="CGX14" s="2" t="n"/>
      <c r="CGY14" s="2" t="n"/>
      <c r="CGZ14" s="2" t="n"/>
      <c r="CHA14" s="2" t="n"/>
      <c r="CHB14" s="2" t="n"/>
      <c r="CHC14" s="2" t="n"/>
      <c r="CHD14" s="2" t="n"/>
      <c r="CHE14" s="2" t="n"/>
      <c r="CHF14" s="2" t="n"/>
      <c r="CHG14" s="2" t="n"/>
      <c r="CHH14" s="2" t="n"/>
      <c r="CHI14" s="2" t="n"/>
      <c r="CHJ14" s="2" t="n"/>
      <c r="CHK14" s="2" t="n"/>
      <c r="CHL14" s="2" t="n"/>
      <c r="CHM14" s="2" t="n"/>
      <c r="CHN14" s="2" t="n"/>
      <c r="CHO14" s="2" t="n"/>
      <c r="CHP14" s="2" t="n"/>
      <c r="CHQ14" s="2" t="n"/>
      <c r="CHR14" s="2" t="n"/>
      <c r="CHS14" s="2" t="n"/>
      <c r="CHT14" s="2" t="n"/>
      <c r="CHU14" s="2" t="n"/>
      <c r="CHV14" s="2" t="n"/>
      <c r="CHW14" s="2" t="n"/>
      <c r="CHX14" s="2" t="n"/>
      <c r="CHY14" s="2" t="n"/>
      <c r="CHZ14" s="2" t="n"/>
      <c r="CIA14" s="2" t="n"/>
      <c r="CIB14" s="2" t="n"/>
      <c r="CIC14" s="2" t="n"/>
      <c r="CID14" s="2" t="n"/>
      <c r="CIE14" s="2" t="n"/>
      <c r="CIF14" s="2" t="n"/>
      <c r="CIG14" s="2" t="n"/>
      <c r="CIH14" s="2" t="n"/>
      <c r="CII14" s="2" t="n"/>
      <c r="CIJ14" s="2" t="n"/>
      <c r="CIK14" s="2" t="n"/>
      <c r="CIL14" s="2" t="n"/>
      <c r="CIM14" s="2" t="n"/>
      <c r="CIN14" s="2" t="n"/>
      <c r="CIO14" s="2" t="n"/>
      <c r="CIP14" s="2" t="n"/>
      <c r="CIQ14" s="2" t="n"/>
      <c r="CIR14" s="2" t="n"/>
      <c r="CIS14" s="2" t="n"/>
      <c r="CIT14" s="2" t="n"/>
      <c r="CIU14" s="2" t="n"/>
      <c r="CIV14" s="2" t="n"/>
      <c r="CIW14" s="2" t="n"/>
      <c r="CIX14" s="2" t="n"/>
      <c r="CIY14" s="2" t="n"/>
      <c r="CIZ14" s="2" t="n"/>
      <c r="CJA14" s="2" t="n"/>
      <c r="CJB14" s="2" t="n"/>
      <c r="CJC14" s="2" t="n"/>
      <c r="CJD14" s="2" t="n"/>
      <c r="CJE14" s="2" t="n"/>
      <c r="CJF14" s="2" t="n"/>
      <c r="CJG14" s="2" t="n"/>
      <c r="CJH14" s="2" t="n"/>
      <c r="CJI14" s="2" t="n"/>
      <c r="CJJ14" s="2" t="n"/>
      <c r="CJK14" s="2" t="n"/>
      <c r="CJL14" s="2" t="n"/>
      <c r="CJM14" s="2" t="n"/>
      <c r="CJN14" s="2" t="n"/>
      <c r="CJO14" s="2" t="n"/>
      <c r="CJP14" s="2" t="n"/>
      <c r="CJQ14" s="2" t="n"/>
      <c r="CJR14" s="2" t="n"/>
      <c r="CJS14" s="2" t="n"/>
      <c r="CJT14" s="2" t="n"/>
      <c r="CJU14" s="2" t="n"/>
      <c r="CJV14" s="2" t="n"/>
      <c r="CJW14" s="2" t="n"/>
      <c r="CJX14" s="2" t="n"/>
      <c r="CJY14" s="2" t="n"/>
      <c r="CJZ14" s="2" t="n"/>
      <c r="CKA14" s="2" t="n"/>
      <c r="CKB14" s="2" t="n"/>
      <c r="CKC14" s="2" t="n"/>
      <c r="CKD14" s="2" t="n"/>
      <c r="CKE14" s="2" t="n"/>
      <c r="CKF14" s="2" t="n"/>
      <c r="CKG14" s="2" t="n"/>
      <c r="CKH14" s="2" t="n"/>
      <c r="CKI14" s="2" t="n"/>
      <c r="CKJ14" s="2" t="n"/>
      <c r="CKK14" s="2" t="n"/>
      <c r="CKL14" s="2" t="n"/>
      <c r="CKM14" s="2" t="n"/>
      <c r="CKN14" s="2" t="n"/>
      <c r="CKO14" s="2" t="n"/>
      <c r="CKP14" s="2" t="n"/>
      <c r="CKQ14" s="2" t="n"/>
      <c r="CKR14" s="2" t="n"/>
      <c r="CKS14" s="2" t="n"/>
      <c r="CKT14" s="2" t="n"/>
      <c r="CKU14" s="2" t="n"/>
      <c r="CKV14" s="2" t="n"/>
      <c r="CKW14" s="2" t="n"/>
      <c r="CKX14" s="2" t="n"/>
      <c r="CKY14" s="2" t="n"/>
      <c r="CKZ14" s="2" t="n"/>
      <c r="CLA14" s="2" t="n"/>
      <c r="CLB14" s="2" t="n"/>
      <c r="CLC14" s="2" t="n"/>
      <c r="CLD14" s="2" t="n"/>
      <c r="CLE14" s="2" t="n"/>
      <c r="CLF14" s="2" t="n"/>
      <c r="CLG14" s="2" t="n"/>
      <c r="CLH14" s="2" t="n"/>
      <c r="CLI14" s="2" t="n"/>
      <c r="CLJ14" s="2" t="n"/>
      <c r="CLK14" s="2" t="n"/>
      <c r="CLL14" s="2" t="n"/>
      <c r="CLM14" s="2" t="n"/>
      <c r="CLN14" s="2" t="n"/>
      <c r="CLO14" s="2" t="n"/>
      <c r="CLP14" s="2" t="n"/>
      <c r="CLQ14" s="2" t="n"/>
      <c r="CLR14" s="2" t="n"/>
      <c r="CLS14" s="2" t="n"/>
      <c r="CLT14" s="2" t="n"/>
      <c r="CLU14" s="2" t="n"/>
      <c r="CLV14" s="2" t="n"/>
      <c r="CLW14" s="2" t="n"/>
      <c r="CLX14" s="2" t="n"/>
      <c r="CLY14" s="2" t="n"/>
      <c r="CLZ14" s="2" t="n"/>
      <c r="CMA14" s="2" t="n"/>
      <c r="CMB14" s="2" t="n"/>
      <c r="CMC14" s="2" t="n"/>
      <c r="CMD14" s="2" t="n"/>
      <c r="CME14" s="2" t="n"/>
      <c r="CMF14" s="2" t="n"/>
      <c r="CMG14" s="2" t="n"/>
      <c r="CMH14" s="2" t="n"/>
      <c r="CMI14" s="2" t="n"/>
      <c r="CMJ14" s="2" t="n"/>
      <c r="CMK14" s="2" t="n"/>
      <c r="CML14" s="2" t="n"/>
      <c r="CMM14" s="2" t="n"/>
      <c r="CMN14" s="2" t="n"/>
      <c r="CMO14" s="2" t="n"/>
      <c r="CMP14" s="2" t="n"/>
      <c r="CMQ14" s="2" t="n"/>
      <c r="CMR14" s="2" t="n"/>
      <c r="CMS14" s="2" t="n"/>
      <c r="CMT14" s="2" t="n"/>
      <c r="CMU14" s="2" t="n"/>
      <c r="CMV14" s="2" t="n"/>
      <c r="CMW14" s="2" t="n"/>
      <c r="CMX14" s="2" t="n"/>
      <c r="CMY14" s="2" t="n"/>
      <c r="CMZ14" s="2" t="n"/>
      <c r="CNA14" s="2" t="n"/>
      <c r="CNB14" s="2" t="n"/>
      <c r="CNC14" s="2" t="n"/>
      <c r="CND14" s="2" t="n"/>
      <c r="CNE14" s="2" t="n"/>
      <c r="CNF14" s="2" t="n"/>
      <c r="CNG14" s="2" t="n"/>
      <c r="CNH14" s="2" t="n"/>
      <c r="CNI14" s="2" t="n"/>
      <c r="CNJ14" s="2" t="n"/>
      <c r="CNK14" s="2" t="n"/>
      <c r="CNL14" s="2" t="n"/>
      <c r="CNM14" s="2" t="n"/>
      <c r="CNN14" s="2" t="n"/>
      <c r="CNO14" s="2" t="n"/>
      <c r="CNP14" s="2" t="n"/>
      <c r="CNQ14" s="2" t="n"/>
      <c r="CNR14" s="2" t="n"/>
      <c r="CNS14" s="2" t="n"/>
      <c r="CNT14" s="2" t="n"/>
      <c r="CNU14" s="2" t="n"/>
      <c r="CNV14" s="2" t="n"/>
      <c r="CNW14" s="2" t="n"/>
      <c r="CNX14" s="2" t="n"/>
      <c r="CNY14" s="2" t="n"/>
      <c r="CNZ14" s="2" t="n"/>
      <c r="COA14" s="2" t="n"/>
      <c r="COB14" s="2" t="n"/>
      <c r="COC14" s="2" t="n"/>
      <c r="COD14" s="2" t="n"/>
      <c r="COE14" s="2" t="n"/>
      <c r="COF14" s="2" t="n"/>
      <c r="COG14" s="2" t="n"/>
      <c r="COH14" s="2" t="n"/>
      <c r="COI14" s="2" t="n"/>
      <c r="COJ14" s="2" t="n"/>
      <c r="COK14" s="2" t="n"/>
      <c r="COL14" s="2" t="n"/>
      <c r="COM14" s="2" t="n"/>
      <c r="CON14" s="2" t="n"/>
      <c r="COO14" s="2" t="n"/>
      <c r="COP14" s="2" t="n"/>
      <c r="COQ14" s="2" t="n"/>
      <c r="COR14" s="2" t="n"/>
      <c r="COS14" s="2" t="n"/>
      <c r="COT14" s="2" t="n"/>
      <c r="COU14" s="2" t="n"/>
      <c r="COV14" s="2" t="n"/>
      <c r="COW14" s="2" t="n"/>
      <c r="COX14" s="2" t="n"/>
      <c r="COY14" s="2" t="n"/>
      <c r="COZ14" s="2" t="n"/>
      <c r="CPA14" s="2" t="n"/>
      <c r="CPB14" s="2" t="n"/>
      <c r="CPC14" s="2" t="n"/>
      <c r="CPD14" s="2" t="n"/>
      <c r="CPE14" s="2" t="n"/>
      <c r="CPF14" s="2" t="n"/>
      <c r="CPG14" s="2" t="n"/>
      <c r="CPH14" s="2" t="n"/>
      <c r="CPI14" s="2" t="n"/>
      <c r="CPJ14" s="2" t="n"/>
      <c r="CPK14" s="2" t="n"/>
      <c r="CPL14" s="2" t="n"/>
      <c r="CPM14" s="2" t="n"/>
      <c r="CPN14" s="2" t="n"/>
      <c r="CPO14" s="2" t="n"/>
      <c r="CPP14" s="2" t="n"/>
      <c r="CPQ14" s="2" t="n"/>
      <c r="CPR14" s="2" t="n"/>
      <c r="CPS14" s="2" t="n"/>
      <c r="CPT14" s="2" t="n"/>
      <c r="CPU14" s="2" t="n"/>
      <c r="CPV14" s="2" t="n"/>
      <c r="CPW14" s="2" t="n"/>
      <c r="CPX14" s="2" t="n"/>
      <c r="CPY14" s="2" t="n"/>
      <c r="CPZ14" s="2" t="n"/>
      <c r="CQA14" s="2" t="n"/>
      <c r="CQB14" s="2" t="n"/>
      <c r="CQC14" s="2" t="n"/>
      <c r="CQD14" s="2" t="n"/>
      <c r="CQE14" s="2" t="n"/>
      <c r="CQF14" s="2" t="n"/>
      <c r="CQG14" s="2" t="n"/>
      <c r="CQH14" s="2" t="n"/>
      <c r="CQI14" s="2" t="n"/>
      <c r="CQJ14" s="2" t="n"/>
      <c r="CQK14" s="2" t="n"/>
      <c r="CQL14" s="2" t="n"/>
      <c r="CQM14" s="2" t="n"/>
      <c r="CQN14" s="2" t="n"/>
      <c r="CQO14" s="2" t="n"/>
      <c r="CQP14" s="2" t="n"/>
      <c r="CQQ14" s="2" t="n"/>
      <c r="CQR14" s="2" t="n"/>
      <c r="CQS14" s="2" t="n"/>
      <c r="CQT14" s="2" t="n"/>
      <c r="CQU14" s="2" t="n"/>
      <c r="CQV14" s="2" t="n"/>
      <c r="CQW14" s="2" t="n"/>
      <c r="CQX14" s="2" t="n"/>
      <c r="CQY14" s="2" t="n"/>
      <c r="CQZ14" s="2" t="n"/>
      <c r="CRA14" s="2" t="n"/>
      <c r="CRB14" s="2" t="n"/>
      <c r="CRC14" s="2" t="n"/>
      <c r="CRD14" s="2" t="n"/>
      <c r="CRE14" s="2" t="n"/>
      <c r="CRF14" s="2" t="n"/>
      <c r="CRG14" s="2" t="n"/>
      <c r="CRH14" s="2" t="n"/>
      <c r="CRI14" s="2" t="n"/>
      <c r="CRJ14" s="2" t="n"/>
      <c r="CRK14" s="2" t="n"/>
      <c r="CRL14" s="2" t="n"/>
      <c r="CRM14" s="2" t="n"/>
      <c r="CRN14" s="2" t="n"/>
      <c r="CRO14" s="2" t="n"/>
      <c r="CRP14" s="2" t="n"/>
      <c r="CRQ14" s="2" t="n"/>
      <c r="CRR14" s="2" t="n"/>
      <c r="CRS14" s="2" t="n"/>
      <c r="CRT14" s="2" t="n"/>
      <c r="CRU14" s="2" t="n"/>
      <c r="CRV14" s="2" t="n"/>
      <c r="CRW14" s="2" t="n"/>
      <c r="CRX14" s="2" t="n"/>
      <c r="CRY14" s="2" t="n"/>
      <c r="CRZ14" s="2" t="n"/>
      <c r="CSA14" s="2" t="n"/>
      <c r="CSB14" s="2" t="n"/>
      <c r="CSC14" s="2" t="n"/>
      <c r="CSD14" s="2" t="n"/>
      <c r="CSE14" s="2" t="n"/>
      <c r="CSF14" s="2" t="n"/>
      <c r="CSG14" s="2" t="n"/>
      <c r="CSH14" s="2" t="n"/>
      <c r="CSI14" s="2" t="n"/>
      <c r="CSJ14" s="2" t="n"/>
      <c r="CSK14" s="2" t="n"/>
      <c r="CSL14" s="2" t="n"/>
      <c r="CSM14" s="2" t="n"/>
      <c r="CSN14" s="2" t="n"/>
      <c r="CSO14" s="2" t="n"/>
      <c r="CSP14" s="2" t="n"/>
      <c r="CSQ14" s="2" t="n"/>
      <c r="CSR14" s="2" t="n"/>
      <c r="CSS14" s="2" t="n"/>
      <c r="CST14" s="2" t="n"/>
      <c r="CSU14" s="2" t="n"/>
      <c r="CSV14" s="2" t="n"/>
      <c r="CSW14" s="2" t="n"/>
      <c r="CSX14" s="2" t="n"/>
      <c r="CSY14" s="2" t="n"/>
      <c r="CSZ14" s="2" t="n"/>
      <c r="CTA14" s="2" t="n"/>
      <c r="CTB14" s="2" t="n"/>
      <c r="CTC14" s="2" t="n"/>
      <c r="CTD14" s="2" t="n"/>
      <c r="CTE14" s="2" t="n"/>
      <c r="CTF14" s="2" t="n"/>
      <c r="CTG14" s="2" t="n"/>
      <c r="CTH14" s="2" t="n"/>
      <c r="CTI14" s="2" t="n"/>
      <c r="CTJ14" s="2" t="n"/>
      <c r="CTK14" s="2" t="n"/>
      <c r="CTL14" s="2" t="n"/>
      <c r="CTM14" s="2" t="n"/>
      <c r="CTN14" s="2" t="n"/>
      <c r="CTO14" s="2" t="n"/>
      <c r="CTP14" s="2" t="n"/>
      <c r="CTQ14" s="2" t="n"/>
      <c r="CTR14" s="2" t="n"/>
      <c r="CTS14" s="2" t="n"/>
      <c r="CTT14" s="2" t="n"/>
      <c r="CTU14" s="2" t="n"/>
      <c r="CTV14" s="2" t="n"/>
      <c r="CTW14" s="2" t="n"/>
      <c r="CTX14" s="2" t="n"/>
      <c r="CTY14" s="2" t="n"/>
      <c r="CTZ14" s="2" t="n"/>
      <c r="CUA14" s="2" t="n"/>
      <c r="CUB14" s="2" t="n"/>
      <c r="CUC14" s="2" t="n"/>
      <c r="CUD14" s="2" t="n"/>
      <c r="CUE14" s="2" t="n"/>
      <c r="CUF14" s="2" t="n"/>
      <c r="CUG14" s="2" t="n"/>
      <c r="CUH14" s="2" t="n"/>
      <c r="CUI14" s="2" t="n"/>
      <c r="CUJ14" s="2" t="n"/>
      <c r="CUK14" s="2" t="n"/>
      <c r="CUL14" s="2" t="n"/>
      <c r="CUM14" s="2" t="n"/>
      <c r="CUN14" s="2" t="n"/>
      <c r="CUO14" s="2" t="n"/>
      <c r="CUP14" s="2" t="n"/>
      <c r="CUQ14" s="2" t="n"/>
      <c r="CUR14" s="2" t="n"/>
      <c r="CUS14" s="2" t="n"/>
      <c r="CUT14" s="2" t="n"/>
      <c r="CUU14" s="2" t="n"/>
      <c r="CUV14" s="2" t="n"/>
      <c r="CUW14" s="2" t="n"/>
      <c r="CUX14" s="2" t="n"/>
      <c r="CUY14" s="2" t="n"/>
      <c r="CUZ14" s="2" t="n"/>
      <c r="CVA14" s="2" t="n"/>
      <c r="CVB14" s="2" t="n"/>
      <c r="CVC14" s="2" t="n"/>
      <c r="CVD14" s="2" t="n"/>
      <c r="CVE14" s="2" t="n"/>
      <c r="CVF14" s="2" t="n"/>
      <c r="CVG14" s="2" t="n"/>
      <c r="CVH14" s="2" t="n"/>
      <c r="CVI14" s="2" t="n"/>
      <c r="CVJ14" s="2" t="n"/>
      <c r="CVK14" s="2" t="n"/>
      <c r="CVL14" s="2" t="n"/>
      <c r="CVM14" s="2" t="n"/>
      <c r="CVN14" s="2" t="n"/>
      <c r="CVO14" s="2" t="n"/>
      <c r="CVP14" s="2" t="n"/>
      <c r="CVQ14" s="2" t="n"/>
      <c r="CVR14" s="2" t="n"/>
      <c r="CVS14" s="2" t="n"/>
      <c r="CVT14" s="2" t="n"/>
      <c r="CVU14" s="2" t="n"/>
      <c r="CVV14" s="2" t="n"/>
      <c r="CVW14" s="2" t="n"/>
      <c r="CVX14" s="2" t="n"/>
      <c r="CVY14" s="2" t="n"/>
      <c r="CVZ14" s="2" t="n"/>
      <c r="CWA14" s="2" t="n"/>
      <c r="CWB14" s="2" t="n"/>
      <c r="CWC14" s="2" t="n"/>
      <c r="CWD14" s="2" t="n"/>
      <c r="CWE14" s="2" t="n"/>
      <c r="CWF14" s="2" t="n"/>
      <c r="CWG14" s="2" t="n"/>
      <c r="CWH14" s="2" t="n"/>
      <c r="CWI14" s="2" t="n"/>
      <c r="CWJ14" s="2" t="n"/>
      <c r="CWK14" s="2" t="n"/>
      <c r="CWL14" s="2" t="n"/>
      <c r="CWM14" s="2" t="n"/>
      <c r="CWN14" s="2" t="n"/>
      <c r="CWO14" s="2" t="n"/>
      <c r="CWP14" s="2" t="n"/>
      <c r="CWQ14" s="2" t="n"/>
      <c r="CWR14" s="2" t="n"/>
      <c r="CWS14" s="2" t="n"/>
      <c r="CWT14" s="2" t="n"/>
      <c r="CWU14" s="2" t="n"/>
      <c r="CWV14" s="2" t="n"/>
      <c r="CWW14" s="2" t="n"/>
      <c r="CWX14" s="2" t="n"/>
      <c r="CWY14" s="2" t="n"/>
      <c r="CWZ14" s="2" t="n"/>
      <c r="CXA14" s="2" t="n"/>
      <c r="CXB14" s="2" t="n"/>
      <c r="CXC14" s="2" t="n"/>
      <c r="CXD14" s="2" t="n"/>
      <c r="CXE14" s="2" t="n"/>
      <c r="CXF14" s="2" t="n"/>
      <c r="CXG14" s="2" t="n"/>
      <c r="CXH14" s="2" t="n"/>
      <c r="CXI14" s="2" t="n"/>
      <c r="CXJ14" s="2" t="n"/>
      <c r="CXK14" s="2" t="n"/>
      <c r="CXL14" s="2" t="n"/>
      <c r="CXM14" s="2" t="n"/>
      <c r="CXN14" s="2" t="n"/>
      <c r="CXO14" s="2" t="n"/>
      <c r="CXP14" s="2" t="n"/>
      <c r="CXQ14" s="2" t="n"/>
      <c r="CXR14" s="2" t="n"/>
      <c r="CXS14" s="2" t="n"/>
      <c r="CXT14" s="2" t="n"/>
      <c r="CXU14" s="2" t="n"/>
      <c r="CXV14" s="2" t="n"/>
      <c r="CXW14" s="2" t="n"/>
      <c r="CXX14" s="2" t="n"/>
      <c r="CXY14" s="2" t="n"/>
      <c r="CXZ14" s="2" t="n"/>
      <c r="CYA14" s="2" t="n"/>
      <c r="CYB14" s="2" t="n"/>
      <c r="CYC14" s="2" t="n"/>
      <c r="CYD14" s="2" t="n"/>
      <c r="CYE14" s="2" t="n"/>
      <c r="CYF14" s="2" t="n"/>
      <c r="CYG14" s="2" t="n"/>
      <c r="CYH14" s="2" t="n"/>
      <c r="CYI14" s="2" t="n"/>
      <c r="CYJ14" s="2" t="n"/>
      <c r="CYK14" s="2" t="n"/>
      <c r="CYL14" s="2" t="n"/>
      <c r="CYM14" s="2" t="n"/>
      <c r="CYN14" s="2" t="n"/>
      <c r="CYO14" s="2" t="n"/>
      <c r="CYP14" s="2" t="n"/>
      <c r="CYQ14" s="2" t="n"/>
      <c r="CYR14" s="2" t="n"/>
      <c r="CYS14" s="2" t="n"/>
      <c r="CYT14" s="2" t="n"/>
      <c r="CYU14" s="2" t="n"/>
      <c r="CYV14" s="2" t="n"/>
      <c r="CYW14" s="2" t="n"/>
      <c r="CYX14" s="2" t="n"/>
      <c r="CYY14" s="2" t="n"/>
      <c r="CYZ14" s="2" t="n"/>
      <c r="CZA14" s="2" t="n"/>
      <c r="CZB14" s="2" t="n"/>
      <c r="CZC14" s="2" t="n"/>
      <c r="CZD14" s="2" t="n"/>
      <c r="CZE14" s="2" t="n"/>
      <c r="CZF14" s="2" t="n"/>
      <c r="CZG14" s="2" t="n"/>
      <c r="CZH14" s="2" t="n"/>
      <c r="CZI14" s="2" t="n"/>
      <c r="CZJ14" s="2" t="n"/>
      <c r="CZK14" s="2" t="n"/>
      <c r="CZL14" s="2" t="n"/>
      <c r="CZM14" s="2" t="n"/>
      <c r="CZN14" s="2" t="n"/>
      <c r="CZO14" s="2" t="n"/>
      <c r="CZP14" s="2" t="n"/>
      <c r="CZQ14" s="2" t="n"/>
      <c r="CZR14" s="2" t="n"/>
      <c r="CZS14" s="2" t="n"/>
      <c r="CZT14" s="2" t="n"/>
      <c r="CZU14" s="2" t="n"/>
      <c r="CZV14" s="2" t="n"/>
      <c r="CZW14" s="2" t="n"/>
      <c r="CZX14" s="2" t="n"/>
      <c r="CZY14" s="2" t="n"/>
      <c r="CZZ14" s="2" t="n"/>
      <c r="DAA14" s="2" t="n"/>
      <c r="DAB14" s="2" t="n"/>
      <c r="DAC14" s="2" t="n"/>
      <c r="DAD14" s="2" t="n"/>
      <c r="DAE14" s="2" t="n"/>
      <c r="DAF14" s="2" t="n"/>
      <c r="DAG14" s="2" t="n"/>
      <c r="DAH14" s="2" t="n"/>
      <c r="DAI14" s="2" t="n"/>
      <c r="DAJ14" s="2" t="n"/>
      <c r="DAK14" s="2" t="n"/>
      <c r="DAL14" s="2" t="n"/>
      <c r="DAM14" s="2" t="n"/>
      <c r="DAN14" s="2" t="n"/>
      <c r="DAO14" s="2" t="n"/>
      <c r="DAP14" s="2" t="n"/>
      <c r="DAQ14" s="2" t="n"/>
      <c r="DAR14" s="2" t="n"/>
      <c r="DAS14" s="2" t="n"/>
      <c r="DAT14" s="2" t="n"/>
      <c r="DAU14" s="2" t="n"/>
      <c r="DAV14" s="2" t="n"/>
      <c r="DAW14" s="2" t="n"/>
      <c r="DAX14" s="2" t="n"/>
      <c r="DAY14" s="2" t="n"/>
      <c r="DAZ14" s="2" t="n"/>
      <c r="DBA14" s="2" t="n"/>
      <c r="DBB14" s="2" t="n"/>
      <c r="DBC14" s="2" t="n"/>
      <c r="DBD14" s="2" t="n"/>
      <c r="DBE14" s="2" t="n"/>
      <c r="DBF14" s="2" t="n"/>
      <c r="DBG14" s="2" t="n"/>
      <c r="DBH14" s="2" t="n"/>
      <c r="DBI14" s="2" t="n"/>
      <c r="DBJ14" s="2" t="n"/>
      <c r="DBK14" s="2" t="n"/>
      <c r="DBL14" s="2" t="n"/>
      <c r="DBM14" s="2" t="n"/>
      <c r="DBN14" s="2" t="n"/>
      <c r="DBO14" s="2" t="n"/>
      <c r="DBP14" s="2" t="n"/>
      <c r="DBQ14" s="2" t="n"/>
      <c r="DBR14" s="2" t="n"/>
      <c r="DBS14" s="2" t="n"/>
      <c r="DBT14" s="2" t="n"/>
      <c r="DBU14" s="2" t="n"/>
      <c r="DBV14" s="2" t="n"/>
      <c r="DBW14" s="2" t="n"/>
      <c r="DBX14" s="2" t="n"/>
      <c r="DBY14" s="2" t="n"/>
      <c r="DBZ14" s="2" t="n"/>
      <c r="DCA14" s="2" t="n"/>
      <c r="DCB14" s="2" t="n"/>
      <c r="DCC14" s="2" t="n"/>
      <c r="DCD14" s="2" t="n"/>
      <c r="DCE14" s="2" t="n"/>
      <c r="DCF14" s="2" t="n"/>
      <c r="DCG14" s="2" t="n"/>
      <c r="DCH14" s="2" t="n"/>
      <c r="DCI14" s="2" t="n"/>
      <c r="DCJ14" s="2" t="n"/>
      <c r="DCK14" s="2" t="n"/>
      <c r="DCL14" s="2" t="n"/>
      <c r="DCM14" s="2" t="n"/>
      <c r="DCN14" s="2" t="n"/>
      <c r="DCO14" s="2" t="n"/>
      <c r="DCP14" s="2" t="n"/>
      <c r="DCQ14" s="2" t="n"/>
      <c r="DCR14" s="2" t="n"/>
      <c r="DCS14" s="2" t="n"/>
      <c r="DCT14" s="2" t="n"/>
      <c r="DCU14" s="2" t="n"/>
      <c r="DCV14" s="2" t="n"/>
      <c r="DCW14" s="2" t="n"/>
      <c r="DCX14" s="2" t="n"/>
      <c r="DCY14" s="2" t="n"/>
      <c r="DCZ14" s="2" t="n"/>
      <c r="DDA14" s="2" t="n"/>
      <c r="DDB14" s="2" t="n"/>
      <c r="DDC14" s="2" t="n"/>
      <c r="DDD14" s="2" t="n"/>
      <c r="DDE14" s="2" t="n"/>
      <c r="DDF14" s="2" t="n"/>
      <c r="DDG14" s="2" t="n"/>
      <c r="DDH14" s="2" t="n"/>
      <c r="DDI14" s="2" t="n"/>
      <c r="DDJ14" s="2" t="n"/>
      <c r="DDK14" s="2" t="n"/>
      <c r="DDL14" s="2" t="n"/>
      <c r="DDM14" s="2" t="n"/>
      <c r="DDN14" s="2" t="n"/>
      <c r="DDO14" s="2" t="n"/>
      <c r="DDP14" s="2" t="n"/>
      <c r="DDQ14" s="2" t="n"/>
      <c r="DDR14" s="2" t="n"/>
      <c r="DDS14" s="2" t="n"/>
      <c r="DDT14" s="2" t="n"/>
      <c r="DDU14" s="2" t="n"/>
      <c r="DDV14" s="2" t="n"/>
      <c r="DDW14" s="2" t="n"/>
      <c r="DDX14" s="2" t="n"/>
      <c r="DDY14" s="2" t="n"/>
      <c r="DDZ14" s="2" t="n"/>
      <c r="DEA14" s="2" t="n"/>
      <c r="DEB14" s="2" t="n"/>
      <c r="DEC14" s="2" t="n"/>
      <c r="DED14" s="2" t="n"/>
      <c r="DEE14" s="2" t="n"/>
      <c r="DEF14" s="2" t="n"/>
      <c r="DEG14" s="2" t="n"/>
      <c r="DEH14" s="2" t="n"/>
      <c r="DEI14" s="2" t="n"/>
      <c r="DEJ14" s="2" t="n"/>
      <c r="DEK14" s="2" t="n"/>
      <c r="DEL14" s="2" t="n"/>
      <c r="DEM14" s="2" t="n"/>
      <c r="DEN14" s="2" t="n"/>
      <c r="DEO14" s="2" t="n"/>
      <c r="DEP14" s="2" t="n"/>
      <c r="DEQ14" s="2" t="n"/>
      <c r="DER14" s="2" t="n"/>
      <c r="DES14" s="2" t="n"/>
      <c r="DET14" s="2" t="n"/>
      <c r="DEU14" s="2" t="n"/>
      <c r="DEV14" s="2" t="n"/>
      <c r="DEW14" s="2" t="n"/>
      <c r="DEX14" s="2" t="n"/>
      <c r="DEY14" s="2" t="n"/>
      <c r="DEZ14" s="2" t="n"/>
      <c r="DFA14" s="2" t="n"/>
      <c r="DFB14" s="2" t="n"/>
      <c r="DFC14" s="2" t="n"/>
      <c r="DFD14" s="2" t="n"/>
      <c r="DFE14" s="2" t="n"/>
      <c r="DFF14" s="2" t="n"/>
      <c r="DFG14" s="2" t="n"/>
      <c r="DFH14" s="2" t="n"/>
      <c r="DFI14" s="2" t="n"/>
      <c r="DFJ14" s="2" t="n"/>
      <c r="DFK14" s="2" t="n"/>
      <c r="DFL14" s="2" t="n"/>
      <c r="DFM14" s="2" t="n"/>
      <c r="DFN14" s="2" t="n"/>
      <c r="DFO14" s="2" t="n"/>
      <c r="DFP14" s="2" t="n"/>
      <c r="DFQ14" s="2" t="n"/>
      <c r="DFR14" s="2" t="n"/>
      <c r="DFS14" s="2" t="n"/>
      <c r="DFT14" s="2" t="n"/>
      <c r="DFU14" s="2" t="n"/>
      <c r="DFV14" s="2" t="n"/>
      <c r="DFW14" s="2" t="n"/>
      <c r="DFX14" s="2" t="n"/>
      <c r="DFY14" s="2" t="n"/>
      <c r="DFZ14" s="2" t="n"/>
      <c r="DGA14" s="2" t="n"/>
      <c r="DGB14" s="2" t="n"/>
      <c r="DGC14" s="2" t="n"/>
      <c r="DGD14" s="2" t="n"/>
      <c r="DGE14" s="2" t="n"/>
      <c r="DGF14" s="2" t="n"/>
      <c r="DGG14" s="2" t="n"/>
      <c r="DGH14" s="2" t="n"/>
      <c r="DGI14" s="2" t="n"/>
      <c r="DGJ14" s="2" t="n"/>
      <c r="DGK14" s="2" t="n"/>
      <c r="DGL14" s="2" t="n"/>
      <c r="DGM14" s="2" t="n"/>
      <c r="DGN14" s="2" t="n"/>
      <c r="DGO14" s="2" t="n"/>
      <c r="DGP14" s="2" t="n"/>
      <c r="DGQ14" s="2" t="n"/>
      <c r="DGR14" s="2" t="n"/>
      <c r="DGS14" s="2" t="n"/>
      <c r="DGT14" s="2" t="n"/>
      <c r="DGU14" s="2" t="n"/>
      <c r="DGV14" s="2" t="n"/>
      <c r="DGW14" s="2" t="n"/>
      <c r="DGX14" s="2" t="n"/>
      <c r="DGY14" s="2" t="n"/>
      <c r="DGZ14" s="2" t="n"/>
      <c r="DHA14" s="2" t="n"/>
      <c r="DHB14" s="2" t="n"/>
      <c r="DHC14" s="2" t="n"/>
      <c r="DHD14" s="2" t="n"/>
      <c r="DHE14" s="2" t="n"/>
      <c r="DHF14" s="2" t="n"/>
      <c r="DHG14" s="2" t="n"/>
      <c r="DHH14" s="2" t="n"/>
      <c r="DHI14" s="2" t="n"/>
      <c r="DHJ14" s="2" t="n"/>
      <c r="DHK14" s="2" t="n"/>
      <c r="DHL14" s="2" t="n"/>
      <c r="DHM14" s="2" t="n"/>
      <c r="DHN14" s="2" t="n"/>
      <c r="DHO14" s="2" t="n"/>
      <c r="DHP14" s="2" t="n"/>
      <c r="DHQ14" s="2" t="n"/>
      <c r="DHR14" s="2" t="n"/>
      <c r="DHS14" s="2" t="n"/>
      <c r="DHT14" s="2" t="n"/>
      <c r="DHU14" s="2" t="n"/>
      <c r="DHV14" s="2" t="n"/>
      <c r="DHW14" s="2" t="n"/>
      <c r="DHX14" s="2" t="n"/>
      <c r="DHY14" s="2" t="n"/>
      <c r="DHZ14" s="2" t="n"/>
      <c r="DIA14" s="2" t="n"/>
      <c r="DIB14" s="2" t="n"/>
      <c r="DIC14" s="2" t="n"/>
      <c r="DID14" s="2" t="n"/>
      <c r="DIE14" s="2" t="n"/>
      <c r="DIF14" s="2" t="n"/>
      <c r="DIG14" s="2" t="n"/>
      <c r="DIH14" s="2" t="n"/>
      <c r="DII14" s="2" t="n"/>
      <c r="DIJ14" s="2" t="n"/>
      <c r="DIK14" s="2" t="n"/>
      <c r="DIL14" s="2" t="n"/>
      <c r="DIM14" s="2" t="n"/>
      <c r="DIN14" s="2" t="n"/>
      <c r="DIO14" s="2" t="n"/>
      <c r="DIP14" s="2" t="n"/>
      <c r="DIQ14" s="2" t="n"/>
      <c r="DIR14" s="2" t="n"/>
      <c r="DIS14" s="2" t="n"/>
      <c r="DIT14" s="2" t="n"/>
      <c r="DIU14" s="2" t="n"/>
      <c r="DIV14" s="2" t="n"/>
      <c r="DIW14" s="2" t="n"/>
      <c r="DIX14" s="2" t="n"/>
      <c r="DIY14" s="2" t="n"/>
      <c r="DIZ14" s="2" t="n"/>
      <c r="DJA14" s="2" t="n"/>
      <c r="DJB14" s="2" t="n"/>
      <c r="DJC14" s="2" t="n"/>
      <c r="DJD14" s="2" t="n"/>
      <c r="DJE14" s="2" t="n"/>
      <c r="DJF14" s="2" t="n"/>
      <c r="DJG14" s="2" t="n"/>
      <c r="DJH14" s="2" t="n"/>
      <c r="DJI14" s="2" t="n"/>
      <c r="DJJ14" s="2" t="n"/>
      <c r="DJK14" s="2" t="n"/>
      <c r="DJL14" s="2" t="n"/>
      <c r="DJM14" s="2" t="n"/>
      <c r="DJN14" s="2" t="n"/>
      <c r="DJO14" s="2" t="n"/>
      <c r="DJP14" s="2" t="n"/>
      <c r="DJQ14" s="2" t="n"/>
      <c r="DJR14" s="2" t="n"/>
      <c r="DJS14" s="2" t="n"/>
      <c r="DJT14" s="2" t="n"/>
      <c r="DJU14" s="2" t="n"/>
      <c r="DJV14" s="2" t="n"/>
      <c r="DJW14" s="2" t="n"/>
      <c r="DJX14" s="2" t="n"/>
      <c r="DJY14" s="2" t="n"/>
      <c r="DJZ14" s="2" t="n"/>
      <c r="DKA14" s="2" t="n"/>
      <c r="DKB14" s="2" t="n"/>
      <c r="DKC14" s="2" t="n"/>
      <c r="DKD14" s="2" t="n"/>
      <c r="DKE14" s="2" t="n"/>
      <c r="DKF14" s="2" t="n"/>
      <c r="DKG14" s="2" t="n"/>
      <c r="DKH14" s="2" t="n"/>
      <c r="DKI14" s="2" t="n"/>
      <c r="DKJ14" s="2" t="n"/>
      <c r="DKK14" s="2" t="n"/>
      <c r="DKL14" s="2" t="n"/>
      <c r="DKM14" s="2" t="n"/>
      <c r="DKN14" s="2" t="n"/>
      <c r="DKO14" s="2" t="n"/>
      <c r="DKP14" s="2" t="n"/>
      <c r="DKQ14" s="2" t="n"/>
      <c r="DKR14" s="2" t="n"/>
      <c r="DKS14" s="2" t="n"/>
      <c r="DKT14" s="2" t="n"/>
      <c r="DKU14" s="2" t="n"/>
      <c r="DKV14" s="2" t="n"/>
      <c r="DKW14" s="2" t="n"/>
      <c r="DKX14" s="2" t="n"/>
      <c r="DKY14" s="2" t="n"/>
      <c r="DKZ14" s="2" t="n"/>
      <c r="DLA14" s="2" t="n"/>
      <c r="DLB14" s="2" t="n"/>
      <c r="DLC14" s="2" t="n"/>
      <c r="DLD14" s="2" t="n"/>
      <c r="DLE14" s="2" t="n"/>
      <c r="DLF14" s="2" t="n"/>
      <c r="DLG14" s="2" t="n"/>
      <c r="DLH14" s="2" t="n"/>
      <c r="DLI14" s="2" t="n"/>
      <c r="DLJ14" s="2" t="n"/>
      <c r="DLK14" s="2" t="n"/>
      <c r="DLL14" s="2" t="n"/>
      <c r="DLM14" s="2" t="n"/>
      <c r="DLN14" s="2" t="n"/>
      <c r="DLO14" s="2" t="n"/>
      <c r="DLP14" s="2" t="n"/>
      <c r="DLQ14" s="2" t="n"/>
      <c r="DLR14" s="2" t="n"/>
      <c r="DLS14" s="2" t="n"/>
      <c r="DLT14" s="2" t="n"/>
      <c r="DLU14" s="2" t="n"/>
      <c r="DLV14" s="2" t="n"/>
      <c r="DLW14" s="2" t="n"/>
      <c r="DLX14" s="2" t="n"/>
      <c r="DLY14" s="2" t="n"/>
      <c r="DLZ14" s="2" t="n"/>
      <c r="DMA14" s="2" t="n"/>
      <c r="DMB14" s="2" t="n"/>
      <c r="DMC14" s="2" t="n"/>
      <c r="DMD14" s="2" t="n"/>
      <c r="DME14" s="2" t="n"/>
      <c r="DMF14" s="2" t="n"/>
      <c r="DMG14" s="2" t="n"/>
      <c r="DMH14" s="2" t="n"/>
      <c r="DMI14" s="2" t="n"/>
      <c r="DMJ14" s="2" t="n"/>
      <c r="DMK14" s="2" t="n"/>
      <c r="DML14" s="2" t="n"/>
      <c r="DMM14" s="2" t="n"/>
      <c r="DMN14" s="2" t="n"/>
      <c r="DMO14" s="2" t="n"/>
      <c r="DMP14" s="2" t="n"/>
      <c r="DMQ14" s="2" t="n"/>
      <c r="DMR14" s="2" t="n"/>
      <c r="DMS14" s="2" t="n"/>
      <c r="DMT14" s="2" t="n"/>
      <c r="DMU14" s="2" t="n"/>
      <c r="DMV14" s="2" t="n"/>
      <c r="DMW14" s="2" t="n"/>
      <c r="DMX14" s="2" t="n"/>
      <c r="DMY14" s="2" t="n"/>
      <c r="DMZ14" s="2" t="n"/>
      <c r="DNA14" s="2" t="n"/>
      <c r="DNB14" s="2" t="n"/>
      <c r="DNC14" s="2" t="n"/>
      <c r="DND14" s="2" t="n"/>
      <c r="DNE14" s="2" t="n"/>
      <c r="DNF14" s="2" t="n"/>
      <c r="DNG14" s="2" t="n"/>
      <c r="DNH14" s="2" t="n"/>
      <c r="DNI14" s="2" t="n"/>
      <c r="DNJ14" s="2" t="n"/>
      <c r="DNK14" s="2" t="n"/>
      <c r="DNL14" s="2" t="n"/>
      <c r="DNM14" s="2" t="n"/>
      <c r="DNN14" s="2" t="n"/>
      <c r="DNO14" s="2" t="n"/>
      <c r="DNP14" s="2" t="n"/>
      <c r="DNQ14" s="2" t="n"/>
      <c r="DNR14" s="2" t="n"/>
      <c r="DNS14" s="2" t="n"/>
      <c r="DNT14" s="2" t="n"/>
      <c r="DNU14" s="2" t="n"/>
      <c r="DNV14" s="2" t="n"/>
      <c r="DNW14" s="2" t="n"/>
      <c r="DNX14" s="2" t="n"/>
      <c r="DNY14" s="2" t="n"/>
      <c r="DNZ14" s="2" t="n"/>
      <c r="DOA14" s="2" t="n"/>
      <c r="DOB14" s="2" t="n"/>
      <c r="DOC14" s="2" t="n"/>
      <c r="DOD14" s="2" t="n"/>
      <c r="DOE14" s="2" t="n"/>
      <c r="DOF14" s="2" t="n"/>
      <c r="DOG14" s="2" t="n"/>
      <c r="DOH14" s="2" t="n"/>
      <c r="DOI14" s="2" t="n"/>
      <c r="DOJ14" s="2" t="n"/>
      <c r="DOK14" s="2" t="n"/>
      <c r="DOL14" s="2" t="n"/>
      <c r="DOM14" s="2" t="n"/>
      <c r="DON14" s="2" t="n"/>
      <c r="DOO14" s="2" t="n"/>
      <c r="DOP14" s="2" t="n"/>
      <c r="DOQ14" s="2" t="n"/>
      <c r="DOR14" s="2" t="n"/>
      <c r="DOS14" s="2" t="n"/>
      <c r="DOT14" s="2" t="n"/>
      <c r="DOU14" s="2" t="n"/>
      <c r="DOV14" s="2" t="n"/>
      <c r="DOW14" s="2" t="n"/>
      <c r="DOX14" s="2" t="n"/>
      <c r="DOY14" s="2" t="n"/>
      <c r="DOZ14" s="2" t="n"/>
      <c r="DPA14" s="2" t="n"/>
      <c r="DPB14" s="2" t="n"/>
      <c r="DPC14" s="2" t="n"/>
      <c r="DPD14" s="2" t="n"/>
      <c r="DPE14" s="2" t="n"/>
      <c r="DPF14" s="2" t="n"/>
      <c r="DPG14" s="2" t="n"/>
      <c r="DPH14" s="2" t="n"/>
      <c r="DPI14" s="2" t="n"/>
      <c r="DPJ14" s="2" t="n"/>
      <c r="DPK14" s="2" t="n"/>
      <c r="DPL14" s="2" t="n"/>
      <c r="DPM14" s="2" t="n"/>
      <c r="DPN14" s="2" t="n"/>
      <c r="DPO14" s="2" t="n"/>
      <c r="DPP14" s="2" t="n"/>
      <c r="DPQ14" s="2" t="n"/>
      <c r="DPR14" s="2" t="n"/>
      <c r="DPS14" s="2" t="n"/>
      <c r="DPT14" s="2" t="n"/>
      <c r="DPU14" s="2" t="n"/>
      <c r="DPV14" s="2" t="n"/>
      <c r="DPW14" s="2" t="n"/>
      <c r="DPX14" s="2" t="n"/>
      <c r="DPY14" s="2" t="n"/>
      <c r="DPZ14" s="2" t="n"/>
      <c r="DQA14" s="2" t="n"/>
      <c r="DQB14" s="2" t="n"/>
      <c r="DQC14" s="2" t="n"/>
      <c r="DQD14" s="2" t="n"/>
      <c r="DQE14" s="2" t="n"/>
      <c r="DQF14" s="2" t="n"/>
      <c r="DQG14" s="2" t="n"/>
      <c r="DQH14" s="2" t="n"/>
      <c r="DQI14" s="2" t="n"/>
      <c r="DQJ14" s="2" t="n"/>
      <c r="DQK14" s="2" t="n"/>
      <c r="DQL14" s="2" t="n"/>
      <c r="DQM14" s="2" t="n"/>
      <c r="DQN14" s="2" t="n"/>
      <c r="DQO14" s="2" t="n"/>
      <c r="DQP14" s="2" t="n"/>
      <c r="DQQ14" s="2" t="n"/>
      <c r="DQR14" s="2" t="n"/>
      <c r="DQS14" s="2" t="n"/>
      <c r="DQT14" s="2" t="n"/>
      <c r="DQU14" s="2" t="n"/>
      <c r="DQV14" s="2" t="n"/>
      <c r="DQW14" s="2" t="n"/>
      <c r="DQX14" s="2" t="n"/>
      <c r="DQY14" s="2" t="n"/>
      <c r="DQZ14" s="2" t="n"/>
      <c r="DRA14" s="2" t="n"/>
      <c r="DRB14" s="2" t="n"/>
      <c r="DRC14" s="2" t="n"/>
      <c r="DRD14" s="2" t="n"/>
      <c r="DRE14" s="2" t="n"/>
      <c r="DRF14" s="2" t="n"/>
      <c r="DRG14" s="2" t="n"/>
      <c r="DRH14" s="2" t="n"/>
      <c r="DRI14" s="2" t="n"/>
      <c r="DRJ14" s="2" t="n"/>
      <c r="DRK14" s="2" t="n"/>
      <c r="DRL14" s="2" t="n"/>
      <c r="DRM14" s="2" t="n"/>
      <c r="DRN14" s="2" t="n"/>
      <c r="DRO14" s="2" t="n"/>
      <c r="DRP14" s="2" t="n"/>
      <c r="DRQ14" s="2" t="n"/>
      <c r="DRR14" s="2" t="n"/>
      <c r="DRS14" s="2" t="n"/>
      <c r="DRT14" s="2" t="n"/>
      <c r="DRU14" s="2" t="n"/>
      <c r="DRV14" s="2" t="n"/>
      <c r="DRW14" s="2" t="n"/>
      <c r="DRX14" s="2" t="n"/>
      <c r="DRY14" s="2" t="n"/>
      <c r="DRZ14" s="2" t="n"/>
      <c r="DSA14" s="2" t="n"/>
      <c r="DSB14" s="2" t="n"/>
      <c r="DSC14" s="2" t="n"/>
      <c r="DSD14" s="2" t="n"/>
      <c r="DSE14" s="2" t="n"/>
      <c r="DSF14" s="2" t="n"/>
      <c r="DSG14" s="2" t="n"/>
      <c r="DSH14" s="2" t="n"/>
      <c r="DSI14" s="2" t="n"/>
      <c r="DSJ14" s="2" t="n"/>
      <c r="DSK14" s="2" t="n"/>
      <c r="DSL14" s="2" t="n"/>
      <c r="DSM14" s="2" t="n"/>
      <c r="DSN14" s="2" t="n"/>
      <c r="DSO14" s="2" t="n"/>
      <c r="DSP14" s="2" t="n"/>
      <c r="DSQ14" s="2" t="n"/>
      <c r="DSR14" s="2" t="n"/>
      <c r="DSS14" s="2" t="n"/>
      <c r="DST14" s="2" t="n"/>
      <c r="DSU14" s="2" t="n"/>
      <c r="DSV14" s="2" t="n"/>
      <c r="DSW14" s="2" t="n"/>
      <c r="DSX14" s="2" t="n"/>
      <c r="DSY14" s="2" t="n"/>
      <c r="DSZ14" s="2" t="n"/>
      <c r="DTA14" s="2" t="n"/>
      <c r="DTB14" s="2" t="n"/>
      <c r="DTC14" s="2" t="n"/>
      <c r="DTD14" s="2" t="n"/>
      <c r="DTE14" s="2" t="n"/>
      <c r="DTF14" s="2" t="n"/>
      <c r="DTG14" s="2" t="n"/>
      <c r="DTH14" s="2" t="n"/>
      <c r="DTI14" s="2" t="n"/>
      <c r="DTJ14" s="2" t="n"/>
      <c r="DTK14" s="2" t="n"/>
      <c r="DTL14" s="2" t="n"/>
      <c r="DTM14" s="2" t="n"/>
      <c r="DTN14" s="2" t="n"/>
      <c r="DTO14" s="2" t="n"/>
      <c r="DTP14" s="2" t="n"/>
      <c r="DTQ14" s="2" t="n"/>
      <c r="DTR14" s="2" t="n"/>
      <c r="DTS14" s="2" t="n"/>
      <c r="DTT14" s="2" t="n"/>
      <c r="DTU14" s="2" t="n"/>
      <c r="DTV14" s="2" t="n"/>
      <c r="DTW14" s="2" t="n"/>
      <c r="DTX14" s="2" t="n"/>
      <c r="DTY14" s="2" t="n"/>
      <c r="DTZ14" s="2" t="n"/>
      <c r="DUA14" s="2" t="n"/>
      <c r="DUB14" s="2" t="n"/>
      <c r="DUC14" s="2" t="n"/>
      <c r="DUD14" s="2" t="n"/>
      <c r="DUE14" s="2" t="n"/>
      <c r="DUF14" s="2" t="n"/>
      <c r="DUG14" s="2" t="n"/>
      <c r="DUH14" s="2" t="n"/>
      <c r="DUI14" s="2" t="n"/>
      <c r="DUJ14" s="2" t="n"/>
      <c r="DUK14" s="2" t="n"/>
      <c r="DUL14" s="2" t="n"/>
      <c r="DUM14" s="2" t="n"/>
      <c r="DUN14" s="2" t="n"/>
      <c r="DUO14" s="2" t="n"/>
      <c r="DUP14" s="2" t="n"/>
      <c r="DUQ14" s="2" t="n"/>
      <c r="DUR14" s="2" t="n"/>
      <c r="DUS14" s="2" t="n"/>
      <c r="DUT14" s="2" t="n"/>
      <c r="DUU14" s="2" t="n"/>
      <c r="DUV14" s="2" t="n"/>
      <c r="DUW14" s="2" t="n"/>
      <c r="DUX14" s="2" t="n"/>
      <c r="DUY14" s="2" t="n"/>
      <c r="DUZ14" s="2" t="n"/>
      <c r="DVA14" s="2" t="n"/>
      <c r="DVB14" s="2" t="n"/>
      <c r="DVC14" s="2" t="n"/>
      <c r="DVD14" s="2" t="n"/>
      <c r="DVE14" s="2" t="n"/>
      <c r="DVF14" s="2" t="n"/>
      <c r="DVG14" s="2" t="n"/>
      <c r="DVH14" s="2" t="n"/>
      <c r="DVI14" s="2" t="n"/>
      <c r="DVJ14" s="2" t="n"/>
      <c r="DVK14" s="2" t="n"/>
      <c r="DVL14" s="2" t="n"/>
      <c r="DVM14" s="2" t="n"/>
      <c r="DVN14" s="2" t="n"/>
      <c r="DVO14" s="2" t="n"/>
      <c r="DVP14" s="2" t="n"/>
      <c r="DVQ14" s="2" t="n"/>
      <c r="DVR14" s="2" t="n"/>
      <c r="DVS14" s="2" t="n"/>
      <c r="DVT14" s="2" t="n"/>
      <c r="DVU14" s="2" t="n"/>
      <c r="DVV14" s="2" t="n"/>
      <c r="DVW14" s="2" t="n"/>
      <c r="DVX14" s="2" t="n"/>
      <c r="DVY14" s="2" t="n"/>
      <c r="DVZ14" s="2" t="n"/>
      <c r="DWA14" s="2" t="n"/>
      <c r="DWB14" s="2" t="n"/>
      <c r="DWC14" s="2" t="n"/>
      <c r="DWD14" s="2" t="n"/>
      <c r="DWE14" s="2" t="n"/>
      <c r="DWF14" s="2" t="n"/>
      <c r="DWG14" s="2" t="n"/>
      <c r="DWH14" s="2" t="n"/>
      <c r="DWI14" s="2" t="n"/>
      <c r="DWJ14" s="2" t="n"/>
      <c r="DWK14" s="2" t="n"/>
      <c r="DWL14" s="2" t="n"/>
      <c r="DWM14" s="2" t="n"/>
      <c r="DWN14" s="2" t="n"/>
      <c r="DWO14" s="2" t="n"/>
      <c r="DWP14" s="2" t="n"/>
      <c r="DWQ14" s="2" t="n"/>
      <c r="DWR14" s="2" t="n"/>
      <c r="DWS14" s="2" t="n"/>
      <c r="DWT14" s="2" t="n"/>
      <c r="DWU14" s="2" t="n"/>
      <c r="DWV14" s="2" t="n"/>
      <c r="DWW14" s="2" t="n"/>
      <c r="DWX14" s="2" t="n"/>
      <c r="DWY14" s="2" t="n"/>
      <c r="DWZ14" s="2" t="n"/>
      <c r="DXA14" s="2" t="n"/>
      <c r="DXB14" s="2" t="n"/>
      <c r="DXC14" s="2" t="n"/>
      <c r="DXD14" s="2" t="n"/>
      <c r="DXE14" s="2" t="n"/>
      <c r="DXF14" s="2" t="n"/>
      <c r="DXG14" s="2" t="n"/>
      <c r="DXH14" s="2" t="n"/>
      <c r="DXI14" s="2" t="n"/>
      <c r="DXJ14" s="2" t="n"/>
      <c r="DXK14" s="2" t="n"/>
      <c r="DXL14" s="2" t="n"/>
      <c r="DXM14" s="2" t="n"/>
      <c r="DXN14" s="2" t="n"/>
      <c r="DXO14" s="2" t="n"/>
      <c r="DXP14" s="2" t="n"/>
      <c r="DXQ14" s="2" t="n"/>
      <c r="DXR14" s="2" t="n"/>
      <c r="DXS14" s="2" t="n"/>
      <c r="DXT14" s="2" t="n"/>
      <c r="DXU14" s="2" t="n"/>
      <c r="DXV14" s="2" t="n"/>
      <c r="DXW14" s="2" t="n"/>
      <c r="DXX14" s="2" t="n"/>
      <c r="DXY14" s="2" t="n"/>
      <c r="DXZ14" s="2" t="n"/>
      <c r="DYA14" s="2" t="n"/>
      <c r="DYB14" s="2" t="n"/>
      <c r="DYC14" s="2" t="n"/>
      <c r="DYD14" s="2" t="n"/>
      <c r="DYE14" s="2" t="n"/>
      <c r="DYF14" s="2" t="n"/>
      <c r="DYG14" s="2" t="n"/>
      <c r="DYH14" s="2" t="n"/>
      <c r="DYI14" s="2" t="n"/>
      <c r="DYJ14" s="2" t="n"/>
      <c r="DYK14" s="2" t="n"/>
      <c r="DYL14" s="2" t="n"/>
      <c r="DYM14" s="2" t="n"/>
      <c r="DYN14" s="2" t="n"/>
      <c r="DYO14" s="2" t="n"/>
      <c r="DYP14" s="2" t="n"/>
      <c r="DYQ14" s="2" t="n"/>
      <c r="DYR14" s="2" t="n"/>
      <c r="DYS14" s="2" t="n"/>
      <c r="DYT14" s="2" t="n"/>
      <c r="DYU14" s="2" t="n"/>
      <c r="DYV14" s="2" t="n"/>
      <c r="DYW14" s="2" t="n"/>
      <c r="DYX14" s="2" t="n"/>
      <c r="DYY14" s="2" t="n"/>
      <c r="DYZ14" s="2" t="n"/>
      <c r="DZA14" s="2" t="n"/>
      <c r="DZB14" s="2" t="n"/>
      <c r="DZC14" s="2" t="n"/>
      <c r="DZD14" s="2" t="n"/>
      <c r="DZE14" s="2" t="n"/>
      <c r="DZF14" s="2" t="n"/>
      <c r="DZG14" s="2" t="n"/>
      <c r="DZH14" s="2" t="n"/>
      <c r="DZI14" s="2" t="n"/>
      <c r="DZJ14" s="2" t="n"/>
      <c r="DZK14" s="2" t="n"/>
      <c r="DZL14" s="2" t="n"/>
      <c r="DZM14" s="2" t="n"/>
      <c r="DZN14" s="2" t="n"/>
      <c r="DZO14" s="2" t="n"/>
      <c r="DZP14" s="2" t="n"/>
      <c r="DZQ14" s="2" t="n"/>
      <c r="DZR14" s="2" t="n"/>
      <c r="DZS14" s="2" t="n"/>
      <c r="DZT14" s="2" t="n"/>
      <c r="DZU14" s="2" t="n"/>
      <c r="DZV14" s="2" t="n"/>
      <c r="DZW14" s="2" t="n"/>
      <c r="DZX14" s="2" t="n"/>
      <c r="DZY14" s="2" t="n"/>
      <c r="DZZ14" s="2" t="n"/>
      <c r="EAA14" s="2" t="n"/>
      <c r="EAB14" s="2" t="n"/>
      <c r="EAC14" s="2" t="n"/>
      <c r="EAD14" s="2" t="n"/>
      <c r="EAE14" s="2" t="n"/>
      <c r="EAF14" s="2" t="n"/>
      <c r="EAG14" s="2" t="n"/>
      <c r="EAH14" s="2" t="n"/>
      <c r="EAI14" s="2" t="n"/>
      <c r="EAJ14" s="2" t="n"/>
      <c r="EAK14" s="2" t="n"/>
      <c r="EAL14" s="2" t="n"/>
      <c r="EAM14" s="2" t="n"/>
      <c r="EAN14" s="2" t="n"/>
      <c r="EAO14" s="2" t="n"/>
      <c r="EAP14" s="2" t="n"/>
      <c r="EAQ14" s="2" t="n"/>
      <c r="EAR14" s="2" t="n"/>
      <c r="EAS14" s="2" t="n"/>
      <c r="EAT14" s="2" t="n"/>
      <c r="EAU14" s="2" t="n"/>
      <c r="EAV14" s="2" t="n"/>
      <c r="EAW14" s="2" t="n"/>
      <c r="EAX14" s="2" t="n"/>
      <c r="EAY14" s="2" t="n"/>
      <c r="EAZ14" s="2" t="n"/>
      <c r="EBA14" s="2" t="n"/>
      <c r="EBB14" s="2" t="n"/>
      <c r="EBC14" s="2" t="n"/>
      <c r="EBD14" s="2" t="n"/>
      <c r="EBE14" s="2" t="n"/>
      <c r="EBF14" s="2" t="n"/>
      <c r="EBG14" s="2" t="n"/>
      <c r="EBH14" s="2" t="n"/>
      <c r="EBI14" s="2" t="n"/>
      <c r="EBJ14" s="2" t="n"/>
      <c r="EBK14" s="2" t="n"/>
      <c r="EBL14" s="2" t="n"/>
      <c r="EBM14" s="2" t="n"/>
      <c r="EBN14" s="2" t="n"/>
      <c r="EBO14" s="2" t="n"/>
      <c r="EBP14" s="2" t="n"/>
      <c r="EBQ14" s="2" t="n"/>
      <c r="EBR14" s="2" t="n"/>
      <c r="EBS14" s="2" t="n"/>
      <c r="EBT14" s="2" t="n"/>
      <c r="EBU14" s="2" t="n"/>
      <c r="EBV14" s="2" t="n"/>
      <c r="EBW14" s="2" t="n"/>
      <c r="EBX14" s="2" t="n"/>
      <c r="EBY14" s="2" t="n"/>
      <c r="EBZ14" s="2" t="n"/>
      <c r="ECA14" s="2" t="n"/>
      <c r="ECB14" s="2" t="n"/>
      <c r="ECC14" s="2" t="n"/>
      <c r="ECD14" s="2" t="n"/>
      <c r="ECE14" s="2" t="n"/>
      <c r="ECF14" s="2" t="n"/>
      <c r="ECG14" s="2" t="n"/>
      <c r="ECH14" s="2" t="n"/>
      <c r="ECI14" s="2" t="n"/>
      <c r="ECJ14" s="2" t="n"/>
      <c r="ECK14" s="2" t="n"/>
      <c r="ECL14" s="2" t="n"/>
      <c r="ECM14" s="2" t="n"/>
      <c r="ECN14" s="2" t="n"/>
      <c r="ECO14" s="2" t="n"/>
      <c r="ECP14" s="2" t="n"/>
      <c r="ECQ14" s="2" t="n"/>
      <c r="ECR14" s="2" t="n"/>
      <c r="ECS14" s="2" t="n"/>
      <c r="ECT14" s="2" t="n"/>
      <c r="ECU14" s="2" t="n"/>
      <c r="ECV14" s="2" t="n"/>
      <c r="ECW14" s="2" t="n"/>
      <c r="ECX14" s="2" t="n"/>
      <c r="ECY14" s="2" t="n"/>
      <c r="ECZ14" s="2" t="n"/>
      <c r="EDA14" s="2" t="n"/>
      <c r="EDB14" s="2" t="n"/>
      <c r="EDC14" s="2" t="n"/>
      <c r="EDD14" s="2" t="n"/>
      <c r="EDE14" s="2" t="n"/>
      <c r="EDF14" s="2" t="n"/>
      <c r="EDG14" s="2" t="n"/>
      <c r="EDH14" s="2" t="n"/>
      <c r="EDI14" s="2" t="n"/>
      <c r="EDJ14" s="2" t="n"/>
      <c r="EDK14" s="2" t="n"/>
      <c r="EDL14" s="2" t="n"/>
      <c r="EDM14" s="2" t="n"/>
      <c r="EDN14" s="2" t="n"/>
      <c r="EDO14" s="2" t="n"/>
      <c r="EDP14" s="2" t="n"/>
      <c r="EDQ14" s="2" t="n"/>
      <c r="EDR14" s="2" t="n"/>
      <c r="EDS14" s="2" t="n"/>
      <c r="EDT14" s="2" t="n"/>
      <c r="EDU14" s="2" t="n"/>
      <c r="EDV14" s="2" t="n"/>
      <c r="EDW14" s="2" t="n"/>
      <c r="EDX14" s="2" t="n"/>
      <c r="EDY14" s="2" t="n"/>
      <c r="EDZ14" s="2" t="n"/>
      <c r="EEA14" s="2" t="n"/>
      <c r="EEB14" s="2" t="n"/>
      <c r="EEC14" s="2" t="n"/>
      <c r="EED14" s="2" t="n"/>
      <c r="EEE14" s="2" t="n"/>
      <c r="EEF14" s="2" t="n"/>
      <c r="EEG14" s="2" t="n"/>
      <c r="EEH14" s="2" t="n"/>
      <c r="EEI14" s="2" t="n"/>
      <c r="EEJ14" s="2" t="n"/>
      <c r="EEK14" s="2" t="n"/>
      <c r="EEL14" s="2" t="n"/>
      <c r="EEM14" s="2" t="n"/>
      <c r="EEN14" s="2" t="n"/>
      <c r="EEO14" s="2" t="n"/>
      <c r="EEP14" s="2" t="n"/>
      <c r="EEQ14" s="2" t="n"/>
      <c r="EER14" s="2" t="n"/>
      <c r="EES14" s="2" t="n"/>
      <c r="EET14" s="2" t="n"/>
      <c r="EEU14" s="2" t="n"/>
      <c r="EEV14" s="2" t="n"/>
      <c r="EEW14" s="2" t="n"/>
      <c r="EEX14" s="2" t="n"/>
      <c r="EEY14" s="2" t="n"/>
      <c r="EEZ14" s="2" t="n"/>
      <c r="EFA14" s="2" t="n"/>
      <c r="EFB14" s="2" t="n"/>
      <c r="EFC14" s="2" t="n"/>
      <c r="EFD14" s="2" t="n"/>
      <c r="EFE14" s="2" t="n"/>
      <c r="EFF14" s="2" t="n"/>
      <c r="EFG14" s="2" t="n"/>
      <c r="EFH14" s="2" t="n"/>
      <c r="EFI14" s="2" t="n"/>
      <c r="EFJ14" s="2" t="n"/>
      <c r="EFK14" s="2" t="n"/>
      <c r="EFL14" s="2" t="n"/>
      <c r="EFM14" s="2" t="n"/>
      <c r="EFN14" s="2" t="n"/>
      <c r="EFO14" s="2" t="n"/>
      <c r="EFP14" s="2" t="n"/>
      <c r="EFQ14" s="2" t="n"/>
      <c r="EFR14" s="2" t="n"/>
      <c r="EFS14" s="2" t="n"/>
      <c r="EFT14" s="2" t="n"/>
      <c r="EFU14" s="2" t="n"/>
      <c r="EFV14" s="2" t="n"/>
      <c r="EFW14" s="2" t="n"/>
      <c r="EFX14" s="2" t="n"/>
      <c r="EFY14" s="2" t="n"/>
      <c r="EFZ14" s="2" t="n"/>
      <c r="EGA14" s="2" t="n"/>
      <c r="EGB14" s="2" t="n"/>
      <c r="EGC14" s="2" t="n"/>
      <c r="EGD14" s="2" t="n"/>
      <c r="EGE14" s="2" t="n"/>
      <c r="EGF14" s="2" t="n"/>
      <c r="EGG14" s="2" t="n"/>
      <c r="EGH14" s="2" t="n"/>
      <c r="EGI14" s="2" t="n"/>
      <c r="EGJ14" s="2" t="n"/>
      <c r="EGK14" s="2" t="n"/>
      <c r="EGL14" s="2" t="n"/>
      <c r="EGM14" s="2" t="n"/>
      <c r="EGN14" s="2" t="n"/>
      <c r="EGO14" s="2" t="n"/>
      <c r="EGP14" s="2" t="n"/>
      <c r="EGQ14" s="2" t="n"/>
      <c r="EGR14" s="2" t="n"/>
      <c r="EGS14" s="2" t="n"/>
      <c r="EGT14" s="2" t="n"/>
      <c r="EGU14" s="2" t="n"/>
      <c r="EGV14" s="2" t="n"/>
      <c r="EGW14" s="2" t="n"/>
      <c r="EGX14" s="2" t="n"/>
      <c r="EGY14" s="2" t="n"/>
      <c r="EGZ14" s="2" t="n"/>
      <c r="EHA14" s="2" t="n"/>
      <c r="EHB14" s="2" t="n"/>
      <c r="EHC14" s="2" t="n"/>
      <c r="EHD14" s="2" t="n"/>
      <c r="EHE14" s="2" t="n"/>
      <c r="EHF14" s="2" t="n"/>
      <c r="EHG14" s="2" t="n"/>
      <c r="EHH14" s="2" t="n"/>
      <c r="EHI14" s="2" t="n"/>
      <c r="EHJ14" s="2" t="n"/>
      <c r="EHK14" s="2" t="n"/>
      <c r="EHL14" s="2" t="n"/>
      <c r="EHM14" s="2" t="n"/>
      <c r="EHN14" s="2" t="n"/>
      <c r="EHO14" s="2" t="n"/>
      <c r="EHP14" s="2" t="n"/>
      <c r="EHQ14" s="2" t="n"/>
      <c r="EHR14" s="2" t="n"/>
      <c r="EHS14" s="2" t="n"/>
      <c r="EHT14" s="2" t="n"/>
      <c r="EHU14" s="2" t="n"/>
      <c r="EHV14" s="2" t="n"/>
      <c r="EHW14" s="2" t="n"/>
      <c r="EHX14" s="2" t="n"/>
      <c r="EHY14" s="2" t="n"/>
      <c r="EHZ14" s="2" t="n"/>
      <c r="EIA14" s="2" t="n"/>
      <c r="EIB14" s="2" t="n"/>
      <c r="EIC14" s="2" t="n"/>
      <c r="EID14" s="2" t="n"/>
      <c r="EIE14" s="2" t="n"/>
      <c r="EIF14" s="2" t="n"/>
      <c r="EIG14" s="2" t="n"/>
      <c r="EIH14" s="2" t="n"/>
      <c r="EII14" s="2" t="n"/>
      <c r="EIJ14" s="2" t="n"/>
      <c r="EIK14" s="2" t="n"/>
      <c r="EIL14" s="2" t="n"/>
      <c r="EIM14" s="2" t="n"/>
      <c r="EIN14" s="2" t="n"/>
      <c r="EIO14" s="2" t="n"/>
      <c r="EIP14" s="2" t="n"/>
      <c r="EIQ14" s="2" t="n"/>
      <c r="EIR14" s="2" t="n"/>
      <c r="EIS14" s="2" t="n"/>
      <c r="EIT14" s="2" t="n"/>
      <c r="EIU14" s="2" t="n"/>
      <c r="EIV14" s="2" t="n"/>
      <c r="EIW14" s="2" t="n"/>
      <c r="EIX14" s="2" t="n"/>
      <c r="EIY14" s="2" t="n"/>
      <c r="EIZ14" s="2" t="n"/>
      <c r="EJA14" s="2" t="n"/>
      <c r="EJB14" s="2" t="n"/>
      <c r="EJC14" s="2" t="n"/>
      <c r="EJD14" s="2" t="n"/>
      <c r="EJE14" s="2" t="n"/>
      <c r="EJF14" s="2" t="n"/>
      <c r="EJG14" s="2" t="n"/>
      <c r="EJH14" s="2" t="n"/>
      <c r="EJI14" s="2" t="n"/>
      <c r="EJJ14" s="2" t="n"/>
      <c r="EJK14" s="2" t="n"/>
      <c r="EJL14" s="2" t="n"/>
      <c r="EJM14" s="2" t="n"/>
      <c r="EJN14" s="2" t="n"/>
      <c r="EJO14" s="2" t="n"/>
      <c r="EJP14" s="2" t="n"/>
      <c r="EJQ14" s="2" t="n"/>
      <c r="EJR14" s="2" t="n"/>
      <c r="EJS14" s="2" t="n"/>
      <c r="EJT14" s="2" t="n"/>
      <c r="EJU14" s="2" t="n"/>
      <c r="EJV14" s="2" t="n"/>
      <c r="EJW14" s="2" t="n"/>
      <c r="EJX14" s="2" t="n"/>
      <c r="EJY14" s="2" t="n"/>
      <c r="EJZ14" s="2" t="n"/>
      <c r="EKA14" s="2" t="n"/>
      <c r="EKB14" s="2" t="n"/>
      <c r="EKC14" s="2" t="n"/>
      <c r="EKD14" s="2" t="n"/>
      <c r="EKE14" s="2" t="n"/>
      <c r="EKF14" s="2" t="n"/>
      <c r="EKG14" s="2" t="n"/>
      <c r="EKH14" s="2" t="n"/>
      <c r="EKI14" s="2" t="n"/>
      <c r="EKJ14" s="2" t="n"/>
      <c r="EKK14" s="2" t="n"/>
      <c r="EKL14" s="2" t="n"/>
      <c r="EKM14" s="2" t="n"/>
      <c r="EKN14" s="2" t="n"/>
      <c r="EKO14" s="2" t="n"/>
      <c r="EKP14" s="2" t="n"/>
      <c r="EKQ14" s="2" t="n"/>
      <c r="EKR14" s="2" t="n"/>
      <c r="EKS14" s="2" t="n"/>
      <c r="EKT14" s="2" t="n"/>
      <c r="EKU14" s="2" t="n"/>
      <c r="EKV14" s="2" t="n"/>
      <c r="EKW14" s="2" t="n"/>
      <c r="EKX14" s="2" t="n"/>
      <c r="EKY14" s="2" t="n"/>
      <c r="EKZ14" s="2" t="n"/>
      <c r="ELA14" s="2" t="n"/>
      <c r="ELB14" s="2" t="n"/>
      <c r="ELC14" s="2" t="n"/>
      <c r="ELD14" s="2" t="n"/>
      <c r="ELE14" s="2" t="n"/>
      <c r="ELF14" s="2" t="n"/>
      <c r="ELG14" s="2" t="n"/>
      <c r="ELH14" s="2" t="n"/>
      <c r="ELI14" s="2" t="n"/>
      <c r="ELJ14" s="2" t="n"/>
      <c r="ELK14" s="2" t="n"/>
      <c r="ELL14" s="2" t="n"/>
      <c r="ELM14" s="2" t="n"/>
      <c r="ELN14" s="2" t="n"/>
      <c r="ELO14" s="2" t="n"/>
      <c r="ELP14" s="2" t="n"/>
      <c r="ELQ14" s="2" t="n"/>
      <c r="ELR14" s="2" t="n"/>
      <c r="ELS14" s="2" t="n"/>
      <c r="ELT14" s="2" t="n"/>
      <c r="ELU14" s="2" t="n"/>
      <c r="ELV14" s="2" t="n"/>
      <c r="ELW14" s="2" t="n"/>
      <c r="ELX14" s="2" t="n"/>
      <c r="ELY14" s="2" t="n"/>
      <c r="ELZ14" s="2" t="n"/>
      <c r="EMA14" s="2" t="n"/>
      <c r="EMB14" s="2" t="n"/>
      <c r="EMC14" s="2" t="n"/>
      <c r="EMD14" s="2" t="n"/>
      <c r="EME14" s="2" t="n"/>
      <c r="EMF14" s="2" t="n"/>
      <c r="EMG14" s="2" t="n"/>
      <c r="EMH14" s="2" t="n"/>
      <c r="EMI14" s="2" t="n"/>
      <c r="EMJ14" s="2" t="n"/>
      <c r="EMK14" s="2" t="n"/>
      <c r="EML14" s="2" t="n"/>
      <c r="EMM14" s="2" t="n"/>
      <c r="EMN14" s="2" t="n"/>
      <c r="EMO14" s="2" t="n"/>
      <c r="EMP14" s="2" t="n"/>
      <c r="EMQ14" s="2" t="n"/>
      <c r="EMR14" s="2" t="n"/>
      <c r="EMS14" s="2" t="n"/>
      <c r="EMT14" s="2" t="n"/>
      <c r="EMU14" s="2" t="n"/>
      <c r="EMV14" s="2" t="n"/>
      <c r="EMW14" s="2" t="n"/>
      <c r="EMX14" s="2" t="n"/>
      <c r="EMY14" s="2" t="n"/>
      <c r="EMZ14" s="2" t="n"/>
      <c r="ENA14" s="2" t="n"/>
      <c r="ENB14" s="2" t="n"/>
      <c r="ENC14" s="2" t="n"/>
      <c r="END14" s="2" t="n"/>
      <c r="ENE14" s="2" t="n"/>
      <c r="ENF14" s="2" t="n"/>
      <c r="ENG14" s="2" t="n"/>
      <c r="ENH14" s="2" t="n"/>
      <c r="ENI14" s="2" t="n"/>
      <c r="ENJ14" s="2" t="n"/>
      <c r="ENK14" s="2" t="n"/>
      <c r="ENL14" s="2" t="n"/>
      <c r="ENM14" s="2" t="n"/>
      <c r="ENN14" s="2" t="n"/>
      <c r="ENO14" s="2" t="n"/>
      <c r="ENP14" s="2" t="n"/>
      <c r="ENQ14" s="2" t="n"/>
      <c r="ENR14" s="2" t="n"/>
      <c r="ENS14" s="2" t="n"/>
      <c r="ENT14" s="2" t="n"/>
      <c r="ENU14" s="2" t="n"/>
      <c r="ENV14" s="2" t="n"/>
      <c r="ENW14" s="2" t="n"/>
      <c r="ENX14" s="2" t="n"/>
      <c r="ENY14" s="2" t="n"/>
      <c r="ENZ14" s="2" t="n"/>
      <c r="EOA14" s="2" t="n"/>
      <c r="EOB14" s="2" t="n"/>
      <c r="EOC14" s="2" t="n"/>
      <c r="EOD14" s="2" t="n"/>
      <c r="EOE14" s="2" t="n"/>
      <c r="EOF14" s="2" t="n"/>
      <c r="EOG14" s="2" t="n"/>
      <c r="EOH14" s="2" t="n"/>
      <c r="EOI14" s="2" t="n"/>
      <c r="EOJ14" s="2" t="n"/>
      <c r="EOK14" s="2" t="n"/>
      <c r="EOL14" s="2" t="n"/>
      <c r="EOM14" s="2" t="n"/>
      <c r="EON14" s="2" t="n"/>
      <c r="EOO14" s="2" t="n"/>
      <c r="EOP14" s="2" t="n"/>
      <c r="EOQ14" s="2" t="n"/>
      <c r="EOR14" s="2" t="n"/>
      <c r="EOS14" s="2" t="n"/>
      <c r="EOT14" s="2" t="n"/>
      <c r="EOU14" s="2" t="n"/>
      <c r="EOV14" s="2" t="n"/>
      <c r="EOW14" s="2" t="n"/>
      <c r="EOX14" s="2" t="n"/>
      <c r="EOY14" s="2" t="n"/>
      <c r="EOZ14" s="2" t="n"/>
      <c r="EPA14" s="2" t="n"/>
      <c r="EPB14" s="2" t="n"/>
      <c r="EPC14" s="2" t="n"/>
      <c r="EPD14" s="2" t="n"/>
      <c r="EPE14" s="2" t="n"/>
      <c r="EPF14" s="2" t="n"/>
      <c r="EPG14" s="2" t="n"/>
      <c r="EPH14" s="2" t="n"/>
      <c r="EPI14" s="2" t="n"/>
      <c r="EPJ14" s="2" t="n"/>
      <c r="EPK14" s="2" t="n"/>
      <c r="EPL14" s="2" t="n"/>
      <c r="EPM14" s="2" t="n"/>
      <c r="EPN14" s="2" t="n"/>
      <c r="EPO14" s="2" t="n"/>
      <c r="EPP14" s="2" t="n"/>
      <c r="EPQ14" s="2" t="n"/>
      <c r="EPR14" s="2" t="n"/>
      <c r="EPS14" s="2" t="n"/>
      <c r="EPT14" s="2" t="n"/>
      <c r="EPU14" s="2" t="n"/>
      <c r="EPV14" s="2" t="n"/>
      <c r="EPW14" s="2" t="n"/>
      <c r="EPX14" s="2" t="n"/>
      <c r="EPY14" s="2" t="n"/>
      <c r="EPZ14" s="2" t="n"/>
      <c r="EQA14" s="2" t="n"/>
      <c r="EQB14" s="2" t="n"/>
      <c r="EQC14" s="2" t="n"/>
      <c r="EQD14" s="2" t="n"/>
      <c r="EQE14" s="2" t="n"/>
      <c r="EQF14" s="2" t="n"/>
      <c r="EQG14" s="2" t="n"/>
      <c r="EQH14" s="2" t="n"/>
      <c r="EQI14" s="2" t="n"/>
      <c r="EQJ14" s="2" t="n"/>
      <c r="EQK14" s="2" t="n"/>
      <c r="EQL14" s="2" t="n"/>
      <c r="EQM14" s="2" t="n"/>
      <c r="EQN14" s="2" t="n"/>
      <c r="EQO14" s="2" t="n"/>
      <c r="EQP14" s="2" t="n"/>
      <c r="EQQ14" s="2" t="n"/>
      <c r="EQR14" s="2" t="n"/>
      <c r="EQS14" s="2" t="n"/>
      <c r="EQT14" s="2" t="n"/>
      <c r="EQU14" s="2" t="n"/>
      <c r="EQV14" s="2" t="n"/>
      <c r="EQW14" s="2" t="n"/>
      <c r="EQX14" s="2" t="n"/>
      <c r="EQY14" s="2" t="n"/>
      <c r="EQZ14" s="2" t="n"/>
      <c r="ERA14" s="2" t="n"/>
      <c r="ERB14" s="2" t="n"/>
      <c r="ERC14" s="2" t="n"/>
      <c r="ERD14" s="2" t="n"/>
      <c r="ERE14" s="2" t="n"/>
      <c r="ERF14" s="2" t="n"/>
      <c r="ERG14" s="2" t="n"/>
      <c r="ERH14" s="2" t="n"/>
      <c r="ERI14" s="2" t="n"/>
      <c r="ERJ14" s="2" t="n"/>
      <c r="ERK14" s="2" t="n"/>
      <c r="ERL14" s="2" t="n"/>
      <c r="ERM14" s="2" t="n"/>
      <c r="ERN14" s="2" t="n"/>
      <c r="ERO14" s="2" t="n"/>
      <c r="ERP14" s="2" t="n"/>
      <c r="ERQ14" s="2" t="n"/>
      <c r="ERR14" s="2" t="n"/>
      <c r="ERS14" s="2" t="n"/>
      <c r="ERT14" s="2" t="n"/>
      <c r="ERU14" s="2" t="n"/>
      <c r="ERV14" s="2" t="n"/>
      <c r="ERW14" s="2" t="n"/>
      <c r="ERX14" s="2" t="n"/>
      <c r="ERY14" s="2" t="n"/>
      <c r="ERZ14" s="2" t="n"/>
      <c r="ESA14" s="2" t="n"/>
      <c r="ESB14" s="2" t="n"/>
      <c r="ESC14" s="2" t="n"/>
      <c r="ESD14" s="2" t="n"/>
      <c r="ESE14" s="2" t="n"/>
      <c r="ESF14" s="2" t="n"/>
      <c r="ESG14" s="2" t="n"/>
      <c r="ESH14" s="2" t="n"/>
      <c r="ESI14" s="2" t="n"/>
      <c r="ESJ14" s="2" t="n"/>
      <c r="ESK14" s="2" t="n"/>
      <c r="ESL14" s="2" t="n"/>
      <c r="ESM14" s="2" t="n"/>
      <c r="ESN14" s="2" t="n"/>
      <c r="ESO14" s="2" t="n"/>
      <c r="ESP14" s="2" t="n"/>
      <c r="ESQ14" s="2" t="n"/>
      <c r="ESR14" s="2" t="n"/>
      <c r="ESS14" s="2" t="n"/>
      <c r="EST14" s="2" t="n"/>
      <c r="ESU14" s="2" t="n"/>
      <c r="ESV14" s="2" t="n"/>
      <c r="ESW14" s="2" t="n"/>
      <c r="ESX14" s="2" t="n"/>
      <c r="ESY14" s="2" t="n"/>
      <c r="ESZ14" s="2" t="n"/>
      <c r="ETA14" s="2" t="n"/>
      <c r="ETB14" s="2" t="n"/>
      <c r="ETC14" s="2" t="n"/>
      <c r="ETD14" s="2" t="n"/>
      <c r="ETE14" s="2" t="n"/>
      <c r="ETF14" s="2" t="n"/>
      <c r="ETG14" s="2" t="n"/>
      <c r="ETH14" s="2" t="n"/>
      <c r="ETI14" s="2" t="n"/>
      <c r="ETJ14" s="2" t="n"/>
      <c r="ETK14" s="2" t="n"/>
      <c r="ETL14" s="2" t="n"/>
      <c r="ETM14" s="2" t="n"/>
      <c r="ETN14" s="2" t="n"/>
      <c r="ETO14" s="2" t="n"/>
      <c r="ETP14" s="2" t="n"/>
      <c r="ETQ14" s="2" t="n"/>
      <c r="ETR14" s="2" t="n"/>
      <c r="ETS14" s="2" t="n"/>
      <c r="ETT14" s="2" t="n"/>
      <c r="ETU14" s="2" t="n"/>
      <c r="ETV14" s="2" t="n"/>
      <c r="ETW14" s="2" t="n"/>
      <c r="ETX14" s="2" t="n"/>
      <c r="ETY14" s="2" t="n"/>
      <c r="ETZ14" s="2" t="n"/>
      <c r="EUA14" s="2" t="n"/>
      <c r="EUB14" s="2" t="n"/>
      <c r="EUC14" s="2" t="n"/>
      <c r="EUD14" s="2" t="n"/>
      <c r="EUE14" s="2" t="n"/>
      <c r="EUF14" s="2" t="n"/>
      <c r="EUG14" s="2" t="n"/>
      <c r="EUH14" s="2" t="n"/>
      <c r="EUI14" s="2" t="n"/>
      <c r="EUJ14" s="2" t="n"/>
      <c r="EUK14" s="2" t="n"/>
      <c r="EUL14" s="2" t="n"/>
      <c r="EUM14" s="2" t="n"/>
      <c r="EUN14" s="2" t="n"/>
      <c r="EUO14" s="2" t="n"/>
      <c r="EUP14" s="2" t="n"/>
      <c r="EUQ14" s="2" t="n"/>
      <c r="EUR14" s="2" t="n"/>
      <c r="EUS14" s="2" t="n"/>
      <c r="EUT14" s="2" t="n"/>
      <c r="EUU14" s="2" t="n"/>
      <c r="EUV14" s="2" t="n"/>
      <c r="EUW14" s="2" t="n"/>
      <c r="EUX14" s="2" t="n"/>
      <c r="EUY14" s="2" t="n"/>
      <c r="EUZ14" s="2" t="n"/>
      <c r="EVA14" s="2" t="n"/>
      <c r="EVB14" s="2" t="n"/>
      <c r="EVC14" s="2" t="n"/>
      <c r="EVD14" s="2" t="n"/>
      <c r="EVE14" s="2" t="n"/>
      <c r="EVF14" s="2" t="n"/>
      <c r="EVG14" s="2" t="n"/>
      <c r="EVH14" s="2" t="n"/>
      <c r="EVI14" s="2" t="n"/>
      <c r="EVJ14" s="2" t="n"/>
      <c r="EVK14" s="2" t="n"/>
      <c r="EVL14" s="2" t="n"/>
      <c r="EVM14" s="2" t="n"/>
      <c r="EVN14" s="2" t="n"/>
      <c r="EVO14" s="2" t="n"/>
      <c r="EVP14" s="2" t="n"/>
      <c r="EVQ14" s="2" t="n"/>
      <c r="EVR14" s="2" t="n"/>
      <c r="EVS14" s="2" t="n"/>
      <c r="EVT14" s="2" t="n"/>
      <c r="EVU14" s="2" t="n"/>
      <c r="EVV14" s="2" t="n"/>
      <c r="EVW14" s="2" t="n"/>
      <c r="EVX14" s="2" t="n"/>
      <c r="EVY14" s="2" t="n"/>
      <c r="EVZ14" s="2" t="n"/>
      <c r="EWA14" s="2" t="n"/>
      <c r="EWB14" s="2" t="n"/>
      <c r="EWC14" s="2" t="n"/>
      <c r="EWD14" s="2" t="n"/>
      <c r="EWE14" s="2" t="n"/>
      <c r="EWF14" s="2" t="n"/>
      <c r="EWG14" s="2" t="n"/>
      <c r="EWH14" s="2" t="n"/>
      <c r="EWI14" s="2" t="n"/>
      <c r="EWJ14" s="2" t="n"/>
      <c r="EWK14" s="2" t="n"/>
      <c r="EWL14" s="2" t="n"/>
      <c r="EWM14" s="2" t="n"/>
      <c r="EWN14" s="2" t="n"/>
      <c r="EWO14" s="2" t="n"/>
      <c r="EWP14" s="2" t="n"/>
      <c r="EWQ14" s="2" t="n"/>
      <c r="EWR14" s="2" t="n"/>
      <c r="EWS14" s="2" t="n"/>
      <c r="EWT14" s="2" t="n"/>
      <c r="EWU14" s="2" t="n"/>
      <c r="EWV14" s="2" t="n"/>
      <c r="EWW14" s="2" t="n"/>
      <c r="EWX14" s="2" t="n"/>
      <c r="EWY14" s="2" t="n"/>
      <c r="EWZ14" s="2" t="n"/>
      <c r="EXA14" s="2" t="n"/>
      <c r="EXB14" s="2" t="n"/>
      <c r="EXC14" s="2" t="n"/>
      <c r="EXD14" s="2" t="n"/>
      <c r="EXE14" s="2" t="n"/>
      <c r="EXF14" s="2" t="n"/>
      <c r="EXG14" s="2" t="n"/>
      <c r="EXH14" s="2" t="n"/>
      <c r="EXI14" s="2" t="n"/>
      <c r="EXJ14" s="2" t="n"/>
      <c r="EXK14" s="2" t="n"/>
      <c r="EXL14" s="2" t="n"/>
      <c r="EXM14" s="2" t="n"/>
      <c r="EXN14" s="2" t="n"/>
      <c r="EXO14" s="2" t="n"/>
      <c r="EXP14" s="2" t="n"/>
      <c r="EXQ14" s="2" t="n"/>
      <c r="EXR14" s="2" t="n"/>
      <c r="EXS14" s="2" t="n"/>
      <c r="EXT14" s="2" t="n"/>
      <c r="EXU14" s="2" t="n"/>
      <c r="EXV14" s="2" t="n"/>
      <c r="EXW14" s="2" t="n"/>
      <c r="EXX14" s="2" t="n"/>
      <c r="EXY14" s="2" t="n"/>
      <c r="EXZ14" s="2" t="n"/>
      <c r="EYA14" s="2" t="n"/>
      <c r="EYB14" s="2" t="n"/>
      <c r="EYC14" s="2" t="n"/>
      <c r="EYD14" s="2" t="n"/>
      <c r="EYE14" s="2" t="n"/>
      <c r="EYF14" s="2" t="n"/>
      <c r="EYG14" s="2" t="n"/>
      <c r="EYH14" s="2" t="n"/>
      <c r="EYI14" s="2" t="n"/>
      <c r="EYJ14" s="2" t="n"/>
      <c r="EYK14" s="2" t="n"/>
      <c r="EYL14" s="2" t="n"/>
      <c r="EYM14" s="2" t="n"/>
      <c r="EYN14" s="2" t="n"/>
      <c r="EYO14" s="2" t="n"/>
      <c r="EYP14" s="2" t="n"/>
      <c r="EYQ14" s="2" t="n"/>
      <c r="EYR14" s="2" t="n"/>
      <c r="EYS14" s="2" t="n"/>
      <c r="EYT14" s="2" t="n"/>
      <c r="EYU14" s="2" t="n"/>
      <c r="EYV14" s="2" t="n"/>
      <c r="EYW14" s="2" t="n"/>
      <c r="EYX14" s="2" t="n"/>
      <c r="EYY14" s="2" t="n"/>
      <c r="EYZ14" s="2" t="n"/>
      <c r="EZA14" s="2" t="n"/>
      <c r="EZB14" s="2" t="n"/>
      <c r="EZC14" s="2" t="n"/>
      <c r="EZD14" s="2" t="n"/>
      <c r="EZE14" s="2" t="n"/>
      <c r="EZF14" s="2" t="n"/>
      <c r="EZG14" s="2" t="n"/>
      <c r="EZH14" s="2" t="n"/>
      <c r="EZI14" s="2" t="n"/>
      <c r="EZJ14" s="2" t="n"/>
      <c r="EZK14" s="2" t="n"/>
      <c r="EZL14" s="2" t="n"/>
      <c r="EZM14" s="2" t="n"/>
      <c r="EZN14" s="2" t="n"/>
      <c r="EZO14" s="2" t="n"/>
      <c r="EZP14" s="2" t="n"/>
      <c r="EZQ14" s="2" t="n"/>
      <c r="EZR14" s="2" t="n"/>
      <c r="EZS14" s="2" t="n"/>
      <c r="EZT14" s="2" t="n"/>
      <c r="EZU14" s="2" t="n"/>
      <c r="EZV14" s="2" t="n"/>
      <c r="EZW14" s="2" t="n"/>
      <c r="EZX14" s="2" t="n"/>
      <c r="EZY14" s="2" t="n"/>
      <c r="EZZ14" s="2" t="n"/>
      <c r="FAA14" s="2" t="n"/>
      <c r="FAB14" s="2" t="n"/>
      <c r="FAC14" s="2" t="n"/>
      <c r="FAD14" s="2" t="n"/>
      <c r="FAE14" s="2" t="n"/>
      <c r="FAF14" s="2" t="n"/>
      <c r="FAG14" s="2" t="n"/>
      <c r="FAH14" s="2" t="n"/>
      <c r="FAI14" s="2" t="n"/>
      <c r="FAJ14" s="2" t="n"/>
      <c r="FAK14" s="2" t="n"/>
      <c r="FAL14" s="2" t="n"/>
      <c r="FAM14" s="2" t="n"/>
      <c r="FAN14" s="2" t="n"/>
      <c r="FAO14" s="2" t="n"/>
      <c r="FAP14" s="2" t="n"/>
      <c r="FAQ14" s="2" t="n"/>
      <c r="FAR14" s="2" t="n"/>
      <c r="FAS14" s="2" t="n"/>
      <c r="FAT14" s="2" t="n"/>
      <c r="FAU14" s="2" t="n"/>
      <c r="FAV14" s="2" t="n"/>
      <c r="FAW14" s="2" t="n"/>
      <c r="FAX14" s="2" t="n"/>
      <c r="FAY14" s="2" t="n"/>
      <c r="FAZ14" s="2" t="n"/>
      <c r="FBA14" s="2" t="n"/>
      <c r="FBB14" s="2" t="n"/>
      <c r="FBC14" s="2" t="n"/>
      <c r="FBD14" s="2" t="n"/>
      <c r="FBE14" s="2" t="n"/>
      <c r="FBF14" s="2" t="n"/>
      <c r="FBG14" s="2" t="n"/>
      <c r="FBH14" s="2" t="n"/>
      <c r="FBI14" s="2" t="n"/>
      <c r="FBJ14" s="2" t="n"/>
      <c r="FBK14" s="2" t="n"/>
      <c r="FBL14" s="2" t="n"/>
      <c r="FBM14" s="2" t="n"/>
      <c r="FBN14" s="2" t="n"/>
      <c r="FBO14" s="2" t="n"/>
      <c r="FBP14" s="2" t="n"/>
      <c r="FBQ14" s="2" t="n"/>
      <c r="FBR14" s="2" t="n"/>
      <c r="FBS14" s="2" t="n"/>
      <c r="FBT14" s="2" t="n"/>
      <c r="FBU14" s="2" t="n"/>
      <c r="FBV14" s="2" t="n"/>
      <c r="FBW14" s="2" t="n"/>
      <c r="FBX14" s="2" t="n"/>
      <c r="FBY14" s="2" t="n"/>
      <c r="FBZ14" s="2" t="n"/>
      <c r="FCA14" s="2" t="n"/>
      <c r="FCB14" s="2" t="n"/>
      <c r="FCC14" s="2" t="n"/>
      <c r="FCD14" s="2" t="n"/>
      <c r="FCE14" s="2" t="n"/>
      <c r="FCF14" s="2" t="n"/>
      <c r="FCG14" s="2" t="n"/>
      <c r="FCH14" s="2" t="n"/>
      <c r="FCI14" s="2" t="n"/>
      <c r="FCJ14" s="2" t="n"/>
      <c r="FCK14" s="2" t="n"/>
      <c r="FCL14" s="2" t="n"/>
      <c r="FCM14" s="2" t="n"/>
      <c r="FCN14" s="2" t="n"/>
      <c r="FCO14" s="2" t="n"/>
      <c r="FCP14" s="2" t="n"/>
      <c r="FCQ14" s="2" t="n"/>
      <c r="FCR14" s="2" t="n"/>
      <c r="FCS14" s="2" t="n"/>
      <c r="FCT14" s="2" t="n"/>
      <c r="FCU14" s="2" t="n"/>
      <c r="FCV14" s="2" t="n"/>
      <c r="FCW14" s="2" t="n"/>
      <c r="FCX14" s="2" t="n"/>
      <c r="FCY14" s="2" t="n"/>
      <c r="FCZ14" s="2" t="n"/>
      <c r="FDA14" s="2" t="n"/>
      <c r="FDB14" s="2" t="n"/>
      <c r="FDC14" s="2" t="n"/>
      <c r="FDD14" s="2" t="n"/>
      <c r="FDE14" s="2" t="n"/>
      <c r="FDF14" s="2" t="n"/>
      <c r="FDG14" s="2" t="n"/>
      <c r="FDH14" s="2" t="n"/>
      <c r="FDI14" s="2" t="n"/>
      <c r="FDJ14" s="2" t="n"/>
      <c r="FDK14" s="2" t="n"/>
      <c r="FDL14" s="2" t="n"/>
      <c r="FDM14" s="2" t="n"/>
      <c r="FDN14" s="2" t="n"/>
      <c r="FDO14" s="2" t="n"/>
      <c r="FDP14" s="2" t="n"/>
      <c r="FDQ14" s="2" t="n"/>
      <c r="FDR14" s="2" t="n"/>
      <c r="FDS14" s="2" t="n"/>
      <c r="FDT14" s="2" t="n"/>
      <c r="FDU14" s="2" t="n"/>
      <c r="FDV14" s="2" t="n"/>
      <c r="FDW14" s="2" t="n"/>
      <c r="FDX14" s="2" t="n"/>
      <c r="FDY14" s="2" t="n"/>
      <c r="FDZ14" s="2" t="n"/>
      <c r="FEA14" s="2" t="n"/>
      <c r="FEB14" s="2" t="n"/>
      <c r="FEC14" s="2" t="n"/>
      <c r="FED14" s="2" t="n"/>
      <c r="FEE14" s="2" t="n"/>
      <c r="FEF14" s="2" t="n"/>
      <c r="FEG14" s="2" t="n"/>
      <c r="FEH14" s="2" t="n"/>
      <c r="FEI14" s="2" t="n"/>
      <c r="FEJ14" s="2" t="n"/>
      <c r="FEK14" s="2" t="n"/>
      <c r="FEL14" s="2" t="n"/>
      <c r="FEM14" s="2" t="n"/>
      <c r="FEN14" s="2" t="n"/>
      <c r="FEO14" s="2" t="n"/>
      <c r="FEP14" s="2" t="n"/>
      <c r="FEQ14" s="2" t="n"/>
      <c r="FER14" s="2" t="n"/>
      <c r="FES14" s="2" t="n"/>
      <c r="FET14" s="2" t="n"/>
      <c r="FEU14" s="2" t="n"/>
      <c r="FEV14" s="2" t="n"/>
      <c r="FEW14" s="2" t="n"/>
      <c r="FEX14" s="2" t="n"/>
      <c r="FEY14" s="2" t="n"/>
      <c r="FEZ14" s="2" t="n"/>
      <c r="FFA14" s="2" t="n"/>
      <c r="FFB14" s="2" t="n"/>
      <c r="FFC14" s="2" t="n"/>
      <c r="FFD14" s="2" t="n"/>
      <c r="FFE14" s="2" t="n"/>
      <c r="FFF14" s="2" t="n"/>
      <c r="FFG14" s="2" t="n"/>
      <c r="FFH14" s="2" t="n"/>
      <c r="FFI14" s="2" t="n"/>
      <c r="FFJ14" s="2" t="n"/>
      <c r="FFK14" s="2" t="n"/>
      <c r="FFL14" s="2" t="n"/>
      <c r="FFM14" s="2" t="n"/>
      <c r="FFN14" s="2" t="n"/>
      <c r="FFO14" s="2" t="n"/>
      <c r="FFP14" s="2" t="n"/>
      <c r="FFQ14" s="2" t="n"/>
      <c r="FFR14" s="2" t="n"/>
      <c r="FFS14" s="2" t="n"/>
      <c r="FFT14" s="2" t="n"/>
      <c r="FFU14" s="2" t="n"/>
      <c r="FFV14" s="2" t="n"/>
      <c r="FFW14" s="2" t="n"/>
      <c r="FFX14" s="2" t="n"/>
      <c r="FFY14" s="2" t="n"/>
      <c r="FFZ14" s="2" t="n"/>
      <c r="FGA14" s="2" t="n"/>
      <c r="FGB14" s="2" t="n"/>
      <c r="FGC14" s="2" t="n"/>
      <c r="FGD14" s="2" t="n"/>
      <c r="FGE14" s="2" t="n"/>
      <c r="FGF14" s="2" t="n"/>
      <c r="FGG14" s="2" t="n"/>
      <c r="FGH14" s="2" t="n"/>
      <c r="FGI14" s="2" t="n"/>
      <c r="FGJ14" s="2" t="n"/>
      <c r="FGK14" s="2" t="n"/>
      <c r="FGL14" s="2" t="n"/>
      <c r="FGM14" s="2" t="n"/>
      <c r="FGN14" s="2" t="n"/>
      <c r="FGO14" s="2" t="n"/>
      <c r="FGP14" s="2" t="n"/>
      <c r="FGQ14" s="2" t="n"/>
      <c r="FGR14" s="2" t="n"/>
      <c r="FGS14" s="2" t="n"/>
      <c r="FGT14" s="2" t="n"/>
      <c r="FGU14" s="2" t="n"/>
      <c r="FGV14" s="2" t="n"/>
      <c r="FGW14" s="2" t="n"/>
      <c r="FGX14" s="2" t="n"/>
      <c r="FGY14" s="2" t="n"/>
      <c r="FGZ14" s="2" t="n"/>
      <c r="FHA14" s="2" t="n"/>
      <c r="FHB14" s="2" t="n"/>
      <c r="FHC14" s="2" t="n"/>
      <c r="FHD14" s="2" t="n"/>
      <c r="FHE14" s="2" t="n"/>
      <c r="FHF14" s="2" t="n"/>
      <c r="FHG14" s="2" t="n"/>
      <c r="FHH14" s="2" t="n"/>
      <c r="FHI14" s="2" t="n"/>
      <c r="FHJ14" s="2" t="n"/>
      <c r="FHK14" s="2" t="n"/>
      <c r="FHL14" s="2" t="n"/>
      <c r="FHM14" s="2" t="n"/>
      <c r="FHN14" s="2" t="n"/>
      <c r="FHO14" s="2" t="n"/>
      <c r="FHP14" s="2" t="n"/>
      <c r="FHQ14" s="2" t="n"/>
      <c r="FHR14" s="2" t="n"/>
      <c r="FHS14" s="2" t="n"/>
      <c r="FHT14" s="2" t="n"/>
      <c r="FHU14" s="2" t="n"/>
      <c r="FHV14" s="2" t="n"/>
      <c r="FHW14" s="2" t="n"/>
      <c r="FHX14" s="2" t="n"/>
      <c r="FHY14" s="2" t="n"/>
      <c r="FHZ14" s="2" t="n"/>
      <c r="FIA14" s="2" t="n"/>
      <c r="FIB14" s="2" t="n"/>
      <c r="FIC14" s="2" t="n"/>
      <c r="FID14" s="2" t="n"/>
      <c r="FIE14" s="2" t="n"/>
      <c r="FIF14" s="2" t="n"/>
      <c r="FIG14" s="2" t="n"/>
      <c r="FIH14" s="2" t="n"/>
      <c r="FII14" s="2" t="n"/>
      <c r="FIJ14" s="2" t="n"/>
      <c r="FIK14" s="2" t="n"/>
      <c r="FIL14" s="2" t="n"/>
      <c r="FIM14" s="2" t="n"/>
      <c r="FIN14" s="2" t="n"/>
      <c r="FIO14" s="2" t="n"/>
      <c r="FIP14" s="2" t="n"/>
      <c r="FIQ14" s="2" t="n"/>
      <c r="FIR14" s="2" t="n"/>
      <c r="FIS14" s="2" t="n"/>
      <c r="FIT14" s="2" t="n"/>
      <c r="FIU14" s="2" t="n"/>
      <c r="FIV14" s="2" t="n"/>
      <c r="FIW14" s="2" t="n"/>
      <c r="FIX14" s="2" t="n"/>
      <c r="FIY14" s="2" t="n"/>
      <c r="FIZ14" s="2" t="n"/>
      <c r="FJA14" s="2" t="n"/>
      <c r="FJB14" s="2" t="n"/>
      <c r="FJC14" s="2" t="n"/>
      <c r="FJD14" s="2" t="n"/>
      <c r="FJE14" s="2" t="n"/>
      <c r="FJF14" s="2" t="n"/>
      <c r="FJG14" s="2" t="n"/>
      <c r="FJH14" s="2" t="n"/>
      <c r="FJI14" s="2" t="n"/>
      <c r="FJJ14" s="2" t="n"/>
      <c r="FJK14" s="2" t="n"/>
      <c r="FJL14" s="2" t="n"/>
      <c r="FJM14" s="2" t="n"/>
      <c r="FJN14" s="2" t="n"/>
      <c r="FJO14" s="2" t="n"/>
      <c r="FJP14" s="2" t="n"/>
      <c r="FJQ14" s="2" t="n"/>
      <c r="FJR14" s="2" t="n"/>
      <c r="FJS14" s="2" t="n"/>
      <c r="FJT14" s="2" t="n"/>
      <c r="FJU14" s="2" t="n"/>
      <c r="FJV14" s="2" t="n"/>
      <c r="FJW14" s="2" t="n"/>
      <c r="FJX14" s="2" t="n"/>
      <c r="FJY14" s="2" t="n"/>
      <c r="FJZ14" s="2" t="n"/>
      <c r="FKA14" s="2" t="n"/>
      <c r="FKB14" s="2" t="n"/>
      <c r="FKC14" s="2" t="n"/>
      <c r="FKD14" s="2" t="n"/>
      <c r="FKE14" s="2" t="n"/>
      <c r="FKF14" s="2" t="n"/>
      <c r="FKG14" s="2" t="n"/>
      <c r="FKH14" s="2" t="n"/>
      <c r="FKI14" s="2" t="n"/>
      <c r="FKJ14" s="2" t="n"/>
      <c r="FKK14" s="2" t="n"/>
      <c r="FKL14" s="2" t="n"/>
      <c r="FKM14" s="2" t="n"/>
      <c r="FKN14" s="2" t="n"/>
      <c r="FKO14" s="2" t="n"/>
      <c r="FKP14" s="2" t="n"/>
      <c r="FKQ14" s="2" t="n"/>
      <c r="FKR14" s="2" t="n"/>
      <c r="FKS14" s="2" t="n"/>
      <c r="FKT14" s="2" t="n"/>
      <c r="FKU14" s="2" t="n"/>
      <c r="FKV14" s="2" t="n"/>
      <c r="FKW14" s="2" t="n"/>
      <c r="FKX14" s="2" t="n"/>
      <c r="FKY14" s="2" t="n"/>
      <c r="FKZ14" s="2" t="n"/>
      <c r="FLA14" s="2" t="n"/>
      <c r="FLB14" s="2" t="n"/>
      <c r="FLC14" s="2" t="n"/>
      <c r="FLD14" s="2" t="n"/>
      <c r="FLE14" s="2" t="n"/>
      <c r="FLF14" s="2" t="n"/>
      <c r="FLG14" s="2" t="n"/>
      <c r="FLH14" s="2" t="n"/>
      <c r="FLI14" s="2" t="n"/>
      <c r="FLJ14" s="2" t="n"/>
      <c r="FLK14" s="2" t="n"/>
      <c r="FLL14" s="2" t="n"/>
      <c r="FLM14" s="2" t="n"/>
      <c r="FLN14" s="2" t="n"/>
      <c r="FLO14" s="2" t="n"/>
      <c r="FLP14" s="2" t="n"/>
      <c r="FLQ14" s="2" t="n"/>
      <c r="FLR14" s="2" t="n"/>
      <c r="FLS14" s="2" t="n"/>
      <c r="FLT14" s="2" t="n"/>
      <c r="FLU14" s="2" t="n"/>
      <c r="FLV14" s="2" t="n"/>
      <c r="FLW14" s="2" t="n"/>
      <c r="FLX14" s="2" t="n"/>
      <c r="FLY14" s="2" t="n"/>
      <c r="FLZ14" s="2" t="n"/>
      <c r="FMA14" s="2" t="n"/>
      <c r="FMB14" s="2" t="n"/>
      <c r="FMC14" s="2" t="n"/>
      <c r="FMD14" s="2" t="n"/>
      <c r="FME14" s="2" t="n"/>
      <c r="FMF14" s="2" t="n"/>
      <c r="FMG14" s="2" t="n"/>
      <c r="FMH14" s="2" t="n"/>
      <c r="FMI14" s="2" t="n"/>
      <c r="FMJ14" s="2" t="n"/>
      <c r="FMK14" s="2" t="n"/>
      <c r="FML14" s="2" t="n"/>
      <c r="FMM14" s="2" t="n"/>
      <c r="FMN14" s="2" t="n"/>
      <c r="FMO14" s="2" t="n"/>
      <c r="FMP14" s="2" t="n"/>
      <c r="FMQ14" s="2" t="n"/>
      <c r="FMR14" s="2" t="n"/>
      <c r="FMS14" s="2" t="n"/>
      <c r="FMT14" s="2" t="n"/>
      <c r="FMU14" s="2" t="n"/>
      <c r="FMV14" s="2" t="n"/>
      <c r="FMW14" s="2" t="n"/>
      <c r="FMX14" s="2" t="n"/>
      <c r="FMY14" s="2" t="n"/>
      <c r="FMZ14" s="2" t="n"/>
      <c r="FNA14" s="2" t="n"/>
      <c r="FNB14" s="2" t="n"/>
      <c r="FNC14" s="2" t="n"/>
      <c r="FND14" s="2" t="n"/>
      <c r="FNE14" s="2" t="n"/>
      <c r="FNF14" s="2" t="n"/>
      <c r="FNG14" s="2" t="n"/>
      <c r="FNH14" s="2" t="n"/>
      <c r="FNI14" s="2" t="n"/>
      <c r="FNJ14" s="2" t="n"/>
      <c r="FNK14" s="2" t="n"/>
      <c r="FNL14" s="2" t="n"/>
      <c r="FNM14" s="2" t="n"/>
      <c r="FNN14" s="2" t="n"/>
      <c r="FNO14" s="2" t="n"/>
      <c r="FNP14" s="2" t="n"/>
      <c r="FNQ14" s="2" t="n"/>
      <c r="FNR14" s="2" t="n"/>
      <c r="FNS14" s="2" t="n"/>
      <c r="FNT14" s="2" t="n"/>
      <c r="FNU14" s="2" t="n"/>
      <c r="FNV14" s="2" t="n"/>
      <c r="FNW14" s="2" t="n"/>
      <c r="FNX14" s="2" t="n"/>
      <c r="FNY14" s="2" t="n"/>
      <c r="FNZ14" s="2" t="n"/>
      <c r="FOA14" s="2" t="n"/>
      <c r="FOB14" s="2" t="n"/>
      <c r="FOC14" s="2" t="n"/>
      <c r="FOD14" s="2" t="n"/>
      <c r="FOE14" s="2" t="n"/>
      <c r="FOF14" s="2" t="n"/>
      <c r="FOG14" s="2" t="n"/>
      <c r="FOH14" s="2" t="n"/>
      <c r="FOI14" s="2" t="n"/>
      <c r="FOJ14" s="2" t="n"/>
      <c r="FOK14" s="2" t="n"/>
      <c r="FOL14" s="2" t="n"/>
      <c r="FOM14" s="2" t="n"/>
      <c r="FON14" s="2" t="n"/>
      <c r="FOO14" s="2" t="n"/>
      <c r="FOP14" s="2" t="n"/>
      <c r="FOQ14" s="2" t="n"/>
      <c r="FOR14" s="2" t="n"/>
      <c r="FOS14" s="2" t="n"/>
      <c r="FOT14" s="2" t="n"/>
      <c r="FOU14" s="2" t="n"/>
      <c r="FOV14" s="2" t="n"/>
      <c r="FOW14" s="2" t="n"/>
      <c r="FOX14" s="2" t="n"/>
      <c r="FOY14" s="2" t="n"/>
      <c r="FOZ14" s="2" t="n"/>
      <c r="FPA14" s="2" t="n"/>
      <c r="FPB14" s="2" t="n"/>
      <c r="FPC14" s="2" t="n"/>
      <c r="FPD14" s="2" t="n"/>
      <c r="FPE14" s="2" t="n"/>
      <c r="FPF14" s="2" t="n"/>
      <c r="FPG14" s="2" t="n"/>
      <c r="FPH14" s="2" t="n"/>
      <c r="FPI14" s="2" t="n"/>
      <c r="FPJ14" s="2" t="n"/>
      <c r="FPK14" s="2" t="n"/>
      <c r="FPL14" s="2" t="n"/>
      <c r="FPM14" s="2" t="n"/>
      <c r="FPN14" s="2" t="n"/>
      <c r="FPO14" s="2" t="n"/>
      <c r="FPP14" s="2" t="n"/>
      <c r="FPQ14" s="2" t="n"/>
      <c r="FPR14" s="2" t="n"/>
      <c r="FPS14" s="2" t="n"/>
      <c r="FPT14" s="2" t="n"/>
      <c r="FPU14" s="2" t="n"/>
      <c r="FPV14" s="2" t="n"/>
      <c r="FPW14" s="2" t="n"/>
      <c r="FPX14" s="2" t="n"/>
      <c r="FPY14" s="2" t="n"/>
      <c r="FPZ14" s="2" t="n"/>
      <c r="FQA14" s="2" t="n"/>
      <c r="FQB14" s="2" t="n"/>
      <c r="FQC14" s="2" t="n"/>
      <c r="FQD14" s="2" t="n"/>
      <c r="FQE14" s="2" t="n"/>
      <c r="FQF14" s="2" t="n"/>
      <c r="FQG14" s="2" t="n"/>
      <c r="FQH14" s="2" t="n"/>
      <c r="FQI14" s="2" t="n"/>
      <c r="FQJ14" s="2" t="n"/>
      <c r="FQK14" s="2" t="n"/>
      <c r="FQL14" s="2" t="n"/>
      <c r="FQM14" s="2" t="n"/>
      <c r="FQN14" s="2" t="n"/>
      <c r="FQO14" s="2" t="n"/>
      <c r="FQP14" s="2" t="n"/>
      <c r="FQQ14" s="2" t="n"/>
      <c r="FQR14" s="2" t="n"/>
      <c r="FQS14" s="2" t="n"/>
      <c r="FQT14" s="2" t="n"/>
      <c r="FQU14" s="2" t="n"/>
      <c r="FQV14" s="2" t="n"/>
      <c r="FQW14" s="2" t="n"/>
      <c r="FQX14" s="2" t="n"/>
      <c r="FQY14" s="2" t="n"/>
      <c r="FQZ14" s="2" t="n"/>
      <c r="FRA14" s="2" t="n"/>
      <c r="FRB14" s="2" t="n"/>
      <c r="FRC14" s="2" t="n"/>
      <c r="FRD14" s="2" t="n"/>
      <c r="FRE14" s="2" t="n"/>
      <c r="FRF14" s="2" t="n"/>
      <c r="FRG14" s="2" t="n"/>
      <c r="FRH14" s="2" t="n"/>
      <c r="FRI14" s="2" t="n"/>
      <c r="FRJ14" s="2" t="n"/>
      <c r="FRK14" s="2" t="n"/>
      <c r="FRL14" s="2" t="n"/>
      <c r="FRM14" s="2" t="n"/>
      <c r="FRN14" s="2" t="n"/>
      <c r="FRO14" s="2" t="n"/>
      <c r="FRP14" s="2" t="n"/>
      <c r="FRQ14" s="2" t="n"/>
      <c r="FRR14" s="2" t="n"/>
      <c r="FRS14" s="2" t="n"/>
      <c r="FRT14" s="2" t="n"/>
      <c r="FRU14" s="2" t="n"/>
      <c r="FRV14" s="2" t="n"/>
      <c r="FRW14" s="2" t="n"/>
      <c r="FRX14" s="2" t="n"/>
      <c r="FRY14" s="2" t="n"/>
      <c r="FRZ14" s="2" t="n"/>
      <c r="FSA14" s="2" t="n"/>
      <c r="FSB14" s="2" t="n"/>
      <c r="FSC14" s="2" t="n"/>
      <c r="FSD14" s="2" t="n"/>
      <c r="FSE14" s="2" t="n"/>
      <c r="FSF14" s="2" t="n"/>
      <c r="FSG14" s="2" t="n"/>
      <c r="FSH14" s="2" t="n"/>
      <c r="FSI14" s="2" t="n"/>
      <c r="FSJ14" s="2" t="n"/>
      <c r="FSK14" s="2" t="n"/>
      <c r="FSL14" s="2" t="n"/>
      <c r="FSM14" s="2" t="n"/>
      <c r="FSN14" s="2" t="n"/>
      <c r="FSO14" s="2" t="n"/>
      <c r="FSP14" s="2" t="n"/>
      <c r="FSQ14" s="2" t="n"/>
      <c r="FSR14" s="2" t="n"/>
      <c r="FSS14" s="2" t="n"/>
      <c r="FST14" s="2" t="n"/>
      <c r="FSU14" s="2" t="n"/>
      <c r="FSV14" s="2" t="n"/>
      <c r="FSW14" s="2" t="n"/>
      <c r="FSX14" s="2" t="n"/>
      <c r="FSY14" s="2" t="n"/>
      <c r="FSZ14" s="2" t="n"/>
      <c r="FTA14" s="2" t="n"/>
      <c r="FTB14" s="2" t="n"/>
      <c r="FTC14" s="2" t="n"/>
      <c r="FTD14" s="2" t="n"/>
      <c r="FTE14" s="2" t="n"/>
      <c r="FTF14" s="2" t="n"/>
      <c r="FTG14" s="2" t="n"/>
      <c r="FTH14" s="2" t="n"/>
      <c r="FTI14" s="2" t="n"/>
      <c r="FTJ14" s="2" t="n"/>
      <c r="FTK14" s="2" t="n"/>
      <c r="FTL14" s="2" t="n"/>
      <c r="FTM14" s="2" t="n"/>
      <c r="FTN14" s="2" t="n"/>
      <c r="FTO14" s="2" t="n"/>
      <c r="FTP14" s="2" t="n"/>
      <c r="FTQ14" s="2" t="n"/>
      <c r="FTR14" s="2" t="n"/>
      <c r="FTS14" s="2" t="n"/>
      <c r="FTT14" s="2" t="n"/>
      <c r="FTU14" s="2" t="n"/>
      <c r="FTV14" s="2" t="n"/>
      <c r="FTW14" s="2" t="n"/>
      <c r="FTX14" s="2" t="n"/>
      <c r="FTY14" s="2" t="n"/>
      <c r="FTZ14" s="2" t="n"/>
      <c r="FUA14" s="2" t="n"/>
      <c r="FUB14" s="2" t="n"/>
      <c r="FUC14" s="2" t="n"/>
      <c r="FUD14" s="2" t="n"/>
      <c r="FUE14" s="2" t="n"/>
      <c r="FUF14" s="2" t="n"/>
      <c r="FUG14" s="2" t="n"/>
      <c r="FUH14" s="2" t="n"/>
      <c r="FUI14" s="2" t="n"/>
      <c r="FUJ14" s="2" t="n"/>
      <c r="FUK14" s="2" t="n"/>
      <c r="FUL14" s="2" t="n"/>
      <c r="FUM14" s="2" t="n"/>
      <c r="FUN14" s="2" t="n"/>
      <c r="FUO14" s="2" t="n"/>
      <c r="FUP14" s="2" t="n"/>
      <c r="FUQ14" s="2" t="n"/>
      <c r="FUR14" s="2" t="n"/>
      <c r="FUS14" s="2" t="n"/>
      <c r="FUT14" s="2" t="n"/>
      <c r="FUU14" s="2" t="n"/>
      <c r="FUV14" s="2" t="n"/>
      <c r="FUW14" s="2" t="n"/>
      <c r="FUX14" s="2" t="n"/>
      <c r="FUY14" s="2" t="n"/>
      <c r="FUZ14" s="2" t="n"/>
      <c r="FVA14" s="2" t="n"/>
      <c r="FVB14" s="2" t="n"/>
      <c r="FVC14" s="2" t="n"/>
      <c r="FVD14" s="2" t="n"/>
      <c r="FVE14" s="2" t="n"/>
      <c r="FVF14" s="2" t="n"/>
      <c r="FVG14" s="2" t="n"/>
      <c r="FVH14" s="2" t="n"/>
      <c r="FVI14" s="2" t="n"/>
      <c r="FVJ14" s="2" t="n"/>
      <c r="FVK14" s="2" t="n"/>
      <c r="FVL14" s="2" t="n"/>
      <c r="FVM14" s="2" t="n"/>
      <c r="FVN14" s="2" t="n"/>
      <c r="FVO14" s="2" t="n"/>
      <c r="FVP14" s="2" t="n"/>
      <c r="FVQ14" s="2" t="n"/>
      <c r="FVR14" s="2" t="n"/>
      <c r="FVS14" s="2" t="n"/>
      <c r="FVT14" s="2" t="n"/>
      <c r="FVU14" s="2" t="n"/>
      <c r="FVV14" s="2" t="n"/>
      <c r="FVW14" s="2" t="n"/>
      <c r="FVX14" s="2" t="n"/>
      <c r="FVY14" s="2" t="n"/>
      <c r="FVZ14" s="2" t="n"/>
      <c r="FWA14" s="2" t="n"/>
      <c r="FWB14" s="2" t="n"/>
      <c r="FWC14" s="2" t="n"/>
      <c r="FWD14" s="2" t="n"/>
      <c r="FWE14" s="2" t="n"/>
      <c r="FWF14" s="2" t="n"/>
      <c r="FWG14" s="2" t="n"/>
      <c r="FWH14" s="2" t="n"/>
      <c r="FWI14" s="2" t="n"/>
      <c r="FWJ14" s="2" t="n"/>
      <c r="FWK14" s="2" t="n"/>
      <c r="FWL14" s="2" t="n"/>
      <c r="FWM14" s="2" t="n"/>
      <c r="FWN14" s="2" t="n"/>
      <c r="FWO14" s="2" t="n"/>
      <c r="FWP14" s="2" t="n"/>
      <c r="FWQ14" s="2" t="n"/>
      <c r="FWR14" s="2" t="n"/>
      <c r="FWS14" s="2" t="n"/>
      <c r="FWT14" s="2" t="n"/>
      <c r="FWU14" s="2" t="n"/>
      <c r="FWV14" s="2" t="n"/>
      <c r="FWW14" s="2" t="n"/>
      <c r="FWX14" s="2" t="n"/>
      <c r="FWY14" s="2" t="n"/>
      <c r="FWZ14" s="2" t="n"/>
      <c r="FXA14" s="2" t="n"/>
      <c r="FXB14" s="2" t="n"/>
      <c r="FXC14" s="2" t="n"/>
      <c r="FXD14" s="2" t="n"/>
      <c r="FXE14" s="2" t="n"/>
      <c r="FXF14" s="2" t="n"/>
      <c r="FXG14" s="2" t="n"/>
      <c r="FXH14" s="2" t="n"/>
      <c r="FXI14" s="2" t="n"/>
      <c r="FXJ14" s="2" t="n"/>
      <c r="FXK14" s="2" t="n"/>
      <c r="FXL14" s="2" t="n"/>
      <c r="FXM14" s="2" t="n"/>
      <c r="FXN14" s="2" t="n"/>
      <c r="FXO14" s="2" t="n"/>
      <c r="FXP14" s="2" t="n"/>
      <c r="FXQ14" s="2" t="n"/>
      <c r="FXR14" s="2" t="n"/>
      <c r="FXS14" s="2" t="n"/>
      <c r="FXT14" s="2" t="n"/>
      <c r="FXU14" s="2" t="n"/>
      <c r="FXV14" s="2" t="n"/>
      <c r="FXW14" s="2" t="n"/>
      <c r="FXX14" s="2" t="n"/>
      <c r="FXY14" s="2" t="n"/>
      <c r="FXZ14" s="2" t="n"/>
      <c r="FYA14" s="2" t="n"/>
      <c r="FYB14" s="2" t="n"/>
      <c r="FYC14" s="2" t="n"/>
      <c r="FYD14" s="2" t="n"/>
      <c r="FYE14" s="2" t="n"/>
      <c r="FYF14" s="2" t="n"/>
      <c r="FYG14" s="2" t="n"/>
      <c r="FYH14" s="2" t="n"/>
      <c r="FYI14" s="2" t="n"/>
      <c r="FYJ14" s="2" t="n"/>
      <c r="FYK14" s="2" t="n"/>
      <c r="FYL14" s="2" t="n"/>
      <c r="FYM14" s="2" t="n"/>
      <c r="FYN14" s="2" t="n"/>
      <c r="FYO14" s="2" t="n"/>
      <c r="FYP14" s="2" t="n"/>
      <c r="FYQ14" s="2" t="n"/>
      <c r="FYR14" s="2" t="n"/>
      <c r="FYS14" s="2" t="n"/>
      <c r="FYT14" s="2" t="n"/>
      <c r="FYU14" s="2" t="n"/>
      <c r="FYV14" s="2" t="n"/>
      <c r="FYW14" s="2" t="n"/>
      <c r="FYX14" s="2" t="n"/>
      <c r="FYY14" s="2" t="n"/>
      <c r="FYZ14" s="2" t="n"/>
      <c r="FZA14" s="2" t="n"/>
      <c r="FZB14" s="2" t="n"/>
      <c r="FZC14" s="2" t="n"/>
      <c r="FZD14" s="2" t="n"/>
      <c r="FZE14" s="2" t="n"/>
      <c r="FZF14" s="2" t="n"/>
      <c r="FZG14" s="2" t="n"/>
      <c r="FZH14" s="2" t="n"/>
      <c r="FZI14" s="2" t="n"/>
      <c r="FZJ14" s="2" t="n"/>
      <c r="FZK14" s="2" t="n"/>
      <c r="FZL14" s="2" t="n"/>
      <c r="FZM14" s="2" t="n"/>
      <c r="FZN14" s="2" t="n"/>
      <c r="FZO14" s="2" t="n"/>
      <c r="FZP14" s="2" t="n"/>
      <c r="FZQ14" s="2" t="n"/>
      <c r="FZR14" s="2" t="n"/>
      <c r="FZS14" s="2" t="n"/>
      <c r="FZT14" s="2" t="n"/>
      <c r="FZU14" s="2" t="n"/>
      <c r="FZV14" s="2" t="n"/>
      <c r="FZW14" s="2" t="n"/>
      <c r="FZX14" s="2" t="n"/>
      <c r="FZY14" s="2" t="n"/>
      <c r="FZZ14" s="2" t="n"/>
      <c r="GAA14" s="2" t="n"/>
      <c r="GAB14" s="2" t="n"/>
      <c r="GAC14" s="2" t="n"/>
      <c r="GAD14" s="2" t="n"/>
      <c r="GAE14" s="2" t="n"/>
      <c r="GAF14" s="2" t="n"/>
      <c r="GAG14" s="2" t="n"/>
      <c r="GAH14" s="2" t="n"/>
      <c r="GAI14" s="2" t="n"/>
      <c r="GAJ14" s="2" t="n"/>
      <c r="GAK14" s="2" t="n"/>
      <c r="GAL14" s="2" t="n"/>
      <c r="GAM14" s="2" t="n"/>
      <c r="GAN14" s="2" t="n"/>
      <c r="GAO14" s="2" t="n"/>
      <c r="GAP14" s="2" t="n"/>
      <c r="GAQ14" s="2" t="n"/>
      <c r="GAR14" s="2" t="n"/>
      <c r="GAS14" s="2" t="n"/>
      <c r="GAT14" s="2" t="n"/>
      <c r="GAU14" s="2" t="n"/>
      <c r="GAV14" s="2" t="n"/>
      <c r="GAW14" s="2" t="n"/>
      <c r="GAX14" s="2" t="n"/>
      <c r="GAY14" s="2" t="n"/>
      <c r="GAZ14" s="2" t="n"/>
      <c r="GBA14" s="2" t="n"/>
      <c r="GBB14" s="2" t="n"/>
      <c r="GBC14" s="2" t="n"/>
      <c r="GBD14" s="2" t="n"/>
      <c r="GBE14" s="2" t="n"/>
      <c r="GBF14" s="2" t="n"/>
      <c r="GBG14" s="2" t="n"/>
      <c r="GBH14" s="2" t="n"/>
      <c r="GBI14" s="2" t="n"/>
      <c r="GBJ14" s="2" t="n"/>
      <c r="GBK14" s="2" t="n"/>
      <c r="GBL14" s="2" t="n"/>
      <c r="GBM14" s="2" t="n"/>
      <c r="GBN14" s="2" t="n"/>
      <c r="GBO14" s="2" t="n"/>
      <c r="GBP14" s="2" t="n"/>
      <c r="GBQ14" s="2" t="n"/>
      <c r="GBR14" s="2" t="n"/>
      <c r="GBS14" s="2" t="n"/>
      <c r="GBT14" s="2" t="n"/>
      <c r="GBU14" s="2" t="n"/>
      <c r="GBV14" s="2" t="n"/>
      <c r="GBW14" s="2" t="n"/>
      <c r="GBX14" s="2" t="n"/>
      <c r="GBY14" s="2" t="n"/>
      <c r="GBZ14" s="2" t="n"/>
      <c r="GCA14" s="2" t="n"/>
      <c r="GCB14" s="2" t="n"/>
      <c r="GCC14" s="2" t="n"/>
      <c r="GCD14" s="2" t="n"/>
      <c r="GCE14" s="2" t="n"/>
      <c r="GCF14" s="2" t="n"/>
      <c r="GCG14" s="2" t="n"/>
      <c r="GCH14" s="2" t="n"/>
      <c r="GCI14" s="2" t="n"/>
      <c r="GCJ14" s="2" t="n"/>
      <c r="GCK14" s="2" t="n"/>
      <c r="GCL14" s="2" t="n"/>
      <c r="GCM14" s="2" t="n"/>
      <c r="GCN14" s="2" t="n"/>
      <c r="GCO14" s="2" t="n"/>
      <c r="GCP14" s="2" t="n"/>
      <c r="GCQ14" s="2" t="n"/>
      <c r="GCR14" s="2" t="n"/>
      <c r="GCS14" s="2" t="n"/>
      <c r="GCT14" s="2" t="n"/>
      <c r="GCU14" s="2" t="n"/>
      <c r="GCV14" s="2" t="n"/>
      <c r="GCW14" s="2" t="n"/>
      <c r="GCX14" s="2" t="n"/>
      <c r="GCY14" s="2" t="n"/>
      <c r="GCZ14" s="2" t="n"/>
      <c r="GDA14" s="2" t="n"/>
      <c r="GDB14" s="2" t="n"/>
      <c r="GDC14" s="2" t="n"/>
      <c r="GDD14" s="2" t="n"/>
      <c r="GDE14" s="2" t="n"/>
      <c r="GDF14" s="2" t="n"/>
      <c r="GDG14" s="2" t="n"/>
      <c r="GDH14" s="2" t="n"/>
      <c r="GDI14" s="2" t="n"/>
      <c r="GDJ14" s="2" t="n"/>
      <c r="GDK14" s="2" t="n"/>
      <c r="GDL14" s="2" t="n"/>
      <c r="GDM14" s="2" t="n"/>
      <c r="GDN14" s="2" t="n"/>
      <c r="GDO14" s="2" t="n"/>
      <c r="GDP14" s="2" t="n"/>
      <c r="GDQ14" s="2" t="n"/>
      <c r="GDR14" s="2" t="n"/>
      <c r="GDS14" s="2" t="n"/>
      <c r="GDT14" s="2" t="n"/>
      <c r="GDU14" s="2" t="n"/>
      <c r="GDV14" s="2" t="n"/>
      <c r="GDW14" s="2" t="n"/>
      <c r="GDX14" s="2" t="n"/>
      <c r="GDY14" s="2" t="n"/>
      <c r="GDZ14" s="2" t="n"/>
      <c r="GEA14" s="2" t="n"/>
      <c r="GEB14" s="2" t="n"/>
      <c r="GEC14" s="2" t="n"/>
      <c r="GED14" s="2" t="n"/>
      <c r="GEE14" s="2" t="n"/>
      <c r="GEF14" s="2" t="n"/>
      <c r="GEG14" s="2" t="n"/>
      <c r="GEH14" s="2" t="n"/>
      <c r="GEI14" s="2" t="n"/>
      <c r="GEJ14" s="2" t="n"/>
      <c r="GEK14" s="2" t="n"/>
      <c r="GEL14" s="2" t="n"/>
      <c r="GEM14" s="2" t="n"/>
      <c r="GEN14" s="2" t="n"/>
      <c r="GEO14" s="2" t="n"/>
      <c r="GEP14" s="2" t="n"/>
      <c r="GEQ14" s="2" t="n"/>
      <c r="GER14" s="2" t="n"/>
      <c r="GES14" s="2" t="n"/>
      <c r="GET14" s="2" t="n"/>
      <c r="GEU14" s="2" t="n"/>
      <c r="GEV14" s="2" t="n"/>
      <c r="GEW14" s="2" t="n"/>
      <c r="GEX14" s="2" t="n"/>
      <c r="GEY14" s="2" t="n"/>
      <c r="GEZ14" s="2" t="n"/>
      <c r="GFA14" s="2" t="n"/>
      <c r="GFB14" s="2" t="n"/>
      <c r="GFC14" s="2" t="n"/>
      <c r="GFD14" s="2" t="n"/>
      <c r="GFE14" s="2" t="n"/>
      <c r="GFF14" s="2" t="n"/>
      <c r="GFG14" s="2" t="n"/>
      <c r="GFH14" s="2" t="n"/>
      <c r="GFI14" s="2" t="n"/>
      <c r="GFJ14" s="2" t="n"/>
      <c r="GFK14" s="2" t="n"/>
      <c r="GFL14" s="2" t="n"/>
      <c r="GFM14" s="2" t="n"/>
      <c r="GFN14" s="2" t="n"/>
      <c r="GFO14" s="2" t="n"/>
      <c r="GFP14" s="2" t="n"/>
      <c r="GFQ14" s="2" t="n"/>
      <c r="GFR14" s="2" t="n"/>
      <c r="GFS14" s="2" t="n"/>
      <c r="GFT14" s="2" t="n"/>
      <c r="GFU14" s="2" t="n"/>
      <c r="GFV14" s="2" t="n"/>
      <c r="GFW14" s="2" t="n"/>
      <c r="GFX14" s="2" t="n"/>
      <c r="GFY14" s="2" t="n"/>
      <c r="GFZ14" s="2" t="n"/>
      <c r="GGA14" s="2" t="n"/>
      <c r="GGB14" s="2" t="n"/>
      <c r="GGC14" s="2" t="n"/>
      <c r="GGD14" s="2" t="n"/>
      <c r="GGE14" s="2" t="n"/>
      <c r="GGF14" s="2" t="n"/>
      <c r="GGG14" s="2" t="n"/>
      <c r="GGH14" s="2" t="n"/>
      <c r="GGI14" s="2" t="n"/>
      <c r="GGJ14" s="2" t="n"/>
      <c r="GGK14" s="2" t="n"/>
      <c r="GGL14" s="2" t="n"/>
      <c r="GGM14" s="2" t="n"/>
      <c r="GGN14" s="2" t="n"/>
      <c r="GGO14" s="2" t="n"/>
      <c r="GGP14" s="2" t="n"/>
      <c r="GGQ14" s="2" t="n"/>
      <c r="GGR14" s="2" t="n"/>
      <c r="GGS14" s="2" t="n"/>
      <c r="GGT14" s="2" t="n"/>
      <c r="GGU14" s="2" t="n"/>
      <c r="GGV14" s="2" t="n"/>
      <c r="GGW14" s="2" t="n"/>
      <c r="GGX14" s="2" t="n"/>
      <c r="GGY14" s="2" t="n"/>
      <c r="GGZ14" s="2" t="n"/>
      <c r="GHA14" s="2" t="n"/>
      <c r="GHB14" s="2" t="n"/>
      <c r="GHC14" s="2" t="n"/>
      <c r="GHD14" s="2" t="n"/>
      <c r="GHE14" s="2" t="n"/>
      <c r="GHF14" s="2" t="n"/>
      <c r="GHG14" s="2" t="n"/>
      <c r="GHH14" s="2" t="n"/>
      <c r="GHI14" s="2" t="n"/>
      <c r="GHJ14" s="2" t="n"/>
      <c r="GHK14" s="2" t="n"/>
      <c r="GHL14" s="2" t="n"/>
      <c r="GHM14" s="2" t="n"/>
      <c r="GHN14" s="2" t="n"/>
      <c r="GHO14" s="2" t="n"/>
      <c r="GHP14" s="2" t="n"/>
      <c r="GHQ14" s="2" t="n"/>
      <c r="GHR14" s="2" t="n"/>
      <c r="GHS14" s="2" t="n"/>
      <c r="GHT14" s="2" t="n"/>
      <c r="GHU14" s="2" t="n"/>
      <c r="GHV14" s="2" t="n"/>
      <c r="GHW14" s="2" t="n"/>
      <c r="GHX14" s="2" t="n"/>
      <c r="GHY14" s="2" t="n"/>
      <c r="GHZ14" s="2" t="n"/>
      <c r="GIA14" s="2" t="n"/>
      <c r="GIB14" s="2" t="n"/>
      <c r="GIC14" s="2" t="n"/>
      <c r="GID14" s="2" t="n"/>
      <c r="GIE14" s="2" t="n"/>
      <c r="GIF14" s="2" t="n"/>
      <c r="GIG14" s="2" t="n"/>
      <c r="GIH14" s="2" t="n"/>
      <c r="GII14" s="2" t="n"/>
      <c r="GIJ14" s="2" t="n"/>
      <c r="GIK14" s="2" t="n"/>
      <c r="GIL14" s="2" t="n"/>
      <c r="GIM14" s="2" t="n"/>
      <c r="GIN14" s="2" t="n"/>
      <c r="GIO14" s="2" t="n"/>
      <c r="GIP14" s="2" t="n"/>
      <c r="GIQ14" s="2" t="n"/>
      <c r="GIR14" s="2" t="n"/>
      <c r="GIS14" s="2" t="n"/>
      <c r="GIT14" s="2" t="n"/>
      <c r="GIU14" s="2" t="n"/>
      <c r="GIV14" s="2" t="n"/>
      <c r="GIW14" s="2" t="n"/>
      <c r="GIX14" s="2" t="n"/>
      <c r="GIY14" s="2" t="n"/>
      <c r="GIZ14" s="2" t="n"/>
      <c r="GJA14" s="2" t="n"/>
      <c r="GJB14" s="2" t="n"/>
      <c r="GJC14" s="2" t="n"/>
      <c r="GJD14" s="2" t="n"/>
      <c r="GJE14" s="2" t="n"/>
      <c r="GJF14" s="2" t="n"/>
      <c r="GJG14" s="2" t="n"/>
      <c r="GJH14" s="2" t="n"/>
      <c r="GJI14" s="2" t="n"/>
      <c r="GJJ14" s="2" t="n"/>
      <c r="GJK14" s="2" t="n"/>
      <c r="GJL14" s="2" t="n"/>
      <c r="GJM14" s="2" t="n"/>
      <c r="GJN14" s="2" t="n"/>
      <c r="GJO14" s="2" t="n"/>
      <c r="GJP14" s="2" t="n"/>
      <c r="GJQ14" s="2" t="n"/>
      <c r="GJR14" s="2" t="n"/>
      <c r="GJS14" s="2" t="n"/>
      <c r="GJT14" s="2" t="n"/>
      <c r="GJU14" s="2" t="n"/>
      <c r="GJV14" s="2" t="n"/>
      <c r="GJW14" s="2" t="n"/>
      <c r="GJX14" s="2" t="n"/>
      <c r="GJY14" s="2" t="n"/>
      <c r="GJZ14" s="2" t="n"/>
      <c r="GKA14" s="2" t="n"/>
      <c r="GKB14" s="2" t="n"/>
      <c r="GKC14" s="2" t="n"/>
      <c r="GKD14" s="2" t="n"/>
      <c r="GKE14" s="2" t="n"/>
      <c r="GKF14" s="2" t="n"/>
      <c r="GKG14" s="2" t="n"/>
      <c r="GKH14" s="2" t="n"/>
      <c r="GKI14" s="2" t="n"/>
      <c r="GKJ14" s="2" t="n"/>
      <c r="GKK14" s="2" t="n"/>
      <c r="GKL14" s="2" t="n"/>
      <c r="GKM14" s="2" t="n"/>
      <c r="GKN14" s="2" t="n"/>
      <c r="GKO14" s="2" t="n"/>
      <c r="GKP14" s="2" t="n"/>
      <c r="GKQ14" s="2" t="n"/>
      <c r="GKR14" s="2" t="n"/>
      <c r="GKS14" s="2" t="n"/>
      <c r="GKT14" s="2" t="n"/>
      <c r="GKU14" s="2" t="n"/>
      <c r="GKV14" s="2" t="n"/>
      <c r="GKW14" s="2" t="n"/>
      <c r="GKX14" s="2" t="n"/>
      <c r="GKY14" s="2" t="n"/>
      <c r="GKZ14" s="2" t="n"/>
      <c r="GLA14" s="2" t="n"/>
      <c r="GLB14" s="2" t="n"/>
      <c r="GLC14" s="2" t="n"/>
      <c r="GLD14" s="2" t="n"/>
      <c r="GLE14" s="2" t="n"/>
      <c r="GLF14" s="2" t="n"/>
      <c r="GLG14" s="2" t="n"/>
      <c r="GLH14" s="2" t="n"/>
      <c r="GLI14" s="2" t="n"/>
      <c r="GLJ14" s="2" t="n"/>
      <c r="GLK14" s="2" t="n"/>
      <c r="GLL14" s="2" t="n"/>
      <c r="GLM14" s="2" t="n"/>
      <c r="GLN14" s="2" t="n"/>
      <c r="GLO14" s="2" t="n"/>
      <c r="GLP14" s="2" t="n"/>
      <c r="GLQ14" s="2" t="n"/>
      <c r="GLR14" s="2" t="n"/>
      <c r="GLS14" s="2" t="n"/>
      <c r="GLT14" s="2" t="n"/>
      <c r="GLU14" s="2" t="n"/>
      <c r="GLV14" s="2" t="n"/>
      <c r="GLW14" s="2" t="n"/>
      <c r="GLX14" s="2" t="n"/>
      <c r="GLY14" s="2" t="n"/>
      <c r="GLZ14" s="2" t="n"/>
      <c r="GMA14" s="2" t="n"/>
      <c r="GMB14" s="2" t="n"/>
      <c r="GMC14" s="2" t="n"/>
      <c r="GMD14" s="2" t="n"/>
      <c r="GME14" s="2" t="n"/>
      <c r="GMF14" s="2" t="n"/>
      <c r="GMG14" s="2" t="n"/>
      <c r="GMH14" s="2" t="n"/>
      <c r="GMI14" s="2" t="n"/>
      <c r="GMJ14" s="2" t="n"/>
      <c r="GMK14" s="2" t="n"/>
      <c r="GML14" s="2" t="n"/>
      <c r="GMM14" s="2" t="n"/>
      <c r="GMN14" s="2" t="n"/>
      <c r="GMO14" s="2" t="n"/>
      <c r="GMP14" s="2" t="n"/>
      <c r="GMQ14" s="2" t="n"/>
      <c r="GMR14" s="2" t="n"/>
      <c r="GMS14" s="2" t="n"/>
      <c r="GMT14" s="2" t="n"/>
      <c r="GMU14" s="2" t="n"/>
      <c r="GMV14" s="2" t="n"/>
      <c r="GMW14" s="2" t="n"/>
      <c r="GMX14" s="2" t="n"/>
      <c r="GMY14" s="2" t="n"/>
      <c r="GMZ14" s="2" t="n"/>
      <c r="GNA14" s="2" t="n"/>
      <c r="GNB14" s="2" t="n"/>
      <c r="GNC14" s="2" t="n"/>
      <c r="GND14" s="2" t="n"/>
      <c r="GNE14" s="2" t="n"/>
      <c r="GNF14" s="2" t="n"/>
      <c r="GNG14" s="2" t="n"/>
      <c r="GNH14" s="2" t="n"/>
      <c r="GNI14" s="2" t="n"/>
      <c r="GNJ14" s="2" t="n"/>
      <c r="GNK14" s="2" t="n"/>
      <c r="GNL14" s="2" t="n"/>
      <c r="GNM14" s="2" t="n"/>
      <c r="GNN14" s="2" t="n"/>
      <c r="GNO14" s="2" t="n"/>
      <c r="GNP14" s="2" t="n"/>
      <c r="GNQ14" s="2" t="n"/>
      <c r="GNR14" s="2" t="n"/>
      <c r="GNS14" s="2" t="n"/>
      <c r="GNT14" s="2" t="n"/>
      <c r="GNU14" s="2" t="n"/>
      <c r="GNV14" s="2" t="n"/>
      <c r="GNW14" s="2" t="n"/>
      <c r="GNX14" s="2" t="n"/>
      <c r="GNY14" s="2" t="n"/>
      <c r="GNZ14" s="2" t="n"/>
      <c r="GOA14" s="2" t="n"/>
      <c r="GOB14" s="2" t="n"/>
      <c r="GOC14" s="2" t="n"/>
      <c r="GOD14" s="2" t="n"/>
      <c r="GOE14" s="2" t="n"/>
      <c r="GOF14" s="2" t="n"/>
      <c r="GOG14" s="2" t="n"/>
      <c r="GOH14" s="2" t="n"/>
      <c r="GOI14" s="2" t="n"/>
      <c r="GOJ14" s="2" t="n"/>
      <c r="GOK14" s="2" t="n"/>
      <c r="GOL14" s="2" t="n"/>
      <c r="GOM14" s="2" t="n"/>
      <c r="GON14" s="2" t="n"/>
      <c r="GOO14" s="2" t="n"/>
      <c r="GOP14" s="2" t="n"/>
      <c r="GOQ14" s="2" t="n"/>
      <c r="GOR14" s="2" t="n"/>
      <c r="GOS14" s="2" t="n"/>
      <c r="GOT14" s="2" t="n"/>
      <c r="GOU14" s="2" t="n"/>
      <c r="GOV14" s="2" t="n"/>
      <c r="GOW14" s="2" t="n"/>
      <c r="GOX14" s="2" t="n"/>
      <c r="GOY14" s="2" t="n"/>
      <c r="GOZ14" s="2" t="n"/>
      <c r="GPA14" s="2" t="n"/>
      <c r="GPB14" s="2" t="n"/>
      <c r="GPC14" s="2" t="n"/>
      <c r="GPD14" s="2" t="n"/>
      <c r="GPE14" s="2" t="n"/>
      <c r="GPF14" s="2" t="n"/>
      <c r="GPG14" s="2" t="n"/>
      <c r="GPH14" s="2" t="n"/>
      <c r="GPI14" s="2" t="n"/>
      <c r="GPJ14" s="2" t="n"/>
      <c r="GPK14" s="2" t="n"/>
      <c r="GPL14" s="2" t="n"/>
      <c r="GPM14" s="2" t="n"/>
      <c r="GPN14" s="2" t="n"/>
      <c r="GPO14" s="2" t="n"/>
      <c r="GPP14" s="2" t="n"/>
      <c r="GPQ14" s="2" t="n"/>
      <c r="GPR14" s="2" t="n"/>
      <c r="GPS14" s="2" t="n"/>
      <c r="GPT14" s="2" t="n"/>
      <c r="GPU14" s="2" t="n"/>
      <c r="GPV14" s="2" t="n"/>
      <c r="GPW14" s="2" t="n"/>
      <c r="GPX14" s="2" t="n"/>
      <c r="GPY14" s="2" t="n"/>
      <c r="GPZ14" s="2" t="n"/>
      <c r="GQA14" s="2" t="n"/>
      <c r="GQB14" s="2" t="n"/>
      <c r="GQC14" s="2" t="n"/>
      <c r="GQD14" s="2" t="n"/>
      <c r="GQE14" s="2" t="n"/>
      <c r="GQF14" s="2" t="n"/>
      <c r="GQG14" s="2" t="n"/>
      <c r="GQH14" s="2" t="n"/>
      <c r="GQI14" s="2" t="n"/>
      <c r="GQJ14" s="2" t="n"/>
      <c r="GQK14" s="2" t="n"/>
      <c r="GQL14" s="2" t="n"/>
      <c r="GQM14" s="2" t="n"/>
      <c r="GQN14" s="2" t="n"/>
      <c r="GQO14" s="2" t="n"/>
      <c r="GQP14" s="2" t="n"/>
      <c r="GQQ14" s="2" t="n"/>
      <c r="GQR14" s="2" t="n"/>
      <c r="GQS14" s="2" t="n"/>
      <c r="GQT14" s="2" t="n"/>
      <c r="GQU14" s="2" t="n"/>
      <c r="GQV14" s="2" t="n"/>
      <c r="GQW14" s="2" t="n"/>
      <c r="GQX14" s="2" t="n"/>
      <c r="GQY14" s="2" t="n"/>
      <c r="GQZ14" s="2" t="n"/>
      <c r="GRA14" s="2" t="n"/>
      <c r="GRB14" s="2" t="n"/>
      <c r="GRC14" s="2" t="n"/>
      <c r="GRD14" s="2" t="n"/>
      <c r="GRE14" s="2" t="n"/>
      <c r="GRF14" s="2" t="n"/>
      <c r="GRG14" s="2" t="n"/>
      <c r="GRH14" s="2" t="n"/>
      <c r="GRI14" s="2" t="n"/>
      <c r="GRJ14" s="2" t="n"/>
      <c r="GRK14" s="2" t="n"/>
      <c r="GRL14" s="2" t="n"/>
      <c r="GRM14" s="2" t="n"/>
      <c r="GRN14" s="2" t="n"/>
      <c r="GRO14" s="2" t="n"/>
      <c r="GRP14" s="2" t="n"/>
      <c r="GRQ14" s="2" t="n"/>
      <c r="GRR14" s="2" t="n"/>
      <c r="GRS14" s="2" t="n"/>
      <c r="GRT14" s="2" t="n"/>
      <c r="GRU14" s="2" t="n"/>
      <c r="GRV14" s="2" t="n"/>
      <c r="GRW14" s="2" t="n"/>
      <c r="GRX14" s="2" t="n"/>
      <c r="GRY14" s="2" t="n"/>
      <c r="GRZ14" s="2" t="n"/>
      <c r="GSA14" s="2" t="n"/>
      <c r="GSB14" s="2" t="n"/>
      <c r="GSC14" s="2" t="n"/>
      <c r="GSD14" s="2" t="n"/>
      <c r="GSE14" s="2" t="n"/>
      <c r="GSF14" s="2" t="n"/>
      <c r="GSG14" s="2" t="n"/>
      <c r="GSH14" s="2" t="n"/>
      <c r="GSI14" s="2" t="n"/>
      <c r="GSJ14" s="2" t="n"/>
      <c r="GSK14" s="2" t="n"/>
      <c r="GSL14" s="2" t="n"/>
      <c r="GSM14" s="2" t="n"/>
      <c r="GSN14" s="2" t="n"/>
      <c r="GSO14" s="2" t="n"/>
      <c r="GSP14" s="2" t="n"/>
      <c r="GSQ14" s="2" t="n"/>
      <c r="GSR14" s="2" t="n"/>
      <c r="GSS14" s="2" t="n"/>
      <c r="GST14" s="2" t="n"/>
      <c r="GSU14" s="2" t="n"/>
      <c r="GSV14" s="2" t="n"/>
      <c r="GSW14" s="2" t="n"/>
      <c r="GSX14" s="2" t="n"/>
      <c r="GSY14" s="2" t="n"/>
      <c r="GSZ14" s="2" t="n"/>
      <c r="GTA14" s="2" t="n"/>
      <c r="GTB14" s="2" t="n"/>
      <c r="GTC14" s="2" t="n"/>
      <c r="GTD14" s="2" t="n"/>
      <c r="GTE14" s="2" t="n"/>
      <c r="GTF14" s="2" t="n"/>
      <c r="GTG14" s="2" t="n"/>
      <c r="GTH14" s="2" t="n"/>
      <c r="GTI14" s="2" t="n"/>
      <c r="GTJ14" s="2" t="n"/>
      <c r="GTK14" s="2" t="n"/>
      <c r="GTL14" s="2" t="n"/>
      <c r="GTM14" s="2" t="n"/>
      <c r="GTN14" s="2" t="n"/>
      <c r="GTO14" s="2" t="n"/>
      <c r="GTP14" s="2" t="n"/>
      <c r="GTQ14" s="2" t="n"/>
      <c r="GTR14" s="2" t="n"/>
      <c r="GTS14" s="2" t="n"/>
      <c r="GTT14" s="2" t="n"/>
      <c r="GTU14" s="2" t="n"/>
      <c r="GTV14" s="2" t="n"/>
      <c r="GTW14" s="2" t="n"/>
      <c r="GTX14" s="2" t="n"/>
      <c r="GTY14" s="2" t="n"/>
      <c r="GTZ14" s="2" t="n"/>
      <c r="GUA14" s="2" t="n"/>
      <c r="GUB14" s="2" t="n"/>
      <c r="GUC14" s="2" t="n"/>
      <c r="GUD14" s="2" t="n"/>
      <c r="GUE14" s="2" t="n"/>
      <c r="GUF14" s="2" t="n"/>
      <c r="GUG14" s="2" t="n"/>
      <c r="GUH14" s="2" t="n"/>
      <c r="GUI14" s="2" t="n"/>
      <c r="GUJ14" s="2" t="n"/>
      <c r="GUK14" s="2" t="n"/>
      <c r="GUL14" s="2" t="n"/>
      <c r="GUM14" s="2" t="n"/>
      <c r="GUN14" s="2" t="n"/>
      <c r="GUO14" s="2" t="n"/>
      <c r="GUP14" s="2" t="n"/>
      <c r="GUQ14" s="2" t="n"/>
      <c r="GUR14" s="2" t="n"/>
      <c r="GUS14" s="2" t="n"/>
      <c r="GUT14" s="2" t="n"/>
      <c r="GUU14" s="2" t="n"/>
      <c r="GUV14" s="2" t="n"/>
      <c r="GUW14" s="2" t="n"/>
      <c r="GUX14" s="2" t="n"/>
      <c r="GUY14" s="2" t="n"/>
      <c r="GUZ14" s="2" t="n"/>
      <c r="GVA14" s="2" t="n"/>
      <c r="GVB14" s="2" t="n"/>
      <c r="GVC14" s="2" t="n"/>
      <c r="GVD14" s="2" t="n"/>
      <c r="GVE14" s="2" t="n"/>
      <c r="GVF14" s="2" t="n"/>
      <c r="GVG14" s="2" t="n"/>
      <c r="GVH14" s="2" t="n"/>
      <c r="GVI14" s="2" t="n"/>
      <c r="GVJ14" s="2" t="n"/>
      <c r="GVK14" s="2" t="n"/>
      <c r="GVL14" s="2" t="n"/>
      <c r="GVM14" s="2" t="n"/>
      <c r="GVN14" s="2" t="n"/>
      <c r="GVO14" s="2" t="n"/>
      <c r="GVP14" s="2" t="n"/>
      <c r="GVQ14" s="2" t="n"/>
      <c r="GVR14" s="2" t="n"/>
      <c r="GVS14" s="2" t="n"/>
      <c r="GVT14" s="2" t="n"/>
      <c r="GVU14" s="2" t="n"/>
      <c r="GVV14" s="2" t="n"/>
      <c r="GVW14" s="2" t="n"/>
      <c r="GVX14" s="2" t="n"/>
      <c r="GVY14" s="2" t="n"/>
      <c r="GVZ14" s="2" t="n"/>
      <c r="GWA14" s="2" t="n"/>
      <c r="GWB14" s="2" t="n"/>
      <c r="GWC14" s="2" t="n"/>
      <c r="GWD14" s="2" t="n"/>
      <c r="GWE14" s="2" t="n"/>
      <c r="GWF14" s="2" t="n"/>
      <c r="GWG14" s="2" t="n"/>
      <c r="GWH14" s="2" t="n"/>
      <c r="GWI14" s="2" t="n"/>
      <c r="GWJ14" s="2" t="n"/>
      <c r="GWK14" s="2" t="n"/>
      <c r="GWL14" s="2" t="n"/>
      <c r="GWM14" s="2" t="n"/>
      <c r="GWN14" s="2" t="n"/>
      <c r="GWO14" s="2" t="n"/>
      <c r="GWP14" s="2" t="n"/>
      <c r="GWQ14" s="2" t="n"/>
      <c r="GWR14" s="2" t="n"/>
      <c r="GWS14" s="2" t="n"/>
      <c r="GWT14" s="2" t="n"/>
      <c r="GWU14" s="2" t="n"/>
      <c r="GWV14" s="2" t="n"/>
      <c r="GWW14" s="2" t="n"/>
      <c r="GWX14" s="2" t="n"/>
      <c r="GWY14" s="2" t="n"/>
      <c r="GWZ14" s="2" t="n"/>
      <c r="GXA14" s="2" t="n"/>
      <c r="GXB14" s="2" t="n"/>
      <c r="GXC14" s="2" t="n"/>
      <c r="GXD14" s="2" t="n"/>
      <c r="GXE14" s="2" t="n"/>
      <c r="GXF14" s="2" t="n"/>
      <c r="GXG14" s="2" t="n"/>
      <c r="GXH14" s="2" t="n"/>
      <c r="GXI14" s="2" t="n"/>
      <c r="GXJ14" s="2" t="n"/>
      <c r="GXK14" s="2" t="n"/>
      <c r="GXL14" s="2" t="n"/>
      <c r="GXM14" s="2" t="n"/>
      <c r="GXN14" s="2" t="n"/>
      <c r="GXO14" s="2" t="n"/>
      <c r="GXP14" s="2" t="n"/>
      <c r="GXQ14" s="2" t="n"/>
      <c r="GXR14" s="2" t="n"/>
      <c r="GXS14" s="2" t="n"/>
      <c r="GXT14" s="2" t="n"/>
      <c r="GXU14" s="2" t="n"/>
      <c r="GXV14" s="2" t="n"/>
      <c r="GXW14" s="2" t="n"/>
      <c r="GXX14" s="2" t="n"/>
      <c r="GXY14" s="2" t="n"/>
      <c r="GXZ14" s="2" t="n"/>
      <c r="GYA14" s="2" t="n"/>
      <c r="GYB14" s="2" t="n"/>
      <c r="GYC14" s="2" t="n"/>
      <c r="GYD14" s="2" t="n"/>
      <c r="GYE14" s="2" t="n"/>
      <c r="GYF14" s="2" t="n"/>
      <c r="GYG14" s="2" t="n"/>
      <c r="GYH14" s="2" t="n"/>
      <c r="GYI14" s="2" t="n"/>
      <c r="GYJ14" s="2" t="n"/>
      <c r="GYK14" s="2" t="n"/>
      <c r="GYL14" s="2" t="n"/>
      <c r="GYM14" s="2" t="n"/>
      <c r="GYN14" s="2" t="n"/>
      <c r="GYO14" s="2" t="n"/>
      <c r="GYP14" s="2" t="n"/>
      <c r="GYQ14" s="2" t="n"/>
      <c r="GYR14" s="2" t="n"/>
      <c r="GYS14" s="2" t="n"/>
      <c r="GYT14" s="2" t="n"/>
      <c r="GYU14" s="2" t="n"/>
      <c r="GYV14" s="2" t="n"/>
      <c r="GYW14" s="2" t="n"/>
      <c r="GYX14" s="2" t="n"/>
      <c r="GYY14" s="2" t="n"/>
      <c r="GYZ14" s="2" t="n"/>
      <c r="GZA14" s="2" t="n"/>
      <c r="GZB14" s="2" t="n"/>
      <c r="GZC14" s="2" t="n"/>
      <c r="GZD14" s="2" t="n"/>
      <c r="GZE14" s="2" t="n"/>
      <c r="GZF14" s="2" t="n"/>
      <c r="GZG14" s="2" t="n"/>
      <c r="GZH14" s="2" t="n"/>
      <c r="GZI14" s="2" t="n"/>
      <c r="GZJ14" s="2" t="n"/>
      <c r="GZK14" s="2" t="n"/>
      <c r="GZL14" s="2" t="n"/>
      <c r="GZM14" s="2" t="n"/>
      <c r="GZN14" s="2" t="n"/>
      <c r="GZO14" s="2" t="n"/>
      <c r="GZP14" s="2" t="n"/>
      <c r="GZQ14" s="2" t="n"/>
      <c r="GZR14" s="2" t="n"/>
      <c r="GZS14" s="2" t="n"/>
      <c r="GZT14" s="2" t="n"/>
      <c r="GZU14" s="2" t="n"/>
      <c r="GZV14" s="2" t="n"/>
      <c r="GZW14" s="2" t="n"/>
      <c r="GZX14" s="2" t="n"/>
      <c r="GZY14" s="2" t="n"/>
      <c r="GZZ14" s="2" t="n"/>
      <c r="HAA14" s="2" t="n"/>
      <c r="HAB14" s="2" t="n"/>
      <c r="HAC14" s="2" t="n"/>
      <c r="HAD14" s="2" t="n"/>
      <c r="HAE14" s="2" t="n"/>
      <c r="HAF14" s="2" t="n"/>
      <c r="HAG14" s="2" t="n"/>
      <c r="HAH14" s="2" t="n"/>
      <c r="HAI14" s="2" t="n"/>
      <c r="HAJ14" s="2" t="n"/>
      <c r="HAK14" s="2" t="n"/>
      <c r="HAL14" s="2" t="n"/>
      <c r="HAM14" s="2" t="n"/>
      <c r="HAN14" s="2" t="n"/>
      <c r="HAO14" s="2" t="n"/>
      <c r="HAP14" s="2" t="n"/>
      <c r="HAQ14" s="2" t="n"/>
      <c r="HAR14" s="2" t="n"/>
      <c r="HAS14" s="2" t="n"/>
      <c r="HAT14" s="2" t="n"/>
      <c r="HAU14" s="2" t="n"/>
      <c r="HAV14" s="2" t="n"/>
      <c r="HAW14" s="2" t="n"/>
      <c r="HAX14" s="2" t="n"/>
      <c r="HAY14" s="2" t="n"/>
      <c r="HAZ14" s="2" t="n"/>
      <c r="HBA14" s="2" t="n"/>
      <c r="HBB14" s="2" t="n"/>
      <c r="HBC14" s="2" t="n"/>
      <c r="HBD14" s="2" t="n"/>
      <c r="HBE14" s="2" t="n"/>
      <c r="HBF14" s="2" t="n"/>
      <c r="HBG14" s="2" t="n"/>
      <c r="HBH14" s="2" t="n"/>
      <c r="HBI14" s="2" t="n"/>
      <c r="HBJ14" s="2" t="n"/>
      <c r="HBK14" s="2" t="n"/>
      <c r="HBL14" s="2" t="n"/>
      <c r="HBM14" s="2" t="n"/>
      <c r="HBN14" s="2" t="n"/>
      <c r="HBO14" s="2" t="n"/>
      <c r="HBP14" s="2" t="n"/>
      <c r="HBQ14" s="2" t="n"/>
      <c r="HBR14" s="2" t="n"/>
      <c r="HBS14" s="2" t="n"/>
      <c r="HBT14" s="2" t="n"/>
      <c r="HBU14" s="2" t="n"/>
      <c r="HBV14" s="2" t="n"/>
      <c r="HBW14" s="2" t="n"/>
      <c r="HBX14" s="2" t="n"/>
      <c r="HBY14" s="2" t="n"/>
      <c r="HBZ14" s="2" t="n"/>
      <c r="HCA14" s="2" t="n"/>
      <c r="HCB14" s="2" t="n"/>
      <c r="HCC14" s="2" t="n"/>
      <c r="HCD14" s="2" t="n"/>
      <c r="HCE14" s="2" t="n"/>
      <c r="HCF14" s="2" t="n"/>
      <c r="HCG14" s="2" t="n"/>
      <c r="HCH14" s="2" t="n"/>
      <c r="HCI14" s="2" t="n"/>
      <c r="HCJ14" s="2" t="n"/>
      <c r="HCK14" s="2" t="n"/>
      <c r="HCL14" s="2" t="n"/>
      <c r="HCM14" s="2" t="n"/>
      <c r="HCN14" s="2" t="n"/>
      <c r="HCO14" s="2" t="n"/>
      <c r="HCP14" s="2" t="n"/>
      <c r="HCQ14" s="2" t="n"/>
      <c r="HCR14" s="2" t="n"/>
      <c r="HCS14" s="2" t="n"/>
      <c r="HCT14" s="2" t="n"/>
      <c r="HCU14" s="2" t="n"/>
      <c r="HCV14" s="2" t="n"/>
      <c r="HCW14" s="2" t="n"/>
      <c r="HCX14" s="2" t="n"/>
      <c r="HCY14" s="2" t="n"/>
      <c r="HCZ14" s="2" t="n"/>
      <c r="HDA14" s="2" t="n"/>
      <c r="HDB14" s="2" t="n"/>
      <c r="HDC14" s="2" t="n"/>
      <c r="HDD14" s="2" t="n"/>
      <c r="HDE14" s="2" t="n"/>
      <c r="HDF14" s="2" t="n"/>
      <c r="HDG14" s="2" t="n"/>
      <c r="HDH14" s="2" t="n"/>
      <c r="HDI14" s="2" t="n"/>
      <c r="HDJ14" s="2" t="n"/>
      <c r="HDK14" s="2" t="n"/>
      <c r="HDL14" s="2" t="n"/>
      <c r="HDM14" s="2" t="n"/>
      <c r="HDN14" s="2" t="n"/>
      <c r="HDO14" s="2" t="n"/>
      <c r="HDP14" s="2" t="n"/>
      <c r="HDQ14" s="2" t="n"/>
      <c r="HDR14" s="2" t="n"/>
      <c r="HDS14" s="2" t="n"/>
      <c r="HDT14" s="2" t="n"/>
      <c r="HDU14" s="2" t="n"/>
      <c r="HDV14" s="2" t="n"/>
      <c r="HDW14" s="2" t="n"/>
      <c r="HDX14" s="2" t="n"/>
      <c r="HDY14" s="2" t="n"/>
      <c r="HDZ14" s="2" t="n"/>
      <c r="HEA14" s="2" t="n"/>
      <c r="HEB14" s="2" t="n"/>
      <c r="HEC14" s="2" t="n"/>
      <c r="HED14" s="2" t="n"/>
      <c r="HEE14" s="2" t="n"/>
      <c r="HEF14" s="2" t="n"/>
      <c r="HEG14" s="2" t="n"/>
      <c r="HEH14" s="2" t="n"/>
      <c r="HEI14" s="2" t="n"/>
      <c r="HEJ14" s="2" t="n"/>
      <c r="HEK14" s="2" t="n"/>
      <c r="HEL14" s="2" t="n"/>
      <c r="HEM14" s="2" t="n"/>
      <c r="HEN14" s="2" t="n"/>
      <c r="HEO14" s="2" t="n"/>
      <c r="HEP14" s="2" t="n"/>
      <c r="HEQ14" s="2" t="n"/>
      <c r="HER14" s="2" t="n"/>
      <c r="HES14" s="2" t="n"/>
      <c r="HET14" s="2" t="n"/>
      <c r="HEU14" s="2" t="n"/>
      <c r="HEV14" s="2" t="n"/>
      <c r="HEW14" s="2" t="n"/>
      <c r="HEX14" s="2" t="n"/>
      <c r="HEY14" s="2" t="n"/>
      <c r="HEZ14" s="2" t="n"/>
      <c r="HFA14" s="2" t="n"/>
      <c r="HFB14" s="2" t="n"/>
      <c r="HFC14" s="2" t="n"/>
      <c r="HFD14" s="2" t="n"/>
      <c r="HFE14" s="2" t="n"/>
      <c r="HFF14" s="2" t="n"/>
      <c r="HFG14" s="2" t="n"/>
      <c r="HFH14" s="2" t="n"/>
      <c r="HFI14" s="2" t="n"/>
      <c r="HFJ14" s="2" t="n"/>
      <c r="HFK14" s="2" t="n"/>
      <c r="HFL14" s="2" t="n"/>
      <c r="HFM14" s="2" t="n"/>
      <c r="HFN14" s="2" t="n"/>
      <c r="HFO14" s="2" t="n"/>
      <c r="HFP14" s="2" t="n"/>
      <c r="HFQ14" s="2" t="n"/>
      <c r="HFR14" s="2" t="n"/>
      <c r="HFS14" s="2" t="n"/>
      <c r="HFT14" s="2" t="n"/>
      <c r="HFU14" s="2" t="n"/>
      <c r="HFV14" s="2" t="n"/>
      <c r="HFW14" s="2" t="n"/>
      <c r="HFX14" s="2" t="n"/>
      <c r="HFY14" s="2" t="n"/>
      <c r="HFZ14" s="2" t="n"/>
      <c r="HGA14" s="2" t="n"/>
      <c r="HGB14" s="2" t="n"/>
      <c r="HGC14" s="2" t="n"/>
      <c r="HGD14" s="2" t="n"/>
      <c r="HGE14" s="2" t="n"/>
      <c r="HGF14" s="2" t="n"/>
      <c r="HGG14" s="2" t="n"/>
      <c r="HGH14" s="2" t="n"/>
      <c r="HGI14" s="2" t="n"/>
      <c r="HGJ14" s="2" t="n"/>
      <c r="HGK14" s="2" t="n"/>
      <c r="HGL14" s="2" t="n"/>
      <c r="HGM14" s="2" t="n"/>
      <c r="HGN14" s="2" t="n"/>
      <c r="HGO14" s="2" t="n"/>
      <c r="HGP14" s="2" t="n"/>
      <c r="HGQ14" s="2" t="n"/>
      <c r="HGR14" s="2" t="n"/>
      <c r="HGS14" s="2" t="n"/>
      <c r="HGT14" s="2" t="n"/>
      <c r="HGU14" s="2" t="n"/>
      <c r="HGV14" s="2" t="n"/>
      <c r="HGW14" s="2" t="n"/>
      <c r="HGX14" s="2" t="n"/>
      <c r="HGY14" s="2" t="n"/>
      <c r="HGZ14" s="2" t="n"/>
      <c r="HHA14" s="2" t="n"/>
      <c r="HHB14" s="2" t="n"/>
      <c r="HHC14" s="2" t="n"/>
      <c r="HHD14" s="2" t="n"/>
      <c r="HHE14" s="2" t="n"/>
      <c r="HHF14" s="2" t="n"/>
      <c r="HHG14" s="2" t="n"/>
      <c r="HHH14" s="2" t="n"/>
      <c r="HHI14" s="2" t="n"/>
      <c r="HHJ14" s="2" t="n"/>
      <c r="HHK14" s="2" t="n"/>
      <c r="HHL14" s="2" t="n"/>
      <c r="HHM14" s="2" t="n"/>
      <c r="HHN14" s="2" t="n"/>
      <c r="HHO14" s="2" t="n"/>
      <c r="HHP14" s="2" t="n"/>
      <c r="HHQ14" s="2" t="n"/>
      <c r="HHR14" s="2" t="n"/>
      <c r="HHS14" s="2" t="n"/>
      <c r="HHT14" s="2" t="n"/>
      <c r="HHU14" s="2" t="n"/>
      <c r="HHV14" s="2" t="n"/>
      <c r="HHW14" s="2" t="n"/>
      <c r="HHX14" s="2" t="n"/>
      <c r="HHY14" s="2" t="n"/>
      <c r="HHZ14" s="2" t="n"/>
      <c r="HIA14" s="2" t="n"/>
      <c r="HIB14" s="2" t="n"/>
      <c r="HIC14" s="2" t="n"/>
      <c r="HID14" s="2" t="n"/>
      <c r="HIE14" s="2" t="n"/>
      <c r="HIF14" s="2" t="n"/>
      <c r="HIG14" s="2" t="n"/>
      <c r="HIH14" s="2" t="n"/>
      <c r="HII14" s="2" t="n"/>
      <c r="HIJ14" s="2" t="n"/>
      <c r="HIK14" s="2" t="n"/>
      <c r="HIL14" s="2" t="n"/>
      <c r="HIM14" s="2" t="n"/>
      <c r="HIN14" s="2" t="n"/>
      <c r="HIO14" s="2" t="n"/>
      <c r="HIP14" s="2" t="n"/>
      <c r="HIQ14" s="2" t="n"/>
      <c r="HIR14" s="2" t="n"/>
      <c r="HIS14" s="2" t="n"/>
      <c r="HIT14" s="2" t="n"/>
      <c r="HIU14" s="2" t="n"/>
      <c r="HIV14" s="2" t="n"/>
      <c r="HIW14" s="2" t="n"/>
      <c r="HIX14" s="2" t="n"/>
      <c r="HIY14" s="2" t="n"/>
      <c r="HIZ14" s="2" t="n"/>
      <c r="HJA14" s="2" t="n"/>
      <c r="HJB14" s="2" t="n"/>
      <c r="HJC14" s="2" t="n"/>
      <c r="HJD14" s="2" t="n"/>
      <c r="HJE14" s="2" t="n"/>
      <c r="HJF14" s="2" t="n"/>
      <c r="HJG14" s="2" t="n"/>
      <c r="HJH14" s="2" t="n"/>
      <c r="HJI14" s="2" t="n"/>
      <c r="HJJ14" s="2" t="n"/>
      <c r="HJK14" s="2" t="n"/>
      <c r="HJL14" s="2" t="n"/>
      <c r="HJM14" s="2" t="n"/>
      <c r="HJN14" s="2" t="n"/>
      <c r="HJO14" s="2" t="n"/>
      <c r="HJP14" s="2" t="n"/>
      <c r="HJQ14" s="2" t="n"/>
      <c r="HJR14" s="2" t="n"/>
      <c r="HJS14" s="2" t="n"/>
      <c r="HJT14" s="2" t="n"/>
      <c r="HJU14" s="2" t="n"/>
      <c r="HJV14" s="2" t="n"/>
      <c r="HJW14" s="2" t="n"/>
      <c r="HJX14" s="2" t="n"/>
      <c r="HJY14" s="2" t="n"/>
      <c r="HJZ14" s="2" t="n"/>
      <c r="HKA14" s="2" t="n"/>
      <c r="HKB14" s="2" t="n"/>
      <c r="HKC14" s="2" t="n"/>
      <c r="HKD14" s="2" t="n"/>
      <c r="HKE14" s="2" t="n"/>
      <c r="HKF14" s="2" t="n"/>
      <c r="HKG14" s="2" t="n"/>
      <c r="HKH14" s="2" t="n"/>
      <c r="HKI14" s="2" t="n"/>
      <c r="HKJ14" s="2" t="n"/>
      <c r="HKK14" s="2" t="n"/>
      <c r="HKL14" s="2" t="n"/>
      <c r="HKM14" s="2" t="n"/>
      <c r="HKN14" s="2" t="n"/>
      <c r="HKO14" s="2" t="n"/>
      <c r="HKP14" s="2" t="n"/>
      <c r="HKQ14" s="2" t="n"/>
      <c r="HKR14" s="2" t="n"/>
      <c r="HKS14" s="2" t="n"/>
      <c r="HKT14" s="2" t="n"/>
      <c r="HKU14" s="2" t="n"/>
      <c r="HKV14" s="2" t="n"/>
      <c r="HKW14" s="2" t="n"/>
      <c r="HKX14" s="2" t="n"/>
      <c r="HKY14" s="2" t="n"/>
      <c r="HKZ14" s="2" t="n"/>
      <c r="HLA14" s="2" t="n"/>
      <c r="HLB14" s="2" t="n"/>
      <c r="HLC14" s="2" t="n"/>
      <c r="HLD14" s="2" t="n"/>
      <c r="HLE14" s="2" t="n"/>
      <c r="HLF14" s="2" t="n"/>
      <c r="HLG14" s="2" t="n"/>
      <c r="HLH14" s="2" t="n"/>
      <c r="HLI14" s="2" t="n"/>
      <c r="HLJ14" s="2" t="n"/>
      <c r="HLK14" s="2" t="n"/>
      <c r="HLL14" s="2" t="n"/>
      <c r="HLM14" s="2" t="n"/>
      <c r="HLN14" s="2" t="n"/>
      <c r="HLO14" s="2" t="n"/>
      <c r="HLP14" s="2" t="n"/>
      <c r="HLQ14" s="2" t="n"/>
      <c r="HLR14" s="2" t="n"/>
      <c r="HLS14" s="2" t="n"/>
      <c r="HLT14" s="2" t="n"/>
      <c r="HLU14" s="2" t="n"/>
      <c r="HLV14" s="2" t="n"/>
      <c r="HLW14" s="2" t="n"/>
      <c r="HLX14" s="2" t="n"/>
      <c r="HLY14" s="2" t="n"/>
      <c r="HLZ14" s="2" t="n"/>
      <c r="HMA14" s="2" t="n"/>
      <c r="HMB14" s="2" t="n"/>
      <c r="HMC14" s="2" t="n"/>
      <c r="HMD14" s="2" t="n"/>
      <c r="HME14" s="2" t="n"/>
      <c r="HMF14" s="2" t="n"/>
      <c r="HMG14" s="2" t="n"/>
      <c r="HMH14" s="2" t="n"/>
      <c r="HMI14" s="2" t="n"/>
      <c r="HMJ14" s="2" t="n"/>
      <c r="HMK14" s="2" t="n"/>
      <c r="HML14" s="2" t="n"/>
      <c r="HMM14" s="2" t="n"/>
      <c r="HMN14" s="2" t="n"/>
      <c r="HMO14" s="2" t="n"/>
      <c r="HMP14" s="2" t="n"/>
      <c r="HMQ14" s="2" t="n"/>
      <c r="HMR14" s="2" t="n"/>
      <c r="HMS14" s="2" t="n"/>
      <c r="HMT14" s="2" t="n"/>
      <c r="HMU14" s="2" t="n"/>
      <c r="HMV14" s="2" t="n"/>
      <c r="HMW14" s="2" t="n"/>
      <c r="HMX14" s="2" t="n"/>
      <c r="HMY14" s="2" t="n"/>
      <c r="HMZ14" s="2" t="n"/>
      <c r="HNA14" s="2" t="n"/>
      <c r="HNB14" s="2" t="n"/>
      <c r="HNC14" s="2" t="n"/>
      <c r="HND14" s="2" t="n"/>
      <c r="HNE14" s="2" t="n"/>
      <c r="HNF14" s="2" t="n"/>
      <c r="HNG14" s="2" t="n"/>
      <c r="HNH14" s="2" t="n"/>
      <c r="HNI14" s="2" t="n"/>
      <c r="HNJ14" s="2" t="n"/>
      <c r="HNK14" s="2" t="n"/>
      <c r="HNL14" s="2" t="n"/>
      <c r="HNM14" s="2" t="n"/>
      <c r="HNN14" s="2" t="n"/>
      <c r="HNO14" s="2" t="n"/>
      <c r="HNP14" s="2" t="n"/>
      <c r="HNQ14" s="2" t="n"/>
      <c r="HNR14" s="2" t="n"/>
      <c r="HNS14" s="2" t="n"/>
      <c r="HNT14" s="2" t="n"/>
      <c r="HNU14" s="2" t="n"/>
      <c r="HNV14" s="2" t="n"/>
      <c r="HNW14" s="2" t="n"/>
      <c r="HNX14" s="2" t="n"/>
      <c r="HNY14" s="2" t="n"/>
      <c r="HNZ14" s="2" t="n"/>
      <c r="HOA14" s="2" t="n"/>
      <c r="HOB14" s="2" t="n"/>
      <c r="HOC14" s="2" t="n"/>
      <c r="HOD14" s="2" t="n"/>
      <c r="HOE14" s="2" t="n"/>
      <c r="HOF14" s="2" t="n"/>
      <c r="HOG14" s="2" t="n"/>
      <c r="HOH14" s="2" t="n"/>
      <c r="HOI14" s="2" t="n"/>
      <c r="HOJ14" s="2" t="n"/>
      <c r="HOK14" s="2" t="n"/>
      <c r="HOL14" s="2" t="n"/>
      <c r="HOM14" s="2" t="n"/>
      <c r="HON14" s="2" t="n"/>
      <c r="HOO14" s="2" t="n"/>
      <c r="HOP14" s="2" t="n"/>
      <c r="HOQ14" s="2" t="n"/>
      <c r="HOR14" s="2" t="n"/>
      <c r="HOS14" s="2" t="n"/>
      <c r="HOT14" s="2" t="n"/>
      <c r="HOU14" s="2" t="n"/>
      <c r="HOV14" s="2" t="n"/>
      <c r="HOW14" s="2" t="n"/>
      <c r="HOX14" s="2" t="n"/>
      <c r="HOY14" s="2" t="n"/>
      <c r="HOZ14" s="2" t="n"/>
      <c r="HPA14" s="2" t="n"/>
      <c r="HPB14" s="2" t="n"/>
      <c r="HPC14" s="2" t="n"/>
      <c r="HPD14" s="2" t="n"/>
      <c r="HPE14" s="2" t="n"/>
      <c r="HPF14" s="2" t="n"/>
      <c r="HPG14" s="2" t="n"/>
      <c r="HPH14" s="2" t="n"/>
      <c r="HPI14" s="2" t="n"/>
      <c r="HPJ14" s="2" t="n"/>
      <c r="HPK14" s="2" t="n"/>
      <c r="HPL14" s="2" t="n"/>
      <c r="HPM14" s="2" t="n"/>
      <c r="HPN14" s="2" t="n"/>
      <c r="HPO14" s="2" t="n"/>
      <c r="HPP14" s="2" t="n"/>
      <c r="HPQ14" s="2" t="n"/>
      <c r="HPR14" s="2" t="n"/>
      <c r="HPS14" s="2" t="n"/>
      <c r="HPT14" s="2" t="n"/>
      <c r="HPU14" s="2" t="n"/>
      <c r="HPV14" s="2" t="n"/>
      <c r="HPW14" s="2" t="n"/>
      <c r="HPX14" s="2" t="n"/>
      <c r="HPY14" s="2" t="n"/>
      <c r="HPZ14" s="2" t="n"/>
      <c r="HQA14" s="2" t="n"/>
      <c r="HQB14" s="2" t="n"/>
      <c r="HQC14" s="2" t="n"/>
      <c r="HQD14" s="2" t="n"/>
      <c r="HQE14" s="2" t="n"/>
      <c r="HQF14" s="2" t="n"/>
      <c r="HQG14" s="2" t="n"/>
      <c r="HQH14" s="2" t="n"/>
      <c r="HQI14" s="2" t="n"/>
      <c r="HQJ14" s="2" t="n"/>
      <c r="HQK14" s="2" t="n"/>
      <c r="HQL14" s="2" t="n"/>
      <c r="HQM14" s="2" t="n"/>
      <c r="HQN14" s="2" t="n"/>
      <c r="HQO14" s="2" t="n"/>
      <c r="HQP14" s="2" t="n"/>
      <c r="HQQ14" s="2" t="n"/>
      <c r="HQR14" s="2" t="n"/>
      <c r="HQS14" s="2" t="n"/>
      <c r="HQT14" s="2" t="n"/>
      <c r="HQU14" s="2" t="n"/>
      <c r="HQV14" s="2" t="n"/>
      <c r="HQW14" s="2" t="n"/>
      <c r="HQX14" s="2" t="n"/>
      <c r="HQY14" s="2" t="n"/>
      <c r="HQZ14" s="2" t="n"/>
      <c r="HRA14" s="2" t="n"/>
      <c r="HRB14" s="2" t="n"/>
      <c r="HRC14" s="2" t="n"/>
      <c r="HRD14" s="2" t="n"/>
      <c r="HRE14" s="2" t="n"/>
      <c r="HRF14" s="2" t="n"/>
      <c r="HRG14" s="2" t="n"/>
      <c r="HRH14" s="2" t="n"/>
      <c r="HRI14" s="2" t="n"/>
      <c r="HRJ14" s="2" t="n"/>
      <c r="HRK14" s="2" t="n"/>
      <c r="HRL14" s="2" t="n"/>
      <c r="HRM14" s="2" t="n"/>
      <c r="HRN14" s="2" t="n"/>
      <c r="HRO14" s="2" t="n"/>
      <c r="HRP14" s="2" t="n"/>
      <c r="HRQ14" s="2" t="n"/>
      <c r="HRR14" s="2" t="n"/>
      <c r="HRS14" s="2" t="n"/>
      <c r="HRT14" s="2" t="n"/>
      <c r="HRU14" s="2" t="n"/>
      <c r="HRV14" s="2" t="n"/>
      <c r="HRW14" s="2" t="n"/>
      <c r="HRX14" s="2" t="n"/>
      <c r="HRY14" s="2" t="n"/>
      <c r="HRZ14" s="2" t="n"/>
      <c r="HSA14" s="2" t="n"/>
      <c r="HSB14" s="2" t="n"/>
      <c r="HSC14" s="2" t="n"/>
      <c r="HSD14" s="2" t="n"/>
      <c r="HSE14" s="2" t="n"/>
      <c r="HSF14" s="2" t="n"/>
      <c r="HSG14" s="2" t="n"/>
      <c r="HSH14" s="2" t="n"/>
      <c r="HSI14" s="2" t="n"/>
      <c r="HSJ14" s="2" t="n"/>
      <c r="HSK14" s="2" t="n"/>
      <c r="HSL14" s="2" t="n"/>
      <c r="HSM14" s="2" t="n"/>
      <c r="HSN14" s="2" t="n"/>
      <c r="HSO14" s="2" t="n"/>
      <c r="HSP14" s="2" t="n"/>
      <c r="HSQ14" s="2" t="n"/>
      <c r="HSR14" s="2" t="n"/>
      <c r="HSS14" s="2" t="n"/>
      <c r="HST14" s="2" t="n"/>
      <c r="HSU14" s="2" t="n"/>
      <c r="HSV14" s="2" t="n"/>
      <c r="HSW14" s="2" t="n"/>
      <c r="HSX14" s="2" t="n"/>
      <c r="HSY14" s="2" t="n"/>
      <c r="HSZ14" s="2" t="n"/>
      <c r="HTA14" s="2" t="n"/>
      <c r="HTB14" s="2" t="n"/>
      <c r="HTC14" s="2" t="n"/>
      <c r="HTD14" s="2" t="n"/>
      <c r="HTE14" s="2" t="n"/>
      <c r="HTF14" s="2" t="n"/>
      <c r="HTG14" s="2" t="n"/>
      <c r="HTH14" s="2" t="n"/>
      <c r="HTI14" s="2" t="n"/>
      <c r="HTJ14" s="2" t="n"/>
      <c r="HTK14" s="2" t="n"/>
      <c r="HTL14" s="2" t="n"/>
      <c r="HTM14" s="2" t="n"/>
      <c r="HTN14" s="2" t="n"/>
      <c r="HTO14" s="2" t="n"/>
      <c r="HTP14" s="2" t="n"/>
      <c r="HTQ14" s="2" t="n"/>
      <c r="HTR14" s="2" t="n"/>
      <c r="HTS14" s="2" t="n"/>
      <c r="HTT14" s="2" t="n"/>
      <c r="HTU14" s="2" t="n"/>
      <c r="HTV14" s="2" t="n"/>
      <c r="HTW14" s="2" t="n"/>
      <c r="HTX14" s="2" t="n"/>
      <c r="HTY14" s="2" t="n"/>
      <c r="HTZ14" s="2" t="n"/>
      <c r="HUA14" s="2" t="n"/>
      <c r="HUB14" s="2" t="n"/>
      <c r="HUC14" s="2" t="n"/>
      <c r="HUD14" s="2" t="n"/>
      <c r="HUE14" s="2" t="n"/>
      <c r="HUF14" s="2" t="n"/>
      <c r="HUG14" s="2" t="n"/>
      <c r="HUH14" s="2" t="n"/>
      <c r="HUI14" s="2" t="n"/>
      <c r="HUJ14" s="2" t="n"/>
      <c r="HUK14" s="2" t="n"/>
      <c r="HUL14" s="2" t="n"/>
      <c r="HUM14" s="2" t="n"/>
      <c r="HUN14" s="2" t="n"/>
      <c r="HUO14" s="2" t="n"/>
      <c r="HUP14" s="2" t="n"/>
      <c r="HUQ14" s="2" t="n"/>
      <c r="HUR14" s="2" t="n"/>
      <c r="HUS14" s="2" t="n"/>
      <c r="HUT14" s="2" t="n"/>
      <c r="HUU14" s="2" t="n"/>
      <c r="HUV14" s="2" t="n"/>
      <c r="HUW14" s="2" t="n"/>
      <c r="HUX14" s="2" t="n"/>
      <c r="HUY14" s="2" t="n"/>
      <c r="HUZ14" s="2" t="n"/>
      <c r="HVA14" s="2" t="n"/>
      <c r="HVB14" s="2" t="n"/>
      <c r="HVC14" s="2" t="n"/>
      <c r="HVD14" s="2" t="n"/>
      <c r="HVE14" s="2" t="n"/>
      <c r="HVF14" s="2" t="n"/>
      <c r="HVG14" s="2" t="n"/>
      <c r="HVH14" s="2" t="n"/>
      <c r="HVI14" s="2" t="n"/>
      <c r="HVJ14" s="2" t="n"/>
      <c r="HVK14" s="2" t="n"/>
      <c r="HVL14" s="2" t="n"/>
      <c r="HVM14" s="2" t="n"/>
      <c r="HVN14" s="2" t="n"/>
      <c r="HVO14" s="2" t="n"/>
      <c r="HVP14" s="2" t="n"/>
      <c r="HVQ14" s="2" t="n"/>
      <c r="HVR14" s="2" t="n"/>
      <c r="HVS14" s="2" t="n"/>
      <c r="HVT14" s="2" t="n"/>
      <c r="HVU14" s="2" t="n"/>
      <c r="HVV14" s="2" t="n"/>
      <c r="HVW14" s="2" t="n"/>
      <c r="HVX14" s="2" t="n"/>
      <c r="HVY14" s="2" t="n"/>
      <c r="HVZ14" s="2" t="n"/>
      <c r="HWA14" s="2" t="n"/>
      <c r="HWB14" s="2" t="n"/>
      <c r="HWC14" s="2" t="n"/>
      <c r="HWD14" s="2" t="n"/>
      <c r="HWE14" s="2" t="n"/>
      <c r="HWF14" s="2" t="n"/>
      <c r="HWG14" s="2" t="n"/>
      <c r="HWH14" s="2" t="n"/>
      <c r="HWI14" s="2" t="n"/>
      <c r="HWJ14" s="2" t="n"/>
      <c r="HWK14" s="2" t="n"/>
      <c r="HWL14" s="2" t="n"/>
      <c r="HWM14" s="2" t="n"/>
      <c r="HWN14" s="2" t="n"/>
      <c r="HWO14" s="2" t="n"/>
      <c r="HWP14" s="2" t="n"/>
      <c r="HWQ14" s="2" t="n"/>
      <c r="HWR14" s="2" t="n"/>
      <c r="HWS14" s="2" t="n"/>
      <c r="HWT14" s="2" t="n"/>
      <c r="HWU14" s="2" t="n"/>
      <c r="HWV14" s="2" t="n"/>
      <c r="HWW14" s="2" t="n"/>
      <c r="HWX14" s="2" t="n"/>
      <c r="HWY14" s="2" t="n"/>
      <c r="HWZ14" s="2" t="n"/>
      <c r="HXA14" s="2" t="n"/>
      <c r="HXB14" s="2" t="n"/>
      <c r="HXC14" s="2" t="n"/>
      <c r="HXD14" s="2" t="n"/>
      <c r="HXE14" s="2" t="n"/>
      <c r="HXF14" s="2" t="n"/>
      <c r="HXG14" s="2" t="n"/>
      <c r="HXH14" s="2" t="n"/>
      <c r="HXI14" s="2" t="n"/>
      <c r="HXJ14" s="2" t="n"/>
      <c r="HXK14" s="2" t="n"/>
      <c r="HXL14" s="2" t="n"/>
      <c r="HXM14" s="2" t="n"/>
      <c r="HXN14" s="2" t="n"/>
      <c r="HXO14" s="2" t="n"/>
      <c r="HXP14" s="2" t="n"/>
      <c r="HXQ14" s="2" t="n"/>
      <c r="HXR14" s="2" t="n"/>
      <c r="HXS14" s="2" t="n"/>
      <c r="HXT14" s="2" t="n"/>
      <c r="HXU14" s="2" t="n"/>
      <c r="HXV14" s="2" t="n"/>
      <c r="HXW14" s="2" t="n"/>
      <c r="HXX14" s="2" t="n"/>
      <c r="HXY14" s="2" t="n"/>
      <c r="HXZ14" s="2" t="n"/>
      <c r="HYA14" s="2" t="n"/>
      <c r="HYB14" s="2" t="n"/>
      <c r="HYC14" s="2" t="n"/>
      <c r="HYD14" s="2" t="n"/>
      <c r="HYE14" s="2" t="n"/>
      <c r="HYF14" s="2" t="n"/>
      <c r="HYG14" s="2" t="n"/>
      <c r="HYH14" s="2" t="n"/>
      <c r="HYI14" s="2" t="n"/>
      <c r="HYJ14" s="2" t="n"/>
      <c r="HYK14" s="2" t="n"/>
      <c r="HYL14" s="2" t="n"/>
      <c r="HYM14" s="2" t="n"/>
      <c r="HYN14" s="2" t="n"/>
      <c r="HYO14" s="2" t="n"/>
      <c r="HYP14" s="2" t="n"/>
      <c r="HYQ14" s="2" t="n"/>
      <c r="HYR14" s="2" t="n"/>
      <c r="HYS14" s="2" t="n"/>
      <c r="HYT14" s="2" t="n"/>
      <c r="HYU14" s="2" t="n"/>
      <c r="HYV14" s="2" t="n"/>
      <c r="HYW14" s="2" t="n"/>
      <c r="HYX14" s="2" t="n"/>
      <c r="HYY14" s="2" t="n"/>
      <c r="HYZ14" s="2" t="n"/>
      <c r="HZA14" s="2" t="n"/>
      <c r="HZB14" s="2" t="n"/>
      <c r="HZC14" s="2" t="n"/>
      <c r="HZD14" s="2" t="n"/>
      <c r="HZE14" s="2" t="n"/>
      <c r="HZF14" s="2" t="n"/>
      <c r="HZG14" s="2" t="n"/>
      <c r="HZH14" s="2" t="n"/>
      <c r="HZI14" s="2" t="n"/>
      <c r="HZJ14" s="2" t="n"/>
      <c r="HZK14" s="2" t="n"/>
      <c r="HZL14" s="2" t="n"/>
      <c r="HZM14" s="2" t="n"/>
      <c r="HZN14" s="2" t="n"/>
      <c r="HZO14" s="2" t="n"/>
      <c r="HZP14" s="2" t="n"/>
      <c r="HZQ14" s="2" t="n"/>
      <c r="HZR14" s="2" t="n"/>
      <c r="HZS14" s="2" t="n"/>
      <c r="HZT14" s="2" t="n"/>
      <c r="HZU14" s="2" t="n"/>
      <c r="HZV14" s="2" t="n"/>
      <c r="HZW14" s="2" t="n"/>
      <c r="HZX14" s="2" t="n"/>
      <c r="HZY14" s="2" t="n"/>
      <c r="HZZ14" s="2" t="n"/>
      <c r="IAA14" s="2" t="n"/>
      <c r="IAB14" s="2" t="n"/>
      <c r="IAC14" s="2" t="n"/>
      <c r="IAD14" s="2" t="n"/>
      <c r="IAE14" s="2" t="n"/>
      <c r="IAF14" s="2" t="n"/>
      <c r="IAG14" s="2" t="n"/>
      <c r="IAH14" s="2" t="n"/>
      <c r="IAI14" s="2" t="n"/>
      <c r="IAJ14" s="2" t="n"/>
      <c r="IAK14" s="2" t="n"/>
      <c r="IAL14" s="2" t="n"/>
      <c r="IAM14" s="2" t="n"/>
      <c r="IAN14" s="2" t="n"/>
      <c r="IAO14" s="2" t="n"/>
      <c r="IAP14" s="2" t="n"/>
      <c r="IAQ14" s="2" t="n"/>
      <c r="IAR14" s="2" t="n"/>
      <c r="IAS14" s="2" t="n"/>
      <c r="IAT14" s="2" t="n"/>
      <c r="IAU14" s="2" t="n"/>
      <c r="IAV14" s="2" t="n"/>
      <c r="IAW14" s="2" t="n"/>
      <c r="IAX14" s="2" t="n"/>
      <c r="IAY14" s="2" t="n"/>
      <c r="IAZ14" s="2" t="n"/>
      <c r="IBA14" s="2" t="n"/>
      <c r="IBB14" s="2" t="n"/>
      <c r="IBC14" s="2" t="n"/>
      <c r="IBD14" s="2" t="n"/>
      <c r="IBE14" s="2" t="n"/>
      <c r="IBF14" s="2" t="n"/>
      <c r="IBG14" s="2" t="n"/>
      <c r="IBH14" s="2" t="n"/>
      <c r="IBI14" s="2" t="n"/>
      <c r="IBJ14" s="2" t="n"/>
      <c r="IBK14" s="2" t="n"/>
      <c r="IBL14" s="2" t="n"/>
      <c r="IBM14" s="2" t="n"/>
      <c r="IBN14" s="2" t="n"/>
      <c r="IBO14" s="2" t="n"/>
      <c r="IBP14" s="2" t="n"/>
      <c r="IBQ14" s="2" t="n"/>
      <c r="IBR14" s="2" t="n"/>
      <c r="IBS14" s="2" t="n"/>
      <c r="IBT14" s="2" t="n"/>
      <c r="IBU14" s="2" t="n"/>
      <c r="IBV14" s="2" t="n"/>
      <c r="IBW14" s="2" t="n"/>
      <c r="IBX14" s="2" t="n"/>
      <c r="IBY14" s="2" t="n"/>
      <c r="IBZ14" s="2" t="n"/>
      <c r="ICA14" s="2" t="n"/>
      <c r="ICB14" s="2" t="n"/>
      <c r="ICC14" s="2" t="n"/>
      <c r="ICD14" s="2" t="n"/>
      <c r="ICE14" s="2" t="n"/>
      <c r="ICF14" s="2" t="n"/>
      <c r="ICG14" s="2" t="n"/>
      <c r="ICH14" s="2" t="n"/>
      <c r="ICI14" s="2" t="n"/>
      <c r="ICJ14" s="2" t="n"/>
      <c r="ICK14" s="2" t="n"/>
      <c r="ICL14" s="2" t="n"/>
      <c r="ICM14" s="2" t="n"/>
      <c r="ICN14" s="2" t="n"/>
      <c r="ICO14" s="2" t="n"/>
      <c r="ICP14" s="2" t="n"/>
      <c r="ICQ14" s="2" t="n"/>
      <c r="ICR14" s="2" t="n"/>
      <c r="ICS14" s="2" t="n"/>
      <c r="ICT14" s="2" t="n"/>
      <c r="ICU14" s="2" t="n"/>
      <c r="ICV14" s="2" t="n"/>
      <c r="ICW14" s="2" t="n"/>
      <c r="ICX14" s="2" t="n"/>
      <c r="ICY14" s="2" t="n"/>
      <c r="ICZ14" s="2" t="n"/>
      <c r="IDA14" s="2" t="n"/>
      <c r="IDB14" s="2" t="n"/>
      <c r="IDC14" s="2" t="n"/>
      <c r="IDD14" s="2" t="n"/>
      <c r="IDE14" s="2" t="n"/>
      <c r="IDF14" s="2" t="n"/>
      <c r="IDG14" s="2" t="n"/>
      <c r="IDH14" s="2" t="n"/>
      <c r="IDI14" s="2" t="n"/>
      <c r="IDJ14" s="2" t="n"/>
      <c r="IDK14" s="2" t="n"/>
      <c r="IDL14" s="2" t="n"/>
      <c r="IDM14" s="2" t="n"/>
      <c r="IDN14" s="2" t="n"/>
      <c r="IDO14" s="2" t="n"/>
      <c r="IDP14" s="2" t="n"/>
      <c r="IDQ14" s="2" t="n"/>
      <c r="IDR14" s="2" t="n"/>
      <c r="IDS14" s="2" t="n"/>
      <c r="IDT14" s="2" t="n"/>
      <c r="IDU14" s="2" t="n"/>
      <c r="IDV14" s="2" t="n"/>
      <c r="IDW14" s="2" t="n"/>
      <c r="IDX14" s="2" t="n"/>
      <c r="IDY14" s="2" t="n"/>
      <c r="IDZ14" s="2" t="n"/>
      <c r="IEA14" s="2" t="n"/>
      <c r="IEB14" s="2" t="n"/>
      <c r="IEC14" s="2" t="n"/>
      <c r="IED14" s="2" t="n"/>
      <c r="IEE14" s="2" t="n"/>
      <c r="IEF14" s="2" t="n"/>
      <c r="IEG14" s="2" t="n"/>
      <c r="IEH14" s="2" t="n"/>
      <c r="IEI14" s="2" t="n"/>
      <c r="IEJ14" s="2" t="n"/>
      <c r="IEK14" s="2" t="n"/>
      <c r="IEL14" s="2" t="n"/>
      <c r="IEM14" s="2" t="n"/>
      <c r="IEN14" s="2" t="n"/>
      <c r="IEO14" s="2" t="n"/>
      <c r="IEP14" s="2" t="n"/>
      <c r="IEQ14" s="2" t="n"/>
      <c r="IER14" s="2" t="n"/>
      <c r="IES14" s="2" t="n"/>
      <c r="IET14" s="2" t="n"/>
      <c r="IEU14" s="2" t="n"/>
      <c r="IEV14" s="2" t="n"/>
      <c r="IEW14" s="2" t="n"/>
      <c r="IEX14" s="2" t="n"/>
      <c r="IEY14" s="2" t="n"/>
      <c r="IEZ14" s="2" t="n"/>
      <c r="IFA14" s="2" t="n"/>
      <c r="IFB14" s="2" t="n"/>
      <c r="IFC14" s="2" t="n"/>
      <c r="IFD14" s="2" t="n"/>
      <c r="IFE14" s="2" t="n"/>
      <c r="IFF14" s="2" t="n"/>
      <c r="IFG14" s="2" t="n"/>
      <c r="IFH14" s="2" t="n"/>
      <c r="IFI14" s="2" t="n"/>
      <c r="IFJ14" s="2" t="n"/>
      <c r="IFK14" s="2" t="n"/>
      <c r="IFL14" s="2" t="n"/>
      <c r="IFM14" s="2" t="n"/>
      <c r="IFN14" s="2" t="n"/>
      <c r="IFO14" s="2" t="n"/>
      <c r="IFP14" s="2" t="n"/>
      <c r="IFQ14" s="2" t="n"/>
      <c r="IFR14" s="2" t="n"/>
      <c r="IFS14" s="2" t="n"/>
      <c r="IFT14" s="2" t="n"/>
      <c r="IFU14" s="2" t="n"/>
      <c r="IFV14" s="2" t="n"/>
      <c r="IFW14" s="2" t="n"/>
      <c r="IFX14" s="2" t="n"/>
      <c r="IFY14" s="2" t="n"/>
      <c r="IFZ14" s="2" t="n"/>
      <c r="IGA14" s="2" t="n"/>
      <c r="IGB14" s="2" t="n"/>
      <c r="IGC14" s="2" t="n"/>
      <c r="IGD14" s="2" t="n"/>
      <c r="IGE14" s="2" t="n"/>
      <c r="IGF14" s="2" t="n"/>
      <c r="IGG14" s="2" t="n"/>
      <c r="IGH14" s="2" t="n"/>
      <c r="IGI14" s="2" t="n"/>
      <c r="IGJ14" s="2" t="n"/>
      <c r="IGK14" s="2" t="n"/>
      <c r="IGL14" s="2" t="n"/>
      <c r="IGM14" s="2" t="n"/>
      <c r="IGN14" s="2" t="n"/>
      <c r="IGO14" s="2" t="n"/>
      <c r="IGP14" s="2" t="n"/>
      <c r="IGQ14" s="2" t="n"/>
      <c r="IGR14" s="2" t="n"/>
      <c r="IGS14" s="2" t="n"/>
      <c r="IGT14" s="2" t="n"/>
      <c r="IGU14" s="2" t="n"/>
      <c r="IGV14" s="2" t="n"/>
      <c r="IGW14" s="2" t="n"/>
      <c r="IGX14" s="2" t="n"/>
      <c r="IGY14" s="2" t="n"/>
      <c r="IGZ14" s="2" t="n"/>
      <c r="IHA14" s="2" t="n"/>
      <c r="IHB14" s="2" t="n"/>
      <c r="IHC14" s="2" t="n"/>
      <c r="IHD14" s="2" t="n"/>
      <c r="IHE14" s="2" t="n"/>
      <c r="IHF14" s="2" t="n"/>
      <c r="IHG14" s="2" t="n"/>
      <c r="IHH14" s="2" t="n"/>
      <c r="IHI14" s="2" t="n"/>
      <c r="IHJ14" s="2" t="n"/>
      <c r="IHK14" s="2" t="n"/>
      <c r="IHL14" s="2" t="n"/>
      <c r="IHM14" s="2" t="n"/>
      <c r="IHN14" s="2" t="n"/>
      <c r="IHO14" s="2" t="n"/>
      <c r="IHP14" s="2" t="n"/>
      <c r="IHQ14" s="2" t="n"/>
      <c r="IHR14" s="2" t="n"/>
      <c r="IHS14" s="2" t="n"/>
      <c r="IHT14" s="2" t="n"/>
      <c r="IHU14" s="2" t="n"/>
      <c r="IHV14" s="2" t="n"/>
      <c r="IHW14" s="2" t="n"/>
      <c r="IHX14" s="2" t="n"/>
      <c r="IHY14" s="2" t="n"/>
      <c r="IHZ14" s="2" t="n"/>
      <c r="IIA14" s="2" t="n"/>
      <c r="IIB14" s="2" t="n"/>
      <c r="IIC14" s="2" t="n"/>
      <c r="IID14" s="2" t="n"/>
      <c r="IIE14" s="2" t="n"/>
      <c r="IIF14" s="2" t="n"/>
      <c r="IIG14" s="2" t="n"/>
      <c r="IIH14" s="2" t="n"/>
      <c r="III14" s="2" t="n"/>
      <c r="IIJ14" s="2" t="n"/>
      <c r="IIK14" s="2" t="n"/>
      <c r="IIL14" s="2" t="n"/>
      <c r="IIM14" s="2" t="n"/>
      <c r="IIN14" s="2" t="n"/>
      <c r="IIO14" s="2" t="n"/>
      <c r="IIP14" s="2" t="n"/>
      <c r="IIQ14" s="2" t="n"/>
      <c r="IIR14" s="2" t="n"/>
      <c r="IIS14" s="2" t="n"/>
      <c r="IIT14" s="2" t="n"/>
      <c r="IIU14" s="2" t="n"/>
      <c r="IIV14" s="2" t="n"/>
      <c r="IIW14" s="2" t="n"/>
      <c r="IIX14" s="2" t="n"/>
      <c r="IIY14" s="2" t="n"/>
      <c r="IIZ14" s="2" t="n"/>
      <c r="IJA14" s="2" t="n"/>
      <c r="IJB14" s="2" t="n"/>
      <c r="IJC14" s="2" t="n"/>
      <c r="IJD14" s="2" t="n"/>
      <c r="IJE14" s="2" t="n"/>
      <c r="IJF14" s="2" t="n"/>
      <c r="IJG14" s="2" t="n"/>
      <c r="IJH14" s="2" t="n"/>
      <c r="IJI14" s="2" t="n"/>
      <c r="IJJ14" s="2" t="n"/>
      <c r="IJK14" s="2" t="n"/>
      <c r="IJL14" s="2" t="n"/>
      <c r="IJM14" s="2" t="n"/>
      <c r="IJN14" s="2" t="n"/>
      <c r="IJO14" s="2" t="n"/>
      <c r="IJP14" s="2" t="n"/>
      <c r="IJQ14" s="2" t="n"/>
      <c r="IJR14" s="2" t="n"/>
      <c r="IJS14" s="2" t="n"/>
      <c r="IJT14" s="2" t="n"/>
      <c r="IJU14" s="2" t="n"/>
      <c r="IJV14" s="2" t="n"/>
      <c r="IJW14" s="2" t="n"/>
      <c r="IJX14" s="2" t="n"/>
      <c r="IJY14" s="2" t="n"/>
      <c r="IJZ14" s="2" t="n"/>
      <c r="IKA14" s="2" t="n"/>
      <c r="IKB14" s="2" t="n"/>
      <c r="IKC14" s="2" t="n"/>
      <c r="IKD14" s="2" t="n"/>
      <c r="IKE14" s="2" t="n"/>
      <c r="IKF14" s="2" t="n"/>
      <c r="IKG14" s="2" t="n"/>
      <c r="IKH14" s="2" t="n"/>
      <c r="IKI14" s="2" t="n"/>
      <c r="IKJ14" s="2" t="n"/>
      <c r="IKK14" s="2" t="n"/>
      <c r="IKL14" s="2" t="n"/>
      <c r="IKM14" s="2" t="n"/>
      <c r="IKN14" s="2" t="n"/>
      <c r="IKO14" s="2" t="n"/>
      <c r="IKP14" s="2" t="n"/>
      <c r="IKQ14" s="2" t="n"/>
      <c r="IKR14" s="2" t="n"/>
      <c r="IKS14" s="2" t="n"/>
      <c r="IKT14" s="2" t="n"/>
      <c r="IKU14" s="2" t="n"/>
      <c r="IKV14" s="2" t="n"/>
      <c r="IKW14" s="2" t="n"/>
      <c r="IKX14" s="2" t="n"/>
      <c r="IKY14" s="2" t="n"/>
      <c r="IKZ14" s="2" t="n"/>
      <c r="ILA14" s="2" t="n"/>
      <c r="ILB14" s="2" t="n"/>
      <c r="ILC14" s="2" t="n"/>
      <c r="ILD14" s="2" t="n"/>
      <c r="ILE14" s="2" t="n"/>
      <c r="ILF14" s="2" t="n"/>
      <c r="ILG14" s="2" t="n"/>
      <c r="ILH14" s="2" t="n"/>
      <c r="ILI14" s="2" t="n"/>
      <c r="ILJ14" s="2" t="n"/>
      <c r="ILK14" s="2" t="n"/>
      <c r="ILL14" s="2" t="n"/>
      <c r="ILM14" s="2" t="n"/>
      <c r="ILN14" s="2" t="n"/>
      <c r="ILO14" s="2" t="n"/>
      <c r="ILP14" s="2" t="n"/>
      <c r="ILQ14" s="2" t="n"/>
      <c r="ILR14" s="2" t="n"/>
      <c r="ILS14" s="2" t="n"/>
      <c r="ILT14" s="2" t="n"/>
      <c r="ILU14" s="2" t="n"/>
      <c r="ILV14" s="2" t="n"/>
      <c r="ILW14" s="2" t="n"/>
      <c r="ILX14" s="2" t="n"/>
      <c r="ILY14" s="2" t="n"/>
      <c r="ILZ14" s="2" t="n"/>
      <c r="IMA14" s="2" t="n"/>
      <c r="IMB14" s="2" t="n"/>
      <c r="IMC14" s="2" t="n"/>
      <c r="IMD14" s="2" t="n"/>
      <c r="IME14" s="2" t="n"/>
      <c r="IMF14" s="2" t="n"/>
      <c r="IMG14" s="2" t="n"/>
      <c r="IMH14" s="2" t="n"/>
      <c r="IMI14" s="2" t="n"/>
      <c r="IMJ14" s="2" t="n"/>
      <c r="IMK14" s="2" t="n"/>
      <c r="IML14" s="2" t="n"/>
      <c r="IMM14" s="2" t="n"/>
      <c r="IMN14" s="2" t="n"/>
      <c r="IMO14" s="2" t="n"/>
      <c r="IMP14" s="2" t="n"/>
      <c r="IMQ14" s="2" t="n"/>
      <c r="IMR14" s="2" t="n"/>
      <c r="IMS14" s="2" t="n"/>
      <c r="IMT14" s="2" t="n"/>
      <c r="IMU14" s="2" t="n"/>
      <c r="IMV14" s="2" t="n"/>
      <c r="IMW14" s="2" t="n"/>
      <c r="IMX14" s="2" t="n"/>
      <c r="IMY14" s="2" t="n"/>
      <c r="IMZ14" s="2" t="n"/>
      <c r="INA14" s="2" t="n"/>
      <c r="INB14" s="2" t="n"/>
      <c r="INC14" s="2" t="n"/>
      <c r="IND14" s="2" t="n"/>
      <c r="INE14" s="2" t="n"/>
      <c r="INF14" s="2" t="n"/>
      <c r="ING14" s="2" t="n"/>
      <c r="INH14" s="2" t="n"/>
      <c r="INI14" s="2" t="n"/>
      <c r="INJ14" s="2" t="n"/>
      <c r="INK14" s="2" t="n"/>
      <c r="INL14" s="2" t="n"/>
      <c r="INM14" s="2" t="n"/>
      <c r="INN14" s="2" t="n"/>
      <c r="INO14" s="2" t="n"/>
      <c r="INP14" s="2" t="n"/>
      <c r="INQ14" s="2" t="n"/>
      <c r="INR14" s="2" t="n"/>
      <c r="INS14" s="2" t="n"/>
      <c r="INT14" s="2" t="n"/>
      <c r="INU14" s="2" t="n"/>
      <c r="INV14" s="2" t="n"/>
      <c r="INW14" s="2" t="n"/>
      <c r="INX14" s="2" t="n"/>
      <c r="INY14" s="2" t="n"/>
      <c r="INZ14" s="2" t="n"/>
      <c r="IOA14" s="2" t="n"/>
      <c r="IOB14" s="2" t="n"/>
      <c r="IOC14" s="2" t="n"/>
      <c r="IOD14" s="2" t="n"/>
      <c r="IOE14" s="2" t="n"/>
      <c r="IOF14" s="2" t="n"/>
      <c r="IOG14" s="2" t="n"/>
      <c r="IOH14" s="2" t="n"/>
      <c r="IOI14" s="2" t="n"/>
      <c r="IOJ14" s="2" t="n"/>
      <c r="IOK14" s="2" t="n"/>
      <c r="IOL14" s="2" t="n"/>
      <c r="IOM14" s="2" t="n"/>
      <c r="ION14" s="2" t="n"/>
      <c r="IOO14" s="2" t="n"/>
      <c r="IOP14" s="2" t="n"/>
      <c r="IOQ14" s="2" t="n"/>
      <c r="IOR14" s="2" t="n"/>
      <c r="IOS14" s="2" t="n"/>
      <c r="IOT14" s="2" t="n"/>
      <c r="IOU14" s="2" t="n"/>
      <c r="IOV14" s="2" t="n"/>
      <c r="IOW14" s="2" t="n"/>
      <c r="IOX14" s="2" t="n"/>
      <c r="IOY14" s="2" t="n"/>
      <c r="IOZ14" s="2" t="n"/>
      <c r="IPA14" s="2" t="n"/>
      <c r="IPB14" s="2" t="n"/>
      <c r="IPC14" s="2" t="n"/>
      <c r="IPD14" s="2" t="n"/>
      <c r="IPE14" s="2" t="n"/>
      <c r="IPF14" s="2" t="n"/>
      <c r="IPG14" s="2" t="n"/>
      <c r="IPH14" s="2" t="n"/>
      <c r="IPI14" s="2" t="n"/>
      <c r="IPJ14" s="2" t="n"/>
      <c r="IPK14" s="2" t="n"/>
      <c r="IPL14" s="2" t="n"/>
      <c r="IPM14" s="2" t="n"/>
      <c r="IPN14" s="2" t="n"/>
      <c r="IPO14" s="2" t="n"/>
      <c r="IPP14" s="2" t="n"/>
      <c r="IPQ14" s="2" t="n"/>
      <c r="IPR14" s="2" t="n"/>
      <c r="IPS14" s="2" t="n"/>
      <c r="IPT14" s="2" t="n"/>
      <c r="IPU14" s="2" t="n"/>
      <c r="IPV14" s="2" t="n"/>
      <c r="IPW14" s="2" t="n"/>
      <c r="IPX14" s="2" t="n"/>
      <c r="IPY14" s="2" t="n"/>
      <c r="IPZ14" s="2" t="n"/>
      <c r="IQA14" s="2" t="n"/>
      <c r="IQB14" s="2" t="n"/>
      <c r="IQC14" s="2" t="n"/>
      <c r="IQD14" s="2" t="n"/>
      <c r="IQE14" s="2" t="n"/>
      <c r="IQF14" s="2" t="n"/>
      <c r="IQG14" s="2" t="n"/>
      <c r="IQH14" s="2" t="n"/>
      <c r="IQI14" s="2" t="n"/>
      <c r="IQJ14" s="2" t="n"/>
      <c r="IQK14" s="2" t="n"/>
      <c r="IQL14" s="2" t="n"/>
      <c r="IQM14" s="2" t="n"/>
      <c r="IQN14" s="2" t="n"/>
      <c r="IQO14" s="2" t="n"/>
      <c r="IQP14" s="2" t="n"/>
      <c r="IQQ14" s="2" t="n"/>
      <c r="IQR14" s="2" t="n"/>
      <c r="IQS14" s="2" t="n"/>
      <c r="IQT14" s="2" t="n"/>
      <c r="IQU14" s="2" t="n"/>
      <c r="IQV14" s="2" t="n"/>
      <c r="IQW14" s="2" t="n"/>
      <c r="IQX14" s="2" t="n"/>
      <c r="IQY14" s="2" t="n"/>
      <c r="IQZ14" s="2" t="n"/>
      <c r="IRA14" s="2" t="n"/>
      <c r="IRB14" s="2" t="n"/>
      <c r="IRC14" s="2" t="n"/>
      <c r="IRD14" s="2" t="n"/>
      <c r="IRE14" s="2" t="n"/>
      <c r="IRF14" s="2" t="n"/>
      <c r="IRG14" s="2" t="n"/>
      <c r="IRH14" s="2" t="n"/>
      <c r="IRI14" s="2" t="n"/>
      <c r="IRJ14" s="2" t="n"/>
      <c r="IRK14" s="2" t="n"/>
      <c r="IRL14" s="2" t="n"/>
      <c r="IRM14" s="2" t="n"/>
      <c r="IRN14" s="2" t="n"/>
      <c r="IRO14" s="2" t="n"/>
      <c r="IRP14" s="2" t="n"/>
      <c r="IRQ14" s="2" t="n"/>
      <c r="IRR14" s="2" t="n"/>
      <c r="IRS14" s="2" t="n"/>
      <c r="IRT14" s="2" t="n"/>
      <c r="IRU14" s="2" t="n"/>
      <c r="IRV14" s="2" t="n"/>
      <c r="IRW14" s="2" t="n"/>
      <c r="IRX14" s="2" t="n"/>
      <c r="IRY14" s="2" t="n"/>
      <c r="IRZ14" s="2" t="n"/>
      <c r="ISA14" s="2" t="n"/>
      <c r="ISB14" s="2" t="n"/>
      <c r="ISC14" s="2" t="n"/>
      <c r="ISD14" s="2" t="n"/>
      <c r="ISE14" s="2" t="n"/>
      <c r="ISF14" s="2" t="n"/>
      <c r="ISG14" s="2" t="n"/>
      <c r="ISH14" s="2" t="n"/>
      <c r="ISI14" s="2" t="n"/>
      <c r="ISJ14" s="2" t="n"/>
      <c r="ISK14" s="2" t="n"/>
      <c r="ISL14" s="2" t="n"/>
      <c r="ISM14" s="2" t="n"/>
      <c r="ISN14" s="2" t="n"/>
      <c r="ISO14" s="2" t="n"/>
      <c r="ISP14" s="2" t="n"/>
      <c r="ISQ14" s="2" t="n"/>
      <c r="ISR14" s="2" t="n"/>
      <c r="ISS14" s="2" t="n"/>
      <c r="IST14" s="2" t="n"/>
      <c r="ISU14" s="2" t="n"/>
      <c r="ISV14" s="2" t="n"/>
      <c r="ISW14" s="2" t="n"/>
      <c r="ISX14" s="2" t="n"/>
      <c r="ISY14" s="2" t="n"/>
      <c r="ISZ14" s="2" t="n"/>
      <c r="ITA14" s="2" t="n"/>
      <c r="ITB14" s="2" t="n"/>
      <c r="ITC14" s="2" t="n"/>
      <c r="ITD14" s="2" t="n"/>
      <c r="ITE14" s="2" t="n"/>
      <c r="ITF14" s="2" t="n"/>
      <c r="ITG14" s="2" t="n"/>
      <c r="ITH14" s="2" t="n"/>
      <c r="ITI14" s="2" t="n"/>
      <c r="ITJ14" s="2" t="n"/>
      <c r="ITK14" s="2" t="n"/>
      <c r="ITL14" s="2" t="n"/>
      <c r="ITM14" s="2" t="n"/>
      <c r="ITN14" s="2" t="n"/>
      <c r="ITO14" s="2" t="n"/>
      <c r="ITP14" s="2" t="n"/>
      <c r="ITQ14" s="2" t="n"/>
      <c r="ITR14" s="2" t="n"/>
      <c r="ITS14" s="2" t="n"/>
      <c r="ITT14" s="2" t="n"/>
      <c r="ITU14" s="2" t="n"/>
      <c r="ITV14" s="2" t="n"/>
      <c r="ITW14" s="2" t="n"/>
      <c r="ITX14" s="2" t="n"/>
      <c r="ITY14" s="2" t="n"/>
      <c r="ITZ14" s="2" t="n"/>
      <c r="IUA14" s="2" t="n"/>
      <c r="IUB14" s="2" t="n"/>
      <c r="IUC14" s="2" t="n"/>
      <c r="IUD14" s="2" t="n"/>
      <c r="IUE14" s="2" t="n"/>
      <c r="IUF14" s="2" t="n"/>
      <c r="IUG14" s="2" t="n"/>
      <c r="IUH14" s="2" t="n"/>
      <c r="IUI14" s="2" t="n"/>
      <c r="IUJ14" s="2" t="n"/>
      <c r="IUK14" s="2" t="n"/>
      <c r="IUL14" s="2" t="n"/>
      <c r="IUM14" s="2" t="n"/>
      <c r="IUN14" s="2" t="n"/>
      <c r="IUO14" s="2" t="n"/>
      <c r="IUP14" s="2" t="n"/>
      <c r="IUQ14" s="2" t="n"/>
      <c r="IUR14" s="2" t="n"/>
      <c r="IUS14" s="2" t="n"/>
      <c r="IUT14" s="2" t="n"/>
      <c r="IUU14" s="2" t="n"/>
      <c r="IUV14" s="2" t="n"/>
      <c r="IUW14" s="2" t="n"/>
      <c r="IUX14" s="2" t="n"/>
      <c r="IUY14" s="2" t="n"/>
      <c r="IUZ14" s="2" t="n"/>
      <c r="IVA14" s="2" t="n"/>
      <c r="IVB14" s="2" t="n"/>
      <c r="IVC14" s="2" t="n"/>
      <c r="IVD14" s="2" t="n"/>
      <c r="IVE14" s="2" t="n"/>
      <c r="IVF14" s="2" t="n"/>
      <c r="IVG14" s="2" t="n"/>
      <c r="IVH14" s="2" t="n"/>
      <c r="IVI14" s="2" t="n"/>
      <c r="IVJ14" s="2" t="n"/>
      <c r="IVK14" s="2" t="n"/>
      <c r="IVL14" s="2" t="n"/>
      <c r="IVM14" s="2" t="n"/>
      <c r="IVN14" s="2" t="n"/>
      <c r="IVO14" s="2" t="n"/>
      <c r="IVP14" s="2" t="n"/>
      <c r="IVQ14" s="2" t="n"/>
      <c r="IVR14" s="2" t="n"/>
      <c r="IVS14" s="2" t="n"/>
      <c r="IVT14" s="2" t="n"/>
      <c r="IVU14" s="2" t="n"/>
      <c r="IVV14" s="2" t="n"/>
      <c r="IVW14" s="2" t="n"/>
      <c r="IVX14" s="2" t="n"/>
      <c r="IVY14" s="2" t="n"/>
      <c r="IVZ14" s="2" t="n"/>
      <c r="IWA14" s="2" t="n"/>
      <c r="IWB14" s="2" t="n"/>
      <c r="IWC14" s="2" t="n"/>
      <c r="IWD14" s="2" t="n"/>
      <c r="IWE14" s="2" t="n"/>
      <c r="IWF14" s="2" t="n"/>
      <c r="IWG14" s="2" t="n"/>
      <c r="IWH14" s="2" t="n"/>
      <c r="IWI14" s="2" t="n"/>
      <c r="IWJ14" s="2" t="n"/>
      <c r="IWK14" s="2" t="n"/>
      <c r="IWL14" s="2" t="n"/>
      <c r="IWM14" s="2" t="n"/>
      <c r="IWN14" s="2" t="n"/>
      <c r="IWO14" s="2" t="n"/>
      <c r="IWP14" s="2" t="n"/>
      <c r="IWQ14" s="2" t="n"/>
      <c r="IWR14" s="2" t="n"/>
      <c r="IWS14" s="2" t="n"/>
      <c r="IWT14" s="2" t="n"/>
      <c r="IWU14" s="2" t="n"/>
      <c r="IWV14" s="2" t="n"/>
      <c r="IWW14" s="2" t="n"/>
      <c r="IWX14" s="2" t="n"/>
      <c r="IWY14" s="2" t="n"/>
      <c r="IWZ14" s="2" t="n"/>
      <c r="IXA14" s="2" t="n"/>
      <c r="IXB14" s="2" t="n"/>
      <c r="IXC14" s="2" t="n"/>
      <c r="IXD14" s="2" t="n"/>
      <c r="IXE14" s="2" t="n"/>
      <c r="IXF14" s="2" t="n"/>
      <c r="IXG14" s="2" t="n"/>
      <c r="IXH14" s="2" t="n"/>
      <c r="IXI14" s="2" t="n"/>
      <c r="IXJ14" s="2" t="n"/>
      <c r="IXK14" s="2" t="n"/>
      <c r="IXL14" s="2" t="n"/>
      <c r="IXM14" s="2" t="n"/>
      <c r="IXN14" s="2" t="n"/>
      <c r="IXO14" s="2" t="n"/>
      <c r="IXP14" s="2" t="n"/>
      <c r="IXQ14" s="2" t="n"/>
      <c r="IXR14" s="2" t="n"/>
      <c r="IXS14" s="2" t="n"/>
      <c r="IXT14" s="2" t="n"/>
      <c r="IXU14" s="2" t="n"/>
      <c r="IXV14" s="2" t="n"/>
      <c r="IXW14" s="2" t="n"/>
      <c r="IXX14" s="2" t="n"/>
      <c r="IXY14" s="2" t="n"/>
      <c r="IXZ14" s="2" t="n"/>
      <c r="IYA14" s="2" t="n"/>
      <c r="IYB14" s="2" t="n"/>
      <c r="IYC14" s="2" t="n"/>
      <c r="IYD14" s="2" t="n"/>
      <c r="IYE14" s="2" t="n"/>
      <c r="IYF14" s="2" t="n"/>
      <c r="IYG14" s="2" t="n"/>
      <c r="IYH14" s="2" t="n"/>
      <c r="IYI14" s="2" t="n"/>
      <c r="IYJ14" s="2" t="n"/>
      <c r="IYK14" s="2" t="n"/>
      <c r="IYL14" s="2" t="n"/>
      <c r="IYM14" s="2" t="n"/>
      <c r="IYN14" s="2" t="n"/>
      <c r="IYO14" s="2" t="n"/>
      <c r="IYP14" s="2" t="n"/>
      <c r="IYQ14" s="2" t="n"/>
      <c r="IYR14" s="2" t="n"/>
      <c r="IYS14" s="2" t="n"/>
      <c r="IYT14" s="2" t="n"/>
      <c r="IYU14" s="2" t="n"/>
      <c r="IYV14" s="2" t="n"/>
      <c r="IYW14" s="2" t="n"/>
      <c r="IYX14" s="2" t="n"/>
      <c r="IYY14" s="2" t="n"/>
      <c r="IYZ14" s="2" t="n"/>
      <c r="IZA14" s="2" t="n"/>
      <c r="IZB14" s="2" t="n"/>
      <c r="IZC14" s="2" t="n"/>
      <c r="IZD14" s="2" t="n"/>
      <c r="IZE14" s="2" t="n"/>
      <c r="IZF14" s="2" t="n"/>
      <c r="IZG14" s="2" t="n"/>
      <c r="IZH14" s="2" t="n"/>
      <c r="IZI14" s="2" t="n"/>
      <c r="IZJ14" s="2" t="n"/>
      <c r="IZK14" s="2" t="n"/>
      <c r="IZL14" s="2" t="n"/>
      <c r="IZM14" s="2" t="n"/>
      <c r="IZN14" s="2" t="n"/>
      <c r="IZO14" s="2" t="n"/>
      <c r="IZP14" s="2" t="n"/>
      <c r="IZQ14" s="2" t="n"/>
      <c r="IZR14" s="2" t="n"/>
      <c r="IZS14" s="2" t="n"/>
      <c r="IZT14" s="2" t="n"/>
      <c r="IZU14" s="2" t="n"/>
      <c r="IZV14" s="2" t="n"/>
      <c r="IZW14" s="2" t="n"/>
      <c r="IZX14" s="2" t="n"/>
      <c r="IZY14" s="2" t="n"/>
      <c r="IZZ14" s="2" t="n"/>
      <c r="JAA14" s="2" t="n"/>
      <c r="JAB14" s="2" t="n"/>
      <c r="JAC14" s="2" t="n"/>
      <c r="JAD14" s="2" t="n"/>
      <c r="JAE14" s="2" t="n"/>
      <c r="JAF14" s="2" t="n"/>
      <c r="JAG14" s="2" t="n"/>
      <c r="JAH14" s="2" t="n"/>
      <c r="JAI14" s="2" t="n"/>
      <c r="JAJ14" s="2" t="n"/>
      <c r="JAK14" s="2" t="n"/>
      <c r="JAL14" s="2" t="n"/>
      <c r="JAM14" s="2" t="n"/>
      <c r="JAN14" s="2" t="n"/>
      <c r="JAO14" s="2" t="n"/>
      <c r="JAP14" s="2" t="n"/>
      <c r="JAQ14" s="2" t="n"/>
      <c r="JAR14" s="2" t="n"/>
      <c r="JAS14" s="2" t="n"/>
      <c r="JAT14" s="2" t="n"/>
      <c r="JAU14" s="2" t="n"/>
      <c r="JAV14" s="2" t="n"/>
      <c r="JAW14" s="2" t="n"/>
      <c r="JAX14" s="2" t="n"/>
      <c r="JAY14" s="2" t="n"/>
      <c r="JAZ14" s="2" t="n"/>
      <c r="JBA14" s="2" t="n"/>
      <c r="JBB14" s="2" t="n"/>
      <c r="JBC14" s="2" t="n"/>
      <c r="JBD14" s="2" t="n"/>
      <c r="JBE14" s="2" t="n"/>
      <c r="JBF14" s="2" t="n"/>
      <c r="JBG14" s="2" t="n"/>
      <c r="JBH14" s="2" t="n"/>
      <c r="JBI14" s="2" t="n"/>
      <c r="JBJ14" s="2" t="n"/>
      <c r="JBK14" s="2" t="n"/>
      <c r="JBL14" s="2" t="n"/>
      <c r="JBM14" s="2" t="n"/>
      <c r="JBN14" s="2" t="n"/>
      <c r="JBO14" s="2" t="n"/>
      <c r="JBP14" s="2" t="n"/>
      <c r="JBQ14" s="2" t="n"/>
      <c r="JBR14" s="2" t="n"/>
      <c r="JBS14" s="2" t="n"/>
      <c r="JBT14" s="2" t="n"/>
      <c r="JBU14" s="2" t="n"/>
      <c r="JBV14" s="2" t="n"/>
      <c r="JBW14" s="2" t="n"/>
      <c r="JBX14" s="2" t="n"/>
      <c r="JBY14" s="2" t="n"/>
      <c r="JBZ14" s="2" t="n"/>
      <c r="JCA14" s="2" t="n"/>
      <c r="JCB14" s="2" t="n"/>
      <c r="JCC14" s="2" t="n"/>
      <c r="JCD14" s="2" t="n"/>
      <c r="JCE14" s="2" t="n"/>
      <c r="JCF14" s="2" t="n"/>
      <c r="JCG14" s="2" t="n"/>
      <c r="JCH14" s="2" t="n"/>
      <c r="JCI14" s="2" t="n"/>
      <c r="JCJ14" s="2" t="n"/>
      <c r="JCK14" s="2" t="n"/>
      <c r="JCL14" s="2" t="n"/>
      <c r="JCM14" s="2" t="n"/>
      <c r="JCN14" s="2" t="n"/>
      <c r="JCO14" s="2" t="n"/>
      <c r="JCP14" s="2" t="n"/>
      <c r="JCQ14" s="2" t="n"/>
      <c r="JCR14" s="2" t="n"/>
      <c r="JCS14" s="2" t="n"/>
      <c r="JCT14" s="2" t="n"/>
      <c r="JCU14" s="2" t="n"/>
      <c r="JCV14" s="2" t="n"/>
      <c r="JCW14" s="2" t="n"/>
      <c r="JCX14" s="2" t="n"/>
      <c r="JCY14" s="2" t="n"/>
      <c r="JCZ14" s="2" t="n"/>
      <c r="JDA14" s="2" t="n"/>
      <c r="JDB14" s="2" t="n"/>
      <c r="JDC14" s="2" t="n"/>
      <c r="JDD14" s="2" t="n"/>
      <c r="JDE14" s="2" t="n"/>
      <c r="JDF14" s="2" t="n"/>
      <c r="JDG14" s="2" t="n"/>
      <c r="JDH14" s="2" t="n"/>
      <c r="JDI14" s="2" t="n"/>
      <c r="JDJ14" s="2" t="n"/>
      <c r="JDK14" s="2" t="n"/>
      <c r="JDL14" s="2" t="n"/>
      <c r="JDM14" s="2" t="n"/>
      <c r="JDN14" s="2" t="n"/>
      <c r="JDO14" s="2" t="n"/>
      <c r="JDP14" s="2" t="n"/>
      <c r="JDQ14" s="2" t="n"/>
      <c r="JDR14" s="2" t="n"/>
      <c r="JDS14" s="2" t="n"/>
      <c r="JDT14" s="2" t="n"/>
      <c r="JDU14" s="2" t="n"/>
      <c r="JDV14" s="2" t="n"/>
      <c r="JDW14" s="2" t="n"/>
      <c r="JDX14" s="2" t="n"/>
      <c r="JDY14" s="2" t="n"/>
      <c r="JDZ14" s="2" t="n"/>
      <c r="JEA14" s="2" t="n"/>
      <c r="JEB14" s="2" t="n"/>
      <c r="JEC14" s="2" t="n"/>
      <c r="JED14" s="2" t="n"/>
      <c r="JEE14" s="2" t="n"/>
      <c r="JEF14" s="2" t="n"/>
      <c r="JEG14" s="2" t="n"/>
      <c r="JEH14" s="2" t="n"/>
      <c r="JEI14" s="2" t="n"/>
      <c r="JEJ14" s="2" t="n"/>
      <c r="JEK14" s="2" t="n"/>
      <c r="JEL14" s="2" t="n"/>
      <c r="JEM14" s="2" t="n"/>
      <c r="JEN14" s="2" t="n"/>
      <c r="JEO14" s="2" t="n"/>
      <c r="JEP14" s="2" t="n"/>
      <c r="JEQ14" s="2" t="n"/>
      <c r="JER14" s="2" t="n"/>
      <c r="JES14" s="2" t="n"/>
      <c r="JET14" s="2" t="n"/>
      <c r="JEU14" s="2" t="n"/>
      <c r="JEV14" s="2" t="n"/>
      <c r="JEW14" s="2" t="n"/>
      <c r="JEX14" s="2" t="n"/>
      <c r="JEY14" s="2" t="n"/>
      <c r="JEZ14" s="2" t="n"/>
      <c r="JFA14" s="2" t="n"/>
      <c r="JFB14" s="2" t="n"/>
      <c r="JFC14" s="2" t="n"/>
      <c r="JFD14" s="2" t="n"/>
      <c r="JFE14" s="2" t="n"/>
      <c r="JFF14" s="2" t="n"/>
      <c r="JFG14" s="2" t="n"/>
      <c r="JFH14" s="2" t="n"/>
      <c r="JFI14" s="2" t="n"/>
      <c r="JFJ14" s="2" t="n"/>
      <c r="JFK14" s="2" t="n"/>
      <c r="JFL14" s="2" t="n"/>
      <c r="JFM14" s="2" t="n"/>
      <c r="JFN14" s="2" t="n"/>
      <c r="JFO14" s="2" t="n"/>
      <c r="JFP14" s="2" t="n"/>
      <c r="JFQ14" s="2" t="n"/>
      <c r="JFR14" s="2" t="n"/>
      <c r="JFS14" s="2" t="n"/>
      <c r="JFT14" s="2" t="n"/>
      <c r="JFU14" s="2" t="n"/>
      <c r="JFV14" s="2" t="n"/>
      <c r="JFW14" s="2" t="n"/>
      <c r="JFX14" s="2" t="n"/>
      <c r="JFY14" s="2" t="n"/>
      <c r="JFZ14" s="2" t="n"/>
      <c r="JGA14" s="2" t="n"/>
      <c r="JGB14" s="2" t="n"/>
      <c r="JGC14" s="2" t="n"/>
      <c r="JGD14" s="2" t="n"/>
      <c r="JGE14" s="2" t="n"/>
      <c r="JGF14" s="2" t="n"/>
      <c r="JGG14" s="2" t="n"/>
      <c r="JGH14" s="2" t="n"/>
      <c r="JGI14" s="2" t="n"/>
      <c r="JGJ14" s="2" t="n"/>
      <c r="JGK14" s="2" t="n"/>
      <c r="JGL14" s="2" t="n"/>
      <c r="JGM14" s="2" t="n"/>
      <c r="JGN14" s="2" t="n"/>
      <c r="JGO14" s="2" t="n"/>
      <c r="JGP14" s="2" t="n"/>
      <c r="JGQ14" s="2" t="n"/>
      <c r="JGR14" s="2" t="n"/>
      <c r="JGS14" s="2" t="n"/>
      <c r="JGT14" s="2" t="n"/>
      <c r="JGU14" s="2" t="n"/>
      <c r="JGV14" s="2" t="n"/>
      <c r="JGW14" s="2" t="n"/>
      <c r="JGX14" s="2" t="n"/>
      <c r="JGY14" s="2" t="n"/>
      <c r="JGZ14" s="2" t="n"/>
      <c r="JHA14" s="2" t="n"/>
      <c r="JHB14" s="2" t="n"/>
      <c r="JHC14" s="2" t="n"/>
      <c r="JHD14" s="2" t="n"/>
      <c r="JHE14" s="2" t="n"/>
      <c r="JHF14" s="2" t="n"/>
      <c r="JHG14" s="2" t="n"/>
      <c r="JHH14" s="2" t="n"/>
      <c r="JHI14" s="2" t="n"/>
      <c r="JHJ14" s="2" t="n"/>
      <c r="JHK14" s="2" t="n"/>
      <c r="JHL14" s="2" t="n"/>
      <c r="JHM14" s="2" t="n"/>
      <c r="JHN14" s="2" t="n"/>
      <c r="JHO14" s="2" t="n"/>
      <c r="JHP14" s="2" t="n"/>
      <c r="JHQ14" s="2" t="n"/>
      <c r="JHR14" s="2" t="n"/>
      <c r="JHS14" s="2" t="n"/>
      <c r="JHT14" s="2" t="n"/>
      <c r="JHU14" s="2" t="n"/>
      <c r="JHV14" s="2" t="n"/>
      <c r="JHW14" s="2" t="n"/>
      <c r="JHX14" s="2" t="n"/>
      <c r="JHY14" s="2" t="n"/>
      <c r="JHZ14" s="2" t="n"/>
      <c r="JIA14" s="2" t="n"/>
      <c r="JIB14" s="2" t="n"/>
      <c r="JIC14" s="2" t="n"/>
      <c r="JID14" s="2" t="n"/>
      <c r="JIE14" s="2" t="n"/>
      <c r="JIF14" s="2" t="n"/>
      <c r="JIG14" s="2" t="n"/>
      <c r="JIH14" s="2" t="n"/>
      <c r="JII14" s="2" t="n"/>
      <c r="JIJ14" s="2" t="n"/>
      <c r="JIK14" s="2" t="n"/>
      <c r="JIL14" s="2" t="n"/>
      <c r="JIM14" s="2" t="n"/>
      <c r="JIN14" s="2" t="n"/>
      <c r="JIO14" s="2" t="n"/>
      <c r="JIP14" s="2" t="n"/>
      <c r="JIQ14" s="2" t="n"/>
      <c r="JIR14" s="2" t="n"/>
      <c r="JIS14" s="2" t="n"/>
      <c r="JIT14" s="2" t="n"/>
      <c r="JIU14" s="2" t="n"/>
      <c r="JIV14" s="2" t="n"/>
      <c r="JIW14" s="2" t="n"/>
      <c r="JIX14" s="2" t="n"/>
      <c r="JIY14" s="2" t="n"/>
      <c r="JIZ14" s="2" t="n"/>
      <c r="JJA14" s="2" t="n"/>
      <c r="JJB14" s="2" t="n"/>
      <c r="JJC14" s="2" t="n"/>
      <c r="JJD14" s="2" t="n"/>
      <c r="JJE14" s="2" t="n"/>
      <c r="JJF14" s="2" t="n"/>
      <c r="JJG14" s="2" t="n"/>
      <c r="JJH14" s="2" t="n"/>
      <c r="JJI14" s="2" t="n"/>
      <c r="JJJ14" s="2" t="n"/>
      <c r="JJK14" s="2" t="n"/>
      <c r="JJL14" s="2" t="n"/>
      <c r="JJM14" s="2" t="n"/>
      <c r="JJN14" s="2" t="n"/>
      <c r="JJO14" s="2" t="n"/>
      <c r="JJP14" s="2" t="n"/>
      <c r="JJQ14" s="2" t="n"/>
      <c r="JJR14" s="2" t="n"/>
      <c r="JJS14" s="2" t="n"/>
      <c r="JJT14" s="2" t="n"/>
      <c r="JJU14" s="2" t="n"/>
      <c r="JJV14" s="2" t="n"/>
      <c r="JJW14" s="2" t="n"/>
      <c r="JJX14" s="2" t="n"/>
      <c r="JJY14" s="2" t="n"/>
      <c r="JJZ14" s="2" t="n"/>
      <c r="JKA14" s="2" t="n"/>
      <c r="JKB14" s="2" t="n"/>
      <c r="JKC14" s="2" t="n"/>
      <c r="JKD14" s="2" t="n"/>
      <c r="JKE14" s="2" t="n"/>
      <c r="JKF14" s="2" t="n"/>
      <c r="JKG14" s="2" t="n"/>
      <c r="JKH14" s="2" t="n"/>
      <c r="JKI14" s="2" t="n"/>
      <c r="JKJ14" s="2" t="n"/>
      <c r="JKK14" s="2" t="n"/>
      <c r="JKL14" s="2" t="n"/>
      <c r="JKM14" s="2" t="n"/>
      <c r="JKN14" s="2" t="n"/>
      <c r="JKO14" s="2" t="n"/>
      <c r="JKP14" s="2" t="n"/>
      <c r="JKQ14" s="2" t="n"/>
      <c r="JKR14" s="2" t="n"/>
      <c r="JKS14" s="2" t="n"/>
      <c r="JKT14" s="2" t="n"/>
      <c r="JKU14" s="2" t="n"/>
      <c r="JKV14" s="2" t="n"/>
      <c r="JKW14" s="2" t="n"/>
      <c r="JKX14" s="2" t="n"/>
      <c r="JKY14" s="2" t="n"/>
      <c r="JKZ14" s="2" t="n"/>
      <c r="JLA14" s="2" t="n"/>
      <c r="JLB14" s="2" t="n"/>
      <c r="JLC14" s="2" t="n"/>
      <c r="JLD14" s="2" t="n"/>
      <c r="JLE14" s="2" t="n"/>
      <c r="JLF14" s="2" t="n"/>
      <c r="JLG14" s="2" t="n"/>
      <c r="JLH14" s="2" t="n"/>
      <c r="JLI14" s="2" t="n"/>
      <c r="JLJ14" s="2" t="n"/>
      <c r="JLK14" s="2" t="n"/>
      <c r="JLL14" s="2" t="n"/>
      <c r="JLM14" s="2" t="n"/>
      <c r="JLN14" s="2" t="n"/>
      <c r="JLO14" s="2" t="n"/>
      <c r="JLP14" s="2" t="n"/>
      <c r="JLQ14" s="2" t="n"/>
      <c r="JLR14" s="2" t="n"/>
      <c r="JLS14" s="2" t="n"/>
      <c r="JLT14" s="2" t="n"/>
      <c r="JLU14" s="2" t="n"/>
      <c r="JLV14" s="2" t="n"/>
      <c r="JLW14" s="2" t="n"/>
      <c r="JLX14" s="2" t="n"/>
      <c r="JLY14" s="2" t="n"/>
      <c r="JLZ14" s="2" t="n"/>
      <c r="JMA14" s="2" t="n"/>
      <c r="JMB14" s="2" t="n"/>
      <c r="JMC14" s="2" t="n"/>
      <c r="JMD14" s="2" t="n"/>
      <c r="JME14" s="2" t="n"/>
      <c r="JMF14" s="2" t="n"/>
      <c r="JMG14" s="2" t="n"/>
      <c r="JMH14" s="2" t="n"/>
      <c r="JMI14" s="2" t="n"/>
      <c r="JMJ14" s="2" t="n"/>
      <c r="JMK14" s="2" t="n"/>
      <c r="JML14" s="2" t="n"/>
      <c r="JMM14" s="2" t="n"/>
      <c r="JMN14" s="2" t="n"/>
      <c r="JMO14" s="2" t="n"/>
      <c r="JMP14" s="2" t="n"/>
      <c r="JMQ14" s="2" t="n"/>
      <c r="JMR14" s="2" t="n"/>
      <c r="JMS14" s="2" t="n"/>
      <c r="JMT14" s="2" t="n"/>
      <c r="JMU14" s="2" t="n"/>
      <c r="JMV14" s="2" t="n"/>
      <c r="JMW14" s="2" t="n"/>
      <c r="JMX14" s="2" t="n"/>
      <c r="JMY14" s="2" t="n"/>
      <c r="JMZ14" s="2" t="n"/>
      <c r="JNA14" s="2" t="n"/>
      <c r="JNB14" s="2" t="n"/>
      <c r="JNC14" s="2" t="n"/>
      <c r="JND14" s="2" t="n"/>
      <c r="JNE14" s="2" t="n"/>
      <c r="JNF14" s="2" t="n"/>
      <c r="JNG14" s="2" t="n"/>
      <c r="JNH14" s="2" t="n"/>
      <c r="JNI14" s="2" t="n"/>
      <c r="JNJ14" s="2" t="n"/>
      <c r="JNK14" s="2" t="n"/>
      <c r="JNL14" s="2" t="n"/>
      <c r="JNM14" s="2" t="n"/>
      <c r="JNN14" s="2" t="n"/>
      <c r="JNO14" s="2" t="n"/>
      <c r="JNP14" s="2" t="n"/>
      <c r="JNQ14" s="2" t="n"/>
      <c r="JNR14" s="2" t="n"/>
      <c r="JNS14" s="2" t="n"/>
      <c r="JNT14" s="2" t="n"/>
      <c r="JNU14" s="2" t="n"/>
      <c r="JNV14" s="2" t="n"/>
      <c r="JNW14" s="2" t="n"/>
      <c r="JNX14" s="2" t="n"/>
      <c r="JNY14" s="2" t="n"/>
      <c r="JNZ14" s="2" t="n"/>
      <c r="JOA14" s="2" t="n"/>
      <c r="JOB14" s="2" t="n"/>
      <c r="JOC14" s="2" t="n"/>
      <c r="JOD14" s="2" t="n"/>
      <c r="JOE14" s="2" t="n"/>
      <c r="JOF14" s="2" t="n"/>
      <c r="JOG14" s="2" t="n"/>
      <c r="JOH14" s="2" t="n"/>
      <c r="JOI14" s="2" t="n"/>
      <c r="JOJ14" s="2" t="n"/>
      <c r="JOK14" s="2" t="n"/>
      <c r="JOL14" s="2" t="n"/>
      <c r="JOM14" s="2" t="n"/>
      <c r="JON14" s="2" t="n"/>
      <c r="JOO14" s="2" t="n"/>
      <c r="JOP14" s="2" t="n"/>
      <c r="JOQ14" s="2" t="n"/>
      <c r="JOR14" s="2" t="n"/>
      <c r="JOS14" s="2" t="n"/>
      <c r="JOT14" s="2" t="n"/>
      <c r="JOU14" s="2" t="n"/>
      <c r="JOV14" s="2" t="n"/>
      <c r="JOW14" s="2" t="n"/>
      <c r="JOX14" s="2" t="n"/>
      <c r="JOY14" s="2" t="n"/>
      <c r="JOZ14" s="2" t="n"/>
      <c r="JPA14" s="2" t="n"/>
      <c r="JPB14" s="2" t="n"/>
      <c r="JPC14" s="2" t="n"/>
      <c r="JPD14" s="2" t="n"/>
      <c r="JPE14" s="2" t="n"/>
      <c r="JPF14" s="2" t="n"/>
      <c r="JPG14" s="2" t="n"/>
      <c r="JPH14" s="2" t="n"/>
      <c r="JPI14" s="2" t="n"/>
      <c r="JPJ14" s="2" t="n"/>
      <c r="JPK14" s="2" t="n"/>
      <c r="JPL14" s="2" t="n"/>
      <c r="JPM14" s="2" t="n"/>
      <c r="JPN14" s="2" t="n"/>
      <c r="JPO14" s="2" t="n"/>
      <c r="JPP14" s="2" t="n"/>
      <c r="JPQ14" s="2" t="n"/>
      <c r="JPR14" s="2" t="n"/>
      <c r="JPS14" s="2" t="n"/>
      <c r="JPT14" s="2" t="n"/>
      <c r="JPU14" s="2" t="n"/>
      <c r="JPV14" s="2" t="n"/>
      <c r="JPW14" s="2" t="n"/>
      <c r="JPX14" s="2" t="n"/>
      <c r="JPY14" s="2" t="n"/>
      <c r="JPZ14" s="2" t="n"/>
      <c r="JQA14" s="2" t="n"/>
      <c r="JQB14" s="2" t="n"/>
      <c r="JQC14" s="2" t="n"/>
      <c r="JQD14" s="2" t="n"/>
      <c r="JQE14" s="2" t="n"/>
      <c r="JQF14" s="2" t="n"/>
      <c r="JQG14" s="2" t="n"/>
      <c r="JQH14" s="2" t="n"/>
      <c r="JQI14" s="2" t="n"/>
      <c r="JQJ14" s="2" t="n"/>
      <c r="JQK14" s="2" t="n"/>
      <c r="JQL14" s="2" t="n"/>
      <c r="JQM14" s="2" t="n"/>
      <c r="JQN14" s="2" t="n"/>
      <c r="JQO14" s="2" t="n"/>
      <c r="JQP14" s="2" t="n"/>
      <c r="JQQ14" s="2" t="n"/>
      <c r="JQR14" s="2" t="n"/>
      <c r="JQS14" s="2" t="n"/>
      <c r="JQT14" s="2" t="n"/>
      <c r="JQU14" s="2" t="n"/>
      <c r="JQV14" s="2" t="n"/>
      <c r="JQW14" s="2" t="n"/>
      <c r="JQX14" s="2" t="n"/>
      <c r="JQY14" s="2" t="n"/>
      <c r="JQZ14" s="2" t="n"/>
      <c r="JRA14" s="2" t="n"/>
      <c r="JRB14" s="2" t="n"/>
      <c r="JRC14" s="2" t="n"/>
      <c r="JRD14" s="2" t="n"/>
      <c r="JRE14" s="2" t="n"/>
      <c r="JRF14" s="2" t="n"/>
      <c r="JRG14" s="2" t="n"/>
      <c r="JRH14" s="2" t="n"/>
      <c r="JRI14" s="2" t="n"/>
      <c r="JRJ14" s="2" t="n"/>
      <c r="JRK14" s="2" t="n"/>
      <c r="JRL14" s="2" t="n"/>
      <c r="JRM14" s="2" t="n"/>
      <c r="JRN14" s="2" t="n"/>
      <c r="JRO14" s="2" t="n"/>
      <c r="JRP14" s="2" t="n"/>
      <c r="JRQ14" s="2" t="n"/>
      <c r="JRR14" s="2" t="n"/>
      <c r="JRS14" s="2" t="n"/>
      <c r="JRT14" s="2" t="n"/>
      <c r="JRU14" s="2" t="n"/>
      <c r="JRV14" s="2" t="n"/>
      <c r="JRW14" s="2" t="n"/>
      <c r="JRX14" s="2" t="n"/>
      <c r="JRY14" s="2" t="n"/>
      <c r="JRZ14" s="2" t="n"/>
      <c r="JSA14" s="2" t="n"/>
      <c r="JSB14" s="2" t="n"/>
      <c r="JSC14" s="2" t="n"/>
      <c r="JSD14" s="2" t="n"/>
      <c r="JSE14" s="2" t="n"/>
      <c r="JSF14" s="2" t="n"/>
      <c r="JSG14" s="2" t="n"/>
      <c r="JSH14" s="2" t="n"/>
      <c r="JSI14" s="2" t="n"/>
      <c r="JSJ14" s="2" t="n"/>
      <c r="JSK14" s="2" t="n"/>
      <c r="JSL14" s="2" t="n"/>
      <c r="JSM14" s="2" t="n"/>
      <c r="JSN14" s="2" t="n"/>
      <c r="JSO14" s="2" t="n"/>
      <c r="JSP14" s="2" t="n"/>
      <c r="JSQ14" s="2" t="n"/>
      <c r="JSR14" s="2" t="n"/>
      <c r="JSS14" s="2" t="n"/>
      <c r="JST14" s="2" t="n"/>
      <c r="JSU14" s="2" t="n"/>
      <c r="JSV14" s="2" t="n"/>
      <c r="JSW14" s="2" t="n"/>
      <c r="JSX14" s="2" t="n"/>
      <c r="JSY14" s="2" t="n"/>
      <c r="JSZ14" s="2" t="n"/>
      <c r="JTA14" s="2" t="n"/>
      <c r="JTB14" s="2" t="n"/>
      <c r="JTC14" s="2" t="n"/>
      <c r="JTD14" s="2" t="n"/>
      <c r="JTE14" s="2" t="n"/>
      <c r="JTF14" s="2" t="n"/>
      <c r="JTG14" s="2" t="n"/>
      <c r="JTH14" s="2" t="n"/>
      <c r="JTI14" s="2" t="n"/>
      <c r="JTJ14" s="2" t="n"/>
      <c r="JTK14" s="2" t="n"/>
      <c r="JTL14" s="2" t="n"/>
      <c r="JTM14" s="2" t="n"/>
      <c r="JTN14" s="2" t="n"/>
      <c r="JTO14" s="2" t="n"/>
      <c r="JTP14" s="2" t="n"/>
      <c r="JTQ14" s="2" t="n"/>
      <c r="JTR14" s="2" t="n"/>
      <c r="JTS14" s="2" t="n"/>
      <c r="JTT14" s="2" t="n"/>
      <c r="JTU14" s="2" t="n"/>
      <c r="JTV14" s="2" t="n"/>
      <c r="JTW14" s="2" t="n"/>
      <c r="JTX14" s="2" t="n"/>
      <c r="JTY14" s="2" t="n"/>
      <c r="JTZ14" s="2" t="n"/>
      <c r="JUA14" s="2" t="n"/>
      <c r="JUB14" s="2" t="n"/>
      <c r="JUC14" s="2" t="n"/>
      <c r="JUD14" s="2" t="n"/>
      <c r="JUE14" s="2" t="n"/>
      <c r="JUF14" s="2" t="n"/>
      <c r="JUG14" s="2" t="n"/>
      <c r="JUH14" s="2" t="n"/>
      <c r="JUI14" s="2" t="n"/>
      <c r="JUJ14" s="2" t="n"/>
      <c r="JUK14" s="2" t="n"/>
      <c r="JUL14" s="2" t="n"/>
      <c r="JUM14" s="2" t="n"/>
      <c r="JUN14" s="2" t="n"/>
      <c r="JUO14" s="2" t="n"/>
      <c r="JUP14" s="2" t="n"/>
      <c r="JUQ14" s="2" t="n"/>
      <c r="JUR14" s="2" t="n"/>
      <c r="JUS14" s="2" t="n"/>
      <c r="JUT14" s="2" t="n"/>
      <c r="JUU14" s="2" t="n"/>
      <c r="JUV14" s="2" t="n"/>
      <c r="JUW14" s="2" t="n"/>
      <c r="JUX14" s="2" t="n"/>
      <c r="JUY14" s="2" t="n"/>
      <c r="JUZ14" s="2" t="n"/>
      <c r="JVA14" s="2" t="n"/>
      <c r="JVB14" s="2" t="n"/>
      <c r="JVC14" s="2" t="n"/>
      <c r="JVD14" s="2" t="n"/>
      <c r="JVE14" s="2" t="n"/>
      <c r="JVF14" s="2" t="n"/>
      <c r="JVG14" s="2" t="n"/>
      <c r="JVH14" s="2" t="n"/>
      <c r="JVI14" s="2" t="n"/>
      <c r="JVJ14" s="2" t="n"/>
      <c r="JVK14" s="2" t="n"/>
      <c r="JVL14" s="2" t="n"/>
      <c r="JVM14" s="2" t="n"/>
      <c r="JVN14" s="2" t="n"/>
      <c r="JVO14" s="2" t="n"/>
      <c r="JVP14" s="2" t="n"/>
      <c r="JVQ14" s="2" t="n"/>
      <c r="JVR14" s="2" t="n"/>
      <c r="JVS14" s="2" t="n"/>
      <c r="JVT14" s="2" t="n"/>
      <c r="JVU14" s="2" t="n"/>
      <c r="JVV14" s="2" t="n"/>
      <c r="JVW14" s="2" t="n"/>
      <c r="JVX14" s="2" t="n"/>
      <c r="JVY14" s="2" t="n"/>
      <c r="JVZ14" s="2" t="n"/>
      <c r="JWA14" s="2" t="n"/>
      <c r="JWB14" s="2" t="n"/>
      <c r="JWC14" s="2" t="n"/>
      <c r="JWD14" s="2" t="n"/>
      <c r="JWE14" s="2" t="n"/>
      <c r="JWF14" s="2" t="n"/>
      <c r="JWG14" s="2" t="n"/>
      <c r="JWH14" s="2" t="n"/>
      <c r="JWI14" s="2" t="n"/>
      <c r="JWJ14" s="2" t="n"/>
      <c r="JWK14" s="2" t="n"/>
      <c r="JWL14" s="2" t="n"/>
      <c r="JWM14" s="2" t="n"/>
      <c r="JWN14" s="2" t="n"/>
      <c r="JWO14" s="2" t="n"/>
      <c r="JWP14" s="2" t="n"/>
      <c r="JWQ14" s="2" t="n"/>
      <c r="JWR14" s="2" t="n"/>
      <c r="JWS14" s="2" t="n"/>
      <c r="JWT14" s="2" t="n"/>
      <c r="JWU14" s="2" t="n"/>
      <c r="JWV14" s="2" t="n"/>
      <c r="JWW14" s="2" t="n"/>
      <c r="JWX14" s="2" t="n"/>
      <c r="JWY14" s="2" t="n"/>
      <c r="JWZ14" s="2" t="n"/>
      <c r="JXA14" s="2" t="n"/>
      <c r="JXB14" s="2" t="n"/>
      <c r="JXC14" s="2" t="n"/>
      <c r="JXD14" s="2" t="n"/>
      <c r="JXE14" s="2" t="n"/>
      <c r="JXF14" s="2" t="n"/>
      <c r="JXG14" s="2" t="n"/>
      <c r="JXH14" s="2" t="n"/>
      <c r="JXI14" s="2" t="n"/>
      <c r="JXJ14" s="2" t="n"/>
      <c r="JXK14" s="2" t="n"/>
      <c r="JXL14" s="2" t="n"/>
      <c r="JXM14" s="2" t="n"/>
      <c r="JXN14" s="2" t="n"/>
      <c r="JXO14" s="2" t="n"/>
      <c r="JXP14" s="2" t="n"/>
      <c r="JXQ14" s="2" t="n"/>
      <c r="JXR14" s="2" t="n"/>
      <c r="JXS14" s="2" t="n"/>
      <c r="JXT14" s="2" t="n"/>
      <c r="JXU14" s="2" t="n"/>
      <c r="JXV14" s="2" t="n"/>
      <c r="JXW14" s="2" t="n"/>
      <c r="JXX14" s="2" t="n"/>
      <c r="JXY14" s="2" t="n"/>
      <c r="JXZ14" s="2" t="n"/>
      <c r="JYA14" s="2" t="n"/>
      <c r="JYB14" s="2" t="n"/>
      <c r="JYC14" s="2" t="n"/>
      <c r="JYD14" s="2" t="n"/>
      <c r="JYE14" s="2" t="n"/>
      <c r="JYF14" s="2" t="n"/>
      <c r="JYG14" s="2" t="n"/>
      <c r="JYH14" s="2" t="n"/>
      <c r="JYI14" s="2" t="n"/>
      <c r="JYJ14" s="2" t="n"/>
      <c r="JYK14" s="2" t="n"/>
      <c r="JYL14" s="2" t="n"/>
      <c r="JYM14" s="2" t="n"/>
      <c r="JYN14" s="2" t="n"/>
      <c r="JYO14" s="2" t="n"/>
      <c r="JYP14" s="2" t="n"/>
      <c r="JYQ14" s="2" t="n"/>
      <c r="JYR14" s="2" t="n"/>
      <c r="JYS14" s="2" t="n"/>
      <c r="JYT14" s="2" t="n"/>
      <c r="JYU14" s="2" t="n"/>
      <c r="JYV14" s="2" t="n"/>
      <c r="JYW14" s="2" t="n"/>
      <c r="JYX14" s="2" t="n"/>
      <c r="JYY14" s="2" t="n"/>
      <c r="JYZ14" s="2" t="n"/>
      <c r="JZA14" s="2" t="n"/>
      <c r="JZB14" s="2" t="n"/>
      <c r="JZC14" s="2" t="n"/>
      <c r="JZD14" s="2" t="n"/>
      <c r="JZE14" s="2" t="n"/>
      <c r="JZF14" s="2" t="n"/>
      <c r="JZG14" s="2" t="n"/>
      <c r="JZH14" s="2" t="n"/>
      <c r="JZI14" s="2" t="n"/>
      <c r="JZJ14" s="2" t="n"/>
      <c r="JZK14" s="2" t="n"/>
      <c r="JZL14" s="2" t="n"/>
      <c r="JZM14" s="2" t="n"/>
      <c r="JZN14" s="2" t="n"/>
      <c r="JZO14" s="2" t="n"/>
      <c r="JZP14" s="2" t="n"/>
      <c r="JZQ14" s="2" t="n"/>
      <c r="JZR14" s="2" t="n"/>
      <c r="JZS14" s="2" t="n"/>
      <c r="JZT14" s="2" t="n"/>
      <c r="JZU14" s="2" t="n"/>
      <c r="JZV14" s="2" t="n"/>
      <c r="JZW14" s="2" t="n"/>
      <c r="JZX14" s="2" t="n"/>
      <c r="JZY14" s="2" t="n"/>
      <c r="JZZ14" s="2" t="n"/>
      <c r="KAA14" s="2" t="n"/>
      <c r="KAB14" s="2" t="n"/>
      <c r="KAC14" s="2" t="n"/>
      <c r="KAD14" s="2" t="n"/>
      <c r="KAE14" s="2" t="n"/>
      <c r="KAF14" s="2" t="n"/>
      <c r="KAG14" s="2" t="n"/>
      <c r="KAH14" s="2" t="n"/>
      <c r="KAI14" s="2" t="n"/>
      <c r="KAJ14" s="2" t="n"/>
      <c r="KAK14" s="2" t="n"/>
      <c r="KAL14" s="2" t="n"/>
      <c r="KAM14" s="2" t="n"/>
      <c r="KAN14" s="2" t="n"/>
      <c r="KAO14" s="2" t="n"/>
      <c r="KAP14" s="2" t="n"/>
      <c r="KAQ14" s="2" t="n"/>
      <c r="KAR14" s="2" t="n"/>
      <c r="KAS14" s="2" t="n"/>
      <c r="KAT14" s="2" t="n"/>
      <c r="KAU14" s="2" t="n"/>
      <c r="KAV14" s="2" t="n"/>
      <c r="KAW14" s="2" t="n"/>
      <c r="KAX14" s="2" t="n"/>
      <c r="KAY14" s="2" t="n"/>
      <c r="KAZ14" s="2" t="n"/>
      <c r="KBA14" s="2" t="n"/>
      <c r="KBB14" s="2" t="n"/>
      <c r="KBC14" s="2" t="n"/>
      <c r="KBD14" s="2" t="n"/>
      <c r="KBE14" s="2" t="n"/>
      <c r="KBF14" s="2" t="n"/>
      <c r="KBG14" s="2" t="n"/>
      <c r="KBH14" s="2" t="n"/>
      <c r="KBI14" s="2" t="n"/>
      <c r="KBJ14" s="2" t="n"/>
      <c r="KBK14" s="2" t="n"/>
      <c r="KBL14" s="2" t="n"/>
      <c r="KBM14" s="2" t="n"/>
      <c r="KBN14" s="2" t="n"/>
      <c r="KBO14" s="2" t="n"/>
      <c r="KBP14" s="2" t="n"/>
      <c r="KBQ14" s="2" t="n"/>
      <c r="KBR14" s="2" t="n"/>
      <c r="KBS14" s="2" t="n"/>
      <c r="KBT14" s="2" t="n"/>
      <c r="KBU14" s="2" t="n"/>
      <c r="KBV14" s="2" t="n"/>
      <c r="KBW14" s="2" t="n"/>
      <c r="KBX14" s="2" t="n"/>
      <c r="KBY14" s="2" t="n"/>
      <c r="KBZ14" s="2" t="n"/>
      <c r="KCA14" s="2" t="n"/>
      <c r="KCB14" s="2" t="n"/>
      <c r="KCC14" s="2" t="n"/>
      <c r="KCD14" s="2" t="n"/>
      <c r="KCE14" s="2" t="n"/>
      <c r="KCF14" s="2" t="n"/>
      <c r="KCG14" s="2" t="n"/>
      <c r="KCH14" s="2" t="n"/>
      <c r="KCI14" s="2" t="n"/>
      <c r="KCJ14" s="2" t="n"/>
      <c r="KCK14" s="2" t="n"/>
      <c r="KCL14" s="2" t="n"/>
      <c r="KCM14" s="2" t="n"/>
      <c r="KCN14" s="2" t="n"/>
      <c r="KCO14" s="2" t="n"/>
      <c r="KCP14" s="2" t="n"/>
      <c r="KCQ14" s="2" t="n"/>
      <c r="KCR14" s="2" t="n"/>
      <c r="KCS14" s="2" t="n"/>
      <c r="KCT14" s="2" t="n"/>
      <c r="KCU14" s="2" t="n"/>
      <c r="KCV14" s="2" t="n"/>
      <c r="KCW14" s="2" t="n"/>
      <c r="KCX14" s="2" t="n"/>
      <c r="KCY14" s="2" t="n"/>
      <c r="KCZ14" s="2" t="n"/>
      <c r="KDA14" s="2" t="n"/>
      <c r="KDB14" s="2" t="n"/>
      <c r="KDC14" s="2" t="n"/>
      <c r="KDD14" s="2" t="n"/>
      <c r="KDE14" s="2" t="n"/>
      <c r="KDF14" s="2" t="n"/>
      <c r="KDG14" s="2" t="n"/>
      <c r="KDH14" s="2" t="n"/>
      <c r="KDI14" s="2" t="n"/>
      <c r="KDJ14" s="2" t="n"/>
      <c r="KDK14" s="2" t="n"/>
      <c r="KDL14" s="2" t="n"/>
      <c r="KDM14" s="2" t="n"/>
      <c r="KDN14" s="2" t="n"/>
      <c r="KDO14" s="2" t="n"/>
      <c r="KDP14" s="2" t="n"/>
      <c r="KDQ14" s="2" t="n"/>
      <c r="KDR14" s="2" t="n"/>
      <c r="KDS14" s="2" t="n"/>
      <c r="KDT14" s="2" t="n"/>
      <c r="KDU14" s="2" t="n"/>
      <c r="KDV14" s="2" t="n"/>
      <c r="KDW14" s="2" t="n"/>
      <c r="KDX14" s="2" t="n"/>
      <c r="KDY14" s="2" t="n"/>
      <c r="KDZ14" s="2" t="n"/>
      <c r="KEA14" s="2" t="n"/>
      <c r="KEB14" s="2" t="n"/>
      <c r="KEC14" s="2" t="n"/>
      <c r="KED14" s="2" t="n"/>
      <c r="KEE14" s="2" t="n"/>
      <c r="KEF14" s="2" t="n"/>
      <c r="KEG14" s="2" t="n"/>
      <c r="KEH14" s="2" t="n"/>
      <c r="KEI14" s="2" t="n"/>
      <c r="KEJ14" s="2" t="n"/>
      <c r="KEK14" s="2" t="n"/>
      <c r="KEL14" s="2" t="n"/>
      <c r="KEM14" s="2" t="n"/>
      <c r="KEN14" s="2" t="n"/>
      <c r="KEO14" s="2" t="n"/>
      <c r="KEP14" s="2" t="n"/>
      <c r="KEQ14" s="2" t="n"/>
      <c r="KER14" s="2" t="n"/>
      <c r="KES14" s="2" t="n"/>
      <c r="KET14" s="2" t="n"/>
      <c r="KEU14" s="2" t="n"/>
      <c r="KEV14" s="2" t="n"/>
      <c r="KEW14" s="2" t="n"/>
      <c r="KEX14" s="2" t="n"/>
      <c r="KEY14" s="2" t="n"/>
      <c r="KEZ14" s="2" t="n"/>
      <c r="KFA14" s="2" t="n"/>
      <c r="KFB14" s="2" t="n"/>
      <c r="KFC14" s="2" t="n"/>
      <c r="KFD14" s="2" t="n"/>
      <c r="KFE14" s="2" t="n"/>
      <c r="KFF14" s="2" t="n"/>
      <c r="KFG14" s="2" t="n"/>
      <c r="KFH14" s="2" t="n"/>
      <c r="KFI14" s="2" t="n"/>
      <c r="KFJ14" s="2" t="n"/>
      <c r="KFK14" s="2" t="n"/>
      <c r="KFL14" s="2" t="n"/>
      <c r="KFM14" s="2" t="n"/>
      <c r="KFN14" s="2" t="n"/>
      <c r="KFO14" s="2" t="n"/>
      <c r="KFP14" s="2" t="n"/>
      <c r="KFQ14" s="2" t="n"/>
      <c r="KFR14" s="2" t="n"/>
      <c r="KFS14" s="2" t="n"/>
      <c r="KFT14" s="2" t="n"/>
      <c r="KFU14" s="2" t="n"/>
      <c r="KFV14" s="2" t="n"/>
      <c r="KFW14" s="2" t="n"/>
      <c r="KFX14" s="2" t="n"/>
      <c r="KFY14" s="2" t="n"/>
      <c r="KFZ14" s="2" t="n"/>
      <c r="KGA14" s="2" t="n"/>
      <c r="KGB14" s="2" t="n"/>
      <c r="KGC14" s="2" t="n"/>
      <c r="KGD14" s="2" t="n"/>
      <c r="KGE14" s="2" t="n"/>
      <c r="KGF14" s="2" t="n"/>
      <c r="KGG14" s="2" t="n"/>
      <c r="KGH14" s="2" t="n"/>
      <c r="KGI14" s="2" t="n"/>
      <c r="KGJ14" s="2" t="n"/>
      <c r="KGK14" s="2" t="n"/>
      <c r="KGL14" s="2" t="n"/>
      <c r="KGM14" s="2" t="n"/>
      <c r="KGN14" s="2" t="n"/>
      <c r="KGO14" s="2" t="n"/>
      <c r="KGP14" s="2" t="n"/>
      <c r="KGQ14" s="2" t="n"/>
      <c r="KGR14" s="2" t="n"/>
      <c r="KGS14" s="2" t="n"/>
      <c r="KGT14" s="2" t="n"/>
      <c r="KGU14" s="2" t="n"/>
      <c r="KGV14" s="2" t="n"/>
      <c r="KGW14" s="2" t="n"/>
      <c r="KGX14" s="2" t="n"/>
      <c r="KGY14" s="2" t="n"/>
      <c r="KGZ14" s="2" t="n"/>
      <c r="KHA14" s="2" t="n"/>
      <c r="KHB14" s="2" t="n"/>
      <c r="KHC14" s="2" t="n"/>
      <c r="KHD14" s="2" t="n"/>
      <c r="KHE14" s="2" t="n"/>
      <c r="KHF14" s="2" t="n"/>
      <c r="KHG14" s="2" t="n"/>
      <c r="KHH14" s="2" t="n"/>
      <c r="KHI14" s="2" t="n"/>
      <c r="KHJ14" s="2" t="n"/>
      <c r="KHK14" s="2" t="n"/>
      <c r="KHL14" s="2" t="n"/>
      <c r="KHM14" s="2" t="n"/>
      <c r="KHN14" s="2" t="n"/>
      <c r="KHO14" s="2" t="n"/>
      <c r="KHP14" s="2" t="n"/>
      <c r="KHQ14" s="2" t="n"/>
      <c r="KHR14" s="2" t="n"/>
      <c r="KHS14" s="2" t="n"/>
      <c r="KHT14" s="2" t="n"/>
      <c r="KHU14" s="2" t="n"/>
      <c r="KHV14" s="2" t="n"/>
      <c r="KHW14" s="2" t="n"/>
      <c r="KHX14" s="2" t="n"/>
      <c r="KHY14" s="2" t="n"/>
      <c r="KHZ14" s="2" t="n"/>
      <c r="KIA14" s="2" t="n"/>
      <c r="KIB14" s="2" t="n"/>
      <c r="KIC14" s="2" t="n"/>
      <c r="KID14" s="2" t="n"/>
      <c r="KIE14" s="2" t="n"/>
      <c r="KIF14" s="2" t="n"/>
      <c r="KIG14" s="2" t="n"/>
      <c r="KIH14" s="2" t="n"/>
      <c r="KII14" s="2" t="n"/>
      <c r="KIJ14" s="2" t="n"/>
      <c r="KIK14" s="2" t="n"/>
      <c r="KIL14" s="2" t="n"/>
      <c r="KIM14" s="2" t="n"/>
      <c r="KIN14" s="2" t="n"/>
      <c r="KIO14" s="2" t="n"/>
      <c r="KIP14" s="2" t="n"/>
      <c r="KIQ14" s="2" t="n"/>
      <c r="KIR14" s="2" t="n"/>
      <c r="KIS14" s="2" t="n"/>
      <c r="KIT14" s="2" t="n"/>
      <c r="KIU14" s="2" t="n"/>
      <c r="KIV14" s="2" t="n"/>
      <c r="KIW14" s="2" t="n"/>
      <c r="KIX14" s="2" t="n"/>
      <c r="KIY14" s="2" t="n"/>
      <c r="KIZ14" s="2" t="n"/>
      <c r="KJA14" s="2" t="n"/>
      <c r="KJB14" s="2" t="n"/>
      <c r="KJC14" s="2" t="n"/>
      <c r="KJD14" s="2" t="n"/>
      <c r="KJE14" s="2" t="n"/>
      <c r="KJF14" s="2" t="n"/>
      <c r="KJG14" s="2" t="n"/>
      <c r="KJH14" s="2" t="n"/>
      <c r="KJI14" s="2" t="n"/>
      <c r="KJJ14" s="2" t="n"/>
      <c r="KJK14" s="2" t="n"/>
      <c r="KJL14" s="2" t="n"/>
      <c r="KJM14" s="2" t="n"/>
      <c r="KJN14" s="2" t="n"/>
      <c r="KJO14" s="2" t="n"/>
      <c r="KJP14" s="2" t="n"/>
      <c r="KJQ14" s="2" t="n"/>
      <c r="KJR14" s="2" t="n"/>
      <c r="KJS14" s="2" t="n"/>
      <c r="KJT14" s="2" t="n"/>
      <c r="KJU14" s="2" t="n"/>
      <c r="KJV14" s="2" t="n"/>
      <c r="KJW14" s="2" t="n"/>
      <c r="KJX14" s="2" t="n"/>
      <c r="KJY14" s="2" t="n"/>
      <c r="KJZ14" s="2" t="n"/>
      <c r="KKA14" s="2" t="n"/>
      <c r="KKB14" s="2" t="n"/>
      <c r="KKC14" s="2" t="n"/>
      <c r="KKD14" s="2" t="n"/>
      <c r="KKE14" s="2" t="n"/>
      <c r="KKF14" s="2" t="n"/>
      <c r="KKG14" s="2" t="n"/>
      <c r="KKH14" s="2" t="n"/>
      <c r="KKI14" s="2" t="n"/>
      <c r="KKJ14" s="2" t="n"/>
      <c r="KKK14" s="2" t="n"/>
      <c r="KKL14" s="2" t="n"/>
      <c r="KKM14" s="2" t="n"/>
      <c r="KKN14" s="2" t="n"/>
      <c r="KKO14" s="2" t="n"/>
      <c r="KKP14" s="2" t="n"/>
      <c r="KKQ14" s="2" t="n"/>
      <c r="KKR14" s="2" t="n"/>
      <c r="KKS14" s="2" t="n"/>
      <c r="KKT14" s="2" t="n"/>
      <c r="KKU14" s="2" t="n"/>
      <c r="KKV14" s="2" t="n"/>
      <c r="KKW14" s="2" t="n"/>
      <c r="KKX14" s="2" t="n"/>
      <c r="KKY14" s="2" t="n"/>
      <c r="KKZ14" s="2" t="n"/>
      <c r="KLA14" s="2" t="n"/>
      <c r="KLB14" s="2" t="n"/>
      <c r="KLC14" s="2" t="n"/>
      <c r="KLD14" s="2" t="n"/>
      <c r="KLE14" s="2" t="n"/>
      <c r="KLF14" s="2" t="n"/>
      <c r="KLG14" s="2" t="n"/>
      <c r="KLH14" s="2" t="n"/>
      <c r="KLI14" s="2" t="n"/>
      <c r="KLJ14" s="2" t="n"/>
      <c r="KLK14" s="2" t="n"/>
      <c r="KLL14" s="2" t="n"/>
      <c r="KLM14" s="2" t="n"/>
      <c r="KLN14" s="2" t="n"/>
      <c r="KLO14" s="2" t="n"/>
      <c r="KLP14" s="2" t="n"/>
      <c r="KLQ14" s="2" t="n"/>
      <c r="KLR14" s="2" t="n"/>
      <c r="KLS14" s="2" t="n"/>
      <c r="KLT14" s="2" t="n"/>
      <c r="KLU14" s="2" t="n"/>
      <c r="KLV14" s="2" t="n"/>
      <c r="KLW14" s="2" t="n"/>
      <c r="KLX14" s="2" t="n"/>
      <c r="KLY14" s="2" t="n"/>
      <c r="KLZ14" s="2" t="n"/>
      <c r="KMA14" s="2" t="n"/>
      <c r="KMB14" s="2" t="n"/>
      <c r="KMC14" s="2" t="n"/>
      <c r="KMD14" s="2" t="n"/>
      <c r="KME14" s="2" t="n"/>
      <c r="KMF14" s="2" t="n"/>
      <c r="KMG14" s="2" t="n"/>
      <c r="KMH14" s="2" t="n"/>
      <c r="KMI14" s="2" t="n"/>
      <c r="KMJ14" s="2" t="n"/>
      <c r="KMK14" s="2" t="n"/>
      <c r="KML14" s="2" t="n"/>
      <c r="KMM14" s="2" t="n"/>
      <c r="KMN14" s="2" t="n"/>
      <c r="KMO14" s="2" t="n"/>
      <c r="KMP14" s="2" t="n"/>
      <c r="KMQ14" s="2" t="n"/>
      <c r="KMR14" s="2" t="n"/>
      <c r="KMS14" s="2" t="n"/>
      <c r="KMT14" s="2" t="n"/>
      <c r="KMU14" s="2" t="n"/>
      <c r="KMV14" s="2" t="n"/>
      <c r="KMW14" s="2" t="n"/>
      <c r="KMX14" s="2" t="n"/>
      <c r="KMY14" s="2" t="n"/>
      <c r="KMZ14" s="2" t="n"/>
      <c r="KNA14" s="2" t="n"/>
      <c r="KNB14" s="2" t="n"/>
      <c r="KNC14" s="2" t="n"/>
      <c r="KND14" s="2" t="n"/>
      <c r="KNE14" s="2" t="n"/>
      <c r="KNF14" s="2" t="n"/>
      <c r="KNG14" s="2" t="n"/>
      <c r="KNH14" s="2" t="n"/>
      <c r="KNI14" s="2" t="n"/>
      <c r="KNJ14" s="2" t="n"/>
      <c r="KNK14" s="2" t="n"/>
      <c r="KNL14" s="2" t="n"/>
      <c r="KNM14" s="2" t="n"/>
      <c r="KNN14" s="2" t="n"/>
      <c r="KNO14" s="2" t="n"/>
      <c r="KNP14" s="2" t="n"/>
      <c r="KNQ14" s="2" t="n"/>
      <c r="KNR14" s="2" t="n"/>
      <c r="KNS14" s="2" t="n"/>
      <c r="KNT14" s="2" t="n"/>
      <c r="KNU14" s="2" t="n"/>
      <c r="KNV14" s="2" t="n"/>
      <c r="KNW14" s="2" t="n"/>
      <c r="KNX14" s="2" t="n"/>
      <c r="KNY14" s="2" t="n"/>
      <c r="KNZ14" s="2" t="n"/>
      <c r="KOA14" s="2" t="n"/>
      <c r="KOB14" s="2" t="n"/>
      <c r="KOC14" s="2" t="n"/>
      <c r="KOD14" s="2" t="n"/>
      <c r="KOE14" s="2" t="n"/>
      <c r="KOF14" s="2" t="n"/>
      <c r="KOG14" s="2" t="n"/>
      <c r="KOH14" s="2" t="n"/>
      <c r="KOI14" s="2" t="n"/>
      <c r="KOJ14" s="2" t="n"/>
      <c r="KOK14" s="2" t="n"/>
      <c r="KOL14" s="2" t="n"/>
      <c r="KOM14" s="2" t="n"/>
      <c r="KON14" s="2" t="n"/>
      <c r="KOO14" s="2" t="n"/>
      <c r="KOP14" s="2" t="n"/>
      <c r="KOQ14" s="2" t="n"/>
      <c r="KOR14" s="2" t="n"/>
      <c r="KOS14" s="2" t="n"/>
      <c r="KOT14" s="2" t="n"/>
      <c r="KOU14" s="2" t="n"/>
      <c r="KOV14" s="2" t="n"/>
      <c r="KOW14" s="2" t="n"/>
      <c r="KOX14" s="2" t="n"/>
      <c r="KOY14" s="2" t="n"/>
      <c r="KOZ14" s="2" t="n"/>
      <c r="KPA14" s="2" t="n"/>
      <c r="KPB14" s="2" t="n"/>
      <c r="KPC14" s="2" t="n"/>
      <c r="KPD14" s="2" t="n"/>
      <c r="KPE14" s="2" t="n"/>
      <c r="KPF14" s="2" t="n"/>
      <c r="KPG14" s="2" t="n"/>
      <c r="KPH14" s="2" t="n"/>
      <c r="KPI14" s="2" t="n"/>
      <c r="KPJ14" s="2" t="n"/>
      <c r="KPK14" s="2" t="n"/>
      <c r="KPL14" s="2" t="n"/>
      <c r="KPM14" s="2" t="n"/>
      <c r="KPN14" s="2" t="n"/>
      <c r="KPO14" s="2" t="n"/>
      <c r="KPP14" s="2" t="n"/>
      <c r="KPQ14" s="2" t="n"/>
      <c r="KPR14" s="2" t="n"/>
      <c r="KPS14" s="2" t="n"/>
      <c r="KPT14" s="2" t="n"/>
      <c r="KPU14" s="2" t="n"/>
      <c r="KPV14" s="2" t="n"/>
      <c r="KPW14" s="2" t="n"/>
      <c r="KPX14" s="2" t="n"/>
      <c r="KPY14" s="2" t="n"/>
      <c r="KPZ14" s="2" t="n"/>
      <c r="KQA14" s="2" t="n"/>
      <c r="KQB14" s="2" t="n"/>
      <c r="KQC14" s="2" t="n"/>
      <c r="KQD14" s="2" t="n"/>
      <c r="KQE14" s="2" t="n"/>
      <c r="KQF14" s="2" t="n"/>
      <c r="KQG14" s="2" t="n"/>
      <c r="KQH14" s="2" t="n"/>
      <c r="KQI14" s="2" t="n"/>
      <c r="KQJ14" s="2" t="n"/>
      <c r="KQK14" s="2" t="n"/>
      <c r="KQL14" s="2" t="n"/>
      <c r="KQM14" s="2" t="n"/>
      <c r="KQN14" s="2" t="n"/>
      <c r="KQO14" s="2" t="n"/>
      <c r="KQP14" s="2" t="n"/>
      <c r="KQQ14" s="2" t="n"/>
      <c r="KQR14" s="2" t="n"/>
      <c r="KQS14" s="2" t="n"/>
      <c r="KQT14" s="2" t="n"/>
      <c r="KQU14" s="2" t="n"/>
      <c r="KQV14" s="2" t="n"/>
      <c r="KQW14" s="2" t="n"/>
      <c r="KQX14" s="2" t="n"/>
      <c r="KQY14" s="2" t="n"/>
      <c r="KQZ14" s="2" t="n"/>
      <c r="KRA14" s="2" t="n"/>
      <c r="KRB14" s="2" t="n"/>
      <c r="KRC14" s="2" t="n"/>
      <c r="KRD14" s="2" t="n"/>
      <c r="KRE14" s="2" t="n"/>
      <c r="KRF14" s="2" t="n"/>
      <c r="KRG14" s="2" t="n"/>
      <c r="KRH14" s="2" t="n"/>
      <c r="KRI14" s="2" t="n"/>
      <c r="KRJ14" s="2" t="n"/>
      <c r="KRK14" s="2" t="n"/>
      <c r="KRL14" s="2" t="n"/>
      <c r="KRM14" s="2" t="n"/>
      <c r="KRN14" s="2" t="n"/>
      <c r="KRO14" s="2" t="n"/>
      <c r="KRP14" s="2" t="n"/>
      <c r="KRQ14" s="2" t="n"/>
      <c r="KRR14" s="2" t="n"/>
      <c r="KRS14" s="2" t="n"/>
      <c r="KRT14" s="2" t="n"/>
      <c r="KRU14" s="2" t="n"/>
      <c r="KRV14" s="2" t="n"/>
      <c r="KRW14" s="2" t="n"/>
      <c r="KRX14" s="2" t="n"/>
      <c r="KRY14" s="2" t="n"/>
      <c r="KRZ14" s="2" t="n"/>
      <c r="KSA14" s="2" t="n"/>
      <c r="KSB14" s="2" t="n"/>
      <c r="KSC14" s="2" t="n"/>
      <c r="KSD14" s="2" t="n"/>
      <c r="KSE14" s="2" t="n"/>
      <c r="KSF14" s="2" t="n"/>
      <c r="KSG14" s="2" t="n"/>
      <c r="KSH14" s="2" t="n"/>
      <c r="KSI14" s="2" t="n"/>
      <c r="KSJ14" s="2" t="n"/>
      <c r="KSK14" s="2" t="n"/>
      <c r="KSL14" s="2" t="n"/>
      <c r="KSM14" s="2" t="n"/>
      <c r="KSN14" s="2" t="n"/>
      <c r="KSO14" s="2" t="n"/>
      <c r="KSP14" s="2" t="n"/>
      <c r="KSQ14" s="2" t="n"/>
      <c r="KSR14" s="2" t="n"/>
      <c r="KSS14" s="2" t="n"/>
      <c r="KST14" s="2" t="n"/>
      <c r="KSU14" s="2" t="n"/>
      <c r="KSV14" s="2" t="n"/>
      <c r="KSW14" s="2" t="n"/>
      <c r="KSX14" s="2" t="n"/>
      <c r="KSY14" s="2" t="n"/>
      <c r="KSZ14" s="2" t="n"/>
      <c r="KTA14" s="2" t="n"/>
      <c r="KTB14" s="2" t="n"/>
      <c r="KTC14" s="2" t="n"/>
      <c r="KTD14" s="2" t="n"/>
      <c r="KTE14" s="2" t="n"/>
      <c r="KTF14" s="2" t="n"/>
      <c r="KTG14" s="2" t="n"/>
      <c r="KTH14" s="2" t="n"/>
      <c r="KTI14" s="2" t="n"/>
      <c r="KTJ14" s="2" t="n"/>
      <c r="KTK14" s="2" t="n"/>
      <c r="KTL14" s="2" t="n"/>
      <c r="KTM14" s="2" t="n"/>
      <c r="KTN14" s="2" t="n"/>
      <c r="KTO14" s="2" t="n"/>
      <c r="KTP14" s="2" t="n"/>
      <c r="KTQ14" s="2" t="n"/>
      <c r="KTR14" s="2" t="n"/>
      <c r="KTS14" s="2" t="n"/>
      <c r="KTT14" s="2" t="n"/>
      <c r="KTU14" s="2" t="n"/>
      <c r="KTV14" s="2" t="n"/>
      <c r="KTW14" s="2" t="n"/>
      <c r="KTX14" s="2" t="n"/>
      <c r="KTY14" s="2" t="n"/>
      <c r="KTZ14" s="2" t="n"/>
      <c r="KUA14" s="2" t="n"/>
      <c r="KUB14" s="2" t="n"/>
      <c r="KUC14" s="2" t="n"/>
      <c r="KUD14" s="2" t="n"/>
      <c r="KUE14" s="2" t="n"/>
      <c r="KUF14" s="2" t="n"/>
      <c r="KUG14" s="2" t="n"/>
      <c r="KUH14" s="2" t="n"/>
      <c r="KUI14" s="2" t="n"/>
      <c r="KUJ14" s="2" t="n"/>
      <c r="KUK14" s="2" t="n"/>
      <c r="KUL14" s="2" t="n"/>
      <c r="KUM14" s="2" t="n"/>
      <c r="KUN14" s="2" t="n"/>
      <c r="KUO14" s="2" t="n"/>
      <c r="KUP14" s="2" t="n"/>
      <c r="KUQ14" s="2" t="n"/>
      <c r="KUR14" s="2" t="n"/>
      <c r="KUS14" s="2" t="n"/>
      <c r="KUT14" s="2" t="n"/>
      <c r="KUU14" s="2" t="n"/>
      <c r="KUV14" s="2" t="n"/>
      <c r="KUW14" s="2" t="n"/>
      <c r="KUX14" s="2" t="n"/>
      <c r="KUY14" s="2" t="n"/>
      <c r="KUZ14" s="2" t="n"/>
      <c r="KVA14" s="2" t="n"/>
      <c r="KVB14" s="2" t="n"/>
      <c r="KVC14" s="2" t="n"/>
      <c r="KVD14" s="2" t="n"/>
      <c r="KVE14" s="2" t="n"/>
      <c r="KVF14" s="2" t="n"/>
      <c r="KVG14" s="2" t="n"/>
      <c r="KVH14" s="2" t="n"/>
      <c r="KVI14" s="2" t="n"/>
      <c r="KVJ14" s="2" t="n"/>
      <c r="KVK14" s="2" t="n"/>
      <c r="KVL14" s="2" t="n"/>
      <c r="KVM14" s="2" t="n"/>
      <c r="KVN14" s="2" t="n"/>
      <c r="KVO14" s="2" t="n"/>
      <c r="KVP14" s="2" t="n"/>
      <c r="KVQ14" s="2" t="n"/>
      <c r="KVR14" s="2" t="n"/>
      <c r="KVS14" s="2" t="n"/>
      <c r="KVT14" s="2" t="n"/>
      <c r="KVU14" s="2" t="n"/>
      <c r="KVV14" s="2" t="n"/>
      <c r="KVW14" s="2" t="n"/>
      <c r="KVX14" s="2" t="n"/>
      <c r="KVY14" s="2" t="n"/>
      <c r="KVZ14" s="2" t="n"/>
      <c r="KWA14" s="2" t="n"/>
      <c r="KWB14" s="2" t="n"/>
      <c r="KWC14" s="2" t="n"/>
      <c r="KWD14" s="2" t="n"/>
      <c r="KWE14" s="2" t="n"/>
      <c r="KWF14" s="2" t="n"/>
      <c r="KWG14" s="2" t="n"/>
      <c r="KWH14" s="2" t="n"/>
      <c r="KWI14" s="2" t="n"/>
      <c r="KWJ14" s="2" t="n"/>
      <c r="KWK14" s="2" t="n"/>
      <c r="KWL14" s="2" t="n"/>
      <c r="KWM14" s="2" t="n"/>
      <c r="KWN14" s="2" t="n"/>
      <c r="KWO14" s="2" t="n"/>
      <c r="KWP14" s="2" t="n"/>
      <c r="KWQ14" s="2" t="n"/>
      <c r="KWR14" s="2" t="n"/>
      <c r="KWS14" s="2" t="n"/>
      <c r="KWT14" s="2" t="n"/>
      <c r="KWU14" s="2" t="n"/>
      <c r="KWV14" s="2" t="n"/>
      <c r="KWW14" s="2" t="n"/>
      <c r="KWX14" s="2" t="n"/>
      <c r="KWY14" s="2" t="n"/>
      <c r="KWZ14" s="2" t="n"/>
      <c r="KXA14" s="2" t="n"/>
      <c r="KXB14" s="2" t="n"/>
      <c r="KXC14" s="2" t="n"/>
      <c r="KXD14" s="2" t="n"/>
      <c r="KXE14" s="2" t="n"/>
      <c r="KXF14" s="2" t="n"/>
      <c r="KXG14" s="2" t="n"/>
      <c r="KXH14" s="2" t="n"/>
      <c r="KXI14" s="2" t="n"/>
      <c r="KXJ14" s="2" t="n"/>
      <c r="KXK14" s="2" t="n"/>
      <c r="KXL14" s="2" t="n"/>
      <c r="KXM14" s="2" t="n"/>
      <c r="KXN14" s="2" t="n"/>
      <c r="KXO14" s="2" t="n"/>
      <c r="KXP14" s="2" t="n"/>
      <c r="KXQ14" s="2" t="n"/>
      <c r="KXR14" s="2" t="n"/>
      <c r="KXS14" s="2" t="n"/>
      <c r="KXT14" s="2" t="n"/>
      <c r="KXU14" s="2" t="n"/>
      <c r="KXV14" s="2" t="n"/>
      <c r="KXW14" s="2" t="n"/>
      <c r="KXX14" s="2" t="n"/>
      <c r="KXY14" s="2" t="n"/>
      <c r="KXZ14" s="2" t="n"/>
      <c r="KYA14" s="2" t="n"/>
      <c r="KYB14" s="2" t="n"/>
      <c r="KYC14" s="2" t="n"/>
      <c r="KYD14" s="2" t="n"/>
      <c r="KYE14" s="2" t="n"/>
      <c r="KYF14" s="2" t="n"/>
      <c r="KYG14" s="2" t="n"/>
      <c r="KYH14" s="2" t="n"/>
      <c r="KYI14" s="2" t="n"/>
      <c r="KYJ14" s="2" t="n"/>
      <c r="KYK14" s="2" t="n"/>
      <c r="KYL14" s="2" t="n"/>
      <c r="KYM14" s="2" t="n"/>
      <c r="KYN14" s="2" t="n"/>
      <c r="KYO14" s="2" t="n"/>
      <c r="KYP14" s="2" t="n"/>
      <c r="KYQ14" s="2" t="n"/>
      <c r="KYR14" s="2" t="n"/>
      <c r="KYS14" s="2" t="n"/>
      <c r="KYT14" s="2" t="n"/>
      <c r="KYU14" s="2" t="n"/>
      <c r="KYV14" s="2" t="n"/>
      <c r="KYW14" s="2" t="n"/>
      <c r="KYX14" s="2" t="n"/>
      <c r="KYY14" s="2" t="n"/>
      <c r="KYZ14" s="2" t="n"/>
      <c r="KZA14" s="2" t="n"/>
      <c r="KZB14" s="2" t="n"/>
      <c r="KZC14" s="2" t="n"/>
      <c r="KZD14" s="2" t="n"/>
      <c r="KZE14" s="2" t="n"/>
      <c r="KZF14" s="2" t="n"/>
      <c r="KZG14" s="2" t="n"/>
      <c r="KZH14" s="2" t="n"/>
      <c r="KZI14" s="2" t="n"/>
      <c r="KZJ14" s="2" t="n"/>
      <c r="KZK14" s="2" t="n"/>
      <c r="KZL14" s="2" t="n"/>
      <c r="KZM14" s="2" t="n"/>
      <c r="KZN14" s="2" t="n"/>
      <c r="KZO14" s="2" t="n"/>
      <c r="KZP14" s="2" t="n"/>
      <c r="KZQ14" s="2" t="n"/>
      <c r="KZR14" s="2" t="n"/>
      <c r="KZS14" s="2" t="n"/>
      <c r="KZT14" s="2" t="n"/>
      <c r="KZU14" s="2" t="n"/>
      <c r="KZV14" s="2" t="n"/>
      <c r="KZW14" s="2" t="n"/>
      <c r="KZX14" s="2" t="n"/>
      <c r="KZY14" s="2" t="n"/>
      <c r="KZZ14" s="2" t="n"/>
      <c r="LAA14" s="2" t="n"/>
      <c r="LAB14" s="2" t="n"/>
      <c r="LAC14" s="2" t="n"/>
      <c r="LAD14" s="2" t="n"/>
      <c r="LAE14" s="2" t="n"/>
      <c r="LAF14" s="2" t="n"/>
      <c r="LAG14" s="2" t="n"/>
      <c r="LAH14" s="2" t="n"/>
      <c r="LAI14" s="2" t="n"/>
      <c r="LAJ14" s="2" t="n"/>
      <c r="LAK14" s="2" t="n"/>
      <c r="LAL14" s="2" t="n"/>
      <c r="LAM14" s="2" t="n"/>
      <c r="LAN14" s="2" t="n"/>
      <c r="LAO14" s="2" t="n"/>
      <c r="LAP14" s="2" t="n"/>
      <c r="LAQ14" s="2" t="n"/>
      <c r="LAR14" s="2" t="n"/>
      <c r="LAS14" s="2" t="n"/>
      <c r="LAT14" s="2" t="n"/>
      <c r="LAU14" s="2" t="n"/>
      <c r="LAV14" s="2" t="n"/>
      <c r="LAW14" s="2" t="n"/>
      <c r="LAX14" s="2" t="n"/>
      <c r="LAY14" s="2" t="n"/>
      <c r="LAZ14" s="2" t="n"/>
      <c r="LBA14" s="2" t="n"/>
      <c r="LBB14" s="2" t="n"/>
      <c r="LBC14" s="2" t="n"/>
      <c r="LBD14" s="2" t="n"/>
      <c r="LBE14" s="2" t="n"/>
      <c r="LBF14" s="2" t="n"/>
      <c r="LBG14" s="2" t="n"/>
      <c r="LBH14" s="2" t="n"/>
      <c r="LBI14" s="2" t="n"/>
      <c r="LBJ14" s="2" t="n"/>
      <c r="LBK14" s="2" t="n"/>
      <c r="LBL14" s="2" t="n"/>
      <c r="LBM14" s="2" t="n"/>
      <c r="LBN14" s="2" t="n"/>
      <c r="LBO14" s="2" t="n"/>
      <c r="LBP14" s="2" t="n"/>
      <c r="LBQ14" s="2" t="n"/>
      <c r="LBR14" s="2" t="n"/>
      <c r="LBS14" s="2" t="n"/>
      <c r="LBT14" s="2" t="n"/>
      <c r="LBU14" s="2" t="n"/>
      <c r="LBV14" s="2" t="n"/>
      <c r="LBW14" s="2" t="n"/>
      <c r="LBX14" s="2" t="n"/>
      <c r="LBY14" s="2" t="n"/>
      <c r="LBZ14" s="2" t="n"/>
      <c r="LCA14" s="2" t="n"/>
      <c r="LCB14" s="2" t="n"/>
      <c r="LCC14" s="2" t="n"/>
      <c r="LCD14" s="2" t="n"/>
      <c r="LCE14" s="2" t="n"/>
      <c r="LCF14" s="2" t="n"/>
      <c r="LCG14" s="2" t="n"/>
      <c r="LCH14" s="2" t="n"/>
      <c r="LCI14" s="2" t="n"/>
      <c r="LCJ14" s="2" t="n"/>
      <c r="LCK14" s="2" t="n"/>
      <c r="LCL14" s="2" t="n"/>
      <c r="LCM14" s="2" t="n"/>
      <c r="LCN14" s="2" t="n"/>
      <c r="LCO14" s="2" t="n"/>
      <c r="LCP14" s="2" t="n"/>
      <c r="LCQ14" s="2" t="n"/>
      <c r="LCR14" s="2" t="n"/>
      <c r="LCS14" s="2" t="n"/>
      <c r="LCT14" s="2" t="n"/>
      <c r="LCU14" s="2" t="n"/>
      <c r="LCV14" s="2" t="n"/>
      <c r="LCW14" s="2" t="n"/>
      <c r="LCX14" s="2" t="n"/>
      <c r="LCY14" s="2" t="n"/>
      <c r="LCZ14" s="2" t="n"/>
      <c r="LDA14" s="2" t="n"/>
      <c r="LDB14" s="2" t="n"/>
      <c r="LDC14" s="2" t="n"/>
      <c r="LDD14" s="2" t="n"/>
      <c r="LDE14" s="2" t="n"/>
      <c r="LDF14" s="2" t="n"/>
      <c r="LDG14" s="2" t="n"/>
      <c r="LDH14" s="2" t="n"/>
      <c r="LDI14" s="2" t="n"/>
      <c r="LDJ14" s="2" t="n"/>
      <c r="LDK14" s="2" t="n"/>
      <c r="LDL14" s="2" t="n"/>
      <c r="LDM14" s="2" t="n"/>
      <c r="LDN14" s="2" t="n"/>
      <c r="LDO14" s="2" t="n"/>
      <c r="LDP14" s="2" t="n"/>
      <c r="LDQ14" s="2" t="n"/>
      <c r="LDR14" s="2" t="n"/>
      <c r="LDS14" s="2" t="n"/>
      <c r="LDT14" s="2" t="n"/>
      <c r="LDU14" s="2" t="n"/>
      <c r="LDV14" s="2" t="n"/>
      <c r="LDW14" s="2" t="n"/>
      <c r="LDX14" s="2" t="n"/>
      <c r="LDY14" s="2" t="n"/>
      <c r="LDZ14" s="2" t="n"/>
      <c r="LEA14" s="2" t="n"/>
      <c r="LEB14" s="2" t="n"/>
      <c r="LEC14" s="2" t="n"/>
      <c r="LED14" s="2" t="n"/>
      <c r="LEE14" s="2" t="n"/>
      <c r="LEF14" s="2" t="n"/>
      <c r="LEG14" s="2" t="n"/>
      <c r="LEH14" s="2" t="n"/>
      <c r="LEI14" s="2" t="n"/>
      <c r="LEJ14" s="2" t="n"/>
      <c r="LEK14" s="2" t="n"/>
      <c r="LEL14" s="2" t="n"/>
      <c r="LEM14" s="2" t="n"/>
      <c r="LEN14" s="2" t="n"/>
      <c r="LEO14" s="2" t="n"/>
      <c r="LEP14" s="2" t="n"/>
      <c r="LEQ14" s="2" t="n"/>
      <c r="LER14" s="2" t="n"/>
      <c r="LES14" s="2" t="n"/>
      <c r="LET14" s="2" t="n"/>
      <c r="LEU14" s="2" t="n"/>
      <c r="LEV14" s="2" t="n"/>
      <c r="LEW14" s="2" t="n"/>
      <c r="LEX14" s="2" t="n"/>
      <c r="LEY14" s="2" t="n"/>
      <c r="LEZ14" s="2" t="n"/>
      <c r="LFA14" s="2" t="n"/>
      <c r="LFB14" s="2" t="n"/>
      <c r="LFC14" s="2" t="n"/>
      <c r="LFD14" s="2" t="n"/>
      <c r="LFE14" s="2" t="n"/>
      <c r="LFF14" s="2" t="n"/>
      <c r="LFG14" s="2" t="n"/>
      <c r="LFH14" s="2" t="n"/>
      <c r="LFI14" s="2" t="n"/>
      <c r="LFJ14" s="2" t="n"/>
      <c r="LFK14" s="2" t="n"/>
      <c r="LFL14" s="2" t="n"/>
      <c r="LFM14" s="2" t="n"/>
      <c r="LFN14" s="2" t="n"/>
      <c r="LFO14" s="2" t="n"/>
      <c r="LFP14" s="2" t="n"/>
      <c r="LFQ14" s="2" t="n"/>
      <c r="LFR14" s="2" t="n"/>
      <c r="LFS14" s="2" t="n"/>
      <c r="LFT14" s="2" t="n"/>
      <c r="LFU14" s="2" t="n"/>
      <c r="LFV14" s="2" t="n"/>
      <c r="LFW14" s="2" t="n"/>
      <c r="LFX14" s="2" t="n"/>
      <c r="LFY14" s="2" t="n"/>
      <c r="LFZ14" s="2" t="n"/>
      <c r="LGA14" s="2" t="n"/>
      <c r="LGB14" s="2" t="n"/>
      <c r="LGC14" s="2" t="n"/>
      <c r="LGD14" s="2" t="n"/>
      <c r="LGE14" s="2" t="n"/>
      <c r="LGF14" s="2" t="n"/>
      <c r="LGG14" s="2" t="n"/>
      <c r="LGH14" s="2" t="n"/>
      <c r="LGI14" s="2" t="n"/>
      <c r="LGJ14" s="2" t="n"/>
      <c r="LGK14" s="2" t="n"/>
      <c r="LGL14" s="2" t="n"/>
      <c r="LGM14" s="2" t="n"/>
      <c r="LGN14" s="2" t="n"/>
      <c r="LGO14" s="2" t="n"/>
      <c r="LGP14" s="2" t="n"/>
      <c r="LGQ14" s="2" t="n"/>
      <c r="LGR14" s="2" t="n"/>
      <c r="LGS14" s="2" t="n"/>
      <c r="LGT14" s="2" t="n"/>
      <c r="LGU14" s="2" t="n"/>
      <c r="LGV14" s="2" t="n"/>
      <c r="LGW14" s="2" t="n"/>
      <c r="LGX14" s="2" t="n"/>
      <c r="LGY14" s="2" t="n"/>
      <c r="LGZ14" s="2" t="n"/>
      <c r="LHA14" s="2" t="n"/>
      <c r="LHB14" s="2" t="n"/>
      <c r="LHC14" s="2" t="n"/>
      <c r="LHD14" s="2" t="n"/>
      <c r="LHE14" s="2" t="n"/>
      <c r="LHF14" s="2" t="n"/>
      <c r="LHG14" s="2" t="n"/>
      <c r="LHH14" s="2" t="n"/>
      <c r="LHI14" s="2" t="n"/>
      <c r="LHJ14" s="2" t="n"/>
      <c r="LHK14" s="2" t="n"/>
      <c r="LHL14" s="2" t="n"/>
      <c r="LHM14" s="2" t="n"/>
      <c r="LHN14" s="2" t="n"/>
      <c r="LHO14" s="2" t="n"/>
      <c r="LHP14" s="2" t="n"/>
      <c r="LHQ14" s="2" t="n"/>
      <c r="LHR14" s="2" t="n"/>
      <c r="LHS14" s="2" t="n"/>
      <c r="LHT14" s="2" t="n"/>
      <c r="LHU14" s="2" t="n"/>
      <c r="LHV14" s="2" t="n"/>
      <c r="LHW14" s="2" t="n"/>
      <c r="LHX14" s="2" t="n"/>
      <c r="LHY14" s="2" t="n"/>
      <c r="LHZ14" s="2" t="n"/>
      <c r="LIA14" s="2" t="n"/>
      <c r="LIB14" s="2" t="n"/>
      <c r="LIC14" s="2" t="n"/>
      <c r="LID14" s="2" t="n"/>
      <c r="LIE14" s="2" t="n"/>
      <c r="LIF14" s="2" t="n"/>
      <c r="LIG14" s="2" t="n"/>
      <c r="LIH14" s="2" t="n"/>
      <c r="LII14" s="2" t="n"/>
      <c r="LIJ14" s="2" t="n"/>
      <c r="LIK14" s="2" t="n"/>
      <c r="LIL14" s="2" t="n"/>
      <c r="LIM14" s="2" t="n"/>
      <c r="LIN14" s="2" t="n"/>
      <c r="LIO14" s="2" t="n"/>
      <c r="LIP14" s="2" t="n"/>
      <c r="LIQ14" s="2" t="n"/>
      <c r="LIR14" s="2" t="n"/>
      <c r="LIS14" s="2" t="n"/>
      <c r="LIT14" s="2" t="n"/>
      <c r="LIU14" s="2" t="n"/>
      <c r="LIV14" s="2" t="n"/>
      <c r="LIW14" s="2" t="n"/>
      <c r="LIX14" s="2" t="n"/>
      <c r="LIY14" s="2" t="n"/>
      <c r="LIZ14" s="2" t="n"/>
      <c r="LJA14" s="2" t="n"/>
      <c r="LJB14" s="2" t="n"/>
      <c r="LJC14" s="2" t="n"/>
      <c r="LJD14" s="2" t="n"/>
      <c r="LJE14" s="2" t="n"/>
      <c r="LJF14" s="2" t="n"/>
      <c r="LJG14" s="2" t="n"/>
      <c r="LJH14" s="2" t="n"/>
      <c r="LJI14" s="2" t="n"/>
      <c r="LJJ14" s="2" t="n"/>
      <c r="LJK14" s="2" t="n"/>
      <c r="LJL14" s="2" t="n"/>
      <c r="LJM14" s="2" t="n"/>
      <c r="LJN14" s="2" t="n"/>
      <c r="LJO14" s="2" t="n"/>
      <c r="LJP14" s="2" t="n"/>
      <c r="LJQ14" s="2" t="n"/>
      <c r="LJR14" s="2" t="n"/>
      <c r="LJS14" s="2" t="n"/>
      <c r="LJT14" s="2" t="n"/>
      <c r="LJU14" s="2" t="n"/>
      <c r="LJV14" s="2" t="n"/>
      <c r="LJW14" s="2" t="n"/>
      <c r="LJX14" s="2" t="n"/>
      <c r="LJY14" s="2" t="n"/>
      <c r="LJZ14" s="2" t="n"/>
      <c r="LKA14" s="2" t="n"/>
      <c r="LKB14" s="2" t="n"/>
      <c r="LKC14" s="2" t="n"/>
      <c r="LKD14" s="2" t="n"/>
      <c r="LKE14" s="2" t="n"/>
      <c r="LKF14" s="2" t="n"/>
      <c r="LKG14" s="2" t="n"/>
      <c r="LKH14" s="2" t="n"/>
      <c r="LKI14" s="2" t="n"/>
      <c r="LKJ14" s="2" t="n"/>
      <c r="LKK14" s="2" t="n"/>
      <c r="LKL14" s="2" t="n"/>
      <c r="LKM14" s="2" t="n"/>
      <c r="LKN14" s="2" t="n"/>
      <c r="LKO14" s="2" t="n"/>
      <c r="LKP14" s="2" t="n"/>
      <c r="LKQ14" s="2" t="n"/>
      <c r="LKR14" s="2" t="n"/>
      <c r="LKS14" s="2" t="n"/>
      <c r="LKT14" s="2" t="n"/>
      <c r="LKU14" s="2" t="n"/>
      <c r="LKV14" s="2" t="n"/>
      <c r="LKW14" s="2" t="n"/>
      <c r="LKX14" s="2" t="n"/>
      <c r="LKY14" s="2" t="n"/>
      <c r="LKZ14" s="2" t="n"/>
      <c r="LLA14" s="2" t="n"/>
      <c r="LLB14" s="2" t="n"/>
      <c r="LLC14" s="2" t="n"/>
      <c r="LLD14" s="2" t="n"/>
      <c r="LLE14" s="2" t="n"/>
      <c r="LLF14" s="2" t="n"/>
      <c r="LLG14" s="2" t="n"/>
      <c r="LLH14" s="2" t="n"/>
      <c r="LLI14" s="2" t="n"/>
      <c r="LLJ14" s="2" t="n"/>
      <c r="LLK14" s="2" t="n"/>
      <c r="LLL14" s="2" t="n"/>
      <c r="LLM14" s="2" t="n"/>
      <c r="LLN14" s="2" t="n"/>
      <c r="LLO14" s="2" t="n"/>
      <c r="LLP14" s="2" t="n"/>
      <c r="LLQ14" s="2" t="n"/>
      <c r="LLR14" s="2" t="n"/>
      <c r="LLS14" s="2" t="n"/>
      <c r="LLT14" s="2" t="n"/>
      <c r="LLU14" s="2" t="n"/>
      <c r="LLV14" s="2" t="n"/>
      <c r="LLW14" s="2" t="n"/>
      <c r="LLX14" s="2" t="n"/>
      <c r="LLY14" s="2" t="n"/>
      <c r="LLZ14" s="2" t="n"/>
      <c r="LMA14" s="2" t="n"/>
      <c r="LMB14" s="2" t="n"/>
      <c r="LMC14" s="2" t="n"/>
      <c r="LMD14" s="2" t="n"/>
      <c r="LME14" s="2" t="n"/>
      <c r="LMF14" s="2" t="n"/>
      <c r="LMG14" s="2" t="n"/>
      <c r="LMH14" s="2" t="n"/>
      <c r="LMI14" s="2" t="n"/>
      <c r="LMJ14" s="2" t="n"/>
      <c r="LMK14" s="2" t="n"/>
      <c r="LML14" s="2" t="n"/>
      <c r="LMM14" s="2" t="n"/>
      <c r="LMN14" s="2" t="n"/>
      <c r="LMO14" s="2" t="n"/>
      <c r="LMP14" s="2" t="n"/>
      <c r="LMQ14" s="2" t="n"/>
      <c r="LMR14" s="2" t="n"/>
      <c r="LMS14" s="2" t="n"/>
      <c r="LMT14" s="2" t="n"/>
      <c r="LMU14" s="2" t="n"/>
      <c r="LMV14" s="2" t="n"/>
      <c r="LMW14" s="2" t="n"/>
      <c r="LMX14" s="2" t="n"/>
      <c r="LMY14" s="2" t="n"/>
      <c r="LMZ14" s="2" t="n"/>
      <c r="LNA14" s="2" t="n"/>
      <c r="LNB14" s="2" t="n"/>
      <c r="LNC14" s="2" t="n"/>
      <c r="LND14" s="2" t="n"/>
      <c r="LNE14" s="2" t="n"/>
      <c r="LNF14" s="2" t="n"/>
      <c r="LNG14" s="2" t="n"/>
      <c r="LNH14" s="2" t="n"/>
      <c r="LNI14" s="2" t="n"/>
      <c r="LNJ14" s="2" t="n"/>
      <c r="LNK14" s="2" t="n"/>
      <c r="LNL14" s="2" t="n"/>
      <c r="LNM14" s="2" t="n"/>
      <c r="LNN14" s="2" t="n"/>
      <c r="LNO14" s="2" t="n"/>
      <c r="LNP14" s="2" t="n"/>
      <c r="LNQ14" s="2" t="n"/>
      <c r="LNR14" s="2" t="n"/>
      <c r="LNS14" s="2" t="n"/>
      <c r="LNT14" s="2" t="n"/>
      <c r="LNU14" s="2" t="n"/>
      <c r="LNV14" s="2" t="n"/>
      <c r="LNW14" s="2" t="n"/>
      <c r="LNX14" s="2" t="n"/>
      <c r="LNY14" s="2" t="n"/>
      <c r="LNZ14" s="2" t="n"/>
      <c r="LOA14" s="2" t="n"/>
      <c r="LOB14" s="2" t="n"/>
      <c r="LOC14" s="2" t="n"/>
      <c r="LOD14" s="2" t="n"/>
      <c r="LOE14" s="2" t="n"/>
      <c r="LOF14" s="2" t="n"/>
      <c r="LOG14" s="2" t="n"/>
      <c r="LOH14" s="2" t="n"/>
      <c r="LOI14" s="2" t="n"/>
      <c r="LOJ14" s="2" t="n"/>
      <c r="LOK14" s="2" t="n"/>
      <c r="LOL14" s="2" t="n"/>
      <c r="LOM14" s="2" t="n"/>
      <c r="LON14" s="2" t="n"/>
      <c r="LOO14" s="2" t="n"/>
      <c r="LOP14" s="2" t="n"/>
      <c r="LOQ14" s="2" t="n"/>
      <c r="LOR14" s="2" t="n"/>
      <c r="LOS14" s="2" t="n"/>
      <c r="LOT14" s="2" t="n"/>
      <c r="LOU14" s="2" t="n"/>
      <c r="LOV14" s="2" t="n"/>
      <c r="LOW14" s="2" t="n"/>
      <c r="LOX14" s="2" t="n"/>
      <c r="LOY14" s="2" t="n"/>
      <c r="LOZ14" s="2" t="n"/>
      <c r="LPA14" s="2" t="n"/>
      <c r="LPB14" s="2" t="n"/>
      <c r="LPC14" s="2" t="n"/>
      <c r="LPD14" s="2" t="n"/>
      <c r="LPE14" s="2" t="n"/>
      <c r="LPF14" s="2" t="n"/>
      <c r="LPG14" s="2" t="n"/>
      <c r="LPH14" s="2" t="n"/>
      <c r="LPI14" s="2" t="n"/>
      <c r="LPJ14" s="2" t="n"/>
      <c r="LPK14" s="2" t="n"/>
      <c r="LPL14" s="2" t="n"/>
      <c r="LPM14" s="2" t="n"/>
      <c r="LPN14" s="2" t="n"/>
      <c r="LPO14" s="2" t="n"/>
      <c r="LPP14" s="2" t="n"/>
      <c r="LPQ14" s="2" t="n"/>
      <c r="LPR14" s="2" t="n"/>
      <c r="LPS14" s="2" t="n"/>
      <c r="LPT14" s="2" t="n"/>
      <c r="LPU14" s="2" t="n"/>
      <c r="LPV14" s="2" t="n"/>
      <c r="LPW14" s="2" t="n"/>
      <c r="LPX14" s="2" t="n"/>
      <c r="LPY14" s="2" t="n"/>
      <c r="LPZ14" s="2" t="n"/>
      <c r="LQA14" s="2" t="n"/>
      <c r="LQB14" s="2" t="n"/>
      <c r="LQC14" s="2" t="n"/>
      <c r="LQD14" s="2" t="n"/>
      <c r="LQE14" s="2" t="n"/>
      <c r="LQF14" s="2" t="n"/>
      <c r="LQG14" s="2" t="n"/>
      <c r="LQH14" s="2" t="n"/>
      <c r="LQI14" s="2" t="n"/>
      <c r="LQJ14" s="2" t="n"/>
      <c r="LQK14" s="2" t="n"/>
      <c r="LQL14" s="2" t="n"/>
      <c r="LQM14" s="2" t="n"/>
      <c r="LQN14" s="2" t="n"/>
      <c r="LQO14" s="2" t="n"/>
      <c r="LQP14" s="2" t="n"/>
      <c r="LQQ14" s="2" t="n"/>
      <c r="LQR14" s="2" t="n"/>
      <c r="LQS14" s="2" t="n"/>
      <c r="LQT14" s="2" t="n"/>
      <c r="LQU14" s="2" t="n"/>
      <c r="LQV14" s="2" t="n"/>
      <c r="LQW14" s="2" t="n"/>
      <c r="LQX14" s="2" t="n"/>
      <c r="LQY14" s="2" t="n"/>
      <c r="LQZ14" s="2" t="n"/>
      <c r="LRA14" s="2" t="n"/>
      <c r="LRB14" s="2" t="n"/>
      <c r="LRC14" s="2" t="n"/>
      <c r="LRD14" s="2" t="n"/>
      <c r="LRE14" s="2" t="n"/>
      <c r="LRF14" s="2" t="n"/>
      <c r="LRG14" s="2" t="n"/>
      <c r="LRH14" s="2" t="n"/>
      <c r="LRI14" s="2" t="n"/>
      <c r="LRJ14" s="2" t="n"/>
      <c r="LRK14" s="2" t="n"/>
      <c r="LRL14" s="2" t="n"/>
      <c r="LRM14" s="2" t="n"/>
      <c r="LRN14" s="2" t="n"/>
      <c r="LRO14" s="2" t="n"/>
      <c r="LRP14" s="2" t="n"/>
      <c r="LRQ14" s="2" t="n"/>
      <c r="LRR14" s="2" t="n"/>
      <c r="LRS14" s="2" t="n"/>
      <c r="LRT14" s="2" t="n"/>
      <c r="LRU14" s="2" t="n"/>
      <c r="LRV14" s="2" t="n"/>
      <c r="LRW14" s="2" t="n"/>
      <c r="LRX14" s="2" t="n"/>
      <c r="LRY14" s="2" t="n"/>
      <c r="LRZ14" s="2" t="n"/>
      <c r="LSA14" s="2" t="n"/>
      <c r="LSB14" s="2" t="n"/>
      <c r="LSC14" s="2" t="n"/>
      <c r="LSD14" s="2" t="n"/>
      <c r="LSE14" s="2" t="n"/>
      <c r="LSF14" s="2" t="n"/>
      <c r="LSG14" s="2" t="n"/>
      <c r="LSH14" s="2" t="n"/>
      <c r="LSI14" s="2" t="n"/>
      <c r="LSJ14" s="2" t="n"/>
      <c r="LSK14" s="2" t="n"/>
      <c r="LSL14" s="2" t="n"/>
      <c r="LSM14" s="2" t="n"/>
      <c r="LSN14" s="2" t="n"/>
      <c r="LSO14" s="2" t="n"/>
      <c r="LSP14" s="2" t="n"/>
      <c r="LSQ14" s="2" t="n"/>
      <c r="LSR14" s="2" t="n"/>
      <c r="LSS14" s="2" t="n"/>
      <c r="LST14" s="2" t="n"/>
      <c r="LSU14" s="2" t="n"/>
      <c r="LSV14" s="2" t="n"/>
      <c r="LSW14" s="2" t="n"/>
      <c r="LSX14" s="2" t="n"/>
      <c r="LSY14" s="2" t="n"/>
      <c r="LSZ14" s="2" t="n"/>
      <c r="LTA14" s="2" t="n"/>
      <c r="LTB14" s="2" t="n"/>
      <c r="LTC14" s="2" t="n"/>
      <c r="LTD14" s="2" t="n"/>
      <c r="LTE14" s="2" t="n"/>
      <c r="LTF14" s="2" t="n"/>
      <c r="LTG14" s="2" t="n"/>
      <c r="LTH14" s="2" t="n"/>
      <c r="LTI14" s="2" t="n"/>
      <c r="LTJ14" s="2" t="n"/>
      <c r="LTK14" s="2" t="n"/>
      <c r="LTL14" s="2" t="n"/>
      <c r="LTM14" s="2" t="n"/>
      <c r="LTN14" s="2" t="n"/>
      <c r="LTO14" s="2" t="n"/>
      <c r="LTP14" s="2" t="n"/>
      <c r="LTQ14" s="2" t="n"/>
      <c r="LTR14" s="2" t="n"/>
      <c r="LTS14" s="2" t="n"/>
      <c r="LTT14" s="2" t="n"/>
      <c r="LTU14" s="2" t="n"/>
      <c r="LTV14" s="2" t="n"/>
      <c r="LTW14" s="2" t="n"/>
      <c r="LTX14" s="2" t="n"/>
      <c r="LTY14" s="2" t="n"/>
      <c r="LTZ14" s="2" t="n"/>
      <c r="LUA14" s="2" t="n"/>
      <c r="LUB14" s="2" t="n"/>
      <c r="LUC14" s="2" t="n"/>
      <c r="LUD14" s="2" t="n"/>
      <c r="LUE14" s="2" t="n"/>
      <c r="LUF14" s="2" t="n"/>
      <c r="LUG14" s="2" t="n"/>
      <c r="LUH14" s="2" t="n"/>
      <c r="LUI14" s="2" t="n"/>
      <c r="LUJ14" s="2" t="n"/>
      <c r="LUK14" s="2" t="n"/>
      <c r="LUL14" s="2" t="n"/>
      <c r="LUM14" s="2" t="n"/>
      <c r="LUN14" s="2" t="n"/>
      <c r="LUO14" s="2" t="n"/>
      <c r="LUP14" s="2" t="n"/>
      <c r="LUQ14" s="2" t="n"/>
      <c r="LUR14" s="2" t="n"/>
      <c r="LUS14" s="2" t="n"/>
      <c r="LUT14" s="2" t="n"/>
      <c r="LUU14" s="2" t="n"/>
      <c r="LUV14" s="2" t="n"/>
      <c r="LUW14" s="2" t="n"/>
      <c r="LUX14" s="2" t="n"/>
      <c r="LUY14" s="2" t="n"/>
      <c r="LUZ14" s="2" t="n"/>
      <c r="LVA14" s="2" t="n"/>
      <c r="LVB14" s="2" t="n"/>
      <c r="LVC14" s="2" t="n"/>
      <c r="LVD14" s="2" t="n"/>
      <c r="LVE14" s="2" t="n"/>
      <c r="LVF14" s="2" t="n"/>
      <c r="LVG14" s="2" t="n"/>
      <c r="LVH14" s="2" t="n"/>
      <c r="LVI14" s="2" t="n"/>
      <c r="LVJ14" s="2" t="n"/>
      <c r="LVK14" s="2" t="n"/>
      <c r="LVL14" s="2" t="n"/>
      <c r="LVM14" s="2" t="n"/>
      <c r="LVN14" s="2" t="n"/>
      <c r="LVO14" s="2" t="n"/>
      <c r="LVP14" s="2" t="n"/>
      <c r="LVQ14" s="2" t="n"/>
      <c r="LVR14" s="2" t="n"/>
      <c r="LVS14" s="2" t="n"/>
      <c r="LVT14" s="2" t="n"/>
      <c r="LVU14" s="2" t="n"/>
      <c r="LVV14" s="2" t="n"/>
      <c r="LVW14" s="2" t="n"/>
      <c r="LVX14" s="2" t="n"/>
      <c r="LVY14" s="2" t="n"/>
      <c r="LVZ14" s="2" t="n"/>
      <c r="LWA14" s="2" t="n"/>
      <c r="LWB14" s="2" t="n"/>
      <c r="LWC14" s="2" t="n"/>
      <c r="LWD14" s="2" t="n"/>
      <c r="LWE14" s="2" t="n"/>
      <c r="LWF14" s="2" t="n"/>
      <c r="LWG14" s="2" t="n"/>
      <c r="LWH14" s="2" t="n"/>
      <c r="LWI14" s="2" t="n"/>
      <c r="LWJ14" s="2" t="n"/>
      <c r="LWK14" s="2" t="n"/>
      <c r="LWL14" s="2" t="n"/>
      <c r="LWM14" s="2" t="n"/>
      <c r="LWN14" s="2" t="n"/>
      <c r="LWO14" s="2" t="n"/>
      <c r="LWP14" s="2" t="n"/>
      <c r="LWQ14" s="2" t="n"/>
      <c r="LWR14" s="2" t="n"/>
      <c r="LWS14" s="2" t="n"/>
      <c r="LWT14" s="2" t="n"/>
      <c r="LWU14" s="2" t="n"/>
      <c r="LWV14" s="2" t="n"/>
      <c r="LWW14" s="2" t="n"/>
      <c r="LWX14" s="2" t="n"/>
      <c r="LWY14" s="2" t="n"/>
      <c r="LWZ14" s="2" t="n"/>
      <c r="LXA14" s="2" t="n"/>
      <c r="LXB14" s="2" t="n"/>
      <c r="LXC14" s="2" t="n"/>
      <c r="LXD14" s="2" t="n"/>
      <c r="LXE14" s="2" t="n"/>
      <c r="LXF14" s="2" t="n"/>
      <c r="LXG14" s="2" t="n"/>
      <c r="LXH14" s="2" t="n"/>
      <c r="LXI14" s="2" t="n"/>
      <c r="LXJ14" s="2" t="n"/>
      <c r="LXK14" s="2" t="n"/>
      <c r="LXL14" s="2" t="n"/>
      <c r="LXM14" s="2" t="n"/>
      <c r="LXN14" s="2" t="n"/>
      <c r="LXO14" s="2" t="n"/>
      <c r="LXP14" s="2" t="n"/>
      <c r="LXQ14" s="2" t="n"/>
      <c r="LXR14" s="2" t="n"/>
      <c r="LXS14" s="2" t="n"/>
      <c r="LXT14" s="2" t="n"/>
      <c r="LXU14" s="2" t="n"/>
      <c r="LXV14" s="2" t="n"/>
      <c r="LXW14" s="2" t="n"/>
      <c r="LXX14" s="2" t="n"/>
      <c r="LXY14" s="2" t="n"/>
      <c r="LXZ14" s="2" t="n"/>
      <c r="LYA14" s="2" t="n"/>
      <c r="LYB14" s="2" t="n"/>
      <c r="LYC14" s="2" t="n"/>
      <c r="LYD14" s="2" t="n"/>
      <c r="LYE14" s="2" t="n"/>
      <c r="LYF14" s="2" t="n"/>
      <c r="LYG14" s="2" t="n"/>
      <c r="LYH14" s="2" t="n"/>
      <c r="LYI14" s="2" t="n"/>
      <c r="LYJ14" s="2" t="n"/>
      <c r="LYK14" s="2" t="n"/>
      <c r="LYL14" s="2" t="n"/>
      <c r="LYM14" s="2" t="n"/>
      <c r="LYN14" s="2" t="n"/>
      <c r="LYO14" s="2" t="n"/>
      <c r="LYP14" s="2" t="n"/>
      <c r="LYQ14" s="2" t="n"/>
      <c r="LYR14" s="2" t="n"/>
      <c r="LYS14" s="2" t="n"/>
      <c r="LYT14" s="2" t="n"/>
      <c r="LYU14" s="2" t="n"/>
      <c r="LYV14" s="2" t="n"/>
      <c r="LYW14" s="2" t="n"/>
      <c r="LYX14" s="2" t="n"/>
      <c r="LYY14" s="2" t="n"/>
      <c r="LYZ14" s="2" t="n"/>
      <c r="LZA14" s="2" t="n"/>
      <c r="LZB14" s="2" t="n"/>
      <c r="LZC14" s="2" t="n"/>
      <c r="LZD14" s="2" t="n"/>
      <c r="LZE14" s="2" t="n"/>
      <c r="LZF14" s="2" t="n"/>
      <c r="LZG14" s="2" t="n"/>
      <c r="LZH14" s="2" t="n"/>
      <c r="LZI14" s="2" t="n"/>
      <c r="LZJ14" s="2" t="n"/>
      <c r="LZK14" s="2" t="n"/>
      <c r="LZL14" s="2" t="n"/>
      <c r="LZM14" s="2" t="n"/>
      <c r="LZN14" s="2" t="n"/>
      <c r="LZO14" s="2" t="n"/>
      <c r="LZP14" s="2" t="n"/>
      <c r="LZQ14" s="2" t="n"/>
      <c r="LZR14" s="2" t="n"/>
      <c r="LZS14" s="2" t="n"/>
      <c r="LZT14" s="2" t="n"/>
      <c r="LZU14" s="2" t="n"/>
      <c r="LZV14" s="2" t="n"/>
      <c r="LZW14" s="2" t="n"/>
      <c r="LZX14" s="2" t="n"/>
      <c r="LZY14" s="2" t="n"/>
      <c r="LZZ14" s="2" t="n"/>
      <c r="MAA14" s="2" t="n"/>
      <c r="MAB14" s="2" t="n"/>
      <c r="MAC14" s="2" t="n"/>
      <c r="MAD14" s="2" t="n"/>
      <c r="MAE14" s="2" t="n"/>
      <c r="MAF14" s="2" t="n"/>
      <c r="MAG14" s="2" t="n"/>
      <c r="MAH14" s="2" t="n"/>
      <c r="MAI14" s="2" t="n"/>
      <c r="MAJ14" s="2" t="n"/>
      <c r="MAK14" s="2" t="n"/>
      <c r="MAL14" s="2" t="n"/>
      <c r="MAM14" s="2" t="n"/>
      <c r="MAN14" s="2" t="n"/>
      <c r="MAO14" s="2" t="n"/>
      <c r="MAP14" s="2" t="n"/>
      <c r="MAQ14" s="2" t="n"/>
      <c r="MAR14" s="2" t="n"/>
      <c r="MAS14" s="2" t="n"/>
      <c r="MAT14" s="2" t="n"/>
      <c r="MAU14" s="2" t="n"/>
      <c r="MAV14" s="2" t="n"/>
      <c r="MAW14" s="2" t="n"/>
      <c r="MAX14" s="2" t="n"/>
      <c r="MAY14" s="2" t="n"/>
      <c r="MAZ14" s="2" t="n"/>
      <c r="MBA14" s="2" t="n"/>
      <c r="MBB14" s="2" t="n"/>
      <c r="MBC14" s="2" t="n"/>
      <c r="MBD14" s="2" t="n"/>
      <c r="MBE14" s="2" t="n"/>
      <c r="MBF14" s="2" t="n"/>
      <c r="MBG14" s="2" t="n"/>
      <c r="MBH14" s="2" t="n"/>
      <c r="MBI14" s="2" t="n"/>
      <c r="MBJ14" s="2" t="n"/>
      <c r="MBK14" s="2" t="n"/>
      <c r="MBL14" s="2" t="n"/>
      <c r="MBM14" s="2" t="n"/>
      <c r="MBN14" s="2" t="n"/>
      <c r="MBO14" s="2" t="n"/>
      <c r="MBP14" s="2" t="n"/>
      <c r="MBQ14" s="2" t="n"/>
      <c r="MBR14" s="2" t="n"/>
      <c r="MBS14" s="2" t="n"/>
      <c r="MBT14" s="2" t="n"/>
      <c r="MBU14" s="2" t="n"/>
      <c r="MBV14" s="2" t="n"/>
      <c r="MBW14" s="2" t="n"/>
      <c r="MBX14" s="2" t="n"/>
      <c r="MBY14" s="2" t="n"/>
      <c r="MBZ14" s="2" t="n"/>
      <c r="MCA14" s="2" t="n"/>
      <c r="MCB14" s="2" t="n"/>
      <c r="MCC14" s="2" t="n"/>
      <c r="MCD14" s="2" t="n"/>
      <c r="MCE14" s="2" t="n"/>
      <c r="MCF14" s="2" t="n"/>
      <c r="MCG14" s="2" t="n"/>
      <c r="MCH14" s="2" t="n"/>
      <c r="MCI14" s="2" t="n"/>
      <c r="MCJ14" s="2" t="n"/>
      <c r="MCK14" s="2" t="n"/>
      <c r="MCL14" s="2" t="n"/>
      <c r="MCM14" s="2" t="n"/>
      <c r="MCN14" s="2" t="n"/>
      <c r="MCO14" s="2" t="n"/>
      <c r="MCP14" s="2" t="n"/>
      <c r="MCQ14" s="2" t="n"/>
      <c r="MCR14" s="2" t="n"/>
      <c r="MCS14" s="2" t="n"/>
      <c r="MCT14" s="2" t="n"/>
      <c r="MCU14" s="2" t="n"/>
      <c r="MCV14" s="2" t="n"/>
      <c r="MCW14" s="2" t="n"/>
      <c r="MCX14" s="2" t="n"/>
      <c r="MCY14" s="2" t="n"/>
      <c r="MCZ14" s="2" t="n"/>
      <c r="MDA14" s="2" t="n"/>
      <c r="MDB14" s="2" t="n"/>
      <c r="MDC14" s="2" t="n"/>
      <c r="MDD14" s="2" t="n"/>
      <c r="MDE14" s="2" t="n"/>
      <c r="MDF14" s="2" t="n"/>
      <c r="MDG14" s="2" t="n"/>
      <c r="MDH14" s="2" t="n"/>
      <c r="MDI14" s="2" t="n"/>
      <c r="MDJ14" s="2" t="n"/>
      <c r="MDK14" s="2" t="n"/>
      <c r="MDL14" s="2" t="n"/>
      <c r="MDM14" s="2" t="n"/>
      <c r="MDN14" s="2" t="n"/>
      <c r="MDO14" s="2" t="n"/>
      <c r="MDP14" s="2" t="n"/>
      <c r="MDQ14" s="2" t="n"/>
      <c r="MDR14" s="2" t="n"/>
      <c r="MDS14" s="2" t="n"/>
      <c r="MDT14" s="2" t="n"/>
      <c r="MDU14" s="2" t="n"/>
      <c r="MDV14" s="2" t="n"/>
      <c r="MDW14" s="2" t="n"/>
      <c r="MDX14" s="2" t="n"/>
      <c r="MDY14" s="2" t="n"/>
      <c r="MDZ14" s="2" t="n"/>
      <c r="MEA14" s="2" t="n"/>
      <c r="MEB14" s="2" t="n"/>
      <c r="MEC14" s="2" t="n"/>
      <c r="MED14" s="2" t="n"/>
      <c r="MEE14" s="2" t="n"/>
      <c r="MEF14" s="2" t="n"/>
      <c r="MEG14" s="2" t="n"/>
      <c r="MEH14" s="2" t="n"/>
      <c r="MEI14" s="2" t="n"/>
      <c r="MEJ14" s="2" t="n"/>
      <c r="MEK14" s="2" t="n"/>
      <c r="MEL14" s="2" t="n"/>
      <c r="MEM14" s="2" t="n"/>
      <c r="MEN14" s="2" t="n"/>
      <c r="MEO14" s="2" t="n"/>
      <c r="MEP14" s="2" t="n"/>
      <c r="MEQ14" s="2" t="n"/>
      <c r="MER14" s="2" t="n"/>
      <c r="MES14" s="2" t="n"/>
      <c r="MET14" s="2" t="n"/>
      <c r="MEU14" s="2" t="n"/>
      <c r="MEV14" s="2" t="n"/>
      <c r="MEW14" s="2" t="n"/>
      <c r="MEX14" s="2" t="n"/>
      <c r="MEY14" s="2" t="n"/>
      <c r="MEZ14" s="2" t="n"/>
      <c r="MFA14" s="2" t="n"/>
      <c r="MFB14" s="2" t="n"/>
      <c r="MFC14" s="2" t="n"/>
      <c r="MFD14" s="2" t="n"/>
      <c r="MFE14" s="2" t="n"/>
      <c r="MFF14" s="2" t="n"/>
      <c r="MFG14" s="2" t="n"/>
      <c r="MFH14" s="2" t="n"/>
      <c r="MFI14" s="2" t="n"/>
      <c r="MFJ14" s="2" t="n"/>
      <c r="MFK14" s="2" t="n"/>
      <c r="MFL14" s="2" t="n"/>
      <c r="MFM14" s="2" t="n"/>
      <c r="MFN14" s="2" t="n"/>
      <c r="MFO14" s="2" t="n"/>
      <c r="MFP14" s="2" t="n"/>
      <c r="MFQ14" s="2" t="n"/>
      <c r="MFR14" s="2" t="n"/>
      <c r="MFS14" s="2" t="n"/>
      <c r="MFT14" s="2" t="n"/>
      <c r="MFU14" s="2" t="n"/>
      <c r="MFV14" s="2" t="n"/>
      <c r="MFW14" s="2" t="n"/>
      <c r="MFX14" s="2" t="n"/>
      <c r="MFY14" s="2" t="n"/>
      <c r="MFZ14" s="2" t="n"/>
      <c r="MGA14" s="2" t="n"/>
      <c r="MGB14" s="2" t="n"/>
      <c r="MGC14" s="2" t="n"/>
      <c r="MGD14" s="2" t="n"/>
      <c r="MGE14" s="2" t="n"/>
      <c r="MGF14" s="2" t="n"/>
      <c r="MGG14" s="2" t="n"/>
      <c r="MGH14" s="2" t="n"/>
      <c r="MGI14" s="2" t="n"/>
      <c r="MGJ14" s="2" t="n"/>
      <c r="MGK14" s="2" t="n"/>
      <c r="MGL14" s="2" t="n"/>
      <c r="MGM14" s="2" t="n"/>
      <c r="MGN14" s="2" t="n"/>
      <c r="MGO14" s="2" t="n"/>
      <c r="MGP14" s="2" t="n"/>
      <c r="MGQ14" s="2" t="n"/>
      <c r="MGR14" s="2" t="n"/>
      <c r="MGS14" s="2" t="n"/>
      <c r="MGT14" s="2" t="n"/>
      <c r="MGU14" s="2" t="n"/>
      <c r="MGV14" s="2" t="n"/>
      <c r="MGW14" s="2" t="n"/>
      <c r="MGX14" s="2" t="n"/>
      <c r="MGY14" s="2" t="n"/>
      <c r="MGZ14" s="2" t="n"/>
      <c r="MHA14" s="2" t="n"/>
      <c r="MHB14" s="2" t="n"/>
      <c r="MHC14" s="2" t="n"/>
      <c r="MHD14" s="2" t="n"/>
      <c r="MHE14" s="2" t="n"/>
      <c r="MHF14" s="2" t="n"/>
      <c r="MHG14" s="2" t="n"/>
      <c r="MHH14" s="2" t="n"/>
      <c r="MHI14" s="2" t="n"/>
      <c r="MHJ14" s="2" t="n"/>
      <c r="MHK14" s="2" t="n"/>
      <c r="MHL14" s="2" t="n"/>
      <c r="MHM14" s="2" t="n"/>
      <c r="MHN14" s="2" t="n"/>
      <c r="MHO14" s="2" t="n"/>
      <c r="MHP14" s="2" t="n"/>
      <c r="MHQ14" s="2" t="n"/>
      <c r="MHR14" s="2" t="n"/>
      <c r="MHS14" s="2" t="n"/>
      <c r="MHT14" s="2" t="n"/>
      <c r="MHU14" s="2" t="n"/>
      <c r="MHV14" s="2" t="n"/>
      <c r="MHW14" s="2" t="n"/>
      <c r="MHX14" s="2" t="n"/>
      <c r="MHY14" s="2" t="n"/>
      <c r="MHZ14" s="2" t="n"/>
      <c r="MIA14" s="2" t="n"/>
      <c r="MIB14" s="2" t="n"/>
      <c r="MIC14" s="2" t="n"/>
      <c r="MID14" s="2" t="n"/>
      <c r="MIE14" s="2" t="n"/>
      <c r="MIF14" s="2" t="n"/>
      <c r="MIG14" s="2" t="n"/>
      <c r="MIH14" s="2" t="n"/>
      <c r="MII14" s="2" t="n"/>
      <c r="MIJ14" s="2" t="n"/>
      <c r="MIK14" s="2" t="n"/>
      <c r="MIL14" s="2" t="n"/>
      <c r="MIM14" s="2" t="n"/>
      <c r="MIN14" s="2" t="n"/>
      <c r="MIO14" s="2" t="n"/>
      <c r="MIP14" s="2" t="n"/>
      <c r="MIQ14" s="2" t="n"/>
      <c r="MIR14" s="2" t="n"/>
      <c r="MIS14" s="2" t="n"/>
      <c r="MIT14" s="2" t="n"/>
      <c r="MIU14" s="2" t="n"/>
      <c r="MIV14" s="2" t="n"/>
      <c r="MIW14" s="2" t="n"/>
      <c r="MIX14" s="2" t="n"/>
      <c r="MIY14" s="2" t="n"/>
      <c r="MIZ14" s="2" t="n"/>
      <c r="MJA14" s="2" t="n"/>
      <c r="MJB14" s="2" t="n"/>
      <c r="MJC14" s="2" t="n"/>
      <c r="MJD14" s="2" t="n"/>
      <c r="MJE14" s="2" t="n"/>
      <c r="MJF14" s="2" t="n"/>
      <c r="MJG14" s="2" t="n"/>
      <c r="MJH14" s="2" t="n"/>
      <c r="MJI14" s="2" t="n"/>
      <c r="MJJ14" s="2" t="n"/>
      <c r="MJK14" s="2" t="n"/>
      <c r="MJL14" s="2" t="n"/>
      <c r="MJM14" s="2" t="n"/>
      <c r="MJN14" s="2" t="n"/>
      <c r="MJO14" s="2" t="n"/>
      <c r="MJP14" s="2" t="n"/>
      <c r="MJQ14" s="2" t="n"/>
      <c r="MJR14" s="2" t="n"/>
      <c r="MJS14" s="2" t="n"/>
      <c r="MJT14" s="2" t="n"/>
      <c r="MJU14" s="2" t="n"/>
      <c r="MJV14" s="2" t="n"/>
      <c r="MJW14" s="2" t="n"/>
      <c r="MJX14" s="2" t="n"/>
      <c r="MJY14" s="2" t="n"/>
      <c r="MJZ14" s="2" t="n"/>
      <c r="MKA14" s="2" t="n"/>
      <c r="MKB14" s="2" t="n"/>
      <c r="MKC14" s="2" t="n"/>
      <c r="MKD14" s="2" t="n"/>
      <c r="MKE14" s="2" t="n"/>
      <c r="MKF14" s="2" t="n"/>
      <c r="MKG14" s="2" t="n"/>
      <c r="MKH14" s="2" t="n"/>
      <c r="MKI14" s="2" t="n"/>
      <c r="MKJ14" s="2" t="n"/>
      <c r="MKK14" s="2" t="n"/>
      <c r="MKL14" s="2" t="n"/>
      <c r="MKM14" s="2" t="n"/>
      <c r="MKN14" s="2" t="n"/>
      <c r="MKO14" s="2" t="n"/>
      <c r="MKP14" s="2" t="n"/>
      <c r="MKQ14" s="2" t="n"/>
      <c r="MKR14" s="2" t="n"/>
      <c r="MKS14" s="2" t="n"/>
      <c r="MKT14" s="2" t="n"/>
      <c r="MKU14" s="2" t="n"/>
      <c r="MKV14" s="2" t="n"/>
      <c r="MKW14" s="2" t="n"/>
      <c r="MKX14" s="2" t="n"/>
      <c r="MKY14" s="2" t="n"/>
      <c r="MKZ14" s="2" t="n"/>
      <c r="MLA14" s="2" t="n"/>
      <c r="MLB14" s="2" t="n"/>
      <c r="MLC14" s="2" t="n"/>
      <c r="MLD14" s="2" t="n"/>
      <c r="MLE14" s="2" t="n"/>
      <c r="MLF14" s="2" t="n"/>
      <c r="MLG14" s="2" t="n"/>
      <c r="MLH14" s="2" t="n"/>
      <c r="MLI14" s="2" t="n"/>
      <c r="MLJ14" s="2" t="n"/>
      <c r="MLK14" s="2" t="n"/>
      <c r="MLL14" s="2" t="n"/>
      <c r="MLM14" s="2" t="n"/>
      <c r="MLN14" s="2" t="n"/>
      <c r="MLO14" s="2" t="n"/>
      <c r="MLP14" s="2" t="n"/>
      <c r="MLQ14" s="2" t="n"/>
      <c r="MLR14" s="2" t="n"/>
      <c r="MLS14" s="2" t="n"/>
      <c r="MLT14" s="2" t="n"/>
      <c r="MLU14" s="2" t="n"/>
      <c r="MLV14" s="2" t="n"/>
      <c r="MLW14" s="2" t="n"/>
      <c r="MLX14" s="2" t="n"/>
      <c r="MLY14" s="2" t="n"/>
      <c r="MLZ14" s="2" t="n"/>
      <c r="MMA14" s="2" t="n"/>
      <c r="MMB14" s="2" t="n"/>
      <c r="MMC14" s="2" t="n"/>
      <c r="MMD14" s="2" t="n"/>
      <c r="MME14" s="2" t="n"/>
      <c r="MMF14" s="2" t="n"/>
      <c r="MMG14" s="2" t="n"/>
      <c r="MMH14" s="2" t="n"/>
      <c r="MMI14" s="2" t="n"/>
      <c r="MMJ14" s="2" t="n"/>
      <c r="MMK14" s="2" t="n"/>
      <c r="MML14" s="2" t="n"/>
      <c r="MMM14" s="2" t="n"/>
      <c r="MMN14" s="2" t="n"/>
      <c r="MMO14" s="2" t="n"/>
      <c r="MMP14" s="2" t="n"/>
      <c r="MMQ14" s="2" t="n"/>
      <c r="MMR14" s="2" t="n"/>
      <c r="MMS14" s="2" t="n"/>
      <c r="MMT14" s="2" t="n"/>
      <c r="MMU14" s="2" t="n"/>
      <c r="MMV14" s="2" t="n"/>
      <c r="MMW14" s="2" t="n"/>
      <c r="MMX14" s="2" t="n"/>
      <c r="MMY14" s="2" t="n"/>
      <c r="MMZ14" s="2" t="n"/>
      <c r="MNA14" s="2" t="n"/>
      <c r="MNB14" s="2" t="n"/>
      <c r="MNC14" s="2" t="n"/>
      <c r="MND14" s="2" t="n"/>
      <c r="MNE14" s="2" t="n"/>
      <c r="MNF14" s="2" t="n"/>
      <c r="MNG14" s="2" t="n"/>
      <c r="MNH14" s="2" t="n"/>
      <c r="MNI14" s="2" t="n"/>
      <c r="MNJ14" s="2" t="n"/>
      <c r="MNK14" s="2" t="n"/>
      <c r="MNL14" s="2" t="n"/>
      <c r="MNM14" s="2" t="n"/>
      <c r="MNN14" s="2" t="n"/>
      <c r="MNO14" s="2" t="n"/>
      <c r="MNP14" s="2" t="n"/>
      <c r="MNQ14" s="2" t="n"/>
      <c r="MNR14" s="2" t="n"/>
      <c r="MNS14" s="2" t="n"/>
      <c r="MNT14" s="2" t="n"/>
      <c r="MNU14" s="2" t="n"/>
      <c r="MNV14" s="2" t="n"/>
      <c r="MNW14" s="2" t="n"/>
      <c r="MNX14" s="2" t="n"/>
      <c r="MNY14" s="2" t="n"/>
      <c r="MNZ14" s="2" t="n"/>
      <c r="MOA14" s="2" t="n"/>
      <c r="MOB14" s="2" t="n"/>
      <c r="MOC14" s="2" t="n"/>
      <c r="MOD14" s="2" t="n"/>
      <c r="MOE14" s="2" t="n"/>
      <c r="MOF14" s="2" t="n"/>
      <c r="MOG14" s="2" t="n"/>
      <c r="MOH14" s="2" t="n"/>
      <c r="MOI14" s="2" t="n"/>
      <c r="MOJ14" s="2" t="n"/>
      <c r="MOK14" s="2" t="n"/>
      <c r="MOL14" s="2" t="n"/>
      <c r="MOM14" s="2" t="n"/>
      <c r="MON14" s="2" t="n"/>
      <c r="MOO14" s="2" t="n"/>
      <c r="MOP14" s="2" t="n"/>
      <c r="MOQ14" s="2" t="n"/>
      <c r="MOR14" s="2" t="n"/>
      <c r="MOS14" s="2" t="n"/>
      <c r="MOT14" s="2" t="n"/>
      <c r="MOU14" s="2" t="n"/>
      <c r="MOV14" s="2" t="n"/>
      <c r="MOW14" s="2" t="n"/>
      <c r="MOX14" s="2" t="n"/>
      <c r="MOY14" s="2" t="n"/>
      <c r="MOZ14" s="2" t="n"/>
      <c r="MPA14" s="2" t="n"/>
      <c r="MPB14" s="2" t="n"/>
      <c r="MPC14" s="2" t="n"/>
      <c r="MPD14" s="2" t="n"/>
      <c r="MPE14" s="2" t="n"/>
      <c r="MPF14" s="2" t="n"/>
      <c r="MPG14" s="2" t="n"/>
      <c r="MPH14" s="2" t="n"/>
      <c r="MPI14" s="2" t="n"/>
      <c r="MPJ14" s="2" t="n"/>
      <c r="MPK14" s="2" t="n"/>
      <c r="MPL14" s="2" t="n"/>
      <c r="MPM14" s="2" t="n"/>
      <c r="MPN14" s="2" t="n"/>
      <c r="MPO14" s="2" t="n"/>
      <c r="MPP14" s="2" t="n"/>
      <c r="MPQ14" s="2" t="n"/>
      <c r="MPR14" s="2" t="n"/>
      <c r="MPS14" s="2" t="n"/>
      <c r="MPT14" s="2" t="n"/>
      <c r="MPU14" s="2" t="n"/>
      <c r="MPV14" s="2" t="n"/>
      <c r="MPW14" s="2" t="n"/>
      <c r="MPX14" s="2" t="n"/>
      <c r="MPY14" s="2" t="n"/>
      <c r="MPZ14" s="2" t="n"/>
      <c r="MQA14" s="2" t="n"/>
      <c r="MQB14" s="2" t="n"/>
      <c r="MQC14" s="2" t="n"/>
      <c r="MQD14" s="2" t="n"/>
      <c r="MQE14" s="2" t="n"/>
      <c r="MQF14" s="2" t="n"/>
      <c r="MQG14" s="2" t="n"/>
      <c r="MQH14" s="2" t="n"/>
      <c r="MQI14" s="2" t="n"/>
      <c r="MQJ14" s="2" t="n"/>
      <c r="MQK14" s="2" t="n"/>
      <c r="MQL14" s="2" t="n"/>
      <c r="MQM14" s="2" t="n"/>
      <c r="MQN14" s="2" t="n"/>
      <c r="MQO14" s="2" t="n"/>
      <c r="MQP14" s="2" t="n"/>
      <c r="MQQ14" s="2" t="n"/>
      <c r="MQR14" s="2" t="n"/>
      <c r="MQS14" s="2" t="n"/>
      <c r="MQT14" s="2" t="n"/>
      <c r="MQU14" s="2" t="n"/>
      <c r="MQV14" s="2" t="n"/>
      <c r="MQW14" s="2" t="n"/>
      <c r="MQX14" s="2" t="n"/>
      <c r="MQY14" s="2" t="n"/>
      <c r="MQZ14" s="2" t="n"/>
      <c r="MRA14" s="2" t="n"/>
      <c r="MRB14" s="2" t="n"/>
      <c r="MRC14" s="2" t="n"/>
      <c r="MRD14" s="2" t="n"/>
      <c r="MRE14" s="2" t="n"/>
      <c r="MRF14" s="2" t="n"/>
      <c r="MRG14" s="2" t="n"/>
      <c r="MRH14" s="2" t="n"/>
      <c r="MRI14" s="2" t="n"/>
      <c r="MRJ14" s="2" t="n"/>
      <c r="MRK14" s="2" t="n"/>
      <c r="MRL14" s="2" t="n"/>
      <c r="MRM14" s="2" t="n"/>
      <c r="MRN14" s="2" t="n"/>
      <c r="MRO14" s="2" t="n"/>
      <c r="MRP14" s="2" t="n"/>
      <c r="MRQ14" s="2" t="n"/>
      <c r="MRR14" s="2" t="n"/>
      <c r="MRS14" s="2" t="n"/>
      <c r="MRT14" s="2" t="n"/>
      <c r="MRU14" s="2" t="n"/>
      <c r="MRV14" s="2" t="n"/>
      <c r="MRW14" s="2" t="n"/>
      <c r="MRX14" s="2" t="n"/>
      <c r="MRY14" s="2" t="n"/>
      <c r="MRZ14" s="2" t="n"/>
      <c r="MSA14" s="2" t="n"/>
      <c r="MSB14" s="2" t="n"/>
      <c r="MSC14" s="2" t="n"/>
      <c r="MSD14" s="2" t="n"/>
      <c r="MSE14" s="2" t="n"/>
      <c r="MSF14" s="2" t="n"/>
      <c r="MSG14" s="2" t="n"/>
      <c r="MSH14" s="2" t="n"/>
      <c r="MSI14" s="2" t="n"/>
      <c r="MSJ14" s="2" t="n"/>
      <c r="MSK14" s="2" t="n"/>
      <c r="MSL14" s="2" t="n"/>
      <c r="MSM14" s="2" t="n"/>
      <c r="MSN14" s="2" t="n"/>
      <c r="MSO14" s="2" t="n"/>
      <c r="MSP14" s="2" t="n"/>
      <c r="MSQ14" s="2" t="n"/>
      <c r="MSR14" s="2" t="n"/>
      <c r="MSS14" s="2" t="n"/>
      <c r="MST14" s="2" t="n"/>
      <c r="MSU14" s="2" t="n"/>
      <c r="MSV14" s="2" t="n"/>
      <c r="MSW14" s="2" t="n"/>
      <c r="MSX14" s="2" t="n"/>
      <c r="MSY14" s="2" t="n"/>
      <c r="MSZ14" s="2" t="n"/>
      <c r="MTA14" s="2" t="n"/>
      <c r="MTB14" s="2" t="n"/>
      <c r="MTC14" s="2" t="n"/>
      <c r="MTD14" s="2" t="n"/>
      <c r="MTE14" s="2" t="n"/>
      <c r="MTF14" s="2" t="n"/>
      <c r="MTG14" s="2" t="n"/>
      <c r="MTH14" s="2" t="n"/>
      <c r="MTI14" s="2" t="n"/>
      <c r="MTJ14" s="2" t="n"/>
      <c r="MTK14" s="2" t="n"/>
      <c r="MTL14" s="2" t="n"/>
      <c r="MTM14" s="2" t="n"/>
      <c r="MTN14" s="2" t="n"/>
      <c r="MTO14" s="2" t="n"/>
      <c r="MTP14" s="2" t="n"/>
      <c r="MTQ14" s="2" t="n"/>
      <c r="MTR14" s="2" t="n"/>
      <c r="MTS14" s="2" t="n"/>
      <c r="MTT14" s="2" t="n"/>
      <c r="MTU14" s="2" t="n"/>
      <c r="MTV14" s="2" t="n"/>
      <c r="MTW14" s="2" t="n"/>
      <c r="MTX14" s="2" t="n"/>
      <c r="MTY14" s="2" t="n"/>
      <c r="MTZ14" s="2" t="n"/>
      <c r="MUA14" s="2" t="n"/>
      <c r="MUB14" s="2" t="n"/>
      <c r="MUC14" s="2" t="n"/>
      <c r="MUD14" s="2" t="n"/>
      <c r="MUE14" s="2" t="n"/>
      <c r="MUF14" s="2" t="n"/>
      <c r="MUG14" s="2" t="n"/>
      <c r="MUH14" s="2" t="n"/>
      <c r="MUI14" s="2" t="n"/>
      <c r="MUJ14" s="2" t="n"/>
      <c r="MUK14" s="2" t="n"/>
      <c r="MUL14" s="2" t="n"/>
      <c r="MUM14" s="2" t="n"/>
      <c r="MUN14" s="2" t="n"/>
      <c r="MUO14" s="2" t="n"/>
      <c r="MUP14" s="2" t="n"/>
      <c r="MUQ14" s="2" t="n"/>
      <c r="MUR14" s="2" t="n"/>
      <c r="MUS14" s="2" t="n"/>
      <c r="MUT14" s="2" t="n"/>
      <c r="MUU14" s="2" t="n"/>
      <c r="MUV14" s="2" t="n"/>
      <c r="MUW14" s="2" t="n"/>
      <c r="MUX14" s="2" t="n"/>
      <c r="MUY14" s="2" t="n"/>
      <c r="MUZ14" s="2" t="n"/>
      <c r="MVA14" s="2" t="n"/>
      <c r="MVB14" s="2" t="n"/>
      <c r="MVC14" s="2" t="n"/>
      <c r="MVD14" s="2" t="n"/>
      <c r="MVE14" s="2" t="n"/>
      <c r="MVF14" s="2" t="n"/>
      <c r="MVG14" s="2" t="n"/>
      <c r="MVH14" s="2" t="n"/>
      <c r="MVI14" s="2" t="n"/>
      <c r="MVJ14" s="2" t="n"/>
      <c r="MVK14" s="2" t="n"/>
      <c r="MVL14" s="2" t="n"/>
      <c r="MVM14" s="2" t="n"/>
      <c r="MVN14" s="2" t="n"/>
      <c r="MVO14" s="2" t="n"/>
      <c r="MVP14" s="2" t="n"/>
      <c r="MVQ14" s="2" t="n"/>
      <c r="MVR14" s="2" t="n"/>
      <c r="MVS14" s="2" t="n"/>
      <c r="MVT14" s="2" t="n"/>
      <c r="MVU14" s="2" t="n"/>
      <c r="MVV14" s="2" t="n"/>
      <c r="MVW14" s="2" t="n"/>
      <c r="MVX14" s="2" t="n"/>
      <c r="MVY14" s="2" t="n"/>
      <c r="MVZ14" s="2" t="n"/>
      <c r="MWA14" s="2" t="n"/>
      <c r="MWB14" s="2" t="n"/>
      <c r="MWC14" s="2" t="n"/>
      <c r="MWD14" s="2" t="n"/>
      <c r="MWE14" s="2" t="n"/>
      <c r="MWF14" s="2" t="n"/>
      <c r="MWG14" s="2" t="n"/>
      <c r="MWH14" s="2" t="n"/>
      <c r="MWI14" s="2" t="n"/>
      <c r="MWJ14" s="2" t="n"/>
      <c r="MWK14" s="2" t="n"/>
      <c r="MWL14" s="2" t="n"/>
      <c r="MWM14" s="2" t="n"/>
      <c r="MWN14" s="2" t="n"/>
      <c r="MWO14" s="2" t="n"/>
      <c r="MWP14" s="2" t="n"/>
      <c r="MWQ14" s="2" t="n"/>
      <c r="MWR14" s="2" t="n"/>
      <c r="MWS14" s="2" t="n"/>
      <c r="MWT14" s="2" t="n"/>
      <c r="MWU14" s="2" t="n"/>
      <c r="MWV14" s="2" t="n"/>
      <c r="MWW14" s="2" t="n"/>
      <c r="MWX14" s="2" t="n"/>
      <c r="MWY14" s="2" t="n"/>
      <c r="MWZ14" s="2" t="n"/>
      <c r="MXA14" s="2" t="n"/>
      <c r="MXB14" s="2" t="n"/>
      <c r="MXC14" s="2" t="n"/>
      <c r="MXD14" s="2" t="n"/>
      <c r="MXE14" s="2" t="n"/>
      <c r="MXF14" s="2" t="n"/>
      <c r="MXG14" s="2" t="n"/>
      <c r="MXH14" s="2" t="n"/>
      <c r="MXI14" s="2" t="n"/>
      <c r="MXJ14" s="2" t="n"/>
      <c r="MXK14" s="2" t="n"/>
      <c r="MXL14" s="2" t="n"/>
      <c r="MXM14" s="2" t="n"/>
      <c r="MXN14" s="2" t="n"/>
      <c r="MXO14" s="2" t="n"/>
      <c r="MXP14" s="2" t="n"/>
      <c r="MXQ14" s="2" t="n"/>
      <c r="MXR14" s="2" t="n"/>
      <c r="MXS14" s="2" t="n"/>
      <c r="MXT14" s="2" t="n"/>
      <c r="MXU14" s="2" t="n"/>
      <c r="MXV14" s="2" t="n"/>
      <c r="MXW14" s="2" t="n"/>
      <c r="MXX14" s="2" t="n"/>
      <c r="MXY14" s="2" t="n"/>
      <c r="MXZ14" s="2" t="n"/>
      <c r="MYA14" s="2" t="n"/>
      <c r="MYB14" s="2" t="n"/>
      <c r="MYC14" s="2" t="n"/>
      <c r="MYD14" s="2" t="n"/>
      <c r="MYE14" s="2" t="n"/>
      <c r="MYF14" s="2" t="n"/>
      <c r="MYG14" s="2" t="n"/>
      <c r="MYH14" s="2" t="n"/>
      <c r="MYI14" s="2" t="n"/>
      <c r="MYJ14" s="2" t="n"/>
      <c r="MYK14" s="2" t="n"/>
      <c r="MYL14" s="2" t="n"/>
      <c r="MYM14" s="2" t="n"/>
      <c r="MYN14" s="2" t="n"/>
      <c r="MYO14" s="2" t="n"/>
      <c r="MYP14" s="2" t="n"/>
      <c r="MYQ14" s="2" t="n"/>
      <c r="MYR14" s="2" t="n"/>
      <c r="MYS14" s="2" t="n"/>
      <c r="MYT14" s="2" t="n"/>
      <c r="MYU14" s="2" t="n"/>
      <c r="MYV14" s="2" t="n"/>
      <c r="MYW14" s="2" t="n"/>
      <c r="MYX14" s="2" t="n"/>
      <c r="MYY14" s="2" t="n"/>
      <c r="MYZ14" s="2" t="n"/>
      <c r="MZA14" s="2" t="n"/>
      <c r="MZB14" s="2" t="n"/>
      <c r="MZC14" s="2" t="n"/>
      <c r="MZD14" s="2" t="n"/>
      <c r="MZE14" s="2" t="n"/>
      <c r="MZF14" s="2" t="n"/>
      <c r="MZG14" s="2" t="n"/>
      <c r="MZH14" s="2" t="n"/>
      <c r="MZI14" s="2" t="n"/>
      <c r="MZJ14" s="2" t="n"/>
      <c r="MZK14" s="2" t="n"/>
      <c r="MZL14" s="2" t="n"/>
      <c r="MZM14" s="2" t="n"/>
      <c r="MZN14" s="2" t="n"/>
      <c r="MZO14" s="2" t="n"/>
      <c r="MZP14" s="2" t="n"/>
      <c r="MZQ14" s="2" t="n"/>
      <c r="MZR14" s="2" t="n"/>
      <c r="MZS14" s="2" t="n"/>
      <c r="MZT14" s="2" t="n"/>
      <c r="MZU14" s="2" t="n"/>
      <c r="MZV14" s="2" t="n"/>
      <c r="MZW14" s="2" t="n"/>
      <c r="MZX14" s="2" t="n"/>
      <c r="MZY14" s="2" t="n"/>
      <c r="MZZ14" s="2" t="n"/>
      <c r="NAA14" s="2" t="n"/>
      <c r="NAB14" s="2" t="n"/>
      <c r="NAC14" s="2" t="n"/>
      <c r="NAD14" s="2" t="n"/>
      <c r="NAE14" s="2" t="n"/>
      <c r="NAF14" s="2" t="n"/>
      <c r="NAG14" s="2" t="n"/>
      <c r="NAH14" s="2" t="n"/>
      <c r="NAI14" s="2" t="n"/>
      <c r="NAJ14" s="2" t="n"/>
      <c r="NAK14" s="2" t="n"/>
      <c r="NAL14" s="2" t="n"/>
      <c r="NAM14" s="2" t="n"/>
      <c r="NAN14" s="2" t="n"/>
      <c r="NAO14" s="2" t="n"/>
      <c r="NAP14" s="2" t="n"/>
      <c r="NAQ14" s="2" t="n"/>
      <c r="NAR14" s="2" t="n"/>
      <c r="NAS14" s="2" t="n"/>
      <c r="NAT14" s="2" t="n"/>
      <c r="NAU14" s="2" t="n"/>
      <c r="NAV14" s="2" t="n"/>
      <c r="NAW14" s="2" t="n"/>
      <c r="NAX14" s="2" t="n"/>
      <c r="NAY14" s="2" t="n"/>
      <c r="NAZ14" s="2" t="n"/>
      <c r="NBA14" s="2" t="n"/>
      <c r="NBB14" s="2" t="n"/>
      <c r="NBC14" s="2" t="n"/>
      <c r="NBD14" s="2" t="n"/>
      <c r="NBE14" s="2" t="n"/>
      <c r="NBF14" s="2" t="n"/>
      <c r="NBG14" s="2" t="n"/>
      <c r="NBH14" s="2" t="n"/>
      <c r="NBI14" s="2" t="n"/>
      <c r="NBJ14" s="2" t="n"/>
      <c r="NBK14" s="2" t="n"/>
      <c r="NBL14" s="2" t="n"/>
      <c r="NBM14" s="2" t="n"/>
      <c r="NBN14" s="2" t="n"/>
      <c r="NBO14" s="2" t="n"/>
      <c r="NBP14" s="2" t="n"/>
      <c r="NBQ14" s="2" t="n"/>
      <c r="NBR14" s="2" t="n"/>
      <c r="NBS14" s="2" t="n"/>
      <c r="NBT14" s="2" t="n"/>
      <c r="NBU14" s="2" t="n"/>
      <c r="NBV14" s="2" t="n"/>
      <c r="NBW14" s="2" t="n"/>
      <c r="NBX14" s="2" t="n"/>
      <c r="NBY14" s="2" t="n"/>
      <c r="NBZ14" s="2" t="n"/>
      <c r="NCA14" s="2" t="n"/>
      <c r="NCB14" s="2" t="n"/>
      <c r="NCC14" s="2" t="n"/>
      <c r="NCD14" s="2" t="n"/>
      <c r="NCE14" s="2" t="n"/>
      <c r="NCF14" s="2" t="n"/>
      <c r="NCG14" s="2" t="n"/>
      <c r="NCH14" s="2" t="n"/>
      <c r="NCI14" s="2" t="n"/>
      <c r="NCJ14" s="2" t="n"/>
      <c r="NCK14" s="2" t="n"/>
      <c r="NCL14" s="2" t="n"/>
      <c r="NCM14" s="2" t="n"/>
      <c r="NCN14" s="2" t="n"/>
      <c r="NCO14" s="2" t="n"/>
      <c r="NCP14" s="2" t="n"/>
      <c r="NCQ14" s="2" t="n"/>
      <c r="NCR14" s="2" t="n"/>
      <c r="NCS14" s="2" t="n"/>
      <c r="NCT14" s="2" t="n"/>
      <c r="NCU14" s="2" t="n"/>
      <c r="NCV14" s="2" t="n"/>
      <c r="NCW14" s="2" t="n"/>
      <c r="NCX14" s="2" t="n"/>
      <c r="NCY14" s="2" t="n"/>
      <c r="NCZ14" s="2" t="n"/>
      <c r="NDA14" s="2" t="n"/>
      <c r="NDB14" s="2" t="n"/>
      <c r="NDC14" s="2" t="n"/>
      <c r="NDD14" s="2" t="n"/>
      <c r="NDE14" s="2" t="n"/>
      <c r="NDF14" s="2" t="n"/>
      <c r="NDG14" s="2" t="n"/>
      <c r="NDH14" s="2" t="n"/>
      <c r="NDI14" s="2" t="n"/>
      <c r="NDJ14" s="2" t="n"/>
      <c r="NDK14" s="2" t="n"/>
      <c r="NDL14" s="2" t="n"/>
      <c r="NDM14" s="2" t="n"/>
      <c r="NDN14" s="2" t="n"/>
      <c r="NDO14" s="2" t="n"/>
      <c r="NDP14" s="2" t="n"/>
      <c r="NDQ14" s="2" t="n"/>
      <c r="NDR14" s="2" t="n"/>
      <c r="NDS14" s="2" t="n"/>
      <c r="NDT14" s="2" t="n"/>
      <c r="NDU14" s="2" t="n"/>
      <c r="NDV14" s="2" t="n"/>
      <c r="NDW14" s="2" t="n"/>
      <c r="NDX14" s="2" t="n"/>
      <c r="NDY14" s="2" t="n"/>
      <c r="NDZ14" s="2" t="n"/>
      <c r="NEA14" s="2" t="n"/>
      <c r="NEB14" s="2" t="n"/>
      <c r="NEC14" s="2" t="n"/>
      <c r="NED14" s="2" t="n"/>
      <c r="NEE14" s="2" t="n"/>
      <c r="NEF14" s="2" t="n"/>
      <c r="NEG14" s="2" t="n"/>
      <c r="NEH14" s="2" t="n"/>
      <c r="NEI14" s="2" t="n"/>
      <c r="NEJ14" s="2" t="n"/>
      <c r="NEK14" s="2" t="n"/>
      <c r="NEL14" s="2" t="n"/>
      <c r="NEM14" s="2" t="n"/>
      <c r="NEN14" s="2" t="n"/>
      <c r="NEO14" s="2" t="n"/>
      <c r="NEP14" s="2" t="n"/>
      <c r="NEQ14" s="2" t="n"/>
      <c r="NER14" s="2" t="n"/>
      <c r="NES14" s="2" t="n"/>
      <c r="NET14" s="2" t="n"/>
      <c r="NEU14" s="2" t="n"/>
      <c r="NEV14" s="2" t="n"/>
      <c r="NEW14" s="2" t="n"/>
      <c r="NEX14" s="2" t="n"/>
      <c r="NEY14" s="2" t="n"/>
      <c r="NEZ14" s="2" t="n"/>
      <c r="NFA14" s="2" t="n"/>
      <c r="NFB14" s="2" t="n"/>
      <c r="NFC14" s="2" t="n"/>
      <c r="NFD14" s="2" t="n"/>
      <c r="NFE14" s="2" t="n"/>
      <c r="NFF14" s="2" t="n"/>
      <c r="NFG14" s="2" t="n"/>
      <c r="NFH14" s="2" t="n"/>
      <c r="NFI14" s="2" t="n"/>
      <c r="NFJ14" s="2" t="n"/>
      <c r="NFK14" s="2" t="n"/>
      <c r="NFL14" s="2" t="n"/>
      <c r="NFM14" s="2" t="n"/>
      <c r="NFN14" s="2" t="n"/>
      <c r="NFO14" s="2" t="n"/>
      <c r="NFP14" s="2" t="n"/>
      <c r="NFQ14" s="2" t="n"/>
      <c r="NFR14" s="2" t="n"/>
      <c r="NFS14" s="2" t="n"/>
      <c r="NFT14" s="2" t="n"/>
      <c r="NFU14" s="2" t="n"/>
      <c r="NFV14" s="2" t="n"/>
      <c r="NFW14" s="2" t="n"/>
      <c r="NFX14" s="2" t="n"/>
      <c r="NFY14" s="2" t="n"/>
      <c r="NFZ14" s="2" t="n"/>
      <c r="NGA14" s="2" t="n"/>
      <c r="NGB14" s="2" t="n"/>
      <c r="NGC14" s="2" t="n"/>
      <c r="NGD14" s="2" t="n"/>
      <c r="NGE14" s="2" t="n"/>
      <c r="NGF14" s="2" t="n"/>
      <c r="NGG14" s="2" t="n"/>
      <c r="NGH14" s="2" t="n"/>
      <c r="NGI14" s="2" t="n"/>
      <c r="NGJ14" s="2" t="n"/>
      <c r="NGK14" s="2" t="n"/>
      <c r="NGL14" s="2" t="n"/>
      <c r="NGM14" s="2" t="n"/>
      <c r="NGN14" s="2" t="n"/>
      <c r="NGO14" s="2" t="n"/>
      <c r="NGP14" s="2" t="n"/>
      <c r="NGQ14" s="2" t="n"/>
      <c r="NGR14" s="2" t="n"/>
      <c r="NGS14" s="2" t="n"/>
      <c r="NGT14" s="2" t="n"/>
      <c r="NGU14" s="2" t="n"/>
      <c r="NGV14" s="2" t="n"/>
      <c r="NGW14" s="2" t="n"/>
      <c r="NGX14" s="2" t="n"/>
      <c r="NGY14" s="2" t="n"/>
      <c r="NGZ14" s="2" t="n"/>
      <c r="NHA14" s="2" t="n"/>
      <c r="NHB14" s="2" t="n"/>
      <c r="NHC14" s="2" t="n"/>
      <c r="NHD14" s="2" t="n"/>
      <c r="NHE14" s="2" t="n"/>
      <c r="NHF14" s="2" t="n"/>
      <c r="NHG14" s="2" t="n"/>
      <c r="NHH14" s="2" t="n"/>
      <c r="NHI14" s="2" t="n"/>
      <c r="NHJ14" s="2" t="n"/>
      <c r="NHK14" s="2" t="n"/>
      <c r="NHL14" s="2" t="n"/>
      <c r="NHM14" s="2" t="n"/>
      <c r="NHN14" s="2" t="n"/>
      <c r="NHO14" s="2" t="n"/>
      <c r="NHP14" s="2" t="n"/>
      <c r="NHQ14" s="2" t="n"/>
      <c r="NHR14" s="2" t="n"/>
      <c r="NHS14" s="2" t="n"/>
      <c r="NHT14" s="2" t="n"/>
      <c r="NHU14" s="2" t="n"/>
      <c r="NHV14" s="2" t="n"/>
      <c r="NHW14" s="2" t="n"/>
      <c r="NHX14" s="2" t="n"/>
      <c r="NHY14" s="2" t="n"/>
      <c r="NHZ14" s="2" t="n"/>
      <c r="NIA14" s="2" t="n"/>
      <c r="NIB14" s="2" t="n"/>
      <c r="NIC14" s="2" t="n"/>
      <c r="NID14" s="2" t="n"/>
      <c r="NIE14" s="2" t="n"/>
      <c r="NIF14" s="2" t="n"/>
      <c r="NIG14" s="2" t="n"/>
      <c r="NIH14" s="2" t="n"/>
      <c r="NII14" s="2" t="n"/>
      <c r="NIJ14" s="2" t="n"/>
      <c r="NIK14" s="2" t="n"/>
      <c r="NIL14" s="2" t="n"/>
      <c r="NIM14" s="2" t="n"/>
      <c r="NIN14" s="2" t="n"/>
      <c r="NIO14" s="2" t="n"/>
      <c r="NIP14" s="2" t="n"/>
      <c r="NIQ14" s="2" t="n"/>
      <c r="NIR14" s="2" t="n"/>
      <c r="NIS14" s="2" t="n"/>
      <c r="NIT14" s="2" t="n"/>
      <c r="NIU14" s="2" t="n"/>
      <c r="NIV14" s="2" t="n"/>
      <c r="NIW14" s="2" t="n"/>
      <c r="NIX14" s="2" t="n"/>
      <c r="NIY14" s="2" t="n"/>
      <c r="NIZ14" s="2" t="n"/>
      <c r="NJA14" s="2" t="n"/>
      <c r="NJB14" s="2" t="n"/>
      <c r="NJC14" s="2" t="n"/>
      <c r="NJD14" s="2" t="n"/>
      <c r="NJE14" s="2" t="n"/>
      <c r="NJF14" s="2" t="n"/>
      <c r="NJG14" s="2" t="n"/>
      <c r="NJH14" s="2" t="n"/>
      <c r="NJI14" s="2" t="n"/>
      <c r="NJJ14" s="2" t="n"/>
      <c r="NJK14" s="2" t="n"/>
      <c r="NJL14" s="2" t="n"/>
      <c r="NJM14" s="2" t="n"/>
      <c r="NJN14" s="2" t="n"/>
      <c r="NJO14" s="2" t="n"/>
      <c r="NJP14" s="2" t="n"/>
      <c r="NJQ14" s="2" t="n"/>
      <c r="NJR14" s="2" t="n"/>
      <c r="NJS14" s="2" t="n"/>
      <c r="NJT14" s="2" t="n"/>
      <c r="NJU14" s="2" t="n"/>
      <c r="NJV14" s="2" t="n"/>
      <c r="NJW14" s="2" t="n"/>
      <c r="NJX14" s="2" t="n"/>
      <c r="NJY14" s="2" t="n"/>
      <c r="NJZ14" s="2" t="n"/>
      <c r="NKA14" s="2" t="n"/>
      <c r="NKB14" s="2" t="n"/>
      <c r="NKC14" s="2" t="n"/>
      <c r="NKD14" s="2" t="n"/>
      <c r="NKE14" s="2" t="n"/>
      <c r="NKF14" s="2" t="n"/>
      <c r="NKG14" s="2" t="n"/>
      <c r="NKH14" s="2" t="n"/>
      <c r="NKI14" s="2" t="n"/>
      <c r="NKJ14" s="2" t="n"/>
      <c r="NKK14" s="2" t="n"/>
      <c r="NKL14" s="2" t="n"/>
      <c r="NKM14" s="2" t="n"/>
      <c r="NKN14" s="2" t="n"/>
      <c r="NKO14" s="2" t="n"/>
      <c r="NKP14" s="2" t="n"/>
      <c r="NKQ14" s="2" t="n"/>
      <c r="NKR14" s="2" t="n"/>
      <c r="NKS14" s="2" t="n"/>
      <c r="NKT14" s="2" t="n"/>
      <c r="NKU14" s="2" t="n"/>
      <c r="NKV14" s="2" t="n"/>
      <c r="NKW14" s="2" t="n"/>
      <c r="NKX14" s="2" t="n"/>
      <c r="NKY14" s="2" t="n"/>
      <c r="NKZ14" s="2" t="n"/>
      <c r="NLA14" s="2" t="n"/>
      <c r="NLB14" s="2" t="n"/>
      <c r="NLC14" s="2" t="n"/>
      <c r="NLD14" s="2" t="n"/>
      <c r="NLE14" s="2" t="n"/>
      <c r="NLF14" s="2" t="n"/>
      <c r="NLG14" s="2" t="n"/>
      <c r="NLH14" s="2" t="n"/>
      <c r="NLI14" s="2" t="n"/>
      <c r="NLJ14" s="2" t="n"/>
      <c r="NLK14" s="2" t="n"/>
      <c r="NLL14" s="2" t="n"/>
      <c r="NLM14" s="2" t="n"/>
      <c r="NLN14" s="2" t="n"/>
      <c r="NLO14" s="2" t="n"/>
      <c r="NLP14" s="2" t="n"/>
      <c r="NLQ14" s="2" t="n"/>
      <c r="NLR14" s="2" t="n"/>
      <c r="NLS14" s="2" t="n"/>
      <c r="NLT14" s="2" t="n"/>
      <c r="NLU14" s="2" t="n"/>
      <c r="NLV14" s="2" t="n"/>
      <c r="NLW14" s="2" t="n"/>
      <c r="NLX14" s="2" t="n"/>
      <c r="NLY14" s="2" t="n"/>
      <c r="NLZ14" s="2" t="n"/>
      <c r="NMA14" s="2" t="n"/>
      <c r="NMB14" s="2" t="n"/>
      <c r="NMC14" s="2" t="n"/>
      <c r="NMD14" s="2" t="n"/>
      <c r="NME14" s="2" t="n"/>
      <c r="NMF14" s="2" t="n"/>
      <c r="NMG14" s="2" t="n"/>
      <c r="NMH14" s="2" t="n"/>
      <c r="NMI14" s="2" t="n"/>
      <c r="NMJ14" s="2" t="n"/>
      <c r="NMK14" s="2" t="n"/>
      <c r="NML14" s="2" t="n"/>
      <c r="NMM14" s="2" t="n"/>
      <c r="NMN14" s="2" t="n"/>
      <c r="NMO14" s="2" t="n"/>
      <c r="NMP14" s="2" t="n"/>
      <c r="NMQ14" s="2" t="n"/>
      <c r="NMR14" s="2" t="n"/>
      <c r="NMS14" s="2" t="n"/>
      <c r="NMT14" s="2" t="n"/>
      <c r="NMU14" s="2" t="n"/>
      <c r="NMV14" s="2" t="n"/>
      <c r="NMW14" s="2" t="n"/>
      <c r="NMX14" s="2" t="n"/>
      <c r="NMY14" s="2" t="n"/>
      <c r="NMZ14" s="2" t="n"/>
      <c r="NNA14" s="2" t="n"/>
      <c r="NNB14" s="2" t="n"/>
      <c r="NNC14" s="2" t="n"/>
      <c r="NND14" s="2" t="n"/>
      <c r="NNE14" s="2" t="n"/>
      <c r="NNF14" s="2" t="n"/>
      <c r="NNG14" s="2" t="n"/>
      <c r="NNH14" s="2" t="n"/>
      <c r="NNI14" s="2" t="n"/>
      <c r="NNJ14" s="2" t="n"/>
      <c r="NNK14" s="2" t="n"/>
      <c r="NNL14" s="2" t="n"/>
      <c r="NNM14" s="2" t="n"/>
      <c r="NNN14" s="2" t="n"/>
      <c r="NNO14" s="2" t="n"/>
      <c r="NNP14" s="2" t="n"/>
      <c r="NNQ14" s="2" t="n"/>
      <c r="NNR14" s="2" t="n"/>
      <c r="NNS14" s="2" t="n"/>
      <c r="NNT14" s="2" t="n"/>
      <c r="NNU14" s="2" t="n"/>
      <c r="NNV14" s="2" t="n"/>
      <c r="NNW14" s="2" t="n"/>
      <c r="NNX14" s="2" t="n"/>
      <c r="NNY14" s="2" t="n"/>
      <c r="NNZ14" s="2" t="n"/>
      <c r="NOA14" s="2" t="n"/>
      <c r="NOB14" s="2" t="n"/>
      <c r="NOC14" s="2" t="n"/>
      <c r="NOD14" s="2" t="n"/>
      <c r="NOE14" s="2" t="n"/>
      <c r="NOF14" s="2" t="n"/>
      <c r="NOG14" s="2" t="n"/>
      <c r="NOH14" s="2" t="n"/>
      <c r="NOI14" s="2" t="n"/>
      <c r="NOJ14" s="2" t="n"/>
      <c r="NOK14" s="2" t="n"/>
      <c r="NOL14" s="2" t="n"/>
      <c r="NOM14" s="2" t="n"/>
      <c r="NON14" s="2" t="n"/>
      <c r="NOO14" s="2" t="n"/>
      <c r="NOP14" s="2" t="n"/>
      <c r="NOQ14" s="2" t="n"/>
      <c r="NOR14" s="2" t="n"/>
      <c r="NOS14" s="2" t="n"/>
      <c r="NOT14" s="2" t="n"/>
      <c r="NOU14" s="2" t="n"/>
      <c r="NOV14" s="2" t="n"/>
      <c r="NOW14" s="2" t="n"/>
      <c r="NOX14" s="2" t="n"/>
      <c r="NOY14" s="2" t="n"/>
      <c r="NOZ14" s="2" t="n"/>
      <c r="NPA14" s="2" t="n"/>
      <c r="NPB14" s="2" t="n"/>
      <c r="NPC14" s="2" t="n"/>
      <c r="NPD14" s="2" t="n"/>
      <c r="NPE14" s="2" t="n"/>
      <c r="NPF14" s="2" t="n"/>
      <c r="NPG14" s="2" t="n"/>
      <c r="NPH14" s="2" t="n"/>
      <c r="NPI14" s="2" t="n"/>
      <c r="NPJ14" s="2" t="n"/>
      <c r="NPK14" s="2" t="n"/>
      <c r="NPL14" s="2" t="n"/>
      <c r="NPM14" s="2" t="n"/>
      <c r="NPN14" s="2" t="n"/>
      <c r="NPO14" s="2" t="n"/>
      <c r="NPP14" s="2" t="n"/>
      <c r="NPQ14" s="2" t="n"/>
      <c r="NPR14" s="2" t="n"/>
      <c r="NPS14" s="2" t="n"/>
      <c r="NPT14" s="2" t="n"/>
      <c r="NPU14" s="2" t="n"/>
      <c r="NPV14" s="2" t="n"/>
      <c r="NPW14" s="2" t="n"/>
      <c r="NPX14" s="2" t="n"/>
      <c r="NPY14" s="2" t="n"/>
      <c r="NPZ14" s="2" t="n"/>
      <c r="NQA14" s="2" t="n"/>
      <c r="NQB14" s="2" t="n"/>
      <c r="NQC14" s="2" t="n"/>
      <c r="NQD14" s="2" t="n"/>
      <c r="NQE14" s="2" t="n"/>
      <c r="NQF14" s="2" t="n"/>
      <c r="NQG14" s="2" t="n"/>
      <c r="NQH14" s="2" t="n"/>
      <c r="NQI14" s="2" t="n"/>
      <c r="NQJ14" s="2" t="n"/>
      <c r="NQK14" s="2" t="n"/>
      <c r="NQL14" s="2" t="n"/>
      <c r="NQM14" s="2" t="n"/>
      <c r="NQN14" s="2" t="n"/>
      <c r="NQO14" s="2" t="n"/>
      <c r="NQP14" s="2" t="n"/>
      <c r="NQQ14" s="2" t="n"/>
      <c r="NQR14" s="2" t="n"/>
      <c r="NQS14" s="2" t="n"/>
      <c r="NQT14" s="2" t="n"/>
      <c r="NQU14" s="2" t="n"/>
      <c r="NQV14" s="2" t="n"/>
      <c r="NQW14" s="2" t="n"/>
      <c r="NQX14" s="2" t="n"/>
      <c r="NQY14" s="2" t="n"/>
      <c r="NQZ14" s="2" t="n"/>
      <c r="NRA14" s="2" t="n"/>
      <c r="NRB14" s="2" t="n"/>
      <c r="NRC14" s="2" t="n"/>
      <c r="NRD14" s="2" t="n"/>
      <c r="NRE14" s="2" t="n"/>
      <c r="NRF14" s="2" t="n"/>
      <c r="NRG14" s="2" t="n"/>
      <c r="NRH14" s="2" t="n"/>
      <c r="NRI14" s="2" t="n"/>
      <c r="NRJ14" s="2" t="n"/>
      <c r="NRK14" s="2" t="n"/>
      <c r="NRL14" s="2" t="n"/>
      <c r="NRM14" s="2" t="n"/>
      <c r="NRN14" s="2" t="n"/>
      <c r="NRO14" s="2" t="n"/>
      <c r="NRP14" s="2" t="n"/>
      <c r="NRQ14" s="2" t="n"/>
      <c r="NRR14" s="2" t="n"/>
      <c r="NRS14" s="2" t="n"/>
      <c r="NRT14" s="2" t="n"/>
      <c r="NRU14" s="2" t="n"/>
      <c r="NRV14" s="2" t="n"/>
      <c r="NRW14" s="2" t="n"/>
      <c r="NRX14" s="2" t="n"/>
      <c r="NRY14" s="2" t="n"/>
      <c r="NRZ14" s="2" t="n"/>
      <c r="NSA14" s="2" t="n"/>
      <c r="NSB14" s="2" t="n"/>
      <c r="NSC14" s="2" t="n"/>
      <c r="NSD14" s="2" t="n"/>
      <c r="NSE14" s="2" t="n"/>
      <c r="NSF14" s="2" t="n"/>
      <c r="NSG14" s="2" t="n"/>
      <c r="NSH14" s="2" t="n"/>
      <c r="NSI14" s="2" t="n"/>
      <c r="NSJ14" s="2" t="n"/>
      <c r="NSK14" s="2" t="n"/>
      <c r="NSL14" s="2" t="n"/>
      <c r="NSM14" s="2" t="n"/>
      <c r="NSN14" s="2" t="n"/>
      <c r="NSO14" s="2" t="n"/>
      <c r="NSP14" s="2" t="n"/>
      <c r="NSQ14" s="2" t="n"/>
      <c r="NSR14" s="2" t="n"/>
      <c r="NSS14" s="2" t="n"/>
      <c r="NST14" s="2" t="n"/>
      <c r="NSU14" s="2" t="n"/>
      <c r="NSV14" s="2" t="n"/>
      <c r="NSW14" s="2" t="n"/>
      <c r="NSX14" s="2" t="n"/>
      <c r="NSY14" s="2" t="n"/>
      <c r="NSZ14" s="2" t="n"/>
      <c r="NTA14" s="2" t="n"/>
      <c r="NTB14" s="2" t="n"/>
      <c r="NTC14" s="2" t="n"/>
      <c r="NTD14" s="2" t="n"/>
      <c r="NTE14" s="2" t="n"/>
      <c r="NTF14" s="2" t="n"/>
      <c r="NTG14" s="2" t="n"/>
      <c r="NTH14" s="2" t="n"/>
      <c r="NTI14" s="2" t="n"/>
      <c r="NTJ14" s="2" t="n"/>
      <c r="NTK14" s="2" t="n"/>
      <c r="NTL14" s="2" t="n"/>
      <c r="NTM14" s="2" t="n"/>
      <c r="NTN14" s="2" t="n"/>
      <c r="NTO14" s="2" t="n"/>
      <c r="NTP14" s="2" t="n"/>
      <c r="NTQ14" s="2" t="n"/>
      <c r="NTR14" s="2" t="n"/>
      <c r="NTS14" s="2" t="n"/>
      <c r="NTT14" s="2" t="n"/>
      <c r="NTU14" s="2" t="n"/>
      <c r="NTV14" s="2" t="n"/>
      <c r="NTW14" s="2" t="n"/>
      <c r="NTX14" s="2" t="n"/>
      <c r="NTY14" s="2" t="n"/>
      <c r="NTZ14" s="2" t="n"/>
      <c r="NUA14" s="2" t="n"/>
      <c r="NUB14" s="2" t="n"/>
      <c r="NUC14" s="2" t="n"/>
      <c r="NUD14" s="2" t="n"/>
      <c r="NUE14" s="2" t="n"/>
      <c r="NUF14" s="2" t="n"/>
      <c r="NUG14" s="2" t="n"/>
      <c r="NUH14" s="2" t="n"/>
      <c r="NUI14" s="2" t="n"/>
      <c r="NUJ14" s="2" t="n"/>
      <c r="NUK14" s="2" t="n"/>
      <c r="NUL14" s="2" t="n"/>
      <c r="NUM14" s="2" t="n"/>
      <c r="NUN14" s="2" t="n"/>
      <c r="NUO14" s="2" t="n"/>
      <c r="NUP14" s="2" t="n"/>
      <c r="NUQ14" s="2" t="n"/>
      <c r="NUR14" s="2" t="n"/>
      <c r="NUS14" s="2" t="n"/>
      <c r="NUT14" s="2" t="n"/>
      <c r="NUU14" s="2" t="n"/>
      <c r="NUV14" s="2" t="n"/>
      <c r="NUW14" s="2" t="n"/>
      <c r="NUX14" s="2" t="n"/>
      <c r="NUY14" s="2" t="n"/>
      <c r="NUZ14" s="2" t="n"/>
      <c r="NVA14" s="2" t="n"/>
      <c r="NVB14" s="2" t="n"/>
      <c r="NVC14" s="2" t="n"/>
      <c r="NVD14" s="2" t="n"/>
      <c r="NVE14" s="2" t="n"/>
      <c r="NVF14" s="2" t="n"/>
      <c r="NVG14" s="2" t="n"/>
      <c r="NVH14" s="2" t="n"/>
      <c r="NVI14" s="2" t="n"/>
      <c r="NVJ14" s="2" t="n"/>
      <c r="NVK14" s="2" t="n"/>
      <c r="NVL14" s="2" t="n"/>
      <c r="NVM14" s="2" t="n"/>
      <c r="NVN14" s="2" t="n"/>
      <c r="NVO14" s="2" t="n"/>
      <c r="NVP14" s="2" t="n"/>
      <c r="NVQ14" s="2" t="n"/>
      <c r="NVR14" s="2" t="n"/>
      <c r="NVS14" s="2" t="n"/>
      <c r="NVT14" s="2" t="n"/>
      <c r="NVU14" s="2" t="n"/>
      <c r="NVV14" s="2" t="n"/>
      <c r="NVW14" s="2" t="n"/>
      <c r="NVX14" s="2" t="n"/>
      <c r="NVY14" s="2" t="n"/>
      <c r="NVZ14" s="2" t="n"/>
      <c r="NWA14" s="2" t="n"/>
      <c r="NWB14" s="2" t="n"/>
      <c r="NWC14" s="2" t="n"/>
      <c r="NWD14" s="2" t="n"/>
      <c r="NWE14" s="2" t="n"/>
      <c r="NWF14" s="2" t="n"/>
      <c r="NWG14" s="2" t="n"/>
      <c r="NWH14" s="2" t="n"/>
      <c r="NWI14" s="2" t="n"/>
      <c r="NWJ14" s="2" t="n"/>
      <c r="NWK14" s="2" t="n"/>
      <c r="NWL14" s="2" t="n"/>
      <c r="NWM14" s="2" t="n"/>
      <c r="NWN14" s="2" t="n"/>
      <c r="NWO14" s="2" t="n"/>
      <c r="NWP14" s="2" t="n"/>
      <c r="NWQ14" s="2" t="n"/>
      <c r="NWR14" s="2" t="n"/>
      <c r="NWS14" s="2" t="n"/>
      <c r="NWT14" s="2" t="n"/>
      <c r="NWU14" s="2" t="n"/>
      <c r="NWV14" s="2" t="n"/>
      <c r="NWW14" s="2" t="n"/>
      <c r="NWX14" s="2" t="n"/>
      <c r="NWY14" s="2" t="n"/>
      <c r="NWZ14" s="2" t="n"/>
      <c r="NXA14" s="2" t="n"/>
      <c r="NXB14" s="2" t="n"/>
      <c r="NXC14" s="2" t="n"/>
      <c r="NXD14" s="2" t="n"/>
      <c r="NXE14" s="2" t="n"/>
      <c r="NXF14" s="2" t="n"/>
      <c r="NXG14" s="2" t="n"/>
      <c r="NXH14" s="2" t="n"/>
      <c r="NXI14" s="2" t="n"/>
      <c r="NXJ14" s="2" t="n"/>
      <c r="NXK14" s="2" t="n"/>
      <c r="NXL14" s="2" t="n"/>
      <c r="NXM14" s="2" t="n"/>
      <c r="NXN14" s="2" t="n"/>
      <c r="NXO14" s="2" t="n"/>
      <c r="NXP14" s="2" t="n"/>
      <c r="NXQ14" s="2" t="n"/>
      <c r="NXR14" s="2" t="n"/>
      <c r="NXS14" s="2" t="n"/>
      <c r="NXT14" s="2" t="n"/>
      <c r="NXU14" s="2" t="n"/>
      <c r="NXV14" s="2" t="n"/>
      <c r="NXW14" s="2" t="n"/>
      <c r="NXX14" s="2" t="n"/>
      <c r="NXY14" s="2" t="n"/>
      <c r="NXZ14" s="2" t="n"/>
      <c r="NYA14" s="2" t="n"/>
      <c r="NYB14" s="2" t="n"/>
      <c r="NYC14" s="2" t="n"/>
      <c r="NYD14" s="2" t="n"/>
      <c r="NYE14" s="2" t="n"/>
      <c r="NYF14" s="2" t="n"/>
      <c r="NYG14" s="2" t="n"/>
      <c r="NYH14" s="2" t="n"/>
      <c r="NYI14" s="2" t="n"/>
      <c r="NYJ14" s="2" t="n"/>
      <c r="NYK14" s="2" t="n"/>
      <c r="NYL14" s="2" t="n"/>
      <c r="NYM14" s="2" t="n"/>
      <c r="NYN14" s="2" t="n"/>
      <c r="NYO14" s="2" t="n"/>
      <c r="NYP14" s="2" t="n"/>
      <c r="NYQ14" s="2" t="n"/>
      <c r="NYR14" s="2" t="n"/>
      <c r="NYS14" s="2" t="n"/>
      <c r="NYT14" s="2" t="n"/>
      <c r="NYU14" s="2" t="n"/>
      <c r="NYV14" s="2" t="n"/>
      <c r="NYW14" s="2" t="n"/>
      <c r="NYX14" s="2" t="n"/>
      <c r="NYY14" s="2" t="n"/>
      <c r="NYZ14" s="2" t="n"/>
      <c r="NZA14" s="2" t="n"/>
      <c r="NZB14" s="2" t="n"/>
      <c r="NZC14" s="2" t="n"/>
      <c r="NZD14" s="2" t="n"/>
      <c r="NZE14" s="2" t="n"/>
      <c r="NZF14" s="2" t="n"/>
      <c r="NZG14" s="2" t="n"/>
      <c r="NZH14" s="2" t="n"/>
      <c r="NZI14" s="2" t="n"/>
      <c r="NZJ14" s="2" t="n"/>
      <c r="NZK14" s="2" t="n"/>
      <c r="NZL14" s="2" t="n"/>
      <c r="NZM14" s="2" t="n"/>
      <c r="NZN14" s="2" t="n"/>
      <c r="NZO14" s="2" t="n"/>
      <c r="NZP14" s="2" t="n"/>
      <c r="NZQ14" s="2" t="n"/>
      <c r="NZR14" s="2" t="n"/>
      <c r="NZS14" s="2" t="n"/>
      <c r="NZT14" s="2" t="n"/>
      <c r="NZU14" s="2" t="n"/>
      <c r="NZV14" s="2" t="n"/>
      <c r="NZW14" s="2" t="n"/>
      <c r="NZX14" s="2" t="n"/>
      <c r="NZY14" s="2" t="n"/>
      <c r="NZZ14" s="2" t="n"/>
      <c r="OAA14" s="2" t="n"/>
      <c r="OAB14" s="2" t="n"/>
      <c r="OAC14" s="2" t="n"/>
      <c r="OAD14" s="2" t="n"/>
      <c r="OAE14" s="2" t="n"/>
      <c r="OAF14" s="2" t="n"/>
      <c r="OAG14" s="2" t="n"/>
      <c r="OAH14" s="2" t="n"/>
      <c r="OAI14" s="2" t="n"/>
      <c r="OAJ14" s="2" t="n"/>
      <c r="OAK14" s="2" t="n"/>
      <c r="OAL14" s="2" t="n"/>
      <c r="OAM14" s="2" t="n"/>
      <c r="OAN14" s="2" t="n"/>
      <c r="OAO14" s="2" t="n"/>
      <c r="OAP14" s="2" t="n"/>
      <c r="OAQ14" s="2" t="n"/>
      <c r="OAR14" s="2" t="n"/>
      <c r="OAS14" s="2" t="n"/>
      <c r="OAT14" s="2" t="n"/>
      <c r="OAU14" s="2" t="n"/>
      <c r="OAV14" s="2" t="n"/>
      <c r="OAW14" s="2" t="n"/>
      <c r="OAX14" s="2" t="n"/>
      <c r="OAY14" s="2" t="n"/>
      <c r="OAZ14" s="2" t="n"/>
      <c r="OBA14" s="2" t="n"/>
      <c r="OBB14" s="2" t="n"/>
      <c r="OBC14" s="2" t="n"/>
      <c r="OBD14" s="2" t="n"/>
      <c r="OBE14" s="2" t="n"/>
      <c r="OBF14" s="2" t="n"/>
      <c r="OBG14" s="2" t="n"/>
      <c r="OBH14" s="2" t="n"/>
      <c r="OBI14" s="2" t="n"/>
      <c r="OBJ14" s="2" t="n"/>
      <c r="OBK14" s="2" t="n"/>
      <c r="OBL14" s="2" t="n"/>
      <c r="OBM14" s="2" t="n"/>
      <c r="OBN14" s="2" t="n"/>
      <c r="OBO14" s="2" t="n"/>
      <c r="OBP14" s="2" t="n"/>
      <c r="OBQ14" s="2" t="n"/>
      <c r="OBR14" s="2" t="n"/>
      <c r="OBS14" s="2" t="n"/>
      <c r="OBT14" s="2" t="n"/>
      <c r="OBU14" s="2" t="n"/>
      <c r="OBV14" s="2" t="n"/>
      <c r="OBW14" s="2" t="n"/>
      <c r="OBX14" s="2" t="n"/>
      <c r="OBY14" s="2" t="n"/>
      <c r="OBZ14" s="2" t="n"/>
      <c r="OCA14" s="2" t="n"/>
      <c r="OCB14" s="2" t="n"/>
      <c r="OCC14" s="2" t="n"/>
      <c r="OCD14" s="2" t="n"/>
      <c r="OCE14" s="2" t="n"/>
      <c r="OCF14" s="2" t="n"/>
      <c r="OCG14" s="2" t="n"/>
      <c r="OCH14" s="2" t="n"/>
      <c r="OCI14" s="2" t="n"/>
      <c r="OCJ14" s="2" t="n"/>
      <c r="OCK14" s="2" t="n"/>
      <c r="OCL14" s="2" t="n"/>
      <c r="OCM14" s="2" t="n"/>
      <c r="OCN14" s="2" t="n"/>
      <c r="OCO14" s="2" t="n"/>
      <c r="OCP14" s="2" t="n"/>
      <c r="OCQ14" s="2" t="n"/>
      <c r="OCR14" s="2" t="n"/>
      <c r="OCS14" s="2" t="n"/>
      <c r="OCT14" s="2" t="n"/>
      <c r="OCU14" s="2" t="n"/>
      <c r="OCV14" s="2" t="n"/>
      <c r="OCW14" s="2" t="n"/>
      <c r="OCX14" s="2" t="n"/>
      <c r="OCY14" s="2" t="n"/>
      <c r="OCZ14" s="2" t="n"/>
      <c r="ODA14" s="2" t="n"/>
      <c r="ODB14" s="2" t="n"/>
      <c r="ODC14" s="2" t="n"/>
      <c r="ODD14" s="2" t="n"/>
      <c r="ODE14" s="2" t="n"/>
      <c r="ODF14" s="2" t="n"/>
      <c r="ODG14" s="2" t="n"/>
      <c r="ODH14" s="2" t="n"/>
      <c r="ODI14" s="2" t="n"/>
      <c r="ODJ14" s="2" t="n"/>
      <c r="ODK14" s="2" t="n"/>
      <c r="ODL14" s="2" t="n"/>
      <c r="ODM14" s="2" t="n"/>
      <c r="ODN14" s="2" t="n"/>
      <c r="ODO14" s="2" t="n"/>
      <c r="ODP14" s="2" t="n"/>
      <c r="ODQ14" s="2" t="n"/>
      <c r="ODR14" s="2" t="n"/>
      <c r="ODS14" s="2" t="n"/>
      <c r="ODT14" s="2" t="n"/>
      <c r="ODU14" s="2" t="n"/>
      <c r="ODV14" s="2" t="n"/>
      <c r="ODW14" s="2" t="n"/>
      <c r="ODX14" s="2" t="n"/>
      <c r="ODY14" s="2" t="n"/>
      <c r="ODZ14" s="2" t="n"/>
      <c r="OEA14" s="2" t="n"/>
      <c r="OEB14" s="2" t="n"/>
      <c r="OEC14" s="2" t="n"/>
      <c r="OED14" s="2" t="n"/>
      <c r="OEE14" s="2" t="n"/>
      <c r="OEF14" s="2" t="n"/>
      <c r="OEG14" s="2" t="n"/>
      <c r="OEH14" s="2" t="n"/>
      <c r="OEI14" s="2" t="n"/>
      <c r="OEJ14" s="2" t="n"/>
      <c r="OEK14" s="2" t="n"/>
      <c r="OEL14" s="2" t="n"/>
      <c r="OEM14" s="2" t="n"/>
      <c r="OEN14" s="2" t="n"/>
      <c r="OEO14" s="2" t="n"/>
      <c r="OEP14" s="2" t="n"/>
      <c r="OEQ14" s="2" t="n"/>
      <c r="OER14" s="2" t="n"/>
      <c r="OES14" s="2" t="n"/>
      <c r="OET14" s="2" t="n"/>
      <c r="OEU14" s="2" t="n"/>
      <c r="OEV14" s="2" t="n"/>
      <c r="OEW14" s="2" t="n"/>
      <c r="OEX14" s="2" t="n"/>
      <c r="OEY14" s="2" t="n"/>
      <c r="OEZ14" s="2" t="n"/>
      <c r="OFA14" s="2" t="n"/>
      <c r="OFB14" s="2" t="n"/>
      <c r="OFC14" s="2" t="n"/>
      <c r="OFD14" s="2" t="n"/>
      <c r="OFE14" s="2" t="n"/>
      <c r="OFF14" s="2" t="n"/>
      <c r="OFG14" s="2" t="n"/>
      <c r="OFH14" s="2" t="n"/>
      <c r="OFI14" s="2" t="n"/>
      <c r="OFJ14" s="2" t="n"/>
      <c r="OFK14" s="2" t="n"/>
      <c r="OFL14" s="2" t="n"/>
      <c r="OFM14" s="2" t="n"/>
      <c r="OFN14" s="2" t="n"/>
      <c r="OFO14" s="2" t="n"/>
      <c r="OFP14" s="2" t="n"/>
      <c r="OFQ14" s="2" t="n"/>
      <c r="OFR14" s="2" t="n"/>
      <c r="OFS14" s="2" t="n"/>
      <c r="OFT14" s="2" t="n"/>
      <c r="OFU14" s="2" t="n"/>
      <c r="OFV14" s="2" t="n"/>
      <c r="OFW14" s="2" t="n"/>
      <c r="OFX14" s="2" t="n"/>
      <c r="OFY14" s="2" t="n"/>
      <c r="OFZ14" s="2" t="n"/>
      <c r="OGA14" s="2" t="n"/>
      <c r="OGB14" s="2" t="n"/>
      <c r="OGC14" s="2" t="n"/>
      <c r="OGD14" s="2" t="n"/>
      <c r="OGE14" s="2" t="n"/>
      <c r="OGF14" s="2" t="n"/>
      <c r="OGG14" s="2" t="n"/>
      <c r="OGH14" s="2" t="n"/>
      <c r="OGI14" s="2" t="n"/>
      <c r="OGJ14" s="2" t="n"/>
      <c r="OGK14" s="2" t="n"/>
      <c r="OGL14" s="2" t="n"/>
      <c r="OGM14" s="2" t="n"/>
      <c r="OGN14" s="2" t="n"/>
      <c r="OGO14" s="2" t="n"/>
      <c r="OGP14" s="2" t="n"/>
      <c r="OGQ14" s="2" t="n"/>
      <c r="OGR14" s="2" t="n"/>
      <c r="OGS14" s="2" t="n"/>
      <c r="OGT14" s="2" t="n"/>
      <c r="OGU14" s="2" t="n"/>
      <c r="OGV14" s="2" t="n"/>
      <c r="OGW14" s="2" t="n"/>
      <c r="OGX14" s="2" t="n"/>
      <c r="OGY14" s="2" t="n"/>
      <c r="OGZ14" s="2" t="n"/>
      <c r="OHA14" s="2" t="n"/>
      <c r="OHB14" s="2" t="n"/>
      <c r="OHC14" s="2" t="n"/>
      <c r="OHD14" s="2" t="n"/>
      <c r="OHE14" s="2" t="n"/>
      <c r="OHF14" s="2" t="n"/>
      <c r="OHG14" s="2" t="n"/>
      <c r="OHH14" s="2" t="n"/>
      <c r="OHI14" s="2" t="n"/>
      <c r="OHJ14" s="2" t="n"/>
      <c r="OHK14" s="2" t="n"/>
      <c r="OHL14" s="2" t="n"/>
      <c r="OHM14" s="2" t="n"/>
      <c r="OHN14" s="2" t="n"/>
      <c r="OHO14" s="2" t="n"/>
      <c r="OHP14" s="2" t="n"/>
      <c r="OHQ14" s="2" t="n"/>
      <c r="OHR14" s="2" t="n"/>
      <c r="OHS14" s="2" t="n"/>
      <c r="OHT14" s="2" t="n"/>
      <c r="OHU14" s="2" t="n"/>
      <c r="OHV14" s="2" t="n"/>
      <c r="OHW14" s="2" t="n"/>
      <c r="OHX14" s="2" t="n"/>
      <c r="OHY14" s="2" t="n"/>
      <c r="OHZ14" s="2" t="n"/>
      <c r="OIA14" s="2" t="n"/>
      <c r="OIB14" s="2" t="n"/>
      <c r="OIC14" s="2" t="n"/>
      <c r="OID14" s="2" t="n"/>
      <c r="OIE14" s="2" t="n"/>
      <c r="OIF14" s="2" t="n"/>
      <c r="OIG14" s="2" t="n"/>
      <c r="OIH14" s="2" t="n"/>
      <c r="OII14" s="2" t="n"/>
      <c r="OIJ14" s="2" t="n"/>
      <c r="OIK14" s="2" t="n"/>
      <c r="OIL14" s="2" t="n"/>
      <c r="OIM14" s="2" t="n"/>
      <c r="OIN14" s="2" t="n"/>
      <c r="OIO14" s="2" t="n"/>
      <c r="OIP14" s="2" t="n"/>
      <c r="OIQ14" s="2" t="n"/>
      <c r="OIR14" s="2" t="n"/>
      <c r="OIS14" s="2" t="n"/>
      <c r="OIT14" s="2" t="n"/>
      <c r="OIU14" s="2" t="n"/>
      <c r="OIV14" s="2" t="n"/>
      <c r="OIW14" s="2" t="n"/>
      <c r="OIX14" s="2" t="n"/>
      <c r="OIY14" s="2" t="n"/>
      <c r="OIZ14" s="2" t="n"/>
      <c r="OJA14" s="2" t="n"/>
      <c r="OJB14" s="2" t="n"/>
      <c r="OJC14" s="2" t="n"/>
      <c r="OJD14" s="2" t="n"/>
      <c r="OJE14" s="2" t="n"/>
      <c r="OJF14" s="2" t="n"/>
      <c r="OJG14" s="2" t="n"/>
      <c r="OJH14" s="2" t="n"/>
      <c r="OJI14" s="2" t="n"/>
      <c r="OJJ14" s="2" t="n"/>
      <c r="OJK14" s="2" t="n"/>
      <c r="OJL14" s="2" t="n"/>
      <c r="OJM14" s="2" t="n"/>
      <c r="OJN14" s="2" t="n"/>
      <c r="OJO14" s="2" t="n"/>
      <c r="OJP14" s="2" t="n"/>
      <c r="OJQ14" s="2" t="n"/>
      <c r="OJR14" s="2" t="n"/>
      <c r="OJS14" s="2" t="n"/>
      <c r="OJT14" s="2" t="n"/>
      <c r="OJU14" s="2" t="n"/>
      <c r="OJV14" s="2" t="n"/>
      <c r="OJW14" s="2" t="n"/>
      <c r="OJX14" s="2" t="n"/>
      <c r="OJY14" s="2" t="n"/>
      <c r="OJZ14" s="2" t="n"/>
      <c r="OKA14" s="2" t="n"/>
      <c r="OKB14" s="2" t="n"/>
      <c r="OKC14" s="2" t="n"/>
      <c r="OKD14" s="2" t="n"/>
      <c r="OKE14" s="2" t="n"/>
      <c r="OKF14" s="2" t="n"/>
      <c r="OKG14" s="2" t="n"/>
      <c r="OKH14" s="2" t="n"/>
      <c r="OKI14" s="2" t="n"/>
      <c r="OKJ14" s="2" t="n"/>
      <c r="OKK14" s="2" t="n"/>
      <c r="OKL14" s="2" t="n"/>
      <c r="OKM14" s="2" t="n"/>
      <c r="OKN14" s="2" t="n"/>
      <c r="OKO14" s="2" t="n"/>
      <c r="OKP14" s="2" t="n"/>
      <c r="OKQ14" s="2" t="n"/>
      <c r="OKR14" s="2" t="n"/>
      <c r="OKS14" s="2" t="n"/>
      <c r="OKT14" s="2" t="n"/>
      <c r="OKU14" s="2" t="n"/>
      <c r="OKV14" s="2" t="n"/>
      <c r="OKW14" s="2" t="n"/>
      <c r="OKX14" s="2" t="n"/>
      <c r="OKY14" s="2" t="n"/>
      <c r="OKZ14" s="2" t="n"/>
      <c r="OLA14" s="2" t="n"/>
      <c r="OLB14" s="2" t="n"/>
      <c r="OLC14" s="2" t="n"/>
      <c r="OLD14" s="2" t="n"/>
      <c r="OLE14" s="2" t="n"/>
      <c r="OLF14" s="2" t="n"/>
      <c r="OLG14" s="2" t="n"/>
      <c r="OLH14" s="2" t="n"/>
      <c r="OLI14" s="2" t="n"/>
      <c r="OLJ14" s="2" t="n"/>
      <c r="OLK14" s="2" t="n"/>
      <c r="OLL14" s="2" t="n"/>
      <c r="OLM14" s="2" t="n"/>
      <c r="OLN14" s="2" t="n"/>
      <c r="OLO14" s="2" t="n"/>
      <c r="OLP14" s="2" t="n"/>
      <c r="OLQ14" s="2" t="n"/>
      <c r="OLR14" s="2" t="n"/>
      <c r="OLS14" s="2" t="n"/>
      <c r="OLT14" s="2" t="n"/>
      <c r="OLU14" s="2" t="n"/>
      <c r="OLV14" s="2" t="n"/>
      <c r="OLW14" s="2" t="n"/>
      <c r="OLX14" s="2" t="n"/>
      <c r="OLY14" s="2" t="n"/>
      <c r="OLZ14" s="2" t="n"/>
      <c r="OMA14" s="2" t="n"/>
      <c r="OMB14" s="2" t="n"/>
      <c r="OMC14" s="2" t="n"/>
      <c r="OMD14" s="2" t="n"/>
      <c r="OME14" s="2" t="n"/>
      <c r="OMF14" s="2" t="n"/>
      <c r="OMG14" s="2" t="n"/>
      <c r="OMH14" s="2" t="n"/>
      <c r="OMI14" s="2" t="n"/>
      <c r="OMJ14" s="2" t="n"/>
      <c r="OMK14" s="2" t="n"/>
      <c r="OML14" s="2" t="n"/>
      <c r="OMM14" s="2" t="n"/>
      <c r="OMN14" s="2" t="n"/>
      <c r="OMO14" s="2" t="n"/>
      <c r="OMP14" s="2" t="n"/>
      <c r="OMQ14" s="2" t="n"/>
      <c r="OMR14" s="2" t="n"/>
      <c r="OMS14" s="2" t="n"/>
      <c r="OMT14" s="2" t="n"/>
      <c r="OMU14" s="2" t="n"/>
      <c r="OMV14" s="2" t="n"/>
      <c r="OMW14" s="2" t="n"/>
      <c r="OMX14" s="2" t="n"/>
      <c r="OMY14" s="2" t="n"/>
      <c r="OMZ14" s="2" t="n"/>
      <c r="ONA14" s="2" t="n"/>
      <c r="ONB14" s="2" t="n"/>
      <c r="ONC14" s="2" t="n"/>
      <c r="OND14" s="2" t="n"/>
      <c r="ONE14" s="2" t="n"/>
      <c r="ONF14" s="2" t="n"/>
      <c r="ONG14" s="2" t="n"/>
      <c r="ONH14" s="2" t="n"/>
      <c r="ONI14" s="2" t="n"/>
      <c r="ONJ14" s="2" t="n"/>
      <c r="ONK14" s="2" t="n"/>
      <c r="ONL14" s="2" t="n"/>
      <c r="ONM14" s="2" t="n"/>
      <c r="ONN14" s="2" t="n"/>
      <c r="ONO14" s="2" t="n"/>
      <c r="ONP14" s="2" t="n"/>
      <c r="ONQ14" s="2" t="n"/>
      <c r="ONR14" s="2" t="n"/>
      <c r="ONS14" s="2" t="n"/>
      <c r="ONT14" s="2" t="n"/>
      <c r="ONU14" s="2" t="n"/>
      <c r="ONV14" s="2" t="n"/>
      <c r="ONW14" s="2" t="n"/>
      <c r="ONX14" s="2" t="n"/>
      <c r="ONY14" s="2" t="n"/>
      <c r="ONZ14" s="2" t="n"/>
      <c r="OOA14" s="2" t="n"/>
      <c r="OOB14" s="2" t="n"/>
      <c r="OOC14" s="2" t="n"/>
      <c r="OOD14" s="2" t="n"/>
      <c r="OOE14" s="2" t="n"/>
      <c r="OOF14" s="2" t="n"/>
      <c r="OOG14" s="2" t="n"/>
      <c r="OOH14" s="2" t="n"/>
      <c r="OOI14" s="2" t="n"/>
      <c r="OOJ14" s="2" t="n"/>
      <c r="OOK14" s="2" t="n"/>
      <c r="OOL14" s="2" t="n"/>
      <c r="OOM14" s="2" t="n"/>
      <c r="OON14" s="2" t="n"/>
      <c r="OOO14" s="2" t="n"/>
      <c r="OOP14" s="2" t="n"/>
      <c r="OOQ14" s="2" t="n"/>
      <c r="OOR14" s="2" t="n"/>
      <c r="OOS14" s="2" t="n"/>
      <c r="OOT14" s="2" t="n"/>
      <c r="OOU14" s="2" t="n"/>
      <c r="OOV14" s="2" t="n"/>
      <c r="OOW14" s="2" t="n"/>
      <c r="OOX14" s="2" t="n"/>
      <c r="OOY14" s="2" t="n"/>
      <c r="OOZ14" s="2" t="n"/>
      <c r="OPA14" s="2" t="n"/>
      <c r="OPB14" s="2" t="n"/>
      <c r="OPC14" s="2" t="n"/>
      <c r="OPD14" s="2" t="n"/>
      <c r="OPE14" s="2" t="n"/>
      <c r="OPF14" s="2" t="n"/>
      <c r="OPG14" s="2" t="n"/>
      <c r="OPH14" s="2" t="n"/>
      <c r="OPI14" s="2" t="n"/>
      <c r="OPJ14" s="2" t="n"/>
      <c r="OPK14" s="2" t="n"/>
      <c r="OPL14" s="2" t="n"/>
      <c r="OPM14" s="2" t="n"/>
      <c r="OPN14" s="2" t="n"/>
      <c r="OPO14" s="2" t="n"/>
      <c r="OPP14" s="2" t="n"/>
      <c r="OPQ14" s="2" t="n"/>
      <c r="OPR14" s="2" t="n"/>
      <c r="OPS14" s="2" t="n"/>
      <c r="OPT14" s="2" t="n"/>
      <c r="OPU14" s="2" t="n"/>
      <c r="OPV14" s="2" t="n"/>
      <c r="OPW14" s="2" t="n"/>
      <c r="OPX14" s="2" t="n"/>
      <c r="OPY14" s="2" t="n"/>
      <c r="OPZ14" s="2" t="n"/>
      <c r="OQA14" s="2" t="n"/>
      <c r="OQB14" s="2" t="n"/>
      <c r="OQC14" s="2" t="n"/>
      <c r="OQD14" s="2" t="n"/>
      <c r="OQE14" s="2" t="n"/>
      <c r="OQF14" s="2" t="n"/>
      <c r="OQG14" s="2" t="n"/>
      <c r="OQH14" s="2" t="n"/>
      <c r="OQI14" s="2" t="n"/>
      <c r="OQJ14" s="2" t="n"/>
      <c r="OQK14" s="2" t="n"/>
      <c r="OQL14" s="2" t="n"/>
      <c r="OQM14" s="2" t="n"/>
      <c r="OQN14" s="2" t="n"/>
      <c r="OQO14" s="2" t="n"/>
      <c r="OQP14" s="2" t="n"/>
      <c r="OQQ14" s="2" t="n"/>
      <c r="OQR14" s="2" t="n"/>
      <c r="OQS14" s="2" t="n"/>
      <c r="OQT14" s="2" t="n"/>
      <c r="OQU14" s="2" t="n"/>
      <c r="OQV14" s="2" t="n"/>
      <c r="OQW14" s="2" t="n"/>
      <c r="OQX14" s="2" t="n"/>
      <c r="OQY14" s="2" t="n"/>
      <c r="OQZ14" s="2" t="n"/>
      <c r="ORA14" s="2" t="n"/>
      <c r="ORB14" s="2" t="n"/>
      <c r="ORC14" s="2" t="n"/>
      <c r="ORD14" s="2" t="n"/>
      <c r="ORE14" s="2" t="n"/>
      <c r="ORF14" s="2" t="n"/>
      <c r="ORG14" s="2" t="n"/>
      <c r="ORH14" s="2" t="n"/>
      <c r="ORI14" s="2" t="n"/>
      <c r="ORJ14" s="2" t="n"/>
      <c r="ORK14" s="2" t="n"/>
      <c r="ORL14" s="2" t="n"/>
      <c r="ORM14" s="2" t="n"/>
      <c r="ORN14" s="2" t="n"/>
      <c r="ORO14" s="2" t="n"/>
      <c r="ORP14" s="2" t="n"/>
      <c r="ORQ14" s="2" t="n"/>
      <c r="ORR14" s="2" t="n"/>
      <c r="ORS14" s="2" t="n"/>
      <c r="ORT14" s="2" t="n"/>
      <c r="ORU14" s="2" t="n"/>
      <c r="ORV14" s="2" t="n"/>
      <c r="ORW14" s="2" t="n"/>
      <c r="ORX14" s="2" t="n"/>
      <c r="ORY14" s="2" t="n"/>
      <c r="ORZ14" s="2" t="n"/>
      <c r="OSA14" s="2" t="n"/>
      <c r="OSB14" s="2" t="n"/>
      <c r="OSC14" s="2" t="n"/>
      <c r="OSD14" s="2" t="n"/>
      <c r="OSE14" s="2" t="n"/>
      <c r="OSF14" s="2" t="n"/>
      <c r="OSG14" s="2" t="n"/>
      <c r="OSH14" s="2" t="n"/>
      <c r="OSI14" s="2" t="n"/>
      <c r="OSJ14" s="2" t="n"/>
      <c r="OSK14" s="2" t="n"/>
      <c r="OSL14" s="2" t="n"/>
      <c r="OSM14" s="2" t="n"/>
      <c r="OSN14" s="2" t="n"/>
      <c r="OSO14" s="2" t="n"/>
      <c r="OSP14" s="2" t="n"/>
      <c r="OSQ14" s="2" t="n"/>
      <c r="OSR14" s="2" t="n"/>
      <c r="OSS14" s="2" t="n"/>
      <c r="OST14" s="2" t="n"/>
      <c r="OSU14" s="2" t="n"/>
      <c r="OSV14" s="2" t="n"/>
      <c r="OSW14" s="2" t="n"/>
      <c r="OSX14" s="2" t="n"/>
      <c r="OSY14" s="2" t="n"/>
      <c r="OSZ14" s="2" t="n"/>
      <c r="OTA14" s="2" t="n"/>
      <c r="OTB14" s="2" t="n"/>
      <c r="OTC14" s="2" t="n"/>
      <c r="OTD14" s="2" t="n"/>
      <c r="OTE14" s="2" t="n"/>
      <c r="OTF14" s="2" t="n"/>
      <c r="OTG14" s="2" t="n"/>
      <c r="OTH14" s="2" t="n"/>
      <c r="OTI14" s="2" t="n"/>
      <c r="OTJ14" s="2" t="n"/>
      <c r="OTK14" s="2" t="n"/>
      <c r="OTL14" s="2" t="n"/>
      <c r="OTM14" s="2" t="n"/>
      <c r="OTN14" s="2" t="n"/>
      <c r="OTO14" s="2" t="n"/>
      <c r="OTP14" s="2" t="n"/>
      <c r="OTQ14" s="2" t="n"/>
      <c r="OTR14" s="2" t="n"/>
      <c r="OTS14" s="2" t="n"/>
      <c r="OTT14" s="2" t="n"/>
      <c r="OTU14" s="2" t="n"/>
      <c r="OTV14" s="2" t="n"/>
      <c r="OTW14" s="2" t="n"/>
      <c r="OTX14" s="2" t="n"/>
      <c r="OTY14" s="2" t="n"/>
      <c r="OTZ14" s="2" t="n"/>
      <c r="OUA14" s="2" t="n"/>
      <c r="OUB14" s="2" t="n"/>
      <c r="OUC14" s="2" t="n"/>
      <c r="OUD14" s="2" t="n"/>
      <c r="OUE14" s="2" t="n"/>
      <c r="OUF14" s="2" t="n"/>
      <c r="OUG14" s="2" t="n"/>
      <c r="OUH14" s="2" t="n"/>
      <c r="OUI14" s="2" t="n"/>
      <c r="OUJ14" s="2" t="n"/>
      <c r="OUK14" s="2" t="n"/>
      <c r="OUL14" s="2" t="n"/>
      <c r="OUM14" s="2" t="n"/>
      <c r="OUN14" s="2" t="n"/>
      <c r="OUO14" s="2" t="n"/>
      <c r="OUP14" s="2" t="n"/>
      <c r="OUQ14" s="2" t="n"/>
      <c r="OUR14" s="2" t="n"/>
      <c r="OUS14" s="2" t="n"/>
      <c r="OUT14" s="2" t="n"/>
      <c r="OUU14" s="2" t="n"/>
      <c r="OUV14" s="2" t="n"/>
      <c r="OUW14" s="2" t="n"/>
      <c r="OUX14" s="2" t="n"/>
      <c r="OUY14" s="2" t="n"/>
      <c r="OUZ14" s="2" t="n"/>
      <c r="OVA14" s="2" t="n"/>
      <c r="OVB14" s="2" t="n"/>
      <c r="OVC14" s="2" t="n"/>
      <c r="OVD14" s="2" t="n"/>
      <c r="OVE14" s="2" t="n"/>
      <c r="OVF14" s="2" t="n"/>
      <c r="OVG14" s="2" t="n"/>
      <c r="OVH14" s="2" t="n"/>
      <c r="OVI14" s="2" t="n"/>
      <c r="OVJ14" s="2" t="n"/>
      <c r="OVK14" s="2" t="n"/>
      <c r="OVL14" s="2" t="n"/>
      <c r="OVM14" s="2" t="n"/>
      <c r="OVN14" s="2" t="n"/>
      <c r="OVO14" s="2" t="n"/>
      <c r="OVP14" s="2" t="n"/>
      <c r="OVQ14" s="2" t="n"/>
      <c r="OVR14" s="2" t="n"/>
      <c r="OVS14" s="2" t="n"/>
      <c r="OVT14" s="2" t="n"/>
      <c r="OVU14" s="2" t="n"/>
      <c r="OVV14" s="2" t="n"/>
      <c r="OVW14" s="2" t="n"/>
      <c r="OVX14" s="2" t="n"/>
      <c r="OVY14" s="2" t="n"/>
      <c r="OVZ14" s="2" t="n"/>
      <c r="OWA14" s="2" t="n"/>
      <c r="OWB14" s="2" t="n"/>
      <c r="OWC14" s="2" t="n"/>
      <c r="OWD14" s="2" t="n"/>
      <c r="OWE14" s="2" t="n"/>
      <c r="OWF14" s="2" t="n"/>
      <c r="OWG14" s="2" t="n"/>
      <c r="OWH14" s="2" t="n"/>
      <c r="OWI14" s="2" t="n"/>
      <c r="OWJ14" s="2" t="n"/>
      <c r="OWK14" s="2" t="n"/>
      <c r="OWL14" s="2" t="n"/>
      <c r="OWM14" s="2" t="n"/>
      <c r="OWN14" s="2" t="n"/>
      <c r="OWO14" s="2" t="n"/>
      <c r="OWP14" s="2" t="n"/>
      <c r="OWQ14" s="2" t="n"/>
      <c r="OWR14" s="2" t="n"/>
      <c r="OWS14" s="2" t="n"/>
      <c r="OWT14" s="2" t="n"/>
      <c r="OWU14" s="2" t="n"/>
      <c r="OWV14" s="2" t="n"/>
      <c r="OWW14" s="2" t="n"/>
      <c r="OWX14" s="2" t="n"/>
      <c r="OWY14" s="2" t="n"/>
      <c r="OWZ14" s="2" t="n"/>
      <c r="OXA14" s="2" t="n"/>
      <c r="OXB14" s="2" t="n"/>
      <c r="OXC14" s="2" t="n"/>
      <c r="OXD14" s="2" t="n"/>
      <c r="OXE14" s="2" t="n"/>
      <c r="OXF14" s="2" t="n"/>
      <c r="OXG14" s="2" t="n"/>
      <c r="OXH14" s="2" t="n"/>
      <c r="OXI14" s="2" t="n"/>
      <c r="OXJ14" s="2" t="n"/>
      <c r="OXK14" s="2" t="n"/>
      <c r="OXL14" s="2" t="n"/>
      <c r="OXM14" s="2" t="n"/>
      <c r="OXN14" s="2" t="n"/>
      <c r="OXO14" s="2" t="n"/>
      <c r="OXP14" s="2" t="n"/>
      <c r="OXQ14" s="2" t="n"/>
      <c r="OXR14" s="2" t="n"/>
      <c r="OXS14" s="2" t="n"/>
      <c r="OXT14" s="2" t="n"/>
      <c r="OXU14" s="2" t="n"/>
      <c r="OXV14" s="2" t="n"/>
      <c r="OXW14" s="2" t="n"/>
      <c r="OXX14" s="2" t="n"/>
      <c r="OXY14" s="2" t="n"/>
      <c r="OXZ14" s="2" t="n"/>
      <c r="OYA14" s="2" t="n"/>
      <c r="OYB14" s="2" t="n"/>
      <c r="OYC14" s="2" t="n"/>
      <c r="OYD14" s="2" t="n"/>
      <c r="OYE14" s="2" t="n"/>
      <c r="OYF14" s="2" t="n"/>
      <c r="OYG14" s="2" t="n"/>
      <c r="OYH14" s="2" t="n"/>
      <c r="OYI14" s="2" t="n"/>
      <c r="OYJ14" s="2" t="n"/>
      <c r="OYK14" s="2" t="n"/>
      <c r="OYL14" s="2" t="n"/>
      <c r="OYM14" s="2" t="n"/>
      <c r="OYN14" s="2" t="n"/>
      <c r="OYO14" s="2" t="n"/>
      <c r="OYP14" s="2" t="n"/>
      <c r="OYQ14" s="2" t="n"/>
      <c r="OYR14" s="2" t="n"/>
      <c r="OYS14" s="2" t="n"/>
      <c r="OYT14" s="2" t="n"/>
      <c r="OYU14" s="2" t="n"/>
      <c r="OYV14" s="2" t="n"/>
      <c r="OYW14" s="2" t="n"/>
      <c r="OYX14" s="2" t="n"/>
      <c r="OYY14" s="2" t="n"/>
      <c r="OYZ14" s="2" t="n"/>
      <c r="OZA14" s="2" t="n"/>
      <c r="OZB14" s="2" t="n"/>
      <c r="OZC14" s="2" t="n"/>
      <c r="OZD14" s="2" t="n"/>
      <c r="OZE14" s="2" t="n"/>
      <c r="OZF14" s="2" t="n"/>
      <c r="OZG14" s="2" t="n"/>
      <c r="OZH14" s="2" t="n"/>
      <c r="OZI14" s="2" t="n"/>
      <c r="OZJ14" s="2" t="n"/>
      <c r="OZK14" s="2" t="n"/>
      <c r="OZL14" s="2" t="n"/>
      <c r="OZM14" s="2" t="n"/>
      <c r="OZN14" s="2" t="n"/>
      <c r="OZO14" s="2" t="n"/>
      <c r="OZP14" s="2" t="n"/>
      <c r="OZQ14" s="2" t="n"/>
      <c r="OZR14" s="2" t="n"/>
      <c r="OZS14" s="2" t="n"/>
      <c r="OZT14" s="2" t="n"/>
      <c r="OZU14" s="2" t="n"/>
      <c r="OZV14" s="2" t="n"/>
      <c r="OZW14" s="2" t="n"/>
      <c r="OZX14" s="2" t="n"/>
      <c r="OZY14" s="2" t="n"/>
      <c r="OZZ14" s="2" t="n"/>
      <c r="PAA14" s="2" t="n"/>
      <c r="PAB14" s="2" t="n"/>
      <c r="PAC14" s="2" t="n"/>
      <c r="PAD14" s="2" t="n"/>
      <c r="PAE14" s="2" t="n"/>
      <c r="PAF14" s="2" t="n"/>
      <c r="PAG14" s="2" t="n"/>
      <c r="PAH14" s="2" t="n"/>
      <c r="PAI14" s="2" t="n"/>
      <c r="PAJ14" s="2" t="n"/>
      <c r="PAK14" s="2" t="n"/>
      <c r="PAL14" s="2" t="n"/>
      <c r="PAM14" s="2" t="n"/>
      <c r="PAN14" s="2" t="n"/>
      <c r="PAO14" s="2" t="n"/>
      <c r="PAP14" s="2" t="n"/>
      <c r="PAQ14" s="2" t="n"/>
      <c r="PAR14" s="2" t="n"/>
      <c r="PAS14" s="2" t="n"/>
      <c r="PAT14" s="2" t="n"/>
      <c r="PAU14" s="2" t="n"/>
      <c r="PAV14" s="2" t="n"/>
      <c r="PAW14" s="2" t="n"/>
      <c r="PAX14" s="2" t="n"/>
      <c r="PAY14" s="2" t="n"/>
      <c r="PAZ14" s="2" t="n"/>
      <c r="PBA14" s="2" t="n"/>
      <c r="PBB14" s="2" t="n"/>
      <c r="PBC14" s="2" t="n"/>
      <c r="PBD14" s="2" t="n"/>
      <c r="PBE14" s="2" t="n"/>
      <c r="PBF14" s="2" t="n"/>
      <c r="PBG14" s="2" t="n"/>
      <c r="PBH14" s="2" t="n"/>
      <c r="PBI14" s="2" t="n"/>
      <c r="PBJ14" s="2" t="n"/>
      <c r="PBK14" s="2" t="n"/>
      <c r="PBL14" s="2" t="n"/>
      <c r="PBM14" s="2" t="n"/>
      <c r="PBN14" s="2" t="n"/>
      <c r="PBO14" s="2" t="n"/>
      <c r="PBP14" s="2" t="n"/>
      <c r="PBQ14" s="2" t="n"/>
      <c r="PBR14" s="2" t="n"/>
      <c r="PBS14" s="2" t="n"/>
      <c r="PBT14" s="2" t="n"/>
      <c r="PBU14" s="2" t="n"/>
      <c r="PBV14" s="2" t="n"/>
      <c r="PBW14" s="2" t="n"/>
      <c r="PBX14" s="2" t="n"/>
      <c r="PBY14" s="2" t="n"/>
      <c r="PBZ14" s="2" t="n"/>
      <c r="PCA14" s="2" t="n"/>
      <c r="PCB14" s="2" t="n"/>
      <c r="PCC14" s="2" t="n"/>
      <c r="PCD14" s="2" t="n"/>
      <c r="PCE14" s="2" t="n"/>
      <c r="PCF14" s="2" t="n"/>
      <c r="PCG14" s="2" t="n"/>
      <c r="PCH14" s="2" t="n"/>
      <c r="PCI14" s="2" t="n"/>
      <c r="PCJ14" s="2" t="n"/>
      <c r="PCK14" s="2" t="n"/>
      <c r="PCL14" s="2" t="n"/>
      <c r="PCM14" s="2" t="n"/>
      <c r="PCN14" s="2" t="n"/>
      <c r="PCO14" s="2" t="n"/>
      <c r="PCP14" s="2" t="n"/>
      <c r="PCQ14" s="2" t="n"/>
      <c r="PCR14" s="2" t="n"/>
      <c r="PCS14" s="2" t="n"/>
      <c r="PCT14" s="2" t="n"/>
      <c r="PCU14" s="2" t="n"/>
      <c r="PCV14" s="2" t="n"/>
      <c r="PCW14" s="2" t="n"/>
      <c r="PCX14" s="2" t="n"/>
      <c r="PCY14" s="2" t="n"/>
      <c r="PCZ14" s="2" t="n"/>
      <c r="PDA14" s="2" t="n"/>
      <c r="PDB14" s="2" t="n"/>
      <c r="PDC14" s="2" t="n"/>
      <c r="PDD14" s="2" t="n"/>
      <c r="PDE14" s="2" t="n"/>
      <c r="PDF14" s="2" t="n"/>
      <c r="PDG14" s="2" t="n"/>
      <c r="PDH14" s="2" t="n"/>
      <c r="PDI14" s="2" t="n"/>
      <c r="PDJ14" s="2" t="n"/>
      <c r="PDK14" s="2" t="n"/>
      <c r="PDL14" s="2" t="n"/>
      <c r="PDM14" s="2" t="n"/>
      <c r="PDN14" s="2" t="n"/>
      <c r="PDO14" s="2" t="n"/>
      <c r="PDP14" s="2" t="n"/>
      <c r="PDQ14" s="2" t="n"/>
      <c r="PDR14" s="2" t="n"/>
      <c r="PDS14" s="2" t="n"/>
      <c r="PDT14" s="2" t="n"/>
      <c r="PDU14" s="2" t="n"/>
      <c r="PDV14" s="2" t="n"/>
      <c r="PDW14" s="2" t="n"/>
      <c r="PDX14" s="2" t="n"/>
      <c r="PDY14" s="2" t="n"/>
      <c r="PDZ14" s="2" t="n"/>
      <c r="PEA14" s="2" t="n"/>
      <c r="PEB14" s="2" t="n"/>
      <c r="PEC14" s="2" t="n"/>
      <c r="PED14" s="2" t="n"/>
      <c r="PEE14" s="2" t="n"/>
      <c r="PEF14" s="2" t="n"/>
      <c r="PEG14" s="2" t="n"/>
      <c r="PEH14" s="2" t="n"/>
      <c r="PEI14" s="2" t="n"/>
      <c r="PEJ14" s="2" t="n"/>
      <c r="PEK14" s="2" t="n"/>
      <c r="PEL14" s="2" t="n"/>
      <c r="PEM14" s="2" t="n"/>
      <c r="PEN14" s="2" t="n"/>
      <c r="PEO14" s="2" t="n"/>
      <c r="PEP14" s="2" t="n"/>
      <c r="PEQ14" s="2" t="n"/>
      <c r="PER14" s="2" t="n"/>
      <c r="PES14" s="2" t="n"/>
      <c r="PET14" s="2" t="n"/>
      <c r="PEU14" s="2" t="n"/>
      <c r="PEV14" s="2" t="n"/>
      <c r="PEW14" s="2" t="n"/>
      <c r="PEX14" s="2" t="n"/>
      <c r="PEY14" s="2" t="n"/>
      <c r="PEZ14" s="2" t="n"/>
      <c r="PFA14" s="2" t="n"/>
      <c r="PFB14" s="2" t="n"/>
      <c r="PFC14" s="2" t="n"/>
      <c r="PFD14" s="2" t="n"/>
      <c r="PFE14" s="2" t="n"/>
      <c r="PFF14" s="2" t="n"/>
      <c r="PFG14" s="2" t="n"/>
      <c r="PFH14" s="2" t="n"/>
      <c r="PFI14" s="2" t="n"/>
      <c r="PFJ14" s="2" t="n"/>
      <c r="PFK14" s="2" t="n"/>
      <c r="PFL14" s="2" t="n"/>
      <c r="PFM14" s="2" t="n"/>
      <c r="PFN14" s="2" t="n"/>
      <c r="PFO14" s="2" t="n"/>
      <c r="PFP14" s="2" t="n"/>
      <c r="PFQ14" s="2" t="n"/>
      <c r="PFR14" s="2" t="n"/>
      <c r="PFS14" s="2" t="n"/>
      <c r="PFT14" s="2" t="n"/>
      <c r="PFU14" s="2" t="n"/>
      <c r="PFV14" s="2" t="n"/>
      <c r="PFW14" s="2" t="n"/>
      <c r="PFX14" s="2" t="n"/>
      <c r="PFY14" s="2" t="n"/>
      <c r="PFZ14" s="2" t="n"/>
      <c r="PGA14" s="2" t="n"/>
      <c r="PGB14" s="2" t="n"/>
      <c r="PGC14" s="2" t="n"/>
      <c r="PGD14" s="2" t="n"/>
      <c r="PGE14" s="2" t="n"/>
      <c r="PGF14" s="2" t="n"/>
      <c r="PGG14" s="2" t="n"/>
      <c r="PGH14" s="2" t="n"/>
      <c r="PGI14" s="2" t="n"/>
      <c r="PGJ14" s="2" t="n"/>
      <c r="PGK14" s="2" t="n"/>
      <c r="PGL14" s="2" t="n"/>
      <c r="PGM14" s="2" t="n"/>
      <c r="PGN14" s="2" t="n"/>
      <c r="PGO14" s="2" t="n"/>
      <c r="PGP14" s="2" t="n"/>
      <c r="PGQ14" s="2" t="n"/>
      <c r="PGR14" s="2" t="n"/>
      <c r="PGS14" s="2" t="n"/>
      <c r="PGT14" s="2" t="n"/>
      <c r="PGU14" s="2" t="n"/>
      <c r="PGV14" s="2" t="n"/>
      <c r="PGW14" s="2" t="n"/>
      <c r="PGX14" s="2" t="n"/>
      <c r="PGY14" s="2" t="n"/>
      <c r="PGZ14" s="2" t="n"/>
      <c r="PHA14" s="2" t="n"/>
      <c r="PHB14" s="2" t="n"/>
      <c r="PHC14" s="2" t="n"/>
      <c r="PHD14" s="2" t="n"/>
      <c r="PHE14" s="2" t="n"/>
      <c r="PHF14" s="2" t="n"/>
      <c r="PHG14" s="2" t="n"/>
      <c r="PHH14" s="2" t="n"/>
      <c r="PHI14" s="2" t="n"/>
      <c r="PHJ14" s="2" t="n"/>
      <c r="PHK14" s="2" t="n"/>
      <c r="PHL14" s="2" t="n"/>
      <c r="PHM14" s="2" t="n"/>
      <c r="PHN14" s="2" t="n"/>
      <c r="PHO14" s="2" t="n"/>
      <c r="PHP14" s="2" t="n"/>
      <c r="PHQ14" s="2" t="n"/>
      <c r="PHR14" s="2" t="n"/>
      <c r="PHS14" s="2" t="n"/>
      <c r="PHT14" s="2" t="n"/>
      <c r="PHU14" s="2" t="n"/>
      <c r="PHV14" s="2" t="n"/>
      <c r="PHW14" s="2" t="n"/>
      <c r="PHX14" s="2" t="n"/>
      <c r="PHY14" s="2" t="n"/>
      <c r="PHZ14" s="2" t="n"/>
      <c r="PIA14" s="2" t="n"/>
      <c r="PIB14" s="2" t="n"/>
      <c r="PIC14" s="2" t="n"/>
      <c r="PID14" s="2" t="n"/>
      <c r="PIE14" s="2" t="n"/>
      <c r="PIF14" s="2" t="n"/>
      <c r="PIG14" s="2" t="n"/>
      <c r="PIH14" s="2" t="n"/>
      <c r="PII14" s="2" t="n"/>
      <c r="PIJ14" s="2" t="n"/>
      <c r="PIK14" s="2" t="n"/>
      <c r="PIL14" s="2" t="n"/>
      <c r="PIM14" s="2" t="n"/>
      <c r="PIN14" s="2" t="n"/>
      <c r="PIO14" s="2" t="n"/>
      <c r="PIP14" s="2" t="n"/>
      <c r="PIQ14" s="2" t="n"/>
      <c r="PIR14" s="2" t="n"/>
      <c r="PIS14" s="2" t="n"/>
      <c r="PIT14" s="2" t="n"/>
      <c r="PIU14" s="2" t="n"/>
      <c r="PIV14" s="2" t="n"/>
      <c r="PIW14" s="2" t="n"/>
      <c r="PIX14" s="2" t="n"/>
      <c r="PIY14" s="2" t="n"/>
      <c r="PIZ14" s="2" t="n"/>
      <c r="PJA14" s="2" t="n"/>
      <c r="PJB14" s="2" t="n"/>
      <c r="PJC14" s="2" t="n"/>
      <c r="PJD14" s="2" t="n"/>
      <c r="PJE14" s="2" t="n"/>
      <c r="PJF14" s="2" t="n"/>
      <c r="PJG14" s="2" t="n"/>
      <c r="PJH14" s="2" t="n"/>
      <c r="PJI14" s="2" t="n"/>
      <c r="PJJ14" s="2" t="n"/>
      <c r="PJK14" s="2" t="n"/>
      <c r="PJL14" s="2" t="n"/>
      <c r="PJM14" s="2" t="n"/>
      <c r="PJN14" s="2" t="n"/>
      <c r="PJO14" s="2" t="n"/>
      <c r="PJP14" s="2" t="n"/>
      <c r="PJQ14" s="2" t="n"/>
      <c r="PJR14" s="2" t="n"/>
      <c r="PJS14" s="2" t="n"/>
      <c r="PJT14" s="2" t="n"/>
      <c r="PJU14" s="2" t="n"/>
      <c r="PJV14" s="2" t="n"/>
      <c r="PJW14" s="2" t="n"/>
      <c r="PJX14" s="2" t="n"/>
      <c r="PJY14" s="2" t="n"/>
      <c r="PJZ14" s="2" t="n"/>
      <c r="PKA14" s="2" t="n"/>
      <c r="PKB14" s="2" t="n"/>
      <c r="PKC14" s="2" t="n"/>
      <c r="PKD14" s="2" t="n"/>
      <c r="PKE14" s="2" t="n"/>
      <c r="PKF14" s="2" t="n"/>
      <c r="PKG14" s="2" t="n"/>
      <c r="PKH14" s="2" t="n"/>
      <c r="PKI14" s="2" t="n"/>
      <c r="PKJ14" s="2" t="n"/>
      <c r="PKK14" s="2" t="n"/>
      <c r="PKL14" s="2" t="n"/>
      <c r="PKM14" s="2" t="n"/>
      <c r="PKN14" s="2" t="n"/>
      <c r="PKO14" s="2" t="n"/>
      <c r="PKP14" s="2" t="n"/>
      <c r="PKQ14" s="2" t="n"/>
      <c r="PKR14" s="2" t="n"/>
      <c r="PKS14" s="2" t="n"/>
      <c r="PKT14" s="2" t="n"/>
      <c r="PKU14" s="2" t="n"/>
      <c r="PKV14" s="2" t="n"/>
      <c r="PKW14" s="2" t="n"/>
      <c r="PKX14" s="2" t="n"/>
      <c r="PKY14" s="2" t="n"/>
      <c r="PKZ14" s="2" t="n"/>
      <c r="PLA14" s="2" t="n"/>
      <c r="PLB14" s="2" t="n"/>
      <c r="PLC14" s="2" t="n"/>
      <c r="PLD14" s="2" t="n"/>
      <c r="PLE14" s="2" t="n"/>
      <c r="PLF14" s="2" t="n"/>
      <c r="PLG14" s="2" t="n"/>
      <c r="PLH14" s="2" t="n"/>
      <c r="PLI14" s="2" t="n"/>
      <c r="PLJ14" s="2" t="n"/>
      <c r="PLK14" s="2" t="n"/>
      <c r="PLL14" s="2" t="n"/>
      <c r="PLM14" s="2" t="n"/>
      <c r="PLN14" s="2" t="n"/>
      <c r="PLO14" s="2" t="n"/>
      <c r="PLP14" s="2" t="n"/>
      <c r="PLQ14" s="2" t="n"/>
      <c r="PLR14" s="2" t="n"/>
      <c r="PLS14" s="2" t="n"/>
      <c r="PLT14" s="2" t="n"/>
      <c r="PLU14" s="2" t="n"/>
      <c r="PLV14" s="2" t="n"/>
      <c r="PLW14" s="2" t="n"/>
      <c r="PLX14" s="2" t="n"/>
      <c r="PLY14" s="2" t="n"/>
      <c r="PLZ14" s="2" t="n"/>
      <c r="PMA14" s="2" t="n"/>
      <c r="PMB14" s="2" t="n"/>
      <c r="PMC14" s="2" t="n"/>
      <c r="PMD14" s="2" t="n"/>
      <c r="PME14" s="2" t="n"/>
      <c r="PMF14" s="2" t="n"/>
      <c r="PMG14" s="2" t="n"/>
      <c r="PMH14" s="2" t="n"/>
      <c r="PMI14" s="2" t="n"/>
      <c r="PMJ14" s="2" t="n"/>
      <c r="PMK14" s="2" t="n"/>
      <c r="PML14" s="2" t="n"/>
      <c r="PMM14" s="2" t="n"/>
      <c r="PMN14" s="2" t="n"/>
      <c r="PMO14" s="2" t="n"/>
      <c r="PMP14" s="2" t="n"/>
      <c r="PMQ14" s="2" t="n"/>
      <c r="PMR14" s="2" t="n"/>
      <c r="PMS14" s="2" t="n"/>
      <c r="PMT14" s="2" t="n"/>
      <c r="PMU14" s="2" t="n"/>
      <c r="PMV14" s="2" t="n"/>
      <c r="PMW14" s="2" t="n"/>
      <c r="PMX14" s="2" t="n"/>
      <c r="PMY14" s="2" t="n"/>
      <c r="PMZ14" s="2" t="n"/>
      <c r="PNA14" s="2" t="n"/>
      <c r="PNB14" s="2" t="n"/>
      <c r="PNC14" s="2" t="n"/>
      <c r="PND14" s="2" t="n"/>
      <c r="PNE14" s="2" t="n"/>
      <c r="PNF14" s="2" t="n"/>
      <c r="PNG14" s="2" t="n"/>
      <c r="PNH14" s="2" t="n"/>
      <c r="PNI14" s="2" t="n"/>
      <c r="PNJ14" s="2" t="n"/>
      <c r="PNK14" s="2" t="n"/>
      <c r="PNL14" s="2" t="n"/>
      <c r="PNM14" s="2" t="n"/>
      <c r="PNN14" s="2" t="n"/>
      <c r="PNO14" s="2" t="n"/>
      <c r="PNP14" s="2" t="n"/>
      <c r="PNQ14" s="2" t="n"/>
      <c r="PNR14" s="2" t="n"/>
      <c r="PNS14" s="2" t="n"/>
      <c r="PNT14" s="2" t="n"/>
      <c r="PNU14" s="2" t="n"/>
      <c r="PNV14" s="2" t="n"/>
      <c r="PNW14" s="2" t="n"/>
      <c r="PNX14" s="2" t="n"/>
      <c r="PNY14" s="2" t="n"/>
      <c r="PNZ14" s="2" t="n"/>
      <c r="POA14" s="2" t="n"/>
      <c r="POB14" s="2" t="n"/>
      <c r="POC14" s="2" t="n"/>
      <c r="POD14" s="2" t="n"/>
      <c r="POE14" s="2" t="n"/>
      <c r="POF14" s="2" t="n"/>
      <c r="POG14" s="2" t="n"/>
      <c r="POH14" s="2" t="n"/>
      <c r="POI14" s="2" t="n"/>
      <c r="POJ14" s="2" t="n"/>
      <c r="POK14" s="2" t="n"/>
      <c r="POL14" s="2" t="n"/>
      <c r="POM14" s="2" t="n"/>
      <c r="PON14" s="2" t="n"/>
      <c r="POO14" s="2" t="n"/>
      <c r="POP14" s="2" t="n"/>
      <c r="POQ14" s="2" t="n"/>
      <c r="POR14" s="2" t="n"/>
      <c r="POS14" s="2" t="n"/>
      <c r="POT14" s="2" t="n"/>
      <c r="POU14" s="2" t="n"/>
      <c r="POV14" s="2" t="n"/>
      <c r="POW14" s="2" t="n"/>
      <c r="POX14" s="2" t="n"/>
      <c r="POY14" s="2" t="n"/>
      <c r="POZ14" s="2" t="n"/>
      <c r="PPA14" s="2" t="n"/>
      <c r="PPB14" s="2" t="n"/>
      <c r="PPC14" s="2" t="n"/>
      <c r="PPD14" s="2" t="n"/>
      <c r="PPE14" s="2" t="n"/>
      <c r="PPF14" s="2" t="n"/>
      <c r="PPG14" s="2" t="n"/>
      <c r="PPH14" s="2" t="n"/>
      <c r="PPI14" s="2" t="n"/>
      <c r="PPJ14" s="2" t="n"/>
      <c r="PPK14" s="2" t="n"/>
      <c r="PPL14" s="2" t="n"/>
      <c r="PPM14" s="2" t="n"/>
      <c r="PPN14" s="2" t="n"/>
      <c r="PPO14" s="2" t="n"/>
      <c r="PPP14" s="2" t="n"/>
      <c r="PPQ14" s="2" t="n"/>
      <c r="PPR14" s="2" t="n"/>
      <c r="PPS14" s="2" t="n"/>
      <c r="PPT14" s="2" t="n"/>
      <c r="PPU14" s="2" t="n"/>
      <c r="PPV14" s="2" t="n"/>
      <c r="PPW14" s="2" t="n"/>
      <c r="PPX14" s="2" t="n"/>
      <c r="PPY14" s="2" t="n"/>
      <c r="PPZ14" s="2" t="n"/>
      <c r="PQA14" s="2" t="n"/>
      <c r="PQB14" s="2" t="n"/>
      <c r="PQC14" s="2" t="n"/>
      <c r="PQD14" s="2" t="n"/>
      <c r="PQE14" s="2" t="n"/>
      <c r="PQF14" s="2" t="n"/>
      <c r="PQG14" s="2" t="n"/>
      <c r="PQH14" s="2" t="n"/>
      <c r="PQI14" s="2" t="n"/>
      <c r="PQJ14" s="2" t="n"/>
      <c r="PQK14" s="2" t="n"/>
      <c r="PQL14" s="2" t="n"/>
      <c r="PQM14" s="2" t="n"/>
      <c r="PQN14" s="2" t="n"/>
      <c r="PQO14" s="2" t="n"/>
      <c r="PQP14" s="2" t="n"/>
      <c r="PQQ14" s="2" t="n"/>
      <c r="PQR14" s="2" t="n"/>
      <c r="PQS14" s="2" t="n"/>
      <c r="PQT14" s="2" t="n"/>
      <c r="PQU14" s="2" t="n"/>
      <c r="PQV14" s="2" t="n"/>
      <c r="PQW14" s="2" t="n"/>
      <c r="PQX14" s="2" t="n"/>
      <c r="PQY14" s="2" t="n"/>
      <c r="PQZ14" s="2" t="n"/>
      <c r="PRA14" s="2" t="n"/>
      <c r="PRB14" s="2" t="n"/>
      <c r="PRC14" s="2" t="n"/>
      <c r="PRD14" s="2" t="n"/>
      <c r="PRE14" s="2" t="n"/>
      <c r="PRF14" s="2" t="n"/>
      <c r="PRG14" s="2" t="n"/>
      <c r="PRH14" s="2" t="n"/>
      <c r="PRI14" s="2" t="n"/>
      <c r="PRJ14" s="2" t="n"/>
      <c r="PRK14" s="2" t="n"/>
      <c r="PRL14" s="2" t="n"/>
      <c r="PRM14" s="2" t="n"/>
      <c r="PRN14" s="2" t="n"/>
      <c r="PRO14" s="2" t="n"/>
      <c r="PRP14" s="2" t="n"/>
      <c r="PRQ14" s="2" t="n"/>
      <c r="PRR14" s="2" t="n"/>
      <c r="PRS14" s="2" t="n"/>
      <c r="PRT14" s="2" t="n"/>
      <c r="PRU14" s="2" t="n"/>
      <c r="PRV14" s="2" t="n"/>
      <c r="PRW14" s="2" t="n"/>
      <c r="PRX14" s="2" t="n"/>
      <c r="PRY14" s="2" t="n"/>
      <c r="PRZ14" s="2" t="n"/>
      <c r="PSA14" s="2" t="n"/>
      <c r="PSB14" s="2" t="n"/>
      <c r="PSC14" s="2" t="n"/>
      <c r="PSD14" s="2" t="n"/>
      <c r="PSE14" s="2" t="n"/>
      <c r="PSF14" s="2" t="n"/>
      <c r="PSG14" s="2" t="n"/>
      <c r="PSH14" s="2" t="n"/>
      <c r="PSI14" s="2" t="n"/>
      <c r="PSJ14" s="2" t="n"/>
      <c r="PSK14" s="2" t="n"/>
      <c r="PSL14" s="2" t="n"/>
      <c r="PSM14" s="2" t="n"/>
      <c r="PSN14" s="2" t="n"/>
      <c r="PSO14" s="2" t="n"/>
      <c r="PSP14" s="2" t="n"/>
      <c r="PSQ14" s="2" t="n"/>
      <c r="PSR14" s="2" t="n"/>
      <c r="PSS14" s="2" t="n"/>
      <c r="PST14" s="2" t="n"/>
      <c r="PSU14" s="2" t="n"/>
      <c r="PSV14" s="2" t="n"/>
      <c r="PSW14" s="2" t="n"/>
      <c r="PSX14" s="2" t="n"/>
      <c r="PSY14" s="2" t="n"/>
      <c r="PSZ14" s="2" t="n"/>
      <c r="PTA14" s="2" t="n"/>
      <c r="PTB14" s="2" t="n"/>
      <c r="PTC14" s="2" t="n"/>
      <c r="PTD14" s="2" t="n"/>
      <c r="PTE14" s="2" t="n"/>
      <c r="PTF14" s="2" t="n"/>
      <c r="PTG14" s="2" t="n"/>
      <c r="PTH14" s="2" t="n"/>
      <c r="PTI14" s="2" t="n"/>
      <c r="PTJ14" s="2" t="n"/>
      <c r="PTK14" s="2" t="n"/>
      <c r="PTL14" s="2" t="n"/>
      <c r="PTM14" s="2" t="n"/>
      <c r="PTN14" s="2" t="n"/>
      <c r="PTO14" s="2" t="n"/>
      <c r="PTP14" s="2" t="n"/>
      <c r="PTQ14" s="2" t="n"/>
      <c r="PTR14" s="2" t="n"/>
      <c r="PTS14" s="2" t="n"/>
      <c r="PTT14" s="2" t="n"/>
      <c r="PTU14" s="2" t="n"/>
      <c r="PTV14" s="2" t="n"/>
      <c r="PTW14" s="2" t="n"/>
      <c r="PTX14" s="2" t="n"/>
      <c r="PTY14" s="2" t="n"/>
      <c r="PTZ14" s="2" t="n"/>
      <c r="PUA14" s="2" t="n"/>
      <c r="PUB14" s="2" t="n"/>
      <c r="PUC14" s="2" t="n"/>
      <c r="PUD14" s="2" t="n"/>
      <c r="PUE14" s="2" t="n"/>
      <c r="PUF14" s="2" t="n"/>
      <c r="PUG14" s="2" t="n"/>
      <c r="PUH14" s="2" t="n"/>
      <c r="PUI14" s="2" t="n"/>
      <c r="PUJ14" s="2" t="n"/>
      <c r="PUK14" s="2" t="n"/>
      <c r="PUL14" s="2" t="n"/>
      <c r="PUM14" s="2" t="n"/>
      <c r="PUN14" s="2" t="n"/>
      <c r="PUO14" s="2" t="n"/>
      <c r="PUP14" s="2" t="n"/>
      <c r="PUQ14" s="2" t="n"/>
      <c r="PUR14" s="2" t="n"/>
      <c r="PUS14" s="2" t="n"/>
      <c r="PUT14" s="2" t="n"/>
      <c r="PUU14" s="2" t="n"/>
      <c r="PUV14" s="2" t="n"/>
      <c r="PUW14" s="2" t="n"/>
      <c r="PUX14" s="2" t="n"/>
      <c r="PUY14" s="2" t="n"/>
      <c r="PUZ14" s="2" t="n"/>
      <c r="PVA14" s="2" t="n"/>
      <c r="PVB14" s="2" t="n"/>
      <c r="PVC14" s="2" t="n"/>
      <c r="PVD14" s="2" t="n"/>
      <c r="PVE14" s="2" t="n"/>
      <c r="PVF14" s="2" t="n"/>
      <c r="PVG14" s="2" t="n"/>
      <c r="PVH14" s="2" t="n"/>
      <c r="PVI14" s="2" t="n"/>
      <c r="PVJ14" s="2" t="n"/>
      <c r="PVK14" s="2" t="n"/>
      <c r="PVL14" s="2" t="n"/>
      <c r="PVM14" s="2" t="n"/>
      <c r="PVN14" s="2" t="n"/>
      <c r="PVO14" s="2" t="n"/>
      <c r="PVP14" s="2" t="n"/>
      <c r="PVQ14" s="2" t="n"/>
      <c r="PVR14" s="2" t="n"/>
      <c r="PVS14" s="2" t="n"/>
      <c r="PVT14" s="2" t="n"/>
      <c r="PVU14" s="2" t="n"/>
      <c r="PVV14" s="2" t="n"/>
      <c r="PVW14" s="2" t="n"/>
      <c r="PVX14" s="2" t="n"/>
      <c r="PVY14" s="2" t="n"/>
      <c r="PVZ14" s="2" t="n"/>
      <c r="PWA14" s="2" t="n"/>
      <c r="PWB14" s="2" t="n"/>
      <c r="PWC14" s="2" t="n"/>
      <c r="PWD14" s="2" t="n"/>
      <c r="PWE14" s="2" t="n"/>
      <c r="PWF14" s="2" t="n"/>
      <c r="PWG14" s="2" t="n"/>
      <c r="PWH14" s="2" t="n"/>
      <c r="PWI14" s="2" t="n"/>
      <c r="PWJ14" s="2" t="n"/>
      <c r="PWK14" s="2" t="n"/>
      <c r="PWL14" s="2" t="n"/>
      <c r="PWM14" s="2" t="n"/>
      <c r="PWN14" s="2" t="n"/>
      <c r="PWO14" s="2" t="n"/>
      <c r="PWP14" s="2" t="n"/>
      <c r="PWQ14" s="2" t="n"/>
      <c r="PWR14" s="2" t="n"/>
      <c r="PWS14" s="2" t="n"/>
      <c r="PWT14" s="2" t="n"/>
      <c r="PWU14" s="2" t="n"/>
      <c r="PWV14" s="2" t="n"/>
      <c r="PWW14" s="2" t="n"/>
      <c r="PWX14" s="2" t="n"/>
      <c r="PWY14" s="2" t="n"/>
      <c r="PWZ14" s="2" t="n"/>
      <c r="PXA14" s="2" t="n"/>
      <c r="PXB14" s="2" t="n"/>
      <c r="PXC14" s="2" t="n"/>
      <c r="PXD14" s="2" t="n"/>
      <c r="PXE14" s="2" t="n"/>
      <c r="PXF14" s="2" t="n"/>
      <c r="PXG14" s="2" t="n"/>
      <c r="PXH14" s="2" t="n"/>
      <c r="PXI14" s="2" t="n"/>
      <c r="PXJ14" s="2" t="n"/>
      <c r="PXK14" s="2" t="n"/>
      <c r="PXL14" s="2" t="n"/>
      <c r="PXM14" s="2" t="n"/>
      <c r="PXN14" s="2" t="n"/>
      <c r="PXO14" s="2" t="n"/>
      <c r="PXP14" s="2" t="n"/>
      <c r="PXQ14" s="2" t="n"/>
      <c r="PXR14" s="2" t="n"/>
      <c r="PXS14" s="2" t="n"/>
      <c r="PXT14" s="2" t="n"/>
      <c r="PXU14" s="2" t="n"/>
      <c r="PXV14" s="2" t="n"/>
      <c r="PXW14" s="2" t="n"/>
      <c r="PXX14" s="2" t="n"/>
      <c r="PXY14" s="2" t="n"/>
      <c r="PXZ14" s="2" t="n"/>
      <c r="PYA14" s="2" t="n"/>
      <c r="PYB14" s="2" t="n"/>
      <c r="PYC14" s="2" t="n"/>
      <c r="PYD14" s="2" t="n"/>
      <c r="PYE14" s="2" t="n"/>
      <c r="PYF14" s="2" t="n"/>
      <c r="PYG14" s="2" t="n"/>
      <c r="PYH14" s="2" t="n"/>
      <c r="PYI14" s="2" t="n"/>
      <c r="PYJ14" s="2" t="n"/>
      <c r="PYK14" s="2" t="n"/>
      <c r="PYL14" s="2" t="n"/>
      <c r="PYM14" s="2" t="n"/>
      <c r="PYN14" s="2" t="n"/>
      <c r="PYO14" s="2" t="n"/>
      <c r="PYP14" s="2" t="n"/>
      <c r="PYQ14" s="2" t="n"/>
      <c r="PYR14" s="2" t="n"/>
      <c r="PYS14" s="2" t="n"/>
      <c r="PYT14" s="2" t="n"/>
      <c r="PYU14" s="2" t="n"/>
      <c r="PYV14" s="2" t="n"/>
      <c r="PYW14" s="2" t="n"/>
      <c r="PYX14" s="2" t="n"/>
      <c r="PYY14" s="2" t="n"/>
      <c r="PYZ14" s="2" t="n"/>
      <c r="PZA14" s="2" t="n"/>
      <c r="PZB14" s="2" t="n"/>
      <c r="PZC14" s="2" t="n"/>
      <c r="PZD14" s="2" t="n"/>
      <c r="PZE14" s="2" t="n"/>
      <c r="PZF14" s="2" t="n"/>
      <c r="PZG14" s="2" t="n"/>
      <c r="PZH14" s="2" t="n"/>
      <c r="PZI14" s="2" t="n"/>
      <c r="PZJ14" s="2" t="n"/>
      <c r="PZK14" s="2" t="n"/>
      <c r="PZL14" s="2" t="n"/>
      <c r="PZM14" s="2" t="n"/>
      <c r="PZN14" s="2" t="n"/>
      <c r="PZO14" s="2" t="n"/>
      <c r="PZP14" s="2" t="n"/>
      <c r="PZQ14" s="2" t="n"/>
      <c r="PZR14" s="2" t="n"/>
      <c r="PZS14" s="2" t="n"/>
      <c r="PZT14" s="2" t="n"/>
      <c r="PZU14" s="2" t="n"/>
      <c r="PZV14" s="2" t="n"/>
      <c r="PZW14" s="2" t="n"/>
      <c r="PZX14" s="2" t="n"/>
      <c r="PZY14" s="2" t="n"/>
      <c r="PZZ14" s="2" t="n"/>
      <c r="QAA14" s="2" t="n"/>
      <c r="QAB14" s="2" t="n"/>
      <c r="QAC14" s="2" t="n"/>
      <c r="QAD14" s="2" t="n"/>
      <c r="QAE14" s="2" t="n"/>
      <c r="QAF14" s="2" t="n"/>
      <c r="QAG14" s="2" t="n"/>
      <c r="QAH14" s="2" t="n"/>
      <c r="QAI14" s="2" t="n"/>
      <c r="QAJ14" s="2" t="n"/>
      <c r="QAK14" s="2" t="n"/>
      <c r="QAL14" s="2" t="n"/>
      <c r="QAM14" s="2" t="n"/>
      <c r="QAN14" s="2" t="n"/>
      <c r="QAO14" s="2" t="n"/>
      <c r="QAP14" s="2" t="n"/>
      <c r="QAQ14" s="2" t="n"/>
      <c r="QAR14" s="2" t="n"/>
      <c r="QAS14" s="2" t="n"/>
      <c r="QAT14" s="2" t="n"/>
      <c r="QAU14" s="2" t="n"/>
      <c r="QAV14" s="2" t="n"/>
      <c r="QAW14" s="2" t="n"/>
      <c r="QAX14" s="2" t="n"/>
      <c r="QAY14" s="2" t="n"/>
      <c r="QAZ14" s="2" t="n"/>
      <c r="QBA14" s="2" t="n"/>
      <c r="QBB14" s="2" t="n"/>
      <c r="QBC14" s="2" t="n"/>
      <c r="QBD14" s="2" t="n"/>
      <c r="QBE14" s="2" t="n"/>
      <c r="QBF14" s="2" t="n"/>
      <c r="QBG14" s="2" t="n"/>
      <c r="QBH14" s="2" t="n"/>
      <c r="QBI14" s="2" t="n"/>
      <c r="QBJ14" s="2" t="n"/>
      <c r="QBK14" s="2" t="n"/>
      <c r="QBL14" s="2" t="n"/>
      <c r="QBM14" s="2" t="n"/>
      <c r="QBN14" s="2" t="n"/>
      <c r="QBO14" s="2" t="n"/>
      <c r="QBP14" s="2" t="n"/>
      <c r="QBQ14" s="2" t="n"/>
      <c r="QBR14" s="2" t="n"/>
      <c r="QBS14" s="2" t="n"/>
      <c r="QBT14" s="2" t="n"/>
      <c r="QBU14" s="2" t="n"/>
      <c r="QBV14" s="2" t="n"/>
      <c r="QBW14" s="2" t="n"/>
      <c r="QBX14" s="2" t="n"/>
      <c r="QBY14" s="2" t="n"/>
      <c r="QBZ14" s="2" t="n"/>
      <c r="QCA14" s="2" t="n"/>
      <c r="QCB14" s="2" t="n"/>
      <c r="QCC14" s="2" t="n"/>
      <c r="QCD14" s="2" t="n"/>
      <c r="QCE14" s="2" t="n"/>
      <c r="QCF14" s="2" t="n"/>
      <c r="QCG14" s="2" t="n"/>
      <c r="QCH14" s="2" t="n"/>
      <c r="QCI14" s="2" t="n"/>
      <c r="QCJ14" s="2" t="n"/>
      <c r="QCK14" s="2" t="n"/>
      <c r="QCL14" s="2" t="n"/>
      <c r="QCM14" s="2" t="n"/>
      <c r="QCN14" s="2" t="n"/>
      <c r="QCO14" s="2" t="n"/>
      <c r="QCP14" s="2" t="n"/>
      <c r="QCQ14" s="2" t="n"/>
      <c r="QCR14" s="2" t="n"/>
      <c r="QCS14" s="2" t="n"/>
      <c r="QCT14" s="2" t="n"/>
      <c r="QCU14" s="2" t="n"/>
      <c r="QCV14" s="2" t="n"/>
      <c r="QCW14" s="2" t="n"/>
      <c r="QCX14" s="2" t="n"/>
      <c r="QCY14" s="2" t="n"/>
      <c r="QCZ14" s="2" t="n"/>
      <c r="QDA14" s="2" t="n"/>
      <c r="QDB14" s="2" t="n"/>
      <c r="QDC14" s="2" t="n"/>
      <c r="QDD14" s="2" t="n"/>
      <c r="QDE14" s="2" t="n"/>
      <c r="QDF14" s="2" t="n"/>
      <c r="QDG14" s="2" t="n"/>
      <c r="QDH14" s="2" t="n"/>
      <c r="QDI14" s="2" t="n"/>
      <c r="QDJ14" s="2" t="n"/>
      <c r="QDK14" s="2" t="n"/>
      <c r="QDL14" s="2" t="n"/>
      <c r="QDM14" s="2" t="n"/>
      <c r="QDN14" s="2" t="n"/>
      <c r="QDO14" s="2" t="n"/>
      <c r="QDP14" s="2" t="n"/>
      <c r="QDQ14" s="2" t="n"/>
      <c r="QDR14" s="2" t="n"/>
      <c r="QDS14" s="2" t="n"/>
      <c r="QDT14" s="2" t="n"/>
      <c r="QDU14" s="2" t="n"/>
      <c r="QDV14" s="2" t="n"/>
      <c r="QDW14" s="2" t="n"/>
      <c r="QDX14" s="2" t="n"/>
      <c r="QDY14" s="2" t="n"/>
      <c r="QDZ14" s="2" t="n"/>
      <c r="QEA14" s="2" t="n"/>
      <c r="QEB14" s="2" t="n"/>
      <c r="QEC14" s="2" t="n"/>
      <c r="QED14" s="2" t="n"/>
      <c r="QEE14" s="2" t="n"/>
      <c r="QEF14" s="2" t="n"/>
      <c r="QEG14" s="2" t="n"/>
      <c r="QEH14" s="2" t="n"/>
      <c r="QEI14" s="2" t="n"/>
      <c r="QEJ14" s="2" t="n"/>
      <c r="QEK14" s="2" t="n"/>
      <c r="QEL14" s="2" t="n"/>
      <c r="QEM14" s="2" t="n"/>
      <c r="QEN14" s="2" t="n"/>
      <c r="QEO14" s="2" t="n"/>
      <c r="QEP14" s="2" t="n"/>
      <c r="QEQ14" s="2" t="n"/>
      <c r="QER14" s="2" t="n"/>
      <c r="QES14" s="2" t="n"/>
      <c r="QET14" s="2" t="n"/>
      <c r="QEU14" s="2" t="n"/>
      <c r="QEV14" s="2" t="n"/>
      <c r="QEW14" s="2" t="n"/>
      <c r="QEX14" s="2" t="n"/>
      <c r="QEY14" s="2" t="n"/>
      <c r="QEZ14" s="2" t="n"/>
      <c r="QFA14" s="2" t="n"/>
      <c r="QFB14" s="2" t="n"/>
      <c r="QFC14" s="2" t="n"/>
      <c r="QFD14" s="2" t="n"/>
      <c r="QFE14" s="2" t="n"/>
      <c r="QFF14" s="2" t="n"/>
      <c r="QFG14" s="2" t="n"/>
      <c r="QFH14" s="2" t="n"/>
      <c r="QFI14" s="2" t="n"/>
      <c r="QFJ14" s="2" t="n"/>
      <c r="QFK14" s="2" t="n"/>
      <c r="QFL14" s="2" t="n"/>
      <c r="QFM14" s="2" t="n"/>
      <c r="QFN14" s="2" t="n"/>
      <c r="QFO14" s="2" t="n"/>
      <c r="QFP14" s="2" t="n"/>
      <c r="QFQ14" s="2" t="n"/>
      <c r="QFR14" s="2" t="n"/>
      <c r="QFS14" s="2" t="n"/>
      <c r="QFT14" s="2" t="n"/>
      <c r="QFU14" s="2" t="n"/>
      <c r="QFV14" s="2" t="n"/>
      <c r="QFW14" s="2" t="n"/>
      <c r="QFX14" s="2" t="n"/>
      <c r="QFY14" s="2" t="n"/>
      <c r="QFZ14" s="2" t="n"/>
      <c r="QGA14" s="2" t="n"/>
      <c r="QGB14" s="2" t="n"/>
      <c r="QGC14" s="2" t="n"/>
      <c r="QGD14" s="2" t="n"/>
      <c r="QGE14" s="2" t="n"/>
      <c r="QGF14" s="2" t="n"/>
      <c r="QGG14" s="2" t="n"/>
      <c r="QGH14" s="2" t="n"/>
      <c r="QGI14" s="2" t="n"/>
      <c r="QGJ14" s="2" t="n"/>
      <c r="QGK14" s="2" t="n"/>
      <c r="QGL14" s="2" t="n"/>
      <c r="QGM14" s="2" t="n"/>
      <c r="QGN14" s="2" t="n"/>
      <c r="QGO14" s="2" t="n"/>
      <c r="QGP14" s="2" t="n"/>
      <c r="QGQ14" s="2" t="n"/>
      <c r="QGR14" s="2" t="n"/>
      <c r="QGS14" s="2" t="n"/>
      <c r="QGT14" s="2" t="n"/>
      <c r="QGU14" s="2" t="n"/>
      <c r="QGV14" s="2" t="n"/>
      <c r="QGW14" s="2" t="n"/>
      <c r="QGX14" s="2" t="n"/>
      <c r="QGY14" s="2" t="n"/>
      <c r="QGZ14" s="2" t="n"/>
      <c r="QHA14" s="2" t="n"/>
      <c r="QHB14" s="2" t="n"/>
      <c r="QHC14" s="2" t="n"/>
      <c r="QHD14" s="2" t="n"/>
      <c r="QHE14" s="2" t="n"/>
      <c r="QHF14" s="2" t="n"/>
      <c r="QHG14" s="2" t="n"/>
      <c r="QHH14" s="2" t="n"/>
      <c r="QHI14" s="2" t="n"/>
      <c r="QHJ14" s="2" t="n"/>
      <c r="QHK14" s="2" t="n"/>
      <c r="QHL14" s="2" t="n"/>
      <c r="QHM14" s="2" t="n"/>
      <c r="QHN14" s="2" t="n"/>
      <c r="QHO14" s="2" t="n"/>
      <c r="QHP14" s="2" t="n"/>
      <c r="QHQ14" s="2" t="n"/>
      <c r="QHR14" s="2" t="n"/>
      <c r="QHS14" s="2" t="n"/>
      <c r="QHT14" s="2" t="n"/>
      <c r="QHU14" s="2" t="n"/>
      <c r="QHV14" s="2" t="n"/>
      <c r="QHW14" s="2" t="n"/>
      <c r="QHX14" s="2" t="n"/>
      <c r="QHY14" s="2" t="n"/>
      <c r="QHZ14" s="2" t="n"/>
      <c r="QIA14" s="2" t="n"/>
      <c r="QIB14" s="2" t="n"/>
      <c r="QIC14" s="2" t="n"/>
      <c r="QID14" s="2" t="n"/>
      <c r="QIE14" s="2" t="n"/>
      <c r="QIF14" s="2" t="n"/>
      <c r="QIG14" s="2" t="n"/>
      <c r="QIH14" s="2" t="n"/>
      <c r="QII14" s="2" t="n"/>
      <c r="QIJ14" s="2" t="n"/>
      <c r="QIK14" s="2" t="n"/>
      <c r="QIL14" s="2" t="n"/>
      <c r="QIM14" s="2" t="n"/>
      <c r="QIN14" s="2" t="n"/>
      <c r="QIO14" s="2" t="n"/>
      <c r="QIP14" s="2" t="n"/>
      <c r="QIQ14" s="2" t="n"/>
      <c r="QIR14" s="2" t="n"/>
      <c r="QIS14" s="2" t="n"/>
      <c r="QIT14" s="2" t="n"/>
      <c r="QIU14" s="2" t="n"/>
      <c r="QIV14" s="2" t="n"/>
      <c r="QIW14" s="2" t="n"/>
      <c r="QIX14" s="2" t="n"/>
      <c r="QIY14" s="2" t="n"/>
      <c r="QIZ14" s="2" t="n"/>
      <c r="QJA14" s="2" t="n"/>
      <c r="QJB14" s="2" t="n"/>
      <c r="QJC14" s="2" t="n"/>
      <c r="QJD14" s="2" t="n"/>
      <c r="QJE14" s="2" t="n"/>
      <c r="QJF14" s="2" t="n"/>
      <c r="QJG14" s="2" t="n"/>
      <c r="QJH14" s="2" t="n"/>
      <c r="QJI14" s="2" t="n"/>
      <c r="QJJ14" s="2" t="n"/>
      <c r="QJK14" s="2" t="n"/>
      <c r="QJL14" s="2" t="n"/>
      <c r="QJM14" s="2" t="n"/>
      <c r="QJN14" s="2" t="n"/>
      <c r="QJO14" s="2" t="n"/>
      <c r="QJP14" s="2" t="n"/>
      <c r="QJQ14" s="2" t="n"/>
      <c r="QJR14" s="2" t="n"/>
      <c r="QJS14" s="2" t="n"/>
      <c r="QJT14" s="2" t="n"/>
      <c r="QJU14" s="2" t="n"/>
      <c r="QJV14" s="2" t="n"/>
      <c r="QJW14" s="2" t="n"/>
      <c r="QJX14" s="2" t="n"/>
      <c r="QJY14" s="2" t="n"/>
      <c r="QJZ14" s="2" t="n"/>
      <c r="QKA14" s="2" t="n"/>
      <c r="QKB14" s="2" t="n"/>
      <c r="QKC14" s="2" t="n"/>
      <c r="QKD14" s="2" t="n"/>
      <c r="QKE14" s="2" t="n"/>
      <c r="QKF14" s="2" t="n"/>
      <c r="QKG14" s="2" t="n"/>
      <c r="QKH14" s="2" t="n"/>
      <c r="QKI14" s="2" t="n"/>
      <c r="QKJ14" s="2" t="n"/>
      <c r="QKK14" s="2" t="n"/>
      <c r="QKL14" s="2" t="n"/>
      <c r="QKM14" s="2" t="n"/>
      <c r="QKN14" s="2" t="n"/>
      <c r="QKO14" s="2" t="n"/>
      <c r="QKP14" s="2" t="n"/>
      <c r="QKQ14" s="2" t="n"/>
      <c r="QKR14" s="2" t="n"/>
      <c r="QKS14" s="2" t="n"/>
      <c r="QKT14" s="2" t="n"/>
      <c r="QKU14" s="2" t="n"/>
      <c r="QKV14" s="2" t="n"/>
      <c r="QKW14" s="2" t="n"/>
      <c r="QKX14" s="2" t="n"/>
      <c r="QKY14" s="2" t="n"/>
      <c r="QKZ14" s="2" t="n"/>
      <c r="QLA14" s="2" t="n"/>
      <c r="QLB14" s="2" t="n"/>
      <c r="QLC14" s="2" t="n"/>
      <c r="QLD14" s="2" t="n"/>
      <c r="QLE14" s="2" t="n"/>
      <c r="QLF14" s="2" t="n"/>
      <c r="QLG14" s="2" t="n"/>
      <c r="QLH14" s="2" t="n"/>
      <c r="QLI14" s="2" t="n"/>
      <c r="QLJ14" s="2" t="n"/>
      <c r="QLK14" s="2" t="n"/>
      <c r="QLL14" s="2" t="n"/>
      <c r="QLM14" s="2" t="n"/>
      <c r="QLN14" s="2" t="n"/>
      <c r="QLO14" s="2" t="n"/>
      <c r="QLP14" s="2" t="n"/>
      <c r="QLQ14" s="2" t="n"/>
      <c r="QLR14" s="2" t="n"/>
      <c r="QLS14" s="2" t="n"/>
      <c r="QLT14" s="2" t="n"/>
      <c r="QLU14" s="2" t="n"/>
      <c r="QLV14" s="2" t="n"/>
      <c r="QLW14" s="2" t="n"/>
      <c r="QLX14" s="2" t="n"/>
      <c r="QLY14" s="2" t="n"/>
      <c r="QLZ14" s="2" t="n"/>
      <c r="QMA14" s="2" t="n"/>
      <c r="QMB14" s="2" t="n"/>
      <c r="QMC14" s="2" t="n"/>
      <c r="QMD14" s="2" t="n"/>
      <c r="QME14" s="2" t="n"/>
      <c r="QMF14" s="2" t="n"/>
      <c r="QMG14" s="2" t="n"/>
      <c r="QMH14" s="2" t="n"/>
      <c r="QMI14" s="2" t="n"/>
      <c r="QMJ14" s="2" t="n"/>
      <c r="QMK14" s="2" t="n"/>
      <c r="QML14" s="2" t="n"/>
      <c r="QMM14" s="2" t="n"/>
      <c r="QMN14" s="2" t="n"/>
      <c r="QMO14" s="2" t="n"/>
      <c r="QMP14" s="2" t="n"/>
      <c r="QMQ14" s="2" t="n"/>
      <c r="QMR14" s="2" t="n"/>
      <c r="QMS14" s="2" t="n"/>
      <c r="QMT14" s="2" t="n"/>
      <c r="QMU14" s="2" t="n"/>
      <c r="QMV14" s="2" t="n"/>
      <c r="QMW14" s="2" t="n"/>
      <c r="QMX14" s="2" t="n"/>
      <c r="QMY14" s="2" t="n"/>
      <c r="QMZ14" s="2" t="n"/>
      <c r="QNA14" s="2" t="n"/>
      <c r="QNB14" s="2" t="n"/>
      <c r="QNC14" s="2" t="n"/>
      <c r="QND14" s="2" t="n"/>
      <c r="QNE14" s="2" t="n"/>
      <c r="QNF14" s="2" t="n"/>
      <c r="QNG14" s="2" t="n"/>
      <c r="QNH14" s="2" t="n"/>
      <c r="QNI14" s="2" t="n"/>
      <c r="QNJ14" s="2" t="n"/>
      <c r="QNK14" s="2" t="n"/>
      <c r="QNL14" s="2" t="n"/>
      <c r="QNM14" s="2" t="n"/>
      <c r="QNN14" s="2" t="n"/>
      <c r="QNO14" s="2" t="n"/>
      <c r="QNP14" s="2" t="n"/>
      <c r="QNQ14" s="2" t="n"/>
      <c r="QNR14" s="2" t="n"/>
      <c r="QNS14" s="2" t="n"/>
      <c r="QNT14" s="2" t="n"/>
      <c r="QNU14" s="2" t="n"/>
      <c r="QNV14" s="2" t="n"/>
      <c r="QNW14" s="2" t="n"/>
      <c r="QNX14" s="2" t="n"/>
      <c r="QNY14" s="2" t="n"/>
      <c r="QNZ14" s="2" t="n"/>
      <c r="QOA14" s="2" t="n"/>
      <c r="QOB14" s="2" t="n"/>
      <c r="QOC14" s="2" t="n"/>
      <c r="QOD14" s="2" t="n"/>
      <c r="QOE14" s="2" t="n"/>
      <c r="QOF14" s="2" t="n"/>
      <c r="QOG14" s="2" t="n"/>
      <c r="QOH14" s="2" t="n"/>
      <c r="QOI14" s="2" t="n"/>
      <c r="QOJ14" s="2" t="n"/>
      <c r="QOK14" s="2" t="n"/>
      <c r="QOL14" s="2" t="n"/>
      <c r="QOM14" s="2" t="n"/>
      <c r="QON14" s="2" t="n"/>
      <c r="QOO14" s="2" t="n"/>
      <c r="QOP14" s="2" t="n"/>
      <c r="QOQ14" s="2" t="n"/>
      <c r="QOR14" s="2" t="n"/>
      <c r="QOS14" s="2" t="n"/>
      <c r="QOT14" s="2" t="n"/>
      <c r="QOU14" s="2" t="n"/>
      <c r="QOV14" s="2" t="n"/>
      <c r="QOW14" s="2" t="n"/>
      <c r="QOX14" s="2" t="n"/>
      <c r="QOY14" s="2" t="n"/>
      <c r="QOZ14" s="2" t="n"/>
      <c r="QPA14" s="2" t="n"/>
      <c r="QPB14" s="2" t="n"/>
      <c r="QPC14" s="2" t="n"/>
      <c r="QPD14" s="2" t="n"/>
      <c r="QPE14" s="2" t="n"/>
      <c r="QPF14" s="2" t="n"/>
      <c r="QPG14" s="2" t="n"/>
      <c r="QPH14" s="2" t="n"/>
      <c r="QPI14" s="2" t="n"/>
      <c r="QPJ14" s="2" t="n"/>
      <c r="QPK14" s="2" t="n"/>
      <c r="QPL14" s="2" t="n"/>
      <c r="QPM14" s="2" t="n"/>
      <c r="QPN14" s="2" t="n"/>
      <c r="QPO14" s="2" t="n"/>
      <c r="QPP14" s="2" t="n"/>
      <c r="QPQ14" s="2" t="n"/>
      <c r="QPR14" s="2" t="n"/>
      <c r="QPS14" s="2" t="n"/>
      <c r="QPT14" s="2" t="n"/>
      <c r="QPU14" s="2" t="n"/>
      <c r="QPV14" s="2" t="n"/>
      <c r="QPW14" s="2" t="n"/>
      <c r="QPX14" s="2" t="n"/>
      <c r="QPY14" s="2" t="n"/>
      <c r="QPZ14" s="2" t="n"/>
      <c r="QQA14" s="2" t="n"/>
      <c r="QQB14" s="2" t="n"/>
      <c r="QQC14" s="2" t="n"/>
      <c r="QQD14" s="2" t="n"/>
      <c r="QQE14" s="2" t="n"/>
      <c r="QQF14" s="2" t="n"/>
      <c r="QQG14" s="2" t="n"/>
      <c r="QQH14" s="2" t="n"/>
      <c r="QQI14" s="2" t="n"/>
      <c r="QQJ14" s="2" t="n"/>
      <c r="QQK14" s="2" t="n"/>
      <c r="QQL14" s="2" t="n"/>
      <c r="QQM14" s="2" t="n"/>
      <c r="QQN14" s="2" t="n"/>
      <c r="QQO14" s="2" t="n"/>
      <c r="QQP14" s="2" t="n"/>
      <c r="QQQ14" s="2" t="n"/>
      <c r="QQR14" s="2" t="n"/>
      <c r="QQS14" s="2" t="n"/>
      <c r="QQT14" s="2" t="n"/>
      <c r="QQU14" s="2" t="n"/>
      <c r="QQV14" s="2" t="n"/>
      <c r="QQW14" s="2" t="n"/>
      <c r="QQX14" s="2" t="n"/>
      <c r="QQY14" s="2" t="n"/>
      <c r="QQZ14" s="2" t="n"/>
      <c r="QRA14" s="2" t="n"/>
      <c r="QRB14" s="2" t="n"/>
      <c r="QRC14" s="2" t="n"/>
      <c r="QRD14" s="2" t="n"/>
      <c r="QRE14" s="2" t="n"/>
      <c r="QRF14" s="2" t="n"/>
      <c r="QRG14" s="2" t="n"/>
      <c r="QRH14" s="2" t="n"/>
      <c r="QRI14" s="2" t="n"/>
      <c r="QRJ14" s="2" t="n"/>
      <c r="QRK14" s="2" t="n"/>
      <c r="QRL14" s="2" t="n"/>
      <c r="QRM14" s="2" t="n"/>
      <c r="QRN14" s="2" t="n"/>
      <c r="QRO14" s="2" t="n"/>
      <c r="QRP14" s="2" t="n"/>
      <c r="QRQ14" s="2" t="n"/>
      <c r="QRR14" s="2" t="n"/>
      <c r="QRS14" s="2" t="n"/>
      <c r="QRT14" s="2" t="n"/>
      <c r="QRU14" s="2" t="n"/>
      <c r="QRV14" s="2" t="n"/>
      <c r="QRW14" s="2" t="n"/>
      <c r="QRX14" s="2" t="n"/>
      <c r="QRY14" s="2" t="n"/>
      <c r="QRZ14" s="2" t="n"/>
      <c r="QSA14" s="2" t="n"/>
      <c r="QSB14" s="2" t="n"/>
      <c r="QSC14" s="2" t="n"/>
      <c r="QSD14" s="2" t="n"/>
      <c r="QSE14" s="2" t="n"/>
      <c r="QSF14" s="2" t="n"/>
      <c r="QSG14" s="2" t="n"/>
      <c r="QSH14" s="2" t="n"/>
      <c r="QSI14" s="2" t="n"/>
      <c r="QSJ14" s="2" t="n"/>
      <c r="QSK14" s="2" t="n"/>
      <c r="QSL14" s="2" t="n"/>
      <c r="QSM14" s="2" t="n"/>
      <c r="QSN14" s="2" t="n"/>
      <c r="QSO14" s="2" t="n"/>
      <c r="QSP14" s="2" t="n"/>
      <c r="QSQ14" s="2" t="n"/>
      <c r="QSR14" s="2" t="n"/>
      <c r="QSS14" s="2" t="n"/>
      <c r="QST14" s="2" t="n"/>
      <c r="QSU14" s="2" t="n"/>
      <c r="QSV14" s="2" t="n"/>
      <c r="QSW14" s="2" t="n"/>
      <c r="QSX14" s="2" t="n"/>
      <c r="QSY14" s="2" t="n"/>
      <c r="QSZ14" s="2" t="n"/>
      <c r="QTA14" s="2" t="n"/>
      <c r="QTB14" s="2" t="n"/>
      <c r="QTC14" s="2" t="n"/>
      <c r="QTD14" s="2" t="n"/>
      <c r="QTE14" s="2" t="n"/>
      <c r="QTF14" s="2" t="n"/>
      <c r="QTG14" s="2" t="n"/>
      <c r="QTH14" s="2" t="n"/>
      <c r="QTI14" s="2" t="n"/>
      <c r="QTJ14" s="2" t="n"/>
      <c r="QTK14" s="2" t="n"/>
      <c r="QTL14" s="2" t="n"/>
      <c r="QTM14" s="2" t="n"/>
      <c r="QTN14" s="2" t="n"/>
      <c r="QTO14" s="2" t="n"/>
      <c r="QTP14" s="2" t="n"/>
      <c r="QTQ14" s="2" t="n"/>
      <c r="QTR14" s="2" t="n"/>
      <c r="QTS14" s="2" t="n"/>
      <c r="QTT14" s="2" t="n"/>
      <c r="QTU14" s="2" t="n"/>
      <c r="QTV14" s="2" t="n"/>
      <c r="QTW14" s="2" t="n"/>
      <c r="QTX14" s="2" t="n"/>
      <c r="QTY14" s="2" t="n"/>
      <c r="QTZ14" s="2" t="n"/>
      <c r="QUA14" s="2" t="n"/>
      <c r="QUB14" s="2" t="n"/>
      <c r="QUC14" s="2" t="n"/>
      <c r="QUD14" s="2" t="n"/>
      <c r="QUE14" s="2" t="n"/>
      <c r="QUF14" s="2" t="n"/>
      <c r="QUG14" s="2" t="n"/>
      <c r="QUH14" s="2" t="n"/>
      <c r="QUI14" s="2" t="n"/>
      <c r="QUJ14" s="2" t="n"/>
      <c r="QUK14" s="2" t="n"/>
      <c r="QUL14" s="2" t="n"/>
      <c r="QUM14" s="2" t="n"/>
      <c r="QUN14" s="2" t="n"/>
      <c r="QUO14" s="2" t="n"/>
      <c r="QUP14" s="2" t="n"/>
      <c r="QUQ14" s="2" t="n"/>
      <c r="QUR14" s="2" t="n"/>
      <c r="QUS14" s="2" t="n"/>
      <c r="QUT14" s="2" t="n"/>
      <c r="QUU14" s="2" t="n"/>
      <c r="QUV14" s="2" t="n"/>
      <c r="QUW14" s="2" t="n"/>
      <c r="QUX14" s="2" t="n"/>
      <c r="QUY14" s="2" t="n"/>
      <c r="QUZ14" s="2" t="n"/>
      <c r="QVA14" s="2" t="n"/>
      <c r="QVB14" s="2" t="n"/>
      <c r="QVC14" s="2" t="n"/>
      <c r="QVD14" s="2" t="n"/>
      <c r="QVE14" s="2" t="n"/>
      <c r="QVF14" s="2" t="n"/>
      <c r="QVG14" s="2" t="n"/>
      <c r="QVH14" s="2" t="n"/>
      <c r="QVI14" s="2" t="n"/>
      <c r="QVJ14" s="2" t="n"/>
      <c r="QVK14" s="2" t="n"/>
      <c r="QVL14" s="2" t="n"/>
      <c r="QVM14" s="2" t="n"/>
      <c r="QVN14" s="2" t="n"/>
      <c r="QVO14" s="2" t="n"/>
      <c r="QVP14" s="2" t="n"/>
      <c r="QVQ14" s="2" t="n"/>
      <c r="QVR14" s="2" t="n"/>
      <c r="QVS14" s="2" t="n"/>
      <c r="QVT14" s="2" t="n"/>
      <c r="QVU14" s="2" t="n"/>
      <c r="QVV14" s="2" t="n"/>
      <c r="QVW14" s="2" t="n"/>
      <c r="QVX14" s="2" t="n"/>
      <c r="QVY14" s="2" t="n"/>
      <c r="QVZ14" s="2" t="n"/>
      <c r="QWA14" s="2" t="n"/>
      <c r="QWB14" s="2" t="n"/>
      <c r="QWC14" s="2" t="n"/>
      <c r="QWD14" s="2" t="n"/>
      <c r="QWE14" s="2" t="n"/>
      <c r="QWF14" s="2" t="n"/>
      <c r="QWG14" s="2" t="n"/>
      <c r="QWH14" s="2" t="n"/>
      <c r="QWI14" s="2" t="n"/>
      <c r="QWJ14" s="2" t="n"/>
      <c r="QWK14" s="2" t="n"/>
      <c r="QWL14" s="2" t="n"/>
      <c r="QWM14" s="2" t="n"/>
      <c r="QWN14" s="2" t="n"/>
      <c r="QWO14" s="2" t="n"/>
      <c r="QWP14" s="2" t="n"/>
      <c r="QWQ14" s="2" t="n"/>
      <c r="QWR14" s="2" t="n"/>
      <c r="QWS14" s="2" t="n"/>
      <c r="QWT14" s="2" t="n"/>
      <c r="QWU14" s="2" t="n"/>
      <c r="QWV14" s="2" t="n"/>
      <c r="QWW14" s="2" t="n"/>
      <c r="QWX14" s="2" t="n"/>
      <c r="QWY14" s="2" t="n"/>
      <c r="QWZ14" s="2" t="n"/>
      <c r="QXA14" s="2" t="n"/>
      <c r="QXB14" s="2" t="n"/>
      <c r="QXC14" s="2" t="n"/>
      <c r="QXD14" s="2" t="n"/>
      <c r="QXE14" s="2" t="n"/>
      <c r="QXF14" s="2" t="n"/>
      <c r="QXG14" s="2" t="n"/>
      <c r="QXH14" s="2" t="n"/>
      <c r="QXI14" s="2" t="n"/>
      <c r="QXJ14" s="2" t="n"/>
      <c r="QXK14" s="2" t="n"/>
      <c r="QXL14" s="2" t="n"/>
      <c r="QXM14" s="2" t="n"/>
      <c r="QXN14" s="2" t="n"/>
      <c r="QXO14" s="2" t="n"/>
      <c r="QXP14" s="2" t="n"/>
      <c r="QXQ14" s="2" t="n"/>
      <c r="QXR14" s="2" t="n"/>
      <c r="QXS14" s="2" t="n"/>
      <c r="QXT14" s="2" t="n"/>
      <c r="QXU14" s="2" t="n"/>
      <c r="QXV14" s="2" t="n"/>
      <c r="QXW14" s="2" t="n"/>
      <c r="QXX14" s="2" t="n"/>
      <c r="QXY14" s="2" t="n"/>
      <c r="QXZ14" s="2" t="n"/>
      <c r="QYA14" s="2" t="n"/>
      <c r="QYB14" s="2" t="n"/>
      <c r="QYC14" s="2" t="n"/>
      <c r="QYD14" s="2" t="n"/>
      <c r="QYE14" s="2" t="n"/>
      <c r="QYF14" s="2" t="n"/>
      <c r="QYG14" s="2" t="n"/>
      <c r="QYH14" s="2" t="n"/>
      <c r="QYI14" s="2" t="n"/>
      <c r="QYJ14" s="2" t="n"/>
      <c r="QYK14" s="2" t="n"/>
      <c r="QYL14" s="2" t="n"/>
      <c r="QYM14" s="2" t="n"/>
      <c r="QYN14" s="2" t="n"/>
      <c r="QYO14" s="2" t="n"/>
      <c r="QYP14" s="2" t="n"/>
      <c r="QYQ14" s="2" t="n"/>
      <c r="QYR14" s="2" t="n"/>
      <c r="QYS14" s="2" t="n"/>
      <c r="QYT14" s="2" t="n"/>
      <c r="QYU14" s="2" t="n"/>
      <c r="QYV14" s="2" t="n"/>
      <c r="QYW14" s="2" t="n"/>
      <c r="QYX14" s="2" t="n"/>
      <c r="QYY14" s="2" t="n"/>
      <c r="QYZ14" s="2" t="n"/>
      <c r="QZA14" s="2" t="n"/>
      <c r="QZB14" s="2" t="n"/>
      <c r="QZC14" s="2" t="n"/>
      <c r="QZD14" s="2" t="n"/>
      <c r="QZE14" s="2" t="n"/>
      <c r="QZF14" s="2" t="n"/>
      <c r="QZG14" s="2" t="n"/>
      <c r="QZH14" s="2" t="n"/>
      <c r="QZI14" s="2" t="n"/>
      <c r="QZJ14" s="2" t="n"/>
      <c r="QZK14" s="2" t="n"/>
      <c r="QZL14" s="2" t="n"/>
      <c r="QZM14" s="2" t="n"/>
      <c r="QZN14" s="2" t="n"/>
      <c r="QZO14" s="2" t="n"/>
      <c r="QZP14" s="2" t="n"/>
      <c r="QZQ14" s="2" t="n"/>
      <c r="QZR14" s="2" t="n"/>
      <c r="QZS14" s="2" t="n"/>
      <c r="QZT14" s="2" t="n"/>
      <c r="QZU14" s="2" t="n"/>
      <c r="QZV14" s="2" t="n"/>
      <c r="QZW14" s="2" t="n"/>
      <c r="QZX14" s="2" t="n"/>
      <c r="QZY14" s="2" t="n"/>
      <c r="QZZ14" s="2" t="n"/>
      <c r="RAA14" s="2" t="n"/>
      <c r="RAB14" s="2" t="n"/>
      <c r="RAC14" s="2" t="n"/>
      <c r="RAD14" s="2" t="n"/>
      <c r="RAE14" s="2" t="n"/>
      <c r="RAF14" s="2" t="n"/>
      <c r="RAG14" s="2" t="n"/>
      <c r="RAH14" s="2" t="n"/>
      <c r="RAI14" s="2" t="n"/>
      <c r="RAJ14" s="2" t="n"/>
      <c r="RAK14" s="2" t="n"/>
      <c r="RAL14" s="2" t="n"/>
      <c r="RAM14" s="2" t="n"/>
      <c r="RAN14" s="2" t="n"/>
      <c r="RAO14" s="2" t="n"/>
      <c r="RAP14" s="2" t="n"/>
      <c r="RAQ14" s="2" t="n"/>
      <c r="RAR14" s="2" t="n"/>
      <c r="RAS14" s="2" t="n"/>
      <c r="RAT14" s="2" t="n"/>
      <c r="RAU14" s="2" t="n"/>
      <c r="RAV14" s="2" t="n"/>
      <c r="RAW14" s="2" t="n"/>
      <c r="RAX14" s="2" t="n"/>
      <c r="RAY14" s="2" t="n"/>
      <c r="RAZ14" s="2" t="n"/>
      <c r="RBA14" s="2" t="n"/>
      <c r="RBB14" s="2" t="n"/>
      <c r="RBC14" s="2" t="n"/>
      <c r="RBD14" s="2" t="n"/>
      <c r="RBE14" s="2" t="n"/>
      <c r="RBF14" s="2" t="n"/>
      <c r="RBG14" s="2" t="n"/>
      <c r="RBH14" s="2" t="n"/>
      <c r="RBI14" s="2" t="n"/>
      <c r="RBJ14" s="2" t="n"/>
      <c r="RBK14" s="2" t="n"/>
      <c r="RBL14" s="2" t="n"/>
      <c r="RBM14" s="2" t="n"/>
      <c r="RBN14" s="2" t="n"/>
      <c r="RBO14" s="2" t="n"/>
      <c r="RBP14" s="2" t="n"/>
      <c r="RBQ14" s="2" t="n"/>
      <c r="RBR14" s="2" t="n"/>
      <c r="RBS14" s="2" t="n"/>
      <c r="RBT14" s="2" t="n"/>
      <c r="RBU14" s="2" t="n"/>
      <c r="RBV14" s="2" t="n"/>
      <c r="RBW14" s="2" t="n"/>
      <c r="RBX14" s="2" t="n"/>
      <c r="RBY14" s="2" t="n"/>
      <c r="RBZ14" s="2" t="n"/>
      <c r="RCA14" s="2" t="n"/>
      <c r="RCB14" s="2" t="n"/>
      <c r="RCC14" s="2" t="n"/>
      <c r="RCD14" s="2" t="n"/>
      <c r="RCE14" s="2" t="n"/>
      <c r="RCF14" s="2" t="n"/>
      <c r="RCG14" s="2" t="n"/>
      <c r="RCH14" s="2" t="n"/>
      <c r="RCI14" s="2" t="n"/>
      <c r="RCJ14" s="2" t="n"/>
      <c r="RCK14" s="2" t="n"/>
      <c r="RCL14" s="2" t="n"/>
      <c r="RCM14" s="2" t="n"/>
      <c r="RCN14" s="2" t="n"/>
      <c r="RCO14" s="2" t="n"/>
      <c r="RCP14" s="2" t="n"/>
      <c r="RCQ14" s="2" t="n"/>
      <c r="RCR14" s="2" t="n"/>
      <c r="RCS14" s="2" t="n"/>
      <c r="RCT14" s="2" t="n"/>
      <c r="RCU14" s="2" t="n"/>
      <c r="RCV14" s="2" t="n"/>
      <c r="RCW14" s="2" t="n"/>
      <c r="RCX14" s="2" t="n"/>
      <c r="RCY14" s="2" t="n"/>
      <c r="RCZ14" s="2" t="n"/>
      <c r="RDA14" s="2" t="n"/>
      <c r="RDB14" s="2" t="n"/>
      <c r="RDC14" s="2" t="n"/>
      <c r="RDD14" s="2" t="n"/>
      <c r="RDE14" s="2" t="n"/>
      <c r="RDF14" s="2" t="n"/>
      <c r="RDG14" s="2" t="n"/>
      <c r="RDH14" s="2" t="n"/>
      <c r="RDI14" s="2" t="n"/>
      <c r="RDJ14" s="2" t="n"/>
      <c r="RDK14" s="2" t="n"/>
      <c r="RDL14" s="2" t="n"/>
      <c r="RDM14" s="2" t="n"/>
      <c r="RDN14" s="2" t="n"/>
      <c r="RDO14" s="2" t="n"/>
      <c r="RDP14" s="2" t="n"/>
      <c r="RDQ14" s="2" t="n"/>
      <c r="RDR14" s="2" t="n"/>
      <c r="RDS14" s="2" t="n"/>
      <c r="RDT14" s="2" t="n"/>
      <c r="RDU14" s="2" t="n"/>
      <c r="RDV14" s="2" t="n"/>
      <c r="RDW14" s="2" t="n"/>
      <c r="RDX14" s="2" t="n"/>
      <c r="RDY14" s="2" t="n"/>
      <c r="RDZ14" s="2" t="n"/>
      <c r="REA14" s="2" t="n"/>
      <c r="REB14" s="2" t="n"/>
      <c r="REC14" s="2" t="n"/>
      <c r="RED14" s="2" t="n"/>
      <c r="REE14" s="2" t="n"/>
      <c r="REF14" s="2" t="n"/>
      <c r="REG14" s="2" t="n"/>
      <c r="REH14" s="2" t="n"/>
      <c r="REI14" s="2" t="n"/>
      <c r="REJ14" s="2" t="n"/>
      <c r="REK14" s="2" t="n"/>
      <c r="REL14" s="2" t="n"/>
      <c r="REM14" s="2" t="n"/>
      <c r="REN14" s="2" t="n"/>
      <c r="REO14" s="2" t="n"/>
      <c r="REP14" s="2" t="n"/>
      <c r="REQ14" s="2" t="n"/>
      <c r="RER14" s="2" t="n"/>
      <c r="RES14" s="2" t="n"/>
      <c r="RET14" s="2" t="n"/>
      <c r="REU14" s="2" t="n"/>
      <c r="REV14" s="2" t="n"/>
      <c r="REW14" s="2" t="n"/>
      <c r="REX14" s="2" t="n"/>
      <c r="REY14" s="2" t="n"/>
      <c r="REZ14" s="2" t="n"/>
      <c r="RFA14" s="2" t="n"/>
      <c r="RFB14" s="2" t="n"/>
      <c r="RFC14" s="2" t="n"/>
      <c r="RFD14" s="2" t="n"/>
      <c r="RFE14" s="2" t="n"/>
      <c r="RFF14" s="2" t="n"/>
      <c r="RFG14" s="2" t="n"/>
      <c r="RFH14" s="2" t="n"/>
      <c r="RFI14" s="2" t="n"/>
      <c r="RFJ14" s="2" t="n"/>
      <c r="RFK14" s="2" t="n"/>
      <c r="RFL14" s="2" t="n"/>
      <c r="RFM14" s="2" t="n"/>
      <c r="RFN14" s="2" t="n"/>
      <c r="RFO14" s="2" t="n"/>
      <c r="RFP14" s="2" t="n"/>
      <c r="RFQ14" s="2" t="n"/>
      <c r="RFR14" s="2" t="n"/>
      <c r="RFS14" s="2" t="n"/>
      <c r="RFT14" s="2" t="n"/>
      <c r="RFU14" s="2" t="n"/>
      <c r="RFV14" s="2" t="n"/>
      <c r="RFW14" s="2" t="n"/>
      <c r="RFX14" s="2" t="n"/>
      <c r="RFY14" s="2" t="n"/>
      <c r="RFZ14" s="2" t="n"/>
      <c r="RGA14" s="2" t="n"/>
      <c r="RGB14" s="2" t="n"/>
      <c r="RGC14" s="2" t="n"/>
      <c r="RGD14" s="2" t="n"/>
      <c r="RGE14" s="2" t="n"/>
      <c r="RGF14" s="2" t="n"/>
      <c r="RGG14" s="2" t="n"/>
      <c r="RGH14" s="2" t="n"/>
      <c r="RGI14" s="2" t="n"/>
      <c r="RGJ14" s="2" t="n"/>
      <c r="RGK14" s="2" t="n"/>
      <c r="RGL14" s="2" t="n"/>
      <c r="RGM14" s="2" t="n"/>
      <c r="RGN14" s="2" t="n"/>
      <c r="RGO14" s="2" t="n"/>
      <c r="RGP14" s="2" t="n"/>
      <c r="RGQ14" s="2" t="n"/>
      <c r="RGR14" s="2" t="n"/>
      <c r="RGS14" s="2" t="n"/>
      <c r="RGT14" s="2" t="n"/>
      <c r="RGU14" s="2" t="n"/>
      <c r="RGV14" s="2" t="n"/>
      <c r="RGW14" s="2" t="n"/>
      <c r="RGX14" s="2" t="n"/>
      <c r="RGY14" s="2" t="n"/>
      <c r="RGZ14" s="2" t="n"/>
      <c r="RHA14" s="2" t="n"/>
      <c r="RHB14" s="2" t="n"/>
      <c r="RHC14" s="2" t="n"/>
      <c r="RHD14" s="2" t="n"/>
      <c r="RHE14" s="2" t="n"/>
      <c r="RHF14" s="2" t="n"/>
      <c r="RHG14" s="2" t="n"/>
      <c r="RHH14" s="2" t="n"/>
      <c r="RHI14" s="2" t="n"/>
      <c r="RHJ14" s="2" t="n"/>
      <c r="RHK14" s="2" t="n"/>
      <c r="RHL14" s="2" t="n"/>
      <c r="RHM14" s="2" t="n"/>
      <c r="RHN14" s="2" t="n"/>
      <c r="RHO14" s="2" t="n"/>
      <c r="RHP14" s="2" t="n"/>
      <c r="RHQ14" s="2" t="n"/>
      <c r="RHR14" s="2" t="n"/>
      <c r="RHS14" s="2" t="n"/>
      <c r="RHT14" s="2" t="n"/>
      <c r="RHU14" s="2" t="n"/>
      <c r="RHV14" s="2" t="n"/>
      <c r="RHW14" s="2" t="n"/>
      <c r="RHX14" s="2" t="n"/>
      <c r="RHY14" s="2" t="n"/>
      <c r="RHZ14" s="2" t="n"/>
      <c r="RIA14" s="2" t="n"/>
      <c r="RIB14" s="2" t="n"/>
      <c r="RIC14" s="2" t="n"/>
      <c r="RID14" s="2" t="n"/>
      <c r="RIE14" s="2" t="n"/>
      <c r="RIF14" s="2" t="n"/>
      <c r="RIG14" s="2" t="n"/>
      <c r="RIH14" s="2" t="n"/>
      <c r="RII14" s="2" t="n"/>
      <c r="RIJ14" s="2" t="n"/>
      <c r="RIK14" s="2" t="n"/>
      <c r="RIL14" s="2" t="n"/>
      <c r="RIM14" s="2" t="n"/>
      <c r="RIN14" s="2" t="n"/>
      <c r="RIO14" s="2" t="n"/>
      <c r="RIP14" s="2" t="n"/>
      <c r="RIQ14" s="2" t="n"/>
      <c r="RIR14" s="2" t="n"/>
      <c r="RIS14" s="2" t="n"/>
      <c r="RIT14" s="2" t="n"/>
      <c r="RIU14" s="2" t="n"/>
      <c r="RIV14" s="2" t="n"/>
      <c r="RIW14" s="2" t="n"/>
      <c r="RIX14" s="2" t="n"/>
      <c r="RIY14" s="2" t="n"/>
      <c r="RIZ14" s="2" t="n"/>
      <c r="RJA14" s="2" t="n"/>
      <c r="RJB14" s="2" t="n"/>
      <c r="RJC14" s="2" t="n"/>
      <c r="RJD14" s="2" t="n"/>
      <c r="RJE14" s="2" t="n"/>
      <c r="RJF14" s="2" t="n"/>
      <c r="RJG14" s="2" t="n"/>
      <c r="RJH14" s="2" t="n"/>
      <c r="RJI14" s="2" t="n"/>
      <c r="RJJ14" s="2" t="n"/>
      <c r="RJK14" s="2" t="n"/>
      <c r="RJL14" s="2" t="n"/>
      <c r="RJM14" s="2" t="n"/>
      <c r="RJN14" s="2" t="n"/>
      <c r="RJO14" s="2" t="n"/>
      <c r="RJP14" s="2" t="n"/>
      <c r="RJQ14" s="2" t="n"/>
      <c r="RJR14" s="2" t="n"/>
      <c r="RJS14" s="2" t="n"/>
      <c r="RJT14" s="2" t="n"/>
      <c r="RJU14" s="2" t="n"/>
      <c r="RJV14" s="2" t="n"/>
      <c r="RJW14" s="2" t="n"/>
      <c r="RJX14" s="2" t="n"/>
      <c r="RJY14" s="2" t="n"/>
      <c r="RJZ14" s="2" t="n"/>
      <c r="RKA14" s="2" t="n"/>
      <c r="RKB14" s="2" t="n"/>
      <c r="RKC14" s="2" t="n"/>
      <c r="RKD14" s="2" t="n"/>
      <c r="RKE14" s="2" t="n"/>
      <c r="RKF14" s="2" t="n"/>
      <c r="RKG14" s="2" t="n"/>
      <c r="RKH14" s="2" t="n"/>
      <c r="RKI14" s="2" t="n"/>
      <c r="RKJ14" s="2" t="n"/>
      <c r="RKK14" s="2" t="n"/>
      <c r="RKL14" s="2" t="n"/>
      <c r="RKM14" s="2" t="n"/>
      <c r="RKN14" s="2" t="n"/>
      <c r="RKO14" s="2" t="n"/>
      <c r="RKP14" s="2" t="n"/>
      <c r="RKQ14" s="2" t="n"/>
      <c r="RKR14" s="2" t="n"/>
      <c r="RKS14" s="2" t="n"/>
      <c r="RKT14" s="2" t="n"/>
      <c r="RKU14" s="2" t="n"/>
      <c r="RKV14" s="2" t="n"/>
      <c r="RKW14" s="2" t="n"/>
      <c r="RKX14" s="2" t="n"/>
      <c r="RKY14" s="2" t="n"/>
      <c r="RKZ14" s="2" t="n"/>
      <c r="RLA14" s="2" t="n"/>
      <c r="RLB14" s="2" t="n"/>
      <c r="RLC14" s="2" t="n"/>
      <c r="RLD14" s="2" t="n"/>
      <c r="RLE14" s="2" t="n"/>
      <c r="RLF14" s="2" t="n"/>
      <c r="RLG14" s="2" t="n"/>
      <c r="RLH14" s="2" t="n"/>
      <c r="RLI14" s="2" t="n"/>
      <c r="RLJ14" s="2" t="n"/>
      <c r="RLK14" s="2" t="n"/>
      <c r="RLL14" s="2" t="n"/>
      <c r="RLM14" s="2" t="n"/>
      <c r="RLN14" s="2" t="n"/>
      <c r="RLO14" s="2" t="n"/>
      <c r="RLP14" s="2" t="n"/>
      <c r="RLQ14" s="2" t="n"/>
      <c r="RLR14" s="2" t="n"/>
      <c r="RLS14" s="2" t="n"/>
      <c r="RLT14" s="2" t="n"/>
      <c r="RLU14" s="2" t="n"/>
      <c r="RLV14" s="2" t="n"/>
      <c r="RLW14" s="2" t="n"/>
      <c r="RLX14" s="2" t="n"/>
      <c r="RLY14" s="2" t="n"/>
      <c r="RLZ14" s="2" t="n"/>
      <c r="RMA14" s="2" t="n"/>
      <c r="RMB14" s="2" t="n"/>
      <c r="RMC14" s="2" t="n"/>
      <c r="RMD14" s="2" t="n"/>
      <c r="RME14" s="2" t="n"/>
      <c r="RMF14" s="2" t="n"/>
      <c r="RMG14" s="2" t="n"/>
      <c r="RMH14" s="2" t="n"/>
      <c r="RMI14" s="2" t="n"/>
      <c r="RMJ14" s="2" t="n"/>
      <c r="RMK14" s="2" t="n"/>
      <c r="RML14" s="2" t="n"/>
      <c r="RMM14" s="2" t="n"/>
      <c r="RMN14" s="2" t="n"/>
      <c r="RMO14" s="2" t="n"/>
      <c r="RMP14" s="2" t="n"/>
      <c r="RMQ14" s="2" t="n"/>
      <c r="RMR14" s="2" t="n"/>
      <c r="RMS14" s="2" t="n"/>
      <c r="RMT14" s="2" t="n"/>
      <c r="RMU14" s="2" t="n"/>
      <c r="RMV14" s="2" t="n"/>
      <c r="RMW14" s="2" t="n"/>
      <c r="RMX14" s="2" t="n"/>
      <c r="RMY14" s="2" t="n"/>
      <c r="RMZ14" s="2" t="n"/>
      <c r="RNA14" s="2" t="n"/>
      <c r="RNB14" s="2" t="n"/>
      <c r="RNC14" s="2" t="n"/>
      <c r="RND14" s="2" t="n"/>
      <c r="RNE14" s="2" t="n"/>
      <c r="RNF14" s="2" t="n"/>
      <c r="RNG14" s="2" t="n"/>
      <c r="RNH14" s="2" t="n"/>
      <c r="RNI14" s="2" t="n"/>
      <c r="RNJ14" s="2" t="n"/>
      <c r="RNK14" s="2" t="n"/>
      <c r="RNL14" s="2" t="n"/>
      <c r="RNM14" s="2" t="n"/>
      <c r="RNN14" s="2" t="n"/>
      <c r="RNO14" s="2" t="n"/>
      <c r="RNP14" s="2" t="n"/>
      <c r="RNQ14" s="2" t="n"/>
      <c r="RNR14" s="2" t="n"/>
      <c r="RNS14" s="2" t="n"/>
      <c r="RNT14" s="2" t="n"/>
      <c r="RNU14" s="2" t="n"/>
      <c r="RNV14" s="2" t="n"/>
      <c r="RNW14" s="2" t="n"/>
      <c r="RNX14" s="2" t="n"/>
      <c r="RNY14" s="2" t="n"/>
      <c r="RNZ14" s="2" t="n"/>
      <c r="ROA14" s="2" t="n"/>
      <c r="ROB14" s="2" t="n"/>
      <c r="ROC14" s="2" t="n"/>
      <c r="ROD14" s="2" t="n"/>
      <c r="ROE14" s="2" t="n"/>
      <c r="ROF14" s="2" t="n"/>
      <c r="ROG14" s="2" t="n"/>
      <c r="ROH14" s="2" t="n"/>
      <c r="ROI14" s="2" t="n"/>
      <c r="ROJ14" s="2" t="n"/>
      <c r="ROK14" s="2" t="n"/>
      <c r="ROL14" s="2" t="n"/>
      <c r="ROM14" s="2" t="n"/>
      <c r="RON14" s="2" t="n"/>
      <c r="ROO14" s="2" t="n"/>
      <c r="ROP14" s="2" t="n"/>
      <c r="ROQ14" s="2" t="n"/>
      <c r="ROR14" s="2" t="n"/>
      <c r="ROS14" s="2" t="n"/>
      <c r="ROT14" s="2" t="n"/>
      <c r="ROU14" s="2" t="n"/>
      <c r="ROV14" s="2" t="n"/>
      <c r="ROW14" s="2" t="n"/>
      <c r="ROX14" s="2" t="n"/>
      <c r="ROY14" s="2" t="n"/>
      <c r="ROZ14" s="2" t="n"/>
      <c r="RPA14" s="2" t="n"/>
      <c r="RPB14" s="2" t="n"/>
      <c r="RPC14" s="2" t="n"/>
      <c r="RPD14" s="2" t="n"/>
      <c r="RPE14" s="2" t="n"/>
      <c r="RPF14" s="2" t="n"/>
      <c r="RPG14" s="2" t="n"/>
      <c r="RPH14" s="2" t="n"/>
      <c r="RPI14" s="2" t="n"/>
      <c r="RPJ14" s="2" t="n"/>
      <c r="RPK14" s="2" t="n"/>
      <c r="RPL14" s="2" t="n"/>
      <c r="RPM14" s="2" t="n"/>
      <c r="RPN14" s="2" t="n"/>
      <c r="RPO14" s="2" t="n"/>
      <c r="RPP14" s="2" t="n"/>
      <c r="RPQ14" s="2" t="n"/>
      <c r="RPR14" s="2" t="n"/>
      <c r="RPS14" s="2" t="n"/>
      <c r="RPT14" s="2" t="n"/>
      <c r="RPU14" s="2" t="n"/>
      <c r="RPV14" s="2" t="n"/>
      <c r="RPW14" s="2" t="n"/>
      <c r="RPX14" s="2" t="n"/>
      <c r="RPY14" s="2" t="n"/>
      <c r="RPZ14" s="2" t="n"/>
      <c r="RQA14" s="2" t="n"/>
      <c r="RQB14" s="2" t="n"/>
      <c r="RQC14" s="2" t="n"/>
      <c r="RQD14" s="2" t="n"/>
      <c r="RQE14" s="2" t="n"/>
      <c r="RQF14" s="2" t="n"/>
      <c r="RQG14" s="2" t="n"/>
      <c r="RQH14" s="2" t="n"/>
      <c r="RQI14" s="2" t="n"/>
      <c r="RQJ14" s="2" t="n"/>
      <c r="RQK14" s="2" t="n"/>
      <c r="RQL14" s="2" t="n"/>
      <c r="RQM14" s="2" t="n"/>
      <c r="RQN14" s="2" t="n"/>
      <c r="RQO14" s="2" t="n"/>
      <c r="RQP14" s="2" t="n"/>
      <c r="RQQ14" s="2" t="n"/>
      <c r="RQR14" s="2" t="n"/>
      <c r="RQS14" s="2" t="n"/>
      <c r="RQT14" s="2" t="n"/>
      <c r="RQU14" s="2" t="n"/>
      <c r="RQV14" s="2" t="n"/>
      <c r="RQW14" s="2" t="n"/>
      <c r="RQX14" s="2" t="n"/>
      <c r="RQY14" s="2" t="n"/>
      <c r="RQZ14" s="2" t="n"/>
      <c r="RRA14" s="2" t="n"/>
      <c r="RRB14" s="2" t="n"/>
      <c r="RRC14" s="2" t="n"/>
      <c r="RRD14" s="2" t="n"/>
      <c r="RRE14" s="2" t="n"/>
      <c r="RRF14" s="2" t="n"/>
      <c r="RRG14" s="2" t="n"/>
      <c r="RRH14" s="2" t="n"/>
      <c r="RRI14" s="2" t="n"/>
      <c r="RRJ14" s="2" t="n"/>
      <c r="RRK14" s="2" t="n"/>
      <c r="RRL14" s="2" t="n"/>
      <c r="RRM14" s="2" t="n"/>
      <c r="RRN14" s="2" t="n"/>
      <c r="RRO14" s="2" t="n"/>
      <c r="RRP14" s="2" t="n"/>
      <c r="RRQ14" s="2" t="n"/>
      <c r="RRR14" s="2" t="n"/>
      <c r="RRS14" s="2" t="n"/>
      <c r="RRT14" s="2" t="n"/>
      <c r="RRU14" s="2" t="n"/>
      <c r="RRV14" s="2" t="n"/>
      <c r="RRW14" s="2" t="n"/>
      <c r="RRX14" s="2" t="n"/>
      <c r="RRY14" s="2" t="n"/>
      <c r="RRZ14" s="2" t="n"/>
      <c r="RSA14" s="2" t="n"/>
      <c r="RSB14" s="2" t="n"/>
      <c r="RSC14" s="2" t="n"/>
      <c r="RSD14" s="2" t="n"/>
      <c r="RSE14" s="2" t="n"/>
      <c r="RSF14" s="2" t="n"/>
      <c r="RSG14" s="2" t="n"/>
      <c r="RSH14" s="2" t="n"/>
      <c r="RSI14" s="2" t="n"/>
      <c r="RSJ14" s="2" t="n"/>
      <c r="RSK14" s="2" t="n"/>
      <c r="RSL14" s="2" t="n"/>
      <c r="RSM14" s="2" t="n"/>
      <c r="RSN14" s="2" t="n"/>
      <c r="RSO14" s="2" t="n"/>
      <c r="RSP14" s="2" t="n"/>
      <c r="RSQ14" s="2" t="n"/>
      <c r="RSR14" s="2" t="n"/>
      <c r="RSS14" s="2" t="n"/>
      <c r="RST14" s="2" t="n"/>
      <c r="RSU14" s="2" t="n"/>
      <c r="RSV14" s="2" t="n"/>
      <c r="RSW14" s="2" t="n"/>
      <c r="RSX14" s="2" t="n"/>
      <c r="RSY14" s="2" t="n"/>
      <c r="RSZ14" s="2" t="n"/>
      <c r="RTA14" s="2" t="n"/>
      <c r="RTB14" s="2" t="n"/>
      <c r="RTC14" s="2" t="n"/>
      <c r="RTD14" s="2" t="n"/>
      <c r="RTE14" s="2" t="n"/>
      <c r="RTF14" s="2" t="n"/>
      <c r="RTG14" s="2" t="n"/>
      <c r="RTH14" s="2" t="n"/>
      <c r="RTI14" s="2" t="n"/>
      <c r="RTJ14" s="2" t="n"/>
      <c r="RTK14" s="2" t="n"/>
      <c r="RTL14" s="2" t="n"/>
      <c r="RTM14" s="2" t="n"/>
      <c r="RTN14" s="2" t="n"/>
      <c r="RTO14" s="2" t="n"/>
      <c r="RTP14" s="2" t="n"/>
      <c r="RTQ14" s="2" t="n"/>
      <c r="RTR14" s="2" t="n"/>
      <c r="RTS14" s="2" t="n"/>
      <c r="RTT14" s="2" t="n"/>
      <c r="RTU14" s="2" t="n"/>
      <c r="RTV14" s="2" t="n"/>
      <c r="RTW14" s="2" t="n"/>
      <c r="RTX14" s="2" t="n"/>
      <c r="RTY14" s="2" t="n"/>
      <c r="RTZ14" s="2" t="n"/>
      <c r="RUA14" s="2" t="n"/>
      <c r="RUB14" s="2" t="n"/>
      <c r="RUC14" s="2" t="n"/>
      <c r="RUD14" s="2" t="n"/>
      <c r="RUE14" s="2" t="n"/>
      <c r="RUF14" s="2" t="n"/>
      <c r="RUG14" s="2" t="n"/>
      <c r="RUH14" s="2" t="n"/>
      <c r="RUI14" s="2" t="n"/>
      <c r="RUJ14" s="2" t="n"/>
      <c r="RUK14" s="2" t="n"/>
      <c r="RUL14" s="2" t="n"/>
      <c r="RUM14" s="2" t="n"/>
      <c r="RUN14" s="2" t="n"/>
      <c r="RUO14" s="2" t="n"/>
      <c r="RUP14" s="2" t="n"/>
      <c r="RUQ14" s="2" t="n"/>
      <c r="RUR14" s="2" t="n"/>
      <c r="RUS14" s="2" t="n"/>
      <c r="RUT14" s="2" t="n"/>
      <c r="RUU14" s="2" t="n"/>
      <c r="RUV14" s="2" t="n"/>
      <c r="RUW14" s="2" t="n"/>
      <c r="RUX14" s="2" t="n"/>
      <c r="RUY14" s="2" t="n"/>
      <c r="RUZ14" s="2" t="n"/>
      <c r="RVA14" s="2" t="n"/>
      <c r="RVB14" s="2" t="n"/>
      <c r="RVC14" s="2" t="n"/>
      <c r="RVD14" s="2" t="n"/>
      <c r="RVE14" s="2" t="n"/>
      <c r="RVF14" s="2" t="n"/>
      <c r="RVG14" s="2" t="n"/>
      <c r="RVH14" s="2" t="n"/>
      <c r="RVI14" s="2" t="n"/>
      <c r="RVJ14" s="2" t="n"/>
      <c r="RVK14" s="2" t="n"/>
      <c r="RVL14" s="2" t="n"/>
      <c r="RVM14" s="2" t="n"/>
      <c r="RVN14" s="2" t="n"/>
      <c r="RVO14" s="2" t="n"/>
      <c r="RVP14" s="2" t="n"/>
      <c r="RVQ14" s="2" t="n"/>
      <c r="RVR14" s="2" t="n"/>
      <c r="RVS14" s="2" t="n"/>
      <c r="RVT14" s="2" t="n"/>
      <c r="RVU14" s="2" t="n"/>
      <c r="RVV14" s="2" t="n"/>
      <c r="RVW14" s="2" t="n"/>
      <c r="RVX14" s="2" t="n"/>
      <c r="RVY14" s="2" t="n"/>
      <c r="RVZ14" s="2" t="n"/>
      <c r="RWA14" s="2" t="n"/>
      <c r="RWB14" s="2" t="n"/>
      <c r="RWC14" s="2" t="n"/>
      <c r="RWD14" s="2" t="n"/>
      <c r="RWE14" s="2" t="n"/>
      <c r="RWF14" s="2" t="n"/>
      <c r="RWG14" s="2" t="n"/>
      <c r="RWH14" s="2" t="n"/>
      <c r="RWI14" s="2" t="n"/>
      <c r="RWJ14" s="2" t="n"/>
      <c r="RWK14" s="2" t="n"/>
      <c r="RWL14" s="2" t="n"/>
      <c r="RWM14" s="2" t="n"/>
      <c r="RWN14" s="2" t="n"/>
      <c r="RWO14" s="2" t="n"/>
      <c r="RWP14" s="2" t="n"/>
      <c r="RWQ14" s="2" t="n"/>
      <c r="RWR14" s="2" t="n"/>
      <c r="RWS14" s="2" t="n"/>
      <c r="RWT14" s="2" t="n"/>
      <c r="RWU14" s="2" t="n"/>
      <c r="RWV14" s="2" t="n"/>
      <c r="RWW14" s="2" t="n"/>
      <c r="RWX14" s="2" t="n"/>
      <c r="RWY14" s="2" t="n"/>
      <c r="RWZ14" s="2" t="n"/>
      <c r="RXA14" s="2" t="n"/>
      <c r="RXB14" s="2" t="n"/>
      <c r="RXC14" s="2" t="n"/>
      <c r="RXD14" s="2" t="n"/>
      <c r="RXE14" s="2" t="n"/>
      <c r="RXF14" s="2" t="n"/>
      <c r="RXG14" s="2" t="n"/>
      <c r="RXH14" s="2" t="n"/>
      <c r="RXI14" s="2" t="n"/>
      <c r="RXJ14" s="2" t="n"/>
      <c r="RXK14" s="2" t="n"/>
      <c r="RXL14" s="2" t="n"/>
      <c r="RXM14" s="2" t="n"/>
      <c r="RXN14" s="2" t="n"/>
      <c r="RXO14" s="2" t="n"/>
      <c r="RXP14" s="2" t="n"/>
      <c r="RXQ14" s="2" t="n"/>
      <c r="RXR14" s="2" t="n"/>
      <c r="RXS14" s="2" t="n"/>
      <c r="RXT14" s="2" t="n"/>
      <c r="RXU14" s="2" t="n"/>
      <c r="RXV14" s="2" t="n"/>
      <c r="RXW14" s="2" t="n"/>
      <c r="RXX14" s="2" t="n"/>
      <c r="RXY14" s="2" t="n"/>
      <c r="RXZ14" s="2" t="n"/>
      <c r="RYA14" s="2" t="n"/>
      <c r="RYB14" s="2" t="n"/>
      <c r="RYC14" s="2" t="n"/>
      <c r="RYD14" s="2" t="n"/>
      <c r="RYE14" s="2" t="n"/>
      <c r="RYF14" s="2" t="n"/>
      <c r="RYG14" s="2" t="n"/>
      <c r="RYH14" s="2" t="n"/>
      <c r="RYI14" s="2" t="n"/>
      <c r="RYJ14" s="2" t="n"/>
      <c r="RYK14" s="2" t="n"/>
      <c r="RYL14" s="2" t="n"/>
      <c r="RYM14" s="2" t="n"/>
      <c r="RYN14" s="2" t="n"/>
      <c r="RYO14" s="2" t="n"/>
      <c r="RYP14" s="2" t="n"/>
      <c r="RYQ14" s="2" t="n"/>
      <c r="RYR14" s="2" t="n"/>
      <c r="RYS14" s="2" t="n"/>
      <c r="RYT14" s="2" t="n"/>
      <c r="RYU14" s="2" t="n"/>
      <c r="RYV14" s="2" t="n"/>
      <c r="RYW14" s="2" t="n"/>
      <c r="RYX14" s="2" t="n"/>
      <c r="RYY14" s="2" t="n"/>
      <c r="RYZ14" s="2" t="n"/>
      <c r="RZA14" s="2" t="n"/>
      <c r="RZB14" s="2" t="n"/>
      <c r="RZC14" s="2" t="n"/>
      <c r="RZD14" s="2" t="n"/>
      <c r="RZE14" s="2" t="n"/>
      <c r="RZF14" s="2" t="n"/>
      <c r="RZG14" s="2" t="n"/>
      <c r="RZH14" s="2" t="n"/>
      <c r="RZI14" s="2" t="n"/>
      <c r="RZJ14" s="2" t="n"/>
      <c r="RZK14" s="2" t="n"/>
      <c r="RZL14" s="2" t="n"/>
      <c r="RZM14" s="2" t="n"/>
      <c r="RZN14" s="2" t="n"/>
      <c r="RZO14" s="2" t="n"/>
      <c r="RZP14" s="2" t="n"/>
      <c r="RZQ14" s="2" t="n"/>
      <c r="RZR14" s="2" t="n"/>
      <c r="RZS14" s="2" t="n"/>
      <c r="RZT14" s="2" t="n"/>
      <c r="RZU14" s="2" t="n"/>
      <c r="RZV14" s="2" t="n"/>
      <c r="RZW14" s="2" t="n"/>
      <c r="RZX14" s="2" t="n"/>
      <c r="RZY14" s="2" t="n"/>
      <c r="RZZ14" s="2" t="n"/>
      <c r="SAA14" s="2" t="n"/>
      <c r="SAB14" s="2" t="n"/>
      <c r="SAC14" s="2" t="n"/>
      <c r="SAD14" s="2" t="n"/>
      <c r="SAE14" s="2" t="n"/>
      <c r="SAF14" s="2" t="n"/>
      <c r="SAG14" s="2" t="n"/>
      <c r="SAH14" s="2" t="n"/>
      <c r="SAI14" s="2" t="n"/>
      <c r="SAJ14" s="2" t="n"/>
      <c r="SAK14" s="2" t="n"/>
      <c r="SAL14" s="2" t="n"/>
      <c r="SAM14" s="2" t="n"/>
      <c r="SAN14" s="2" t="n"/>
      <c r="SAO14" s="2" t="n"/>
      <c r="SAP14" s="2" t="n"/>
      <c r="SAQ14" s="2" t="n"/>
      <c r="SAR14" s="2" t="n"/>
      <c r="SAS14" s="2" t="n"/>
      <c r="SAT14" s="2" t="n"/>
      <c r="SAU14" s="2" t="n"/>
      <c r="SAV14" s="2" t="n"/>
      <c r="SAW14" s="2" t="n"/>
      <c r="SAX14" s="2" t="n"/>
      <c r="SAY14" s="2" t="n"/>
      <c r="SAZ14" s="2" t="n"/>
      <c r="SBA14" s="2" t="n"/>
      <c r="SBB14" s="2" t="n"/>
      <c r="SBC14" s="2" t="n"/>
      <c r="SBD14" s="2" t="n"/>
      <c r="SBE14" s="2" t="n"/>
      <c r="SBF14" s="2" t="n"/>
      <c r="SBG14" s="2" t="n"/>
      <c r="SBH14" s="2" t="n"/>
      <c r="SBI14" s="2" t="n"/>
      <c r="SBJ14" s="2" t="n"/>
      <c r="SBK14" s="2" t="n"/>
      <c r="SBL14" s="2" t="n"/>
      <c r="SBM14" s="2" t="n"/>
      <c r="SBN14" s="2" t="n"/>
      <c r="SBO14" s="2" t="n"/>
      <c r="SBP14" s="2" t="n"/>
      <c r="SBQ14" s="2" t="n"/>
      <c r="SBR14" s="2" t="n"/>
      <c r="SBS14" s="2" t="n"/>
      <c r="SBT14" s="2" t="n"/>
      <c r="SBU14" s="2" t="n"/>
      <c r="SBV14" s="2" t="n"/>
      <c r="SBW14" s="2" t="n"/>
      <c r="SBX14" s="2" t="n"/>
      <c r="SBY14" s="2" t="n"/>
      <c r="SBZ14" s="2" t="n"/>
      <c r="SCA14" s="2" t="n"/>
      <c r="SCB14" s="2" t="n"/>
      <c r="SCC14" s="2" t="n"/>
      <c r="SCD14" s="2" t="n"/>
      <c r="SCE14" s="2" t="n"/>
      <c r="SCF14" s="2" t="n"/>
      <c r="SCG14" s="2" t="n"/>
      <c r="SCH14" s="2" t="n"/>
      <c r="SCI14" s="2" t="n"/>
      <c r="SCJ14" s="2" t="n"/>
      <c r="SCK14" s="2" t="n"/>
      <c r="SCL14" s="2" t="n"/>
      <c r="SCM14" s="2" t="n"/>
      <c r="SCN14" s="2" t="n"/>
      <c r="SCO14" s="2" t="n"/>
      <c r="SCP14" s="2" t="n"/>
      <c r="SCQ14" s="2" t="n"/>
      <c r="SCR14" s="2" t="n"/>
      <c r="SCS14" s="2" t="n"/>
      <c r="SCT14" s="2" t="n"/>
      <c r="SCU14" s="2" t="n"/>
      <c r="SCV14" s="2" t="n"/>
      <c r="SCW14" s="2" t="n"/>
      <c r="SCX14" s="2" t="n"/>
      <c r="SCY14" s="2" t="n"/>
      <c r="SCZ14" s="2" t="n"/>
      <c r="SDA14" s="2" t="n"/>
      <c r="SDB14" s="2" t="n"/>
      <c r="SDC14" s="2" t="n"/>
      <c r="SDD14" s="2" t="n"/>
      <c r="SDE14" s="2" t="n"/>
      <c r="SDF14" s="2" t="n"/>
      <c r="SDG14" s="2" t="n"/>
      <c r="SDH14" s="2" t="n"/>
      <c r="SDI14" s="2" t="n"/>
      <c r="SDJ14" s="2" t="n"/>
      <c r="SDK14" s="2" t="n"/>
      <c r="SDL14" s="2" t="n"/>
      <c r="SDM14" s="2" t="n"/>
      <c r="SDN14" s="2" t="n"/>
      <c r="SDO14" s="2" t="n"/>
      <c r="SDP14" s="2" t="n"/>
      <c r="SDQ14" s="2" t="n"/>
      <c r="SDR14" s="2" t="n"/>
      <c r="SDS14" s="2" t="n"/>
      <c r="SDT14" s="2" t="n"/>
      <c r="SDU14" s="2" t="n"/>
      <c r="SDV14" s="2" t="n"/>
      <c r="SDW14" s="2" t="n"/>
      <c r="SDX14" s="2" t="n"/>
      <c r="SDY14" s="2" t="n"/>
      <c r="SDZ14" s="2" t="n"/>
      <c r="SEA14" s="2" t="n"/>
      <c r="SEB14" s="2" t="n"/>
      <c r="SEC14" s="2" t="n"/>
      <c r="SED14" s="2" t="n"/>
      <c r="SEE14" s="2" t="n"/>
      <c r="SEF14" s="2" t="n"/>
      <c r="SEG14" s="2" t="n"/>
      <c r="SEH14" s="2" t="n"/>
      <c r="SEI14" s="2" t="n"/>
      <c r="SEJ14" s="2" t="n"/>
      <c r="SEK14" s="2" t="n"/>
      <c r="SEL14" s="2" t="n"/>
      <c r="SEM14" s="2" t="n"/>
      <c r="SEN14" s="2" t="n"/>
      <c r="SEO14" s="2" t="n"/>
      <c r="SEP14" s="2" t="n"/>
      <c r="SEQ14" s="2" t="n"/>
      <c r="SER14" s="2" t="n"/>
      <c r="SES14" s="2" t="n"/>
      <c r="SET14" s="2" t="n"/>
      <c r="SEU14" s="2" t="n"/>
      <c r="SEV14" s="2" t="n"/>
      <c r="SEW14" s="2" t="n"/>
      <c r="SEX14" s="2" t="n"/>
      <c r="SEY14" s="2" t="n"/>
      <c r="SEZ14" s="2" t="n"/>
      <c r="SFA14" s="2" t="n"/>
      <c r="SFB14" s="2" t="n"/>
      <c r="SFC14" s="2" t="n"/>
      <c r="SFD14" s="2" t="n"/>
      <c r="SFE14" s="2" t="n"/>
      <c r="SFF14" s="2" t="n"/>
      <c r="SFG14" s="2" t="n"/>
      <c r="SFH14" s="2" t="n"/>
      <c r="SFI14" s="2" t="n"/>
      <c r="SFJ14" s="2" t="n"/>
      <c r="SFK14" s="2" t="n"/>
      <c r="SFL14" s="2" t="n"/>
      <c r="SFM14" s="2" t="n"/>
      <c r="SFN14" s="2" t="n"/>
      <c r="SFO14" s="2" t="n"/>
      <c r="SFP14" s="2" t="n"/>
      <c r="SFQ14" s="2" t="n"/>
      <c r="SFR14" s="2" t="n"/>
      <c r="SFS14" s="2" t="n"/>
      <c r="SFT14" s="2" t="n"/>
      <c r="SFU14" s="2" t="n"/>
      <c r="SFV14" s="2" t="n"/>
      <c r="SFW14" s="2" t="n"/>
      <c r="SFX14" s="2" t="n"/>
      <c r="SFY14" s="2" t="n"/>
      <c r="SFZ14" s="2" t="n"/>
      <c r="SGA14" s="2" t="n"/>
      <c r="SGB14" s="2" t="n"/>
      <c r="SGC14" s="2" t="n"/>
      <c r="SGD14" s="2" t="n"/>
      <c r="SGE14" s="2" t="n"/>
      <c r="SGF14" s="2" t="n"/>
      <c r="SGG14" s="2" t="n"/>
      <c r="SGH14" s="2" t="n"/>
      <c r="SGI14" s="2" t="n"/>
      <c r="SGJ14" s="2" t="n"/>
      <c r="SGK14" s="2" t="n"/>
      <c r="SGL14" s="2" t="n"/>
      <c r="SGM14" s="2" t="n"/>
      <c r="SGN14" s="2" t="n"/>
      <c r="SGO14" s="2" t="n"/>
      <c r="SGP14" s="2" t="n"/>
      <c r="SGQ14" s="2" t="n"/>
      <c r="SGR14" s="2" t="n"/>
      <c r="SGS14" s="2" t="n"/>
      <c r="SGT14" s="2" t="n"/>
      <c r="SGU14" s="2" t="n"/>
      <c r="SGV14" s="2" t="n"/>
      <c r="SGW14" s="2" t="n"/>
      <c r="SGX14" s="2" t="n"/>
      <c r="SGY14" s="2" t="n"/>
      <c r="SGZ14" s="2" t="n"/>
      <c r="SHA14" s="2" t="n"/>
      <c r="SHB14" s="2" t="n"/>
      <c r="SHC14" s="2" t="n"/>
      <c r="SHD14" s="2" t="n"/>
      <c r="SHE14" s="2" t="n"/>
      <c r="SHF14" s="2" t="n"/>
      <c r="SHG14" s="2" t="n"/>
      <c r="SHH14" s="2" t="n"/>
      <c r="SHI14" s="2" t="n"/>
      <c r="SHJ14" s="2" t="n"/>
      <c r="SHK14" s="2" t="n"/>
      <c r="SHL14" s="2" t="n"/>
      <c r="SHM14" s="2" t="n"/>
      <c r="SHN14" s="2" t="n"/>
      <c r="SHO14" s="2" t="n"/>
      <c r="SHP14" s="2" t="n"/>
      <c r="SHQ14" s="2" t="n"/>
      <c r="SHR14" s="2" t="n"/>
      <c r="SHS14" s="2" t="n"/>
      <c r="SHT14" s="2" t="n"/>
      <c r="SHU14" s="2" t="n"/>
      <c r="SHV14" s="2" t="n"/>
      <c r="SHW14" s="2" t="n"/>
      <c r="SHX14" s="2" t="n"/>
      <c r="SHY14" s="2" t="n"/>
      <c r="SHZ14" s="2" t="n"/>
      <c r="SIA14" s="2" t="n"/>
      <c r="SIB14" s="2" t="n"/>
      <c r="SIC14" s="2" t="n"/>
      <c r="SID14" s="2" t="n"/>
      <c r="SIE14" s="2" t="n"/>
      <c r="SIF14" s="2" t="n"/>
      <c r="SIG14" s="2" t="n"/>
      <c r="SIH14" s="2" t="n"/>
      <c r="SII14" s="2" t="n"/>
      <c r="SIJ14" s="2" t="n"/>
      <c r="SIK14" s="2" t="n"/>
      <c r="SIL14" s="2" t="n"/>
      <c r="SIM14" s="2" t="n"/>
      <c r="SIN14" s="2" t="n"/>
      <c r="SIO14" s="2" t="n"/>
      <c r="SIP14" s="2" t="n"/>
      <c r="SIQ14" s="2" t="n"/>
      <c r="SIR14" s="2" t="n"/>
      <c r="SIS14" s="2" t="n"/>
      <c r="SIT14" s="2" t="n"/>
      <c r="SIU14" s="2" t="n"/>
      <c r="SIV14" s="2" t="n"/>
      <c r="SIW14" s="2" t="n"/>
      <c r="SIX14" s="2" t="n"/>
      <c r="SIY14" s="2" t="n"/>
      <c r="SIZ14" s="2" t="n"/>
      <c r="SJA14" s="2" t="n"/>
      <c r="SJB14" s="2" t="n"/>
      <c r="SJC14" s="2" t="n"/>
      <c r="SJD14" s="2" t="n"/>
      <c r="SJE14" s="2" t="n"/>
      <c r="SJF14" s="2" t="n"/>
      <c r="SJG14" s="2" t="n"/>
      <c r="SJH14" s="2" t="n"/>
      <c r="SJI14" s="2" t="n"/>
      <c r="SJJ14" s="2" t="n"/>
      <c r="SJK14" s="2" t="n"/>
      <c r="SJL14" s="2" t="n"/>
      <c r="SJM14" s="2" t="n"/>
      <c r="SJN14" s="2" t="n"/>
      <c r="SJO14" s="2" t="n"/>
      <c r="SJP14" s="2" t="n"/>
      <c r="SJQ14" s="2" t="n"/>
      <c r="SJR14" s="2" t="n"/>
      <c r="SJS14" s="2" t="n"/>
      <c r="SJT14" s="2" t="n"/>
      <c r="SJU14" s="2" t="n"/>
      <c r="SJV14" s="2" t="n"/>
      <c r="SJW14" s="2" t="n"/>
      <c r="SJX14" s="2" t="n"/>
      <c r="SJY14" s="2" t="n"/>
      <c r="SJZ14" s="2" t="n"/>
      <c r="SKA14" s="2" t="n"/>
      <c r="SKB14" s="2" t="n"/>
      <c r="SKC14" s="2" t="n"/>
      <c r="SKD14" s="2" t="n"/>
      <c r="SKE14" s="2" t="n"/>
      <c r="SKF14" s="2" t="n"/>
      <c r="SKG14" s="2" t="n"/>
      <c r="SKH14" s="2" t="n"/>
      <c r="SKI14" s="2" t="n"/>
      <c r="SKJ14" s="2" t="n"/>
      <c r="SKK14" s="2" t="n"/>
      <c r="SKL14" s="2" t="n"/>
      <c r="SKM14" s="2" t="n"/>
      <c r="SKN14" s="2" t="n"/>
      <c r="SKO14" s="2" t="n"/>
      <c r="SKP14" s="2" t="n"/>
      <c r="SKQ14" s="2" t="n"/>
      <c r="SKR14" s="2" t="n"/>
      <c r="SKS14" s="2" t="n"/>
      <c r="SKT14" s="2" t="n"/>
      <c r="SKU14" s="2" t="n"/>
      <c r="SKV14" s="2" t="n"/>
      <c r="SKW14" s="2" t="n"/>
      <c r="SKX14" s="2" t="n"/>
      <c r="SKY14" s="2" t="n"/>
      <c r="SKZ14" s="2" t="n"/>
      <c r="SLA14" s="2" t="n"/>
      <c r="SLB14" s="2" t="n"/>
      <c r="SLC14" s="2" t="n"/>
      <c r="SLD14" s="2" t="n"/>
      <c r="SLE14" s="2" t="n"/>
      <c r="SLF14" s="2" t="n"/>
      <c r="SLG14" s="2" t="n"/>
      <c r="SLH14" s="2" t="n"/>
      <c r="SLI14" s="2" t="n"/>
      <c r="SLJ14" s="2" t="n"/>
      <c r="SLK14" s="2" t="n"/>
      <c r="SLL14" s="2" t="n"/>
      <c r="SLM14" s="2" t="n"/>
      <c r="SLN14" s="2" t="n"/>
      <c r="SLO14" s="2" t="n"/>
      <c r="SLP14" s="2" t="n"/>
      <c r="SLQ14" s="2" t="n"/>
      <c r="SLR14" s="2" t="n"/>
      <c r="SLS14" s="2" t="n"/>
      <c r="SLT14" s="2" t="n"/>
      <c r="SLU14" s="2" t="n"/>
      <c r="SLV14" s="2" t="n"/>
      <c r="SLW14" s="2" t="n"/>
      <c r="SLX14" s="2" t="n"/>
      <c r="SLY14" s="2" t="n"/>
      <c r="SLZ14" s="2" t="n"/>
      <c r="SMA14" s="2" t="n"/>
      <c r="SMB14" s="2" t="n"/>
      <c r="SMC14" s="2" t="n"/>
      <c r="SMD14" s="2" t="n"/>
      <c r="SME14" s="2" t="n"/>
      <c r="SMF14" s="2" t="n"/>
      <c r="SMG14" s="2" t="n"/>
      <c r="SMH14" s="2" t="n"/>
      <c r="SMI14" s="2" t="n"/>
      <c r="SMJ14" s="2" t="n"/>
      <c r="SMK14" s="2" t="n"/>
      <c r="SML14" s="2" t="n"/>
      <c r="SMM14" s="2" t="n"/>
      <c r="SMN14" s="2" t="n"/>
      <c r="SMO14" s="2" t="n"/>
      <c r="SMP14" s="2" t="n"/>
      <c r="SMQ14" s="2" t="n"/>
      <c r="SMR14" s="2" t="n"/>
      <c r="SMS14" s="2" t="n"/>
      <c r="SMT14" s="2" t="n"/>
      <c r="SMU14" s="2" t="n"/>
      <c r="SMV14" s="2" t="n"/>
      <c r="SMW14" s="2" t="n"/>
      <c r="SMX14" s="2" t="n"/>
      <c r="SMY14" s="2" t="n"/>
      <c r="SMZ14" s="2" t="n"/>
      <c r="SNA14" s="2" t="n"/>
      <c r="SNB14" s="2" t="n"/>
      <c r="SNC14" s="2" t="n"/>
      <c r="SND14" s="2" t="n"/>
      <c r="SNE14" s="2" t="n"/>
      <c r="SNF14" s="2" t="n"/>
      <c r="SNG14" s="2" t="n"/>
      <c r="SNH14" s="2" t="n"/>
      <c r="SNI14" s="2" t="n"/>
      <c r="SNJ14" s="2" t="n"/>
      <c r="SNK14" s="2" t="n"/>
      <c r="SNL14" s="2" t="n"/>
      <c r="SNM14" s="2" t="n"/>
      <c r="SNN14" s="2" t="n"/>
      <c r="SNO14" s="2" t="n"/>
      <c r="SNP14" s="2" t="n"/>
      <c r="SNQ14" s="2" t="n"/>
      <c r="SNR14" s="2" t="n"/>
      <c r="SNS14" s="2" t="n"/>
      <c r="SNT14" s="2" t="n"/>
      <c r="SNU14" s="2" t="n"/>
      <c r="SNV14" s="2" t="n"/>
      <c r="SNW14" s="2" t="n"/>
      <c r="SNX14" s="2" t="n"/>
      <c r="SNY14" s="2" t="n"/>
      <c r="SNZ14" s="2" t="n"/>
      <c r="SOA14" s="2" t="n"/>
      <c r="SOB14" s="2" t="n"/>
      <c r="SOC14" s="2" t="n"/>
      <c r="SOD14" s="2" t="n"/>
      <c r="SOE14" s="2" t="n"/>
      <c r="SOF14" s="2" t="n"/>
      <c r="SOG14" s="2" t="n"/>
      <c r="SOH14" s="2" t="n"/>
      <c r="SOI14" s="2" t="n"/>
      <c r="SOJ14" s="2" t="n"/>
      <c r="SOK14" s="2" t="n"/>
      <c r="SOL14" s="2" t="n"/>
      <c r="SOM14" s="2" t="n"/>
      <c r="SON14" s="2" t="n"/>
      <c r="SOO14" s="2" t="n"/>
      <c r="SOP14" s="2" t="n"/>
      <c r="SOQ14" s="2" t="n"/>
      <c r="SOR14" s="2" t="n"/>
      <c r="SOS14" s="2" t="n"/>
      <c r="SOT14" s="2" t="n"/>
      <c r="SOU14" s="2" t="n"/>
      <c r="SOV14" s="2" t="n"/>
      <c r="SOW14" s="2" t="n"/>
      <c r="SOX14" s="2" t="n"/>
      <c r="SOY14" s="2" t="n"/>
      <c r="SOZ14" s="2" t="n"/>
      <c r="SPA14" s="2" t="n"/>
      <c r="SPB14" s="2" t="n"/>
      <c r="SPC14" s="2" t="n"/>
      <c r="SPD14" s="2" t="n"/>
      <c r="SPE14" s="2" t="n"/>
      <c r="SPF14" s="2" t="n"/>
      <c r="SPG14" s="2" t="n"/>
      <c r="SPH14" s="2" t="n"/>
      <c r="SPI14" s="2" t="n"/>
      <c r="SPJ14" s="2" t="n"/>
      <c r="SPK14" s="2" t="n"/>
      <c r="SPL14" s="2" t="n"/>
      <c r="SPM14" s="2" t="n"/>
      <c r="SPN14" s="2" t="n"/>
      <c r="SPO14" s="2" t="n"/>
      <c r="SPP14" s="2" t="n"/>
      <c r="SPQ14" s="2" t="n"/>
      <c r="SPR14" s="2" t="n"/>
      <c r="SPS14" s="2" t="n"/>
      <c r="SPT14" s="2" t="n"/>
      <c r="SPU14" s="2" t="n"/>
      <c r="SPV14" s="2" t="n"/>
      <c r="SPW14" s="2" t="n"/>
      <c r="SPX14" s="2" t="n"/>
      <c r="SPY14" s="2" t="n"/>
      <c r="SPZ14" s="2" t="n"/>
      <c r="SQA14" s="2" t="n"/>
      <c r="SQB14" s="2" t="n"/>
      <c r="SQC14" s="2" t="n"/>
      <c r="SQD14" s="2" t="n"/>
      <c r="SQE14" s="2" t="n"/>
      <c r="SQF14" s="2" t="n"/>
      <c r="SQG14" s="2" t="n"/>
      <c r="SQH14" s="2" t="n"/>
      <c r="SQI14" s="2" t="n"/>
      <c r="SQJ14" s="2" t="n"/>
      <c r="SQK14" s="2" t="n"/>
      <c r="SQL14" s="2" t="n"/>
      <c r="SQM14" s="2" t="n"/>
      <c r="SQN14" s="2" t="n"/>
      <c r="SQO14" s="2" t="n"/>
      <c r="SQP14" s="2" t="n"/>
      <c r="SQQ14" s="2" t="n"/>
      <c r="SQR14" s="2" t="n"/>
      <c r="SQS14" s="2" t="n"/>
      <c r="SQT14" s="2" t="n"/>
      <c r="SQU14" s="2" t="n"/>
      <c r="SQV14" s="2" t="n"/>
      <c r="SQW14" s="2" t="n"/>
      <c r="SQX14" s="2" t="n"/>
      <c r="SQY14" s="2" t="n"/>
      <c r="SQZ14" s="2" t="n"/>
      <c r="SRA14" s="2" t="n"/>
      <c r="SRB14" s="2" t="n"/>
      <c r="SRC14" s="2" t="n"/>
      <c r="SRD14" s="2" t="n"/>
      <c r="SRE14" s="2" t="n"/>
      <c r="SRF14" s="2" t="n"/>
      <c r="SRG14" s="2" t="n"/>
      <c r="SRH14" s="2" t="n"/>
      <c r="SRI14" s="2" t="n"/>
      <c r="SRJ14" s="2" t="n"/>
      <c r="SRK14" s="2" t="n"/>
      <c r="SRL14" s="2" t="n"/>
      <c r="SRM14" s="2" t="n"/>
      <c r="SRN14" s="2" t="n"/>
      <c r="SRO14" s="2" t="n"/>
      <c r="SRP14" s="2" t="n"/>
      <c r="SRQ14" s="2" t="n"/>
      <c r="SRR14" s="2" t="n"/>
      <c r="SRS14" s="2" t="n"/>
      <c r="SRT14" s="2" t="n"/>
      <c r="SRU14" s="2" t="n"/>
      <c r="SRV14" s="2" t="n"/>
      <c r="SRW14" s="2" t="n"/>
      <c r="SRX14" s="2" t="n"/>
      <c r="SRY14" s="2" t="n"/>
      <c r="SRZ14" s="2" t="n"/>
      <c r="SSA14" s="2" t="n"/>
      <c r="SSB14" s="2" t="n"/>
      <c r="SSC14" s="2" t="n"/>
      <c r="SSD14" s="2" t="n"/>
      <c r="SSE14" s="2" t="n"/>
      <c r="SSF14" s="2" t="n"/>
      <c r="SSG14" s="2" t="n"/>
      <c r="SSH14" s="2" t="n"/>
      <c r="SSI14" s="2" t="n"/>
      <c r="SSJ14" s="2" t="n"/>
      <c r="SSK14" s="2" t="n"/>
      <c r="SSL14" s="2" t="n"/>
      <c r="SSM14" s="2" t="n"/>
      <c r="SSN14" s="2" t="n"/>
      <c r="SSO14" s="2" t="n"/>
      <c r="SSP14" s="2" t="n"/>
      <c r="SSQ14" s="2" t="n"/>
      <c r="SSR14" s="2" t="n"/>
      <c r="SSS14" s="2" t="n"/>
      <c r="SST14" s="2" t="n"/>
      <c r="SSU14" s="2" t="n"/>
      <c r="SSV14" s="2" t="n"/>
      <c r="SSW14" s="2" t="n"/>
      <c r="SSX14" s="2" t="n"/>
      <c r="SSY14" s="2" t="n"/>
      <c r="SSZ14" s="2" t="n"/>
      <c r="STA14" s="2" t="n"/>
      <c r="STB14" s="2" t="n"/>
      <c r="STC14" s="2" t="n"/>
      <c r="STD14" s="2" t="n"/>
      <c r="STE14" s="2" t="n"/>
      <c r="STF14" s="2" t="n"/>
      <c r="STG14" s="2" t="n"/>
      <c r="STH14" s="2" t="n"/>
      <c r="STI14" s="2" t="n"/>
      <c r="STJ14" s="2" t="n"/>
      <c r="STK14" s="2" t="n"/>
      <c r="STL14" s="2" t="n"/>
      <c r="STM14" s="2" t="n"/>
      <c r="STN14" s="2" t="n"/>
      <c r="STO14" s="2" t="n"/>
      <c r="STP14" s="2" t="n"/>
      <c r="STQ14" s="2" t="n"/>
      <c r="STR14" s="2" t="n"/>
      <c r="STS14" s="2" t="n"/>
      <c r="STT14" s="2" t="n"/>
      <c r="STU14" s="2" t="n"/>
      <c r="STV14" s="2" t="n"/>
      <c r="STW14" s="2" t="n"/>
      <c r="STX14" s="2" t="n"/>
      <c r="STY14" s="2" t="n"/>
      <c r="STZ14" s="2" t="n"/>
      <c r="SUA14" s="2" t="n"/>
      <c r="SUB14" s="2" t="n"/>
      <c r="SUC14" s="2" t="n"/>
      <c r="SUD14" s="2" t="n"/>
      <c r="SUE14" s="2" t="n"/>
      <c r="SUF14" s="2" t="n"/>
      <c r="SUG14" s="2" t="n"/>
      <c r="SUH14" s="2" t="n"/>
      <c r="SUI14" s="2" t="n"/>
      <c r="SUJ14" s="2" t="n"/>
      <c r="SUK14" s="2" t="n"/>
      <c r="SUL14" s="2" t="n"/>
      <c r="SUM14" s="2" t="n"/>
      <c r="SUN14" s="2" t="n"/>
      <c r="SUO14" s="2" t="n"/>
      <c r="SUP14" s="2" t="n"/>
      <c r="SUQ14" s="2" t="n"/>
      <c r="SUR14" s="2" t="n"/>
      <c r="SUS14" s="2" t="n"/>
      <c r="SUT14" s="2" t="n"/>
      <c r="SUU14" s="2" t="n"/>
      <c r="SUV14" s="2" t="n"/>
      <c r="SUW14" s="2" t="n"/>
      <c r="SUX14" s="2" t="n"/>
      <c r="SUY14" s="2" t="n"/>
      <c r="SUZ14" s="2" t="n"/>
      <c r="SVA14" s="2" t="n"/>
      <c r="SVB14" s="2" t="n"/>
      <c r="SVC14" s="2" t="n"/>
      <c r="SVD14" s="2" t="n"/>
      <c r="SVE14" s="2" t="n"/>
      <c r="SVF14" s="2" t="n"/>
      <c r="SVG14" s="2" t="n"/>
      <c r="SVH14" s="2" t="n"/>
      <c r="SVI14" s="2" t="n"/>
      <c r="SVJ14" s="2" t="n"/>
      <c r="SVK14" s="2" t="n"/>
      <c r="SVL14" s="2" t="n"/>
      <c r="SVM14" s="2" t="n"/>
      <c r="SVN14" s="2" t="n"/>
      <c r="SVO14" s="2" t="n"/>
      <c r="SVP14" s="2" t="n"/>
      <c r="SVQ14" s="2" t="n"/>
      <c r="SVR14" s="2" t="n"/>
      <c r="SVS14" s="2" t="n"/>
      <c r="SVT14" s="2" t="n"/>
      <c r="SVU14" s="2" t="n"/>
      <c r="SVV14" s="2" t="n"/>
      <c r="SVW14" s="2" t="n"/>
      <c r="SVX14" s="2" t="n"/>
      <c r="SVY14" s="2" t="n"/>
      <c r="SVZ14" s="2" t="n"/>
      <c r="SWA14" s="2" t="n"/>
      <c r="SWB14" s="2" t="n"/>
      <c r="SWC14" s="2" t="n"/>
      <c r="SWD14" s="2" t="n"/>
      <c r="SWE14" s="2" t="n"/>
      <c r="SWF14" s="2" t="n"/>
      <c r="SWG14" s="2" t="n"/>
      <c r="SWH14" s="2" t="n"/>
      <c r="SWI14" s="2" t="n"/>
      <c r="SWJ14" s="2" t="n"/>
      <c r="SWK14" s="2" t="n"/>
      <c r="SWL14" s="2" t="n"/>
      <c r="SWM14" s="2" t="n"/>
      <c r="SWN14" s="2" t="n"/>
      <c r="SWO14" s="2" t="n"/>
      <c r="SWP14" s="2" t="n"/>
      <c r="SWQ14" s="2" t="n"/>
      <c r="SWR14" s="2" t="n"/>
      <c r="SWS14" s="2" t="n"/>
      <c r="SWT14" s="2" t="n"/>
      <c r="SWU14" s="2" t="n"/>
      <c r="SWV14" s="2" t="n"/>
      <c r="SWW14" s="2" t="n"/>
      <c r="SWX14" s="2" t="n"/>
      <c r="SWY14" s="2" t="n"/>
      <c r="SWZ14" s="2" t="n"/>
      <c r="SXA14" s="2" t="n"/>
      <c r="SXB14" s="2" t="n"/>
      <c r="SXC14" s="2" t="n"/>
      <c r="SXD14" s="2" t="n"/>
      <c r="SXE14" s="2" t="n"/>
      <c r="SXF14" s="2" t="n"/>
      <c r="SXG14" s="2" t="n"/>
      <c r="SXH14" s="2" t="n"/>
      <c r="SXI14" s="2" t="n"/>
      <c r="SXJ14" s="2" t="n"/>
      <c r="SXK14" s="2" t="n"/>
      <c r="SXL14" s="2" t="n"/>
      <c r="SXM14" s="2" t="n"/>
      <c r="SXN14" s="2" t="n"/>
      <c r="SXO14" s="2" t="n"/>
      <c r="SXP14" s="2" t="n"/>
      <c r="SXQ14" s="2" t="n"/>
      <c r="SXR14" s="2" t="n"/>
      <c r="SXS14" s="2" t="n"/>
      <c r="SXT14" s="2" t="n"/>
      <c r="SXU14" s="2" t="n"/>
      <c r="SXV14" s="2" t="n"/>
      <c r="SXW14" s="2" t="n"/>
      <c r="SXX14" s="2" t="n"/>
      <c r="SXY14" s="2" t="n"/>
      <c r="SXZ14" s="2" t="n"/>
      <c r="SYA14" s="2" t="n"/>
      <c r="SYB14" s="2" t="n"/>
      <c r="SYC14" s="2" t="n"/>
      <c r="SYD14" s="2" t="n"/>
      <c r="SYE14" s="2" t="n"/>
      <c r="SYF14" s="2" t="n"/>
      <c r="SYG14" s="2" t="n"/>
      <c r="SYH14" s="2" t="n"/>
      <c r="SYI14" s="2" t="n"/>
      <c r="SYJ14" s="2" t="n"/>
      <c r="SYK14" s="2" t="n"/>
      <c r="SYL14" s="2" t="n"/>
      <c r="SYM14" s="2" t="n"/>
      <c r="SYN14" s="2" t="n"/>
      <c r="SYO14" s="2" t="n"/>
      <c r="SYP14" s="2" t="n"/>
      <c r="SYQ14" s="2" t="n"/>
      <c r="SYR14" s="2" t="n"/>
      <c r="SYS14" s="2" t="n"/>
      <c r="SYT14" s="2" t="n"/>
      <c r="SYU14" s="2" t="n"/>
      <c r="SYV14" s="2" t="n"/>
      <c r="SYW14" s="2" t="n"/>
      <c r="SYX14" s="2" t="n"/>
      <c r="SYY14" s="2" t="n"/>
      <c r="SYZ14" s="2" t="n"/>
      <c r="SZA14" s="2" t="n"/>
      <c r="SZB14" s="2" t="n"/>
      <c r="SZC14" s="2" t="n"/>
      <c r="SZD14" s="2" t="n"/>
      <c r="SZE14" s="2" t="n"/>
      <c r="SZF14" s="2" t="n"/>
      <c r="SZG14" s="2" t="n"/>
      <c r="SZH14" s="2" t="n"/>
      <c r="SZI14" s="2" t="n"/>
      <c r="SZJ14" s="2" t="n"/>
      <c r="SZK14" s="2" t="n"/>
      <c r="SZL14" s="2" t="n"/>
      <c r="SZM14" s="2" t="n"/>
      <c r="SZN14" s="2" t="n"/>
      <c r="SZO14" s="2" t="n"/>
      <c r="SZP14" s="2" t="n"/>
      <c r="SZQ14" s="2" t="n"/>
      <c r="SZR14" s="2" t="n"/>
      <c r="SZS14" s="2" t="n"/>
      <c r="SZT14" s="2" t="n"/>
      <c r="SZU14" s="2" t="n"/>
      <c r="SZV14" s="2" t="n"/>
      <c r="SZW14" s="2" t="n"/>
      <c r="SZX14" s="2" t="n"/>
      <c r="SZY14" s="2" t="n"/>
      <c r="SZZ14" s="2" t="n"/>
      <c r="TAA14" s="2" t="n"/>
      <c r="TAB14" s="2" t="n"/>
      <c r="TAC14" s="2" t="n"/>
      <c r="TAD14" s="2" t="n"/>
      <c r="TAE14" s="2" t="n"/>
      <c r="TAF14" s="2" t="n"/>
      <c r="TAG14" s="2" t="n"/>
      <c r="TAH14" s="2" t="n"/>
      <c r="TAI14" s="2" t="n"/>
      <c r="TAJ14" s="2" t="n"/>
      <c r="TAK14" s="2" t="n"/>
      <c r="TAL14" s="2" t="n"/>
      <c r="TAM14" s="2" t="n"/>
      <c r="TAN14" s="2" t="n"/>
      <c r="TAO14" s="2" t="n"/>
      <c r="TAP14" s="2" t="n"/>
      <c r="TAQ14" s="2" t="n"/>
      <c r="TAR14" s="2" t="n"/>
      <c r="TAS14" s="2" t="n"/>
      <c r="TAT14" s="2" t="n"/>
      <c r="TAU14" s="2" t="n"/>
      <c r="TAV14" s="2" t="n"/>
      <c r="TAW14" s="2" t="n"/>
      <c r="TAX14" s="2" t="n"/>
      <c r="TAY14" s="2" t="n"/>
      <c r="TAZ14" s="2" t="n"/>
      <c r="TBA14" s="2" t="n"/>
      <c r="TBB14" s="2" t="n"/>
      <c r="TBC14" s="2" t="n"/>
      <c r="TBD14" s="2" t="n"/>
      <c r="TBE14" s="2" t="n"/>
      <c r="TBF14" s="2" t="n"/>
      <c r="TBG14" s="2" t="n"/>
      <c r="TBH14" s="2" t="n"/>
      <c r="TBI14" s="2" t="n"/>
      <c r="TBJ14" s="2" t="n"/>
      <c r="TBK14" s="2" t="n"/>
      <c r="TBL14" s="2" t="n"/>
      <c r="TBM14" s="2" t="n"/>
      <c r="TBN14" s="2" t="n"/>
      <c r="TBO14" s="2" t="n"/>
      <c r="TBP14" s="2" t="n"/>
      <c r="TBQ14" s="2" t="n"/>
      <c r="TBR14" s="2" t="n"/>
      <c r="TBS14" s="2" t="n"/>
      <c r="TBT14" s="2" t="n"/>
      <c r="TBU14" s="2" t="n"/>
      <c r="TBV14" s="2" t="n"/>
      <c r="TBW14" s="2" t="n"/>
      <c r="TBX14" s="2" t="n"/>
      <c r="TBY14" s="2" t="n"/>
      <c r="TBZ14" s="2" t="n"/>
      <c r="TCA14" s="2" t="n"/>
      <c r="TCB14" s="2" t="n"/>
      <c r="TCC14" s="2" t="n"/>
      <c r="TCD14" s="2" t="n"/>
      <c r="TCE14" s="2" t="n"/>
      <c r="TCF14" s="2" t="n"/>
      <c r="TCG14" s="2" t="n"/>
      <c r="TCH14" s="2" t="n"/>
      <c r="TCI14" s="2" t="n"/>
      <c r="TCJ14" s="2" t="n"/>
      <c r="TCK14" s="2" t="n"/>
      <c r="TCL14" s="2" t="n"/>
      <c r="TCM14" s="2" t="n"/>
      <c r="TCN14" s="2" t="n"/>
      <c r="TCO14" s="2" t="n"/>
      <c r="TCP14" s="2" t="n"/>
      <c r="TCQ14" s="2" t="n"/>
      <c r="TCR14" s="2" t="n"/>
      <c r="TCS14" s="2" t="n"/>
      <c r="TCT14" s="2" t="n"/>
      <c r="TCU14" s="2" t="n"/>
      <c r="TCV14" s="2" t="n"/>
      <c r="TCW14" s="2" t="n"/>
      <c r="TCX14" s="2" t="n"/>
      <c r="TCY14" s="2" t="n"/>
      <c r="TCZ14" s="2" t="n"/>
      <c r="TDA14" s="2" t="n"/>
      <c r="TDB14" s="2" t="n"/>
      <c r="TDC14" s="2" t="n"/>
      <c r="TDD14" s="2" t="n"/>
      <c r="TDE14" s="2" t="n"/>
      <c r="TDF14" s="2" t="n"/>
      <c r="TDG14" s="2" t="n"/>
      <c r="TDH14" s="2" t="n"/>
      <c r="TDI14" s="2" t="n"/>
      <c r="TDJ14" s="2" t="n"/>
      <c r="TDK14" s="2" t="n"/>
      <c r="TDL14" s="2" t="n"/>
      <c r="TDM14" s="2" t="n"/>
      <c r="TDN14" s="2" t="n"/>
      <c r="TDO14" s="2" t="n"/>
      <c r="TDP14" s="2" t="n"/>
      <c r="TDQ14" s="2" t="n"/>
      <c r="TDR14" s="2" t="n"/>
      <c r="TDS14" s="2" t="n"/>
      <c r="TDT14" s="2" t="n"/>
      <c r="TDU14" s="2" t="n"/>
      <c r="TDV14" s="2" t="n"/>
      <c r="TDW14" s="2" t="n"/>
      <c r="TDX14" s="2" t="n"/>
      <c r="TDY14" s="2" t="n"/>
      <c r="TDZ14" s="2" t="n"/>
      <c r="TEA14" s="2" t="n"/>
      <c r="TEB14" s="2" t="n"/>
      <c r="TEC14" s="2" t="n"/>
      <c r="TED14" s="2" t="n"/>
      <c r="TEE14" s="2" t="n"/>
      <c r="TEF14" s="2" t="n"/>
      <c r="TEG14" s="2" t="n"/>
      <c r="TEH14" s="2" t="n"/>
      <c r="TEI14" s="2" t="n"/>
      <c r="TEJ14" s="2" t="n"/>
      <c r="TEK14" s="2" t="n"/>
      <c r="TEL14" s="2" t="n"/>
      <c r="TEM14" s="2" t="n"/>
      <c r="TEN14" s="2" t="n"/>
      <c r="TEO14" s="2" t="n"/>
      <c r="TEP14" s="2" t="n"/>
      <c r="TEQ14" s="2" t="n"/>
      <c r="TER14" s="2" t="n"/>
      <c r="TES14" s="2" t="n"/>
      <c r="TET14" s="2" t="n"/>
      <c r="TEU14" s="2" t="n"/>
      <c r="TEV14" s="2" t="n"/>
      <c r="TEW14" s="2" t="n"/>
      <c r="TEX14" s="2" t="n"/>
      <c r="TEY14" s="2" t="n"/>
      <c r="TEZ14" s="2" t="n"/>
      <c r="TFA14" s="2" t="n"/>
      <c r="TFB14" s="2" t="n"/>
      <c r="TFC14" s="2" t="n"/>
      <c r="TFD14" s="2" t="n"/>
      <c r="TFE14" s="2" t="n"/>
      <c r="TFF14" s="2" t="n"/>
      <c r="TFG14" s="2" t="n"/>
      <c r="TFH14" s="2" t="n"/>
      <c r="TFI14" s="2" t="n"/>
      <c r="TFJ14" s="2" t="n"/>
      <c r="TFK14" s="2" t="n"/>
      <c r="TFL14" s="2" t="n"/>
      <c r="TFM14" s="2" t="n"/>
      <c r="TFN14" s="2" t="n"/>
      <c r="TFO14" s="2" t="n"/>
      <c r="TFP14" s="2" t="n"/>
      <c r="TFQ14" s="2" t="n"/>
      <c r="TFR14" s="2" t="n"/>
      <c r="TFS14" s="2" t="n"/>
      <c r="TFT14" s="2" t="n"/>
      <c r="TFU14" s="2" t="n"/>
      <c r="TFV14" s="2" t="n"/>
      <c r="TFW14" s="2" t="n"/>
      <c r="TFX14" s="2" t="n"/>
      <c r="TFY14" s="2" t="n"/>
      <c r="TFZ14" s="2" t="n"/>
      <c r="TGA14" s="2" t="n"/>
      <c r="TGB14" s="2" t="n"/>
      <c r="TGC14" s="2" t="n"/>
      <c r="TGD14" s="2" t="n"/>
      <c r="TGE14" s="2" t="n"/>
      <c r="TGF14" s="2" t="n"/>
      <c r="TGG14" s="2" t="n"/>
      <c r="TGH14" s="2" t="n"/>
      <c r="TGI14" s="2" t="n"/>
      <c r="TGJ14" s="2" t="n"/>
      <c r="TGK14" s="2" t="n"/>
      <c r="TGL14" s="2" t="n"/>
      <c r="TGM14" s="2" t="n"/>
      <c r="TGN14" s="2" t="n"/>
      <c r="TGO14" s="2" t="n"/>
      <c r="TGP14" s="2" t="n"/>
      <c r="TGQ14" s="2" t="n"/>
      <c r="TGR14" s="2" t="n"/>
      <c r="TGS14" s="2" t="n"/>
      <c r="TGT14" s="2" t="n"/>
      <c r="TGU14" s="2" t="n"/>
      <c r="TGV14" s="2" t="n"/>
      <c r="TGW14" s="2" t="n"/>
      <c r="TGX14" s="2" t="n"/>
      <c r="TGY14" s="2" t="n"/>
      <c r="TGZ14" s="2" t="n"/>
      <c r="THA14" s="2" t="n"/>
      <c r="THB14" s="2" t="n"/>
      <c r="THC14" s="2" t="n"/>
      <c r="THD14" s="2" t="n"/>
      <c r="THE14" s="2" t="n"/>
      <c r="THF14" s="2" t="n"/>
      <c r="THG14" s="2" t="n"/>
      <c r="THH14" s="2" t="n"/>
      <c r="THI14" s="2" t="n"/>
      <c r="THJ14" s="2" t="n"/>
      <c r="THK14" s="2" t="n"/>
      <c r="THL14" s="2" t="n"/>
      <c r="THM14" s="2" t="n"/>
      <c r="THN14" s="2" t="n"/>
      <c r="THO14" s="2" t="n"/>
      <c r="THP14" s="2" t="n"/>
      <c r="THQ14" s="2" t="n"/>
      <c r="THR14" s="2" t="n"/>
      <c r="THS14" s="2" t="n"/>
      <c r="THT14" s="2" t="n"/>
      <c r="THU14" s="2" t="n"/>
      <c r="THV14" s="2" t="n"/>
      <c r="THW14" s="2" t="n"/>
      <c r="THX14" s="2" t="n"/>
      <c r="THY14" s="2" t="n"/>
      <c r="THZ14" s="2" t="n"/>
      <c r="TIA14" s="2" t="n"/>
      <c r="TIB14" s="2" t="n"/>
      <c r="TIC14" s="2" t="n"/>
      <c r="TID14" s="2" t="n"/>
      <c r="TIE14" s="2" t="n"/>
      <c r="TIF14" s="2" t="n"/>
      <c r="TIG14" s="2" t="n"/>
      <c r="TIH14" s="2" t="n"/>
      <c r="TII14" s="2" t="n"/>
      <c r="TIJ14" s="2" t="n"/>
      <c r="TIK14" s="2" t="n"/>
      <c r="TIL14" s="2" t="n"/>
      <c r="TIM14" s="2" t="n"/>
      <c r="TIN14" s="2" t="n"/>
      <c r="TIO14" s="2" t="n"/>
      <c r="TIP14" s="2" t="n"/>
      <c r="TIQ14" s="2" t="n"/>
      <c r="TIR14" s="2" t="n"/>
      <c r="TIS14" s="2" t="n"/>
      <c r="TIT14" s="2" t="n"/>
      <c r="TIU14" s="2" t="n"/>
      <c r="TIV14" s="2" t="n"/>
      <c r="TIW14" s="2" t="n"/>
      <c r="TIX14" s="2" t="n"/>
      <c r="TIY14" s="2" t="n"/>
      <c r="TIZ14" s="2" t="n"/>
      <c r="TJA14" s="2" t="n"/>
      <c r="TJB14" s="2" t="n"/>
      <c r="TJC14" s="2" t="n"/>
      <c r="TJD14" s="2" t="n"/>
      <c r="TJE14" s="2" t="n"/>
      <c r="TJF14" s="2" t="n"/>
      <c r="TJG14" s="2" t="n"/>
      <c r="TJH14" s="2" t="n"/>
      <c r="TJI14" s="2" t="n"/>
      <c r="TJJ14" s="2" t="n"/>
      <c r="TJK14" s="2" t="n"/>
      <c r="TJL14" s="2" t="n"/>
      <c r="TJM14" s="2" t="n"/>
      <c r="TJN14" s="2" t="n"/>
      <c r="TJO14" s="2" t="n"/>
      <c r="TJP14" s="2" t="n"/>
      <c r="TJQ14" s="2" t="n"/>
      <c r="TJR14" s="2" t="n"/>
      <c r="TJS14" s="2" t="n"/>
      <c r="TJT14" s="2" t="n"/>
      <c r="TJU14" s="2" t="n"/>
      <c r="TJV14" s="2" t="n"/>
      <c r="TJW14" s="2" t="n"/>
      <c r="TJX14" s="2" t="n"/>
      <c r="TJY14" s="2" t="n"/>
      <c r="TJZ14" s="2" t="n"/>
      <c r="TKA14" s="2" t="n"/>
      <c r="TKB14" s="2" t="n"/>
      <c r="TKC14" s="2" t="n"/>
      <c r="TKD14" s="2" t="n"/>
      <c r="TKE14" s="2" t="n"/>
      <c r="TKF14" s="2" t="n"/>
      <c r="TKG14" s="2" t="n"/>
      <c r="TKH14" s="2" t="n"/>
      <c r="TKI14" s="2" t="n"/>
      <c r="TKJ14" s="2" t="n"/>
      <c r="TKK14" s="2" t="n"/>
      <c r="TKL14" s="2" t="n"/>
      <c r="TKM14" s="2" t="n"/>
      <c r="TKN14" s="2" t="n"/>
      <c r="TKO14" s="2" t="n"/>
      <c r="TKP14" s="2" t="n"/>
      <c r="TKQ14" s="2" t="n"/>
      <c r="TKR14" s="2" t="n"/>
      <c r="TKS14" s="2" t="n"/>
      <c r="TKT14" s="2" t="n"/>
      <c r="TKU14" s="2" t="n"/>
      <c r="TKV14" s="2" t="n"/>
      <c r="TKW14" s="2" t="n"/>
      <c r="TKX14" s="2" t="n"/>
      <c r="TKY14" s="2" t="n"/>
      <c r="TKZ14" s="2" t="n"/>
      <c r="TLA14" s="2" t="n"/>
      <c r="TLB14" s="2" t="n"/>
      <c r="TLC14" s="2" t="n"/>
      <c r="TLD14" s="2" t="n"/>
      <c r="TLE14" s="2" t="n"/>
      <c r="TLF14" s="2" t="n"/>
      <c r="TLG14" s="2" t="n"/>
      <c r="TLH14" s="2" t="n"/>
      <c r="TLI14" s="2" t="n"/>
      <c r="TLJ14" s="2" t="n"/>
      <c r="TLK14" s="2" t="n"/>
      <c r="TLL14" s="2" t="n"/>
      <c r="TLM14" s="2" t="n"/>
      <c r="TLN14" s="2" t="n"/>
      <c r="TLO14" s="2" t="n"/>
      <c r="TLP14" s="2" t="n"/>
      <c r="TLQ14" s="2" t="n"/>
      <c r="TLR14" s="2" t="n"/>
      <c r="TLS14" s="2" t="n"/>
      <c r="TLT14" s="2" t="n"/>
      <c r="TLU14" s="2" t="n"/>
      <c r="TLV14" s="2" t="n"/>
      <c r="TLW14" s="2" t="n"/>
      <c r="TLX14" s="2" t="n"/>
      <c r="TLY14" s="2" t="n"/>
      <c r="TLZ14" s="2" t="n"/>
      <c r="TMA14" s="2" t="n"/>
      <c r="TMB14" s="2" t="n"/>
      <c r="TMC14" s="2" t="n"/>
      <c r="TMD14" s="2" t="n"/>
      <c r="TME14" s="2" t="n"/>
      <c r="TMF14" s="2" t="n"/>
      <c r="TMG14" s="2" t="n"/>
      <c r="TMH14" s="2" t="n"/>
      <c r="TMI14" s="2" t="n"/>
      <c r="TMJ14" s="2" t="n"/>
      <c r="TMK14" s="2" t="n"/>
      <c r="TML14" s="2" t="n"/>
      <c r="TMM14" s="2" t="n"/>
      <c r="TMN14" s="2" t="n"/>
      <c r="TMO14" s="2" t="n"/>
      <c r="TMP14" s="2" t="n"/>
      <c r="TMQ14" s="2" t="n"/>
      <c r="TMR14" s="2" t="n"/>
      <c r="TMS14" s="2" t="n"/>
      <c r="TMT14" s="2" t="n"/>
      <c r="TMU14" s="2" t="n"/>
      <c r="TMV14" s="2" t="n"/>
      <c r="TMW14" s="2" t="n"/>
      <c r="TMX14" s="2" t="n"/>
      <c r="TMY14" s="2" t="n"/>
      <c r="TMZ14" s="2" t="n"/>
      <c r="TNA14" s="2" t="n"/>
      <c r="TNB14" s="2" t="n"/>
      <c r="TNC14" s="2" t="n"/>
      <c r="TND14" s="2" t="n"/>
      <c r="TNE14" s="2" t="n"/>
      <c r="TNF14" s="2" t="n"/>
      <c r="TNG14" s="2" t="n"/>
      <c r="TNH14" s="2" t="n"/>
      <c r="TNI14" s="2" t="n"/>
      <c r="TNJ14" s="2" t="n"/>
      <c r="TNK14" s="2" t="n"/>
      <c r="TNL14" s="2" t="n"/>
      <c r="TNM14" s="2" t="n"/>
      <c r="TNN14" s="2" t="n"/>
      <c r="TNO14" s="2" t="n"/>
      <c r="TNP14" s="2" t="n"/>
      <c r="TNQ14" s="2" t="n"/>
      <c r="TNR14" s="2" t="n"/>
      <c r="TNS14" s="2" t="n"/>
      <c r="TNT14" s="2" t="n"/>
      <c r="TNU14" s="2" t="n"/>
      <c r="TNV14" s="2" t="n"/>
      <c r="TNW14" s="2" t="n"/>
      <c r="TNX14" s="2" t="n"/>
      <c r="TNY14" s="2" t="n"/>
      <c r="TNZ14" s="2" t="n"/>
      <c r="TOA14" s="2" t="n"/>
      <c r="TOB14" s="2" t="n"/>
      <c r="TOC14" s="2" t="n"/>
      <c r="TOD14" s="2" t="n"/>
      <c r="TOE14" s="2" t="n"/>
      <c r="TOF14" s="2" t="n"/>
      <c r="TOG14" s="2" t="n"/>
      <c r="TOH14" s="2" t="n"/>
      <c r="TOI14" s="2" t="n"/>
      <c r="TOJ14" s="2" t="n"/>
      <c r="TOK14" s="2" t="n"/>
      <c r="TOL14" s="2" t="n"/>
      <c r="TOM14" s="2" t="n"/>
      <c r="TON14" s="2" t="n"/>
      <c r="TOO14" s="2" t="n"/>
      <c r="TOP14" s="2" t="n"/>
      <c r="TOQ14" s="2" t="n"/>
      <c r="TOR14" s="2" t="n"/>
      <c r="TOS14" s="2" t="n"/>
      <c r="TOT14" s="2" t="n"/>
      <c r="TOU14" s="2" t="n"/>
      <c r="TOV14" s="2" t="n"/>
      <c r="TOW14" s="2" t="n"/>
      <c r="TOX14" s="2" t="n"/>
      <c r="TOY14" s="2" t="n"/>
      <c r="TOZ14" s="2" t="n"/>
      <c r="TPA14" s="2" t="n"/>
      <c r="TPB14" s="2" t="n"/>
      <c r="TPC14" s="2" t="n"/>
      <c r="TPD14" s="2" t="n"/>
      <c r="TPE14" s="2" t="n"/>
      <c r="TPF14" s="2" t="n"/>
      <c r="TPG14" s="2" t="n"/>
      <c r="TPH14" s="2" t="n"/>
      <c r="TPI14" s="2" t="n"/>
      <c r="TPJ14" s="2" t="n"/>
      <c r="TPK14" s="2" t="n"/>
      <c r="TPL14" s="2" t="n"/>
      <c r="TPM14" s="2" t="n"/>
      <c r="TPN14" s="2" t="n"/>
      <c r="TPO14" s="2" t="n"/>
      <c r="TPP14" s="2" t="n"/>
      <c r="TPQ14" s="2" t="n"/>
      <c r="TPR14" s="2" t="n"/>
      <c r="TPS14" s="2" t="n"/>
      <c r="TPT14" s="2" t="n"/>
      <c r="TPU14" s="2" t="n"/>
      <c r="TPV14" s="2" t="n"/>
      <c r="TPW14" s="2" t="n"/>
      <c r="TPX14" s="2" t="n"/>
      <c r="TPY14" s="2" t="n"/>
      <c r="TPZ14" s="2" t="n"/>
      <c r="TQA14" s="2" t="n"/>
      <c r="TQB14" s="2" t="n"/>
      <c r="TQC14" s="2" t="n"/>
      <c r="TQD14" s="2" t="n"/>
      <c r="TQE14" s="2" t="n"/>
      <c r="TQF14" s="2" t="n"/>
      <c r="TQG14" s="2" t="n"/>
      <c r="TQH14" s="2" t="n"/>
      <c r="TQI14" s="2" t="n"/>
      <c r="TQJ14" s="2" t="n"/>
      <c r="TQK14" s="2" t="n"/>
      <c r="TQL14" s="2" t="n"/>
      <c r="TQM14" s="2" t="n"/>
      <c r="TQN14" s="2" t="n"/>
      <c r="TQO14" s="2" t="n"/>
      <c r="TQP14" s="2" t="n"/>
      <c r="TQQ14" s="2" t="n"/>
      <c r="TQR14" s="2" t="n"/>
      <c r="TQS14" s="2" t="n"/>
      <c r="TQT14" s="2" t="n"/>
      <c r="TQU14" s="2" t="n"/>
      <c r="TQV14" s="2" t="n"/>
      <c r="TQW14" s="2" t="n"/>
      <c r="TQX14" s="2" t="n"/>
      <c r="TQY14" s="2" t="n"/>
      <c r="TQZ14" s="2" t="n"/>
      <c r="TRA14" s="2" t="n"/>
      <c r="TRB14" s="2" t="n"/>
      <c r="TRC14" s="2" t="n"/>
      <c r="TRD14" s="2" t="n"/>
      <c r="TRE14" s="2" t="n"/>
      <c r="TRF14" s="2" t="n"/>
      <c r="TRG14" s="2" t="n"/>
      <c r="TRH14" s="2" t="n"/>
      <c r="TRI14" s="2" t="n"/>
      <c r="TRJ14" s="2" t="n"/>
      <c r="TRK14" s="2" t="n"/>
      <c r="TRL14" s="2" t="n"/>
      <c r="TRM14" s="2" t="n"/>
      <c r="TRN14" s="2" t="n"/>
      <c r="TRO14" s="2" t="n"/>
      <c r="TRP14" s="2" t="n"/>
      <c r="TRQ14" s="2" t="n"/>
      <c r="TRR14" s="2" t="n"/>
      <c r="TRS14" s="2" t="n"/>
      <c r="TRT14" s="2" t="n"/>
      <c r="TRU14" s="2" t="n"/>
      <c r="TRV14" s="2" t="n"/>
      <c r="TRW14" s="2" t="n"/>
      <c r="TRX14" s="2" t="n"/>
      <c r="TRY14" s="2" t="n"/>
      <c r="TRZ14" s="2" t="n"/>
      <c r="TSA14" s="2" t="n"/>
      <c r="TSB14" s="2" t="n"/>
      <c r="TSC14" s="2" t="n"/>
      <c r="TSD14" s="2" t="n"/>
      <c r="TSE14" s="2" t="n"/>
      <c r="TSF14" s="2" t="n"/>
      <c r="TSG14" s="2" t="n"/>
      <c r="TSH14" s="2" t="n"/>
      <c r="TSI14" s="2" t="n"/>
      <c r="TSJ14" s="2" t="n"/>
      <c r="TSK14" s="2" t="n"/>
      <c r="TSL14" s="2" t="n"/>
      <c r="TSM14" s="2" t="n"/>
      <c r="TSN14" s="2" t="n"/>
      <c r="TSO14" s="2" t="n"/>
      <c r="TSP14" s="2" t="n"/>
      <c r="TSQ14" s="2" t="n"/>
      <c r="TSR14" s="2" t="n"/>
      <c r="TSS14" s="2" t="n"/>
      <c r="TST14" s="2" t="n"/>
      <c r="TSU14" s="2" t="n"/>
      <c r="TSV14" s="2" t="n"/>
      <c r="TSW14" s="2" t="n"/>
      <c r="TSX14" s="2" t="n"/>
      <c r="TSY14" s="2" t="n"/>
      <c r="TSZ14" s="2" t="n"/>
      <c r="TTA14" s="2" t="n"/>
      <c r="TTB14" s="2" t="n"/>
      <c r="TTC14" s="2" t="n"/>
      <c r="TTD14" s="2" t="n"/>
      <c r="TTE14" s="2" t="n"/>
      <c r="TTF14" s="2" t="n"/>
      <c r="TTG14" s="2" t="n"/>
      <c r="TTH14" s="2" t="n"/>
      <c r="TTI14" s="2" t="n"/>
      <c r="TTJ14" s="2" t="n"/>
      <c r="TTK14" s="2" t="n"/>
      <c r="TTL14" s="2" t="n"/>
      <c r="TTM14" s="2" t="n"/>
      <c r="TTN14" s="2" t="n"/>
      <c r="TTO14" s="2" t="n"/>
      <c r="TTP14" s="2" t="n"/>
      <c r="TTQ14" s="2" t="n"/>
      <c r="TTR14" s="2" t="n"/>
      <c r="TTS14" s="2" t="n"/>
      <c r="TTT14" s="2" t="n"/>
      <c r="TTU14" s="2" t="n"/>
      <c r="TTV14" s="2" t="n"/>
      <c r="TTW14" s="2" t="n"/>
      <c r="TTX14" s="2" t="n"/>
      <c r="TTY14" s="2" t="n"/>
      <c r="TTZ14" s="2" t="n"/>
      <c r="TUA14" s="2" t="n"/>
      <c r="TUB14" s="2" t="n"/>
      <c r="TUC14" s="2" t="n"/>
      <c r="TUD14" s="2" t="n"/>
      <c r="TUE14" s="2" t="n"/>
      <c r="TUF14" s="2" t="n"/>
      <c r="TUG14" s="2" t="n"/>
      <c r="TUH14" s="2" t="n"/>
      <c r="TUI14" s="2" t="n"/>
      <c r="TUJ14" s="2" t="n"/>
      <c r="TUK14" s="2" t="n"/>
      <c r="TUL14" s="2" t="n"/>
      <c r="TUM14" s="2" t="n"/>
      <c r="TUN14" s="2" t="n"/>
      <c r="TUO14" s="2" t="n"/>
      <c r="TUP14" s="2" t="n"/>
      <c r="TUQ14" s="2" t="n"/>
      <c r="TUR14" s="2" t="n"/>
      <c r="TUS14" s="2" t="n"/>
      <c r="TUT14" s="2" t="n"/>
      <c r="TUU14" s="2" t="n"/>
      <c r="TUV14" s="2" t="n"/>
      <c r="TUW14" s="2" t="n"/>
      <c r="TUX14" s="2" t="n"/>
      <c r="TUY14" s="2" t="n"/>
      <c r="TUZ14" s="2" t="n"/>
      <c r="TVA14" s="2" t="n"/>
      <c r="TVB14" s="2" t="n"/>
      <c r="TVC14" s="2" t="n"/>
      <c r="TVD14" s="2" t="n"/>
      <c r="TVE14" s="2" t="n"/>
      <c r="TVF14" s="2" t="n"/>
      <c r="TVG14" s="2" t="n"/>
      <c r="TVH14" s="2" t="n"/>
      <c r="TVI14" s="2" t="n"/>
      <c r="TVJ14" s="2" t="n"/>
      <c r="TVK14" s="2" t="n"/>
      <c r="TVL14" s="2" t="n"/>
      <c r="TVM14" s="2" t="n"/>
      <c r="TVN14" s="2" t="n"/>
      <c r="TVO14" s="2" t="n"/>
      <c r="TVP14" s="2" t="n"/>
      <c r="TVQ14" s="2" t="n"/>
      <c r="TVR14" s="2" t="n"/>
      <c r="TVS14" s="2" t="n"/>
      <c r="TVT14" s="2" t="n"/>
      <c r="TVU14" s="2" t="n"/>
      <c r="TVV14" s="2" t="n"/>
      <c r="TVW14" s="2" t="n"/>
      <c r="TVX14" s="2" t="n"/>
      <c r="TVY14" s="2" t="n"/>
      <c r="TVZ14" s="2" t="n"/>
      <c r="TWA14" s="2" t="n"/>
      <c r="TWB14" s="2" t="n"/>
      <c r="TWC14" s="2" t="n"/>
      <c r="TWD14" s="2" t="n"/>
      <c r="TWE14" s="2" t="n"/>
      <c r="TWF14" s="2" t="n"/>
      <c r="TWG14" s="2" t="n"/>
      <c r="TWH14" s="2" t="n"/>
      <c r="TWI14" s="2" t="n"/>
      <c r="TWJ14" s="2" t="n"/>
      <c r="TWK14" s="2" t="n"/>
      <c r="TWL14" s="2" t="n"/>
      <c r="TWM14" s="2" t="n"/>
      <c r="TWN14" s="2" t="n"/>
      <c r="TWO14" s="2" t="n"/>
      <c r="TWP14" s="2" t="n"/>
      <c r="TWQ14" s="2" t="n"/>
      <c r="TWR14" s="2" t="n"/>
      <c r="TWS14" s="2" t="n"/>
      <c r="TWT14" s="2" t="n"/>
      <c r="TWU14" s="2" t="n"/>
      <c r="TWV14" s="2" t="n"/>
      <c r="TWW14" s="2" t="n"/>
      <c r="TWX14" s="2" t="n"/>
      <c r="TWY14" s="2" t="n"/>
      <c r="TWZ14" s="2" t="n"/>
      <c r="TXA14" s="2" t="n"/>
      <c r="TXB14" s="2" t="n"/>
      <c r="TXC14" s="2" t="n"/>
      <c r="TXD14" s="2" t="n"/>
      <c r="TXE14" s="2" t="n"/>
      <c r="TXF14" s="2" t="n"/>
      <c r="TXG14" s="2" t="n"/>
      <c r="TXH14" s="2" t="n"/>
      <c r="TXI14" s="2" t="n"/>
      <c r="TXJ14" s="2" t="n"/>
      <c r="TXK14" s="2" t="n"/>
      <c r="TXL14" s="2" t="n"/>
      <c r="TXM14" s="2" t="n"/>
      <c r="TXN14" s="2" t="n"/>
      <c r="TXO14" s="2" t="n"/>
      <c r="TXP14" s="2" t="n"/>
      <c r="TXQ14" s="2" t="n"/>
      <c r="TXR14" s="2" t="n"/>
      <c r="TXS14" s="2" t="n"/>
      <c r="TXT14" s="2" t="n"/>
      <c r="TXU14" s="2" t="n"/>
      <c r="TXV14" s="2" t="n"/>
      <c r="TXW14" s="2" t="n"/>
      <c r="TXX14" s="2" t="n"/>
      <c r="TXY14" s="2" t="n"/>
      <c r="TXZ14" s="2" t="n"/>
      <c r="TYA14" s="2" t="n"/>
      <c r="TYB14" s="2" t="n"/>
      <c r="TYC14" s="2" t="n"/>
      <c r="TYD14" s="2" t="n"/>
      <c r="TYE14" s="2" t="n"/>
      <c r="TYF14" s="2" t="n"/>
      <c r="TYG14" s="2" t="n"/>
      <c r="TYH14" s="2" t="n"/>
      <c r="TYI14" s="2" t="n"/>
      <c r="TYJ14" s="2" t="n"/>
      <c r="TYK14" s="2" t="n"/>
      <c r="TYL14" s="2" t="n"/>
      <c r="TYM14" s="2" t="n"/>
      <c r="TYN14" s="2" t="n"/>
      <c r="TYO14" s="2" t="n"/>
      <c r="TYP14" s="2" t="n"/>
      <c r="TYQ14" s="2" t="n"/>
      <c r="TYR14" s="2" t="n"/>
      <c r="TYS14" s="2" t="n"/>
      <c r="TYT14" s="2" t="n"/>
      <c r="TYU14" s="2" t="n"/>
      <c r="TYV14" s="2" t="n"/>
      <c r="TYW14" s="2" t="n"/>
      <c r="TYX14" s="2" t="n"/>
      <c r="TYY14" s="2" t="n"/>
      <c r="TYZ14" s="2" t="n"/>
      <c r="TZA14" s="2" t="n"/>
      <c r="TZB14" s="2" t="n"/>
      <c r="TZC14" s="2" t="n"/>
      <c r="TZD14" s="2" t="n"/>
      <c r="TZE14" s="2" t="n"/>
      <c r="TZF14" s="2" t="n"/>
      <c r="TZG14" s="2" t="n"/>
      <c r="TZH14" s="2" t="n"/>
      <c r="TZI14" s="2" t="n"/>
      <c r="TZJ14" s="2" t="n"/>
      <c r="TZK14" s="2" t="n"/>
      <c r="TZL14" s="2" t="n"/>
      <c r="TZM14" s="2" t="n"/>
      <c r="TZN14" s="2" t="n"/>
      <c r="TZO14" s="2" t="n"/>
      <c r="TZP14" s="2" t="n"/>
      <c r="TZQ14" s="2" t="n"/>
      <c r="TZR14" s="2" t="n"/>
      <c r="TZS14" s="2" t="n"/>
      <c r="TZT14" s="2" t="n"/>
      <c r="TZU14" s="2" t="n"/>
      <c r="TZV14" s="2" t="n"/>
      <c r="TZW14" s="2" t="n"/>
      <c r="TZX14" s="2" t="n"/>
      <c r="TZY14" s="2" t="n"/>
      <c r="TZZ14" s="2" t="n"/>
      <c r="UAA14" s="2" t="n"/>
      <c r="UAB14" s="2" t="n"/>
      <c r="UAC14" s="2" t="n"/>
      <c r="UAD14" s="2" t="n"/>
      <c r="UAE14" s="2" t="n"/>
      <c r="UAF14" s="2" t="n"/>
      <c r="UAG14" s="2" t="n"/>
      <c r="UAH14" s="2" t="n"/>
      <c r="UAI14" s="2" t="n"/>
      <c r="UAJ14" s="2" t="n"/>
      <c r="UAK14" s="2" t="n"/>
      <c r="UAL14" s="2" t="n"/>
      <c r="UAM14" s="2" t="n"/>
      <c r="UAN14" s="2" t="n"/>
      <c r="UAO14" s="2" t="n"/>
      <c r="UAP14" s="2" t="n"/>
      <c r="UAQ14" s="2" t="n"/>
      <c r="UAR14" s="2" t="n"/>
      <c r="UAS14" s="2" t="n"/>
      <c r="UAT14" s="2" t="n"/>
      <c r="UAU14" s="2" t="n"/>
      <c r="UAV14" s="2" t="n"/>
      <c r="UAW14" s="2" t="n"/>
      <c r="UAX14" s="2" t="n"/>
      <c r="UAY14" s="2" t="n"/>
      <c r="UAZ14" s="2" t="n"/>
      <c r="UBA14" s="2" t="n"/>
      <c r="UBB14" s="2" t="n"/>
      <c r="UBC14" s="2" t="n"/>
      <c r="UBD14" s="2" t="n"/>
      <c r="UBE14" s="2" t="n"/>
      <c r="UBF14" s="2" t="n"/>
      <c r="UBG14" s="2" t="n"/>
      <c r="UBH14" s="2" t="n"/>
      <c r="UBI14" s="2" t="n"/>
      <c r="UBJ14" s="2" t="n"/>
      <c r="UBK14" s="2" t="n"/>
      <c r="UBL14" s="2" t="n"/>
      <c r="UBM14" s="2" t="n"/>
      <c r="UBN14" s="2" t="n"/>
      <c r="UBO14" s="2" t="n"/>
      <c r="UBP14" s="2" t="n"/>
      <c r="UBQ14" s="2" t="n"/>
      <c r="UBR14" s="2" t="n"/>
      <c r="UBS14" s="2" t="n"/>
      <c r="UBT14" s="2" t="n"/>
      <c r="UBU14" s="2" t="n"/>
      <c r="UBV14" s="2" t="n"/>
      <c r="UBW14" s="2" t="n"/>
      <c r="UBX14" s="2" t="n"/>
      <c r="UBY14" s="2" t="n"/>
      <c r="UBZ14" s="2" t="n"/>
      <c r="UCA14" s="2" t="n"/>
      <c r="UCB14" s="2" t="n"/>
      <c r="UCC14" s="2" t="n"/>
      <c r="UCD14" s="2" t="n"/>
      <c r="UCE14" s="2" t="n"/>
      <c r="UCF14" s="2" t="n"/>
      <c r="UCG14" s="2" t="n"/>
      <c r="UCH14" s="2" t="n"/>
      <c r="UCI14" s="2" t="n"/>
      <c r="UCJ14" s="2" t="n"/>
      <c r="UCK14" s="2" t="n"/>
      <c r="UCL14" s="2" t="n"/>
      <c r="UCM14" s="2" t="n"/>
      <c r="UCN14" s="2" t="n"/>
      <c r="UCO14" s="2" t="n"/>
      <c r="UCP14" s="2" t="n"/>
      <c r="UCQ14" s="2" t="n"/>
      <c r="UCR14" s="2" t="n"/>
      <c r="UCS14" s="2" t="n"/>
      <c r="UCT14" s="2" t="n"/>
      <c r="UCU14" s="2" t="n"/>
      <c r="UCV14" s="2" t="n"/>
      <c r="UCW14" s="2" t="n"/>
      <c r="UCX14" s="2" t="n"/>
      <c r="UCY14" s="2" t="n"/>
      <c r="UCZ14" s="2" t="n"/>
      <c r="UDA14" s="2" t="n"/>
      <c r="UDB14" s="2" t="n"/>
      <c r="UDC14" s="2" t="n"/>
      <c r="UDD14" s="2" t="n"/>
      <c r="UDE14" s="2" t="n"/>
      <c r="UDF14" s="2" t="n"/>
      <c r="UDG14" s="2" t="n"/>
      <c r="UDH14" s="2" t="n"/>
      <c r="UDI14" s="2" t="n"/>
      <c r="UDJ14" s="2" t="n"/>
      <c r="UDK14" s="2" t="n"/>
      <c r="UDL14" s="2" t="n"/>
      <c r="UDM14" s="2" t="n"/>
      <c r="UDN14" s="2" t="n"/>
      <c r="UDO14" s="2" t="n"/>
      <c r="UDP14" s="2" t="n"/>
      <c r="UDQ14" s="2" t="n"/>
      <c r="UDR14" s="2" t="n"/>
      <c r="UDS14" s="2" t="n"/>
      <c r="UDT14" s="2" t="n"/>
      <c r="UDU14" s="2" t="n"/>
      <c r="UDV14" s="2" t="n"/>
      <c r="UDW14" s="2" t="n"/>
      <c r="UDX14" s="2" t="n"/>
      <c r="UDY14" s="2" t="n"/>
      <c r="UDZ14" s="2" t="n"/>
      <c r="UEA14" s="2" t="n"/>
      <c r="UEB14" s="2" t="n"/>
      <c r="UEC14" s="2" t="n"/>
      <c r="UED14" s="2" t="n"/>
      <c r="UEE14" s="2" t="n"/>
      <c r="UEF14" s="2" t="n"/>
      <c r="UEG14" s="2" t="n"/>
      <c r="UEH14" s="2" t="n"/>
      <c r="UEI14" s="2" t="n"/>
      <c r="UEJ14" s="2" t="n"/>
      <c r="UEK14" s="2" t="n"/>
      <c r="UEL14" s="2" t="n"/>
      <c r="UEM14" s="2" t="n"/>
      <c r="UEN14" s="2" t="n"/>
      <c r="UEO14" s="2" t="n"/>
      <c r="UEP14" s="2" t="n"/>
      <c r="UEQ14" s="2" t="n"/>
      <c r="UER14" s="2" t="n"/>
      <c r="UES14" s="2" t="n"/>
      <c r="UET14" s="2" t="n"/>
      <c r="UEU14" s="2" t="n"/>
      <c r="UEV14" s="2" t="n"/>
      <c r="UEW14" s="2" t="n"/>
      <c r="UEX14" s="2" t="n"/>
      <c r="UEY14" s="2" t="n"/>
      <c r="UEZ14" s="2" t="n"/>
      <c r="UFA14" s="2" t="n"/>
      <c r="UFB14" s="2" t="n"/>
      <c r="UFC14" s="2" t="n"/>
      <c r="UFD14" s="2" t="n"/>
      <c r="UFE14" s="2" t="n"/>
      <c r="UFF14" s="2" t="n"/>
      <c r="UFG14" s="2" t="n"/>
      <c r="UFH14" s="2" t="n"/>
      <c r="UFI14" s="2" t="n"/>
      <c r="UFJ14" s="2" t="n"/>
      <c r="UFK14" s="2" t="n"/>
      <c r="UFL14" s="2" t="n"/>
      <c r="UFM14" s="2" t="n"/>
      <c r="UFN14" s="2" t="n"/>
      <c r="UFO14" s="2" t="n"/>
      <c r="UFP14" s="2" t="n"/>
      <c r="UFQ14" s="2" t="n"/>
      <c r="UFR14" s="2" t="n"/>
      <c r="UFS14" s="2" t="n"/>
      <c r="UFT14" s="2" t="n"/>
      <c r="UFU14" s="2" t="n"/>
      <c r="UFV14" s="2" t="n"/>
      <c r="UFW14" s="2" t="n"/>
      <c r="UFX14" s="2" t="n"/>
      <c r="UFY14" s="2" t="n"/>
      <c r="UFZ14" s="2" t="n"/>
      <c r="UGA14" s="2" t="n"/>
      <c r="UGB14" s="2" t="n"/>
      <c r="UGC14" s="2" t="n"/>
      <c r="UGD14" s="2" t="n"/>
      <c r="UGE14" s="2" t="n"/>
      <c r="UGF14" s="2" t="n"/>
      <c r="UGG14" s="2" t="n"/>
      <c r="UGH14" s="2" t="n"/>
      <c r="UGI14" s="2" t="n"/>
      <c r="UGJ14" s="2" t="n"/>
      <c r="UGK14" s="2" t="n"/>
      <c r="UGL14" s="2" t="n"/>
      <c r="UGM14" s="2" t="n"/>
      <c r="UGN14" s="2" t="n"/>
      <c r="UGO14" s="2" t="n"/>
      <c r="UGP14" s="2" t="n"/>
      <c r="UGQ14" s="2" t="n"/>
      <c r="UGR14" s="2" t="n"/>
      <c r="UGS14" s="2" t="n"/>
      <c r="UGT14" s="2" t="n"/>
      <c r="UGU14" s="2" t="n"/>
      <c r="UGV14" s="2" t="n"/>
      <c r="UGW14" s="2" t="n"/>
      <c r="UGX14" s="2" t="n"/>
      <c r="UGY14" s="2" t="n"/>
      <c r="UGZ14" s="2" t="n"/>
      <c r="UHA14" s="2" t="n"/>
      <c r="UHB14" s="2" t="n"/>
      <c r="UHC14" s="2" t="n"/>
      <c r="UHD14" s="2" t="n"/>
      <c r="UHE14" s="2" t="n"/>
      <c r="UHF14" s="2" t="n"/>
      <c r="UHG14" s="2" t="n"/>
      <c r="UHH14" s="2" t="n"/>
      <c r="UHI14" s="2" t="n"/>
      <c r="UHJ14" s="2" t="n"/>
      <c r="UHK14" s="2" t="n"/>
      <c r="UHL14" s="2" t="n"/>
      <c r="UHM14" s="2" t="n"/>
      <c r="UHN14" s="2" t="n"/>
      <c r="UHO14" s="2" t="n"/>
      <c r="UHP14" s="2" t="n"/>
      <c r="UHQ14" s="2" t="n"/>
      <c r="UHR14" s="2" t="n"/>
      <c r="UHS14" s="2" t="n"/>
      <c r="UHT14" s="2" t="n"/>
      <c r="UHU14" s="2" t="n"/>
      <c r="UHV14" s="2" t="n"/>
      <c r="UHW14" s="2" t="n"/>
      <c r="UHX14" s="2" t="n"/>
      <c r="UHY14" s="2" t="n"/>
      <c r="UHZ14" s="2" t="n"/>
      <c r="UIA14" s="2" t="n"/>
      <c r="UIB14" s="2" t="n"/>
      <c r="UIC14" s="2" t="n"/>
      <c r="UID14" s="2" t="n"/>
      <c r="UIE14" s="2" t="n"/>
      <c r="UIF14" s="2" t="n"/>
      <c r="UIG14" s="2" t="n"/>
      <c r="UIH14" s="2" t="n"/>
      <c r="UII14" s="2" t="n"/>
      <c r="UIJ14" s="2" t="n"/>
      <c r="UIK14" s="2" t="n"/>
      <c r="UIL14" s="2" t="n"/>
      <c r="UIM14" s="2" t="n"/>
      <c r="UIN14" s="2" t="n"/>
      <c r="UIO14" s="2" t="n"/>
      <c r="UIP14" s="2" t="n"/>
      <c r="UIQ14" s="2" t="n"/>
      <c r="UIR14" s="2" t="n"/>
      <c r="UIS14" s="2" t="n"/>
      <c r="UIT14" s="2" t="n"/>
      <c r="UIU14" s="2" t="n"/>
      <c r="UIV14" s="2" t="n"/>
      <c r="UIW14" s="2" t="n"/>
      <c r="UIX14" s="2" t="n"/>
      <c r="UIY14" s="2" t="n"/>
      <c r="UIZ14" s="2" t="n"/>
      <c r="UJA14" s="2" t="n"/>
      <c r="UJB14" s="2" t="n"/>
      <c r="UJC14" s="2" t="n"/>
      <c r="UJD14" s="2" t="n"/>
      <c r="UJE14" s="2" t="n"/>
      <c r="UJF14" s="2" t="n"/>
      <c r="UJG14" s="2" t="n"/>
      <c r="UJH14" s="2" t="n"/>
      <c r="UJI14" s="2" t="n"/>
      <c r="UJJ14" s="2" t="n"/>
      <c r="UJK14" s="2" t="n"/>
      <c r="UJL14" s="2" t="n"/>
      <c r="UJM14" s="2" t="n"/>
      <c r="UJN14" s="2" t="n"/>
      <c r="UJO14" s="2" t="n"/>
      <c r="UJP14" s="2" t="n"/>
      <c r="UJQ14" s="2" t="n"/>
      <c r="UJR14" s="2" t="n"/>
      <c r="UJS14" s="2" t="n"/>
      <c r="UJT14" s="2" t="n"/>
      <c r="UJU14" s="2" t="n"/>
      <c r="UJV14" s="2" t="n"/>
      <c r="UJW14" s="2" t="n"/>
      <c r="UJX14" s="2" t="n"/>
      <c r="UJY14" s="2" t="n"/>
      <c r="UJZ14" s="2" t="n"/>
      <c r="UKA14" s="2" t="n"/>
      <c r="UKB14" s="2" t="n"/>
      <c r="UKC14" s="2" t="n"/>
      <c r="UKD14" s="2" t="n"/>
      <c r="UKE14" s="2" t="n"/>
      <c r="UKF14" s="2" t="n"/>
      <c r="UKG14" s="2" t="n"/>
      <c r="UKH14" s="2" t="n"/>
      <c r="UKI14" s="2" t="n"/>
      <c r="UKJ14" s="2" t="n"/>
      <c r="UKK14" s="2" t="n"/>
      <c r="UKL14" s="2" t="n"/>
      <c r="UKM14" s="2" t="n"/>
      <c r="UKN14" s="2" t="n"/>
      <c r="UKO14" s="2" t="n"/>
      <c r="UKP14" s="2" t="n"/>
      <c r="UKQ14" s="2" t="n"/>
      <c r="UKR14" s="2" t="n"/>
      <c r="UKS14" s="2" t="n"/>
      <c r="UKT14" s="2" t="n"/>
      <c r="UKU14" s="2" t="n"/>
      <c r="UKV14" s="2" t="n"/>
      <c r="UKW14" s="2" t="n"/>
      <c r="UKX14" s="2" t="n"/>
      <c r="UKY14" s="2" t="n"/>
      <c r="UKZ14" s="2" t="n"/>
      <c r="ULA14" s="2" t="n"/>
      <c r="ULB14" s="2" t="n"/>
      <c r="ULC14" s="2" t="n"/>
      <c r="ULD14" s="2" t="n"/>
      <c r="ULE14" s="2" t="n"/>
      <c r="ULF14" s="2" t="n"/>
      <c r="ULG14" s="2" t="n"/>
      <c r="ULH14" s="2" t="n"/>
      <c r="ULI14" s="2" t="n"/>
      <c r="ULJ14" s="2" t="n"/>
      <c r="ULK14" s="2" t="n"/>
      <c r="ULL14" s="2" t="n"/>
      <c r="ULM14" s="2" t="n"/>
      <c r="ULN14" s="2" t="n"/>
      <c r="ULO14" s="2" t="n"/>
      <c r="ULP14" s="2" t="n"/>
      <c r="ULQ14" s="2" t="n"/>
      <c r="ULR14" s="2" t="n"/>
      <c r="ULS14" s="2" t="n"/>
      <c r="ULT14" s="2" t="n"/>
      <c r="ULU14" s="2" t="n"/>
      <c r="ULV14" s="2" t="n"/>
      <c r="ULW14" s="2" t="n"/>
      <c r="ULX14" s="2" t="n"/>
      <c r="ULY14" s="2" t="n"/>
      <c r="ULZ14" s="2" t="n"/>
      <c r="UMA14" s="2" t="n"/>
      <c r="UMB14" s="2" t="n"/>
      <c r="UMC14" s="2" t="n"/>
      <c r="UMD14" s="2" t="n"/>
      <c r="UME14" s="2" t="n"/>
      <c r="UMF14" s="2" t="n"/>
      <c r="UMG14" s="2" t="n"/>
      <c r="UMH14" s="2" t="n"/>
      <c r="UMI14" s="2" t="n"/>
      <c r="UMJ14" s="2" t="n"/>
      <c r="UMK14" s="2" t="n"/>
      <c r="UML14" s="2" t="n"/>
      <c r="UMM14" s="2" t="n"/>
      <c r="UMN14" s="2" t="n"/>
      <c r="UMO14" s="2" t="n"/>
      <c r="UMP14" s="2" t="n"/>
      <c r="UMQ14" s="2" t="n"/>
      <c r="UMR14" s="2" t="n"/>
      <c r="UMS14" s="2" t="n"/>
      <c r="UMT14" s="2" t="n"/>
      <c r="UMU14" s="2" t="n"/>
      <c r="UMV14" s="2" t="n"/>
      <c r="UMW14" s="2" t="n"/>
      <c r="UMX14" s="2" t="n"/>
      <c r="UMY14" s="2" t="n"/>
      <c r="UMZ14" s="2" t="n"/>
      <c r="UNA14" s="2" t="n"/>
      <c r="UNB14" s="2" t="n"/>
      <c r="UNC14" s="2" t="n"/>
      <c r="UND14" s="2" t="n"/>
      <c r="UNE14" s="2" t="n"/>
      <c r="UNF14" s="2" t="n"/>
      <c r="UNG14" s="2" t="n"/>
      <c r="UNH14" s="2" t="n"/>
      <c r="UNI14" s="2" t="n"/>
      <c r="UNJ14" s="2" t="n"/>
      <c r="UNK14" s="2" t="n"/>
      <c r="UNL14" s="2" t="n"/>
      <c r="UNM14" s="2" t="n"/>
      <c r="UNN14" s="2" t="n"/>
      <c r="UNO14" s="2" t="n"/>
      <c r="UNP14" s="2" t="n"/>
      <c r="UNQ14" s="2" t="n"/>
      <c r="UNR14" s="2" t="n"/>
      <c r="UNS14" s="2" t="n"/>
      <c r="UNT14" s="2" t="n"/>
      <c r="UNU14" s="2" t="n"/>
      <c r="UNV14" s="2" t="n"/>
      <c r="UNW14" s="2" t="n"/>
      <c r="UNX14" s="2" t="n"/>
      <c r="UNY14" s="2" t="n"/>
      <c r="UNZ14" s="2" t="n"/>
      <c r="UOA14" s="2" t="n"/>
      <c r="UOB14" s="2" t="n"/>
      <c r="UOC14" s="2" t="n"/>
      <c r="UOD14" s="2" t="n"/>
      <c r="UOE14" s="2" t="n"/>
      <c r="UOF14" s="2" t="n"/>
      <c r="UOG14" s="2" t="n"/>
      <c r="UOH14" s="2" t="n"/>
      <c r="UOI14" s="2" t="n"/>
      <c r="UOJ14" s="2" t="n"/>
      <c r="UOK14" s="2" t="n"/>
      <c r="UOL14" s="2" t="n"/>
      <c r="UOM14" s="2" t="n"/>
      <c r="UON14" s="2" t="n"/>
      <c r="UOO14" s="2" t="n"/>
      <c r="UOP14" s="2" t="n"/>
      <c r="UOQ14" s="2" t="n"/>
      <c r="UOR14" s="2" t="n"/>
      <c r="UOS14" s="2" t="n"/>
      <c r="UOT14" s="2" t="n"/>
      <c r="UOU14" s="2" t="n"/>
      <c r="UOV14" s="2" t="n"/>
      <c r="UOW14" s="2" t="n"/>
      <c r="UOX14" s="2" t="n"/>
      <c r="UOY14" s="2" t="n"/>
      <c r="UOZ14" s="2" t="n"/>
      <c r="UPA14" s="2" t="n"/>
      <c r="UPB14" s="2" t="n"/>
      <c r="UPC14" s="2" t="n"/>
      <c r="UPD14" s="2" t="n"/>
      <c r="UPE14" s="2" t="n"/>
      <c r="UPF14" s="2" t="n"/>
      <c r="UPG14" s="2" t="n"/>
      <c r="UPH14" s="2" t="n"/>
      <c r="UPI14" s="2" t="n"/>
      <c r="UPJ14" s="2" t="n"/>
      <c r="UPK14" s="2" t="n"/>
      <c r="UPL14" s="2" t="n"/>
      <c r="UPM14" s="2" t="n"/>
      <c r="UPN14" s="2" t="n"/>
      <c r="UPO14" s="2" t="n"/>
      <c r="UPP14" s="2" t="n"/>
      <c r="UPQ14" s="2" t="n"/>
      <c r="UPR14" s="2" t="n"/>
      <c r="UPS14" s="2" t="n"/>
      <c r="UPT14" s="2" t="n"/>
      <c r="UPU14" s="2" t="n"/>
      <c r="UPV14" s="2" t="n"/>
      <c r="UPW14" s="2" t="n"/>
      <c r="UPX14" s="2" t="n"/>
      <c r="UPY14" s="2" t="n"/>
      <c r="UPZ14" s="2" t="n"/>
      <c r="UQA14" s="2" t="n"/>
      <c r="UQB14" s="2" t="n"/>
      <c r="UQC14" s="2" t="n"/>
      <c r="UQD14" s="2" t="n"/>
      <c r="UQE14" s="2" t="n"/>
      <c r="UQF14" s="2" t="n"/>
      <c r="UQG14" s="2" t="n"/>
      <c r="UQH14" s="2" t="n"/>
      <c r="UQI14" s="2" t="n"/>
      <c r="UQJ14" s="2" t="n"/>
      <c r="UQK14" s="2" t="n"/>
      <c r="UQL14" s="2" t="n"/>
      <c r="UQM14" s="2" t="n"/>
      <c r="UQN14" s="2" t="n"/>
      <c r="UQO14" s="2" t="n"/>
      <c r="UQP14" s="2" t="n"/>
      <c r="UQQ14" s="2" t="n"/>
      <c r="UQR14" s="2" t="n"/>
      <c r="UQS14" s="2" t="n"/>
      <c r="UQT14" s="2" t="n"/>
      <c r="UQU14" s="2" t="n"/>
      <c r="UQV14" s="2" t="n"/>
      <c r="UQW14" s="2" t="n"/>
      <c r="UQX14" s="2" t="n"/>
      <c r="UQY14" s="2" t="n"/>
      <c r="UQZ14" s="2" t="n"/>
      <c r="URA14" s="2" t="n"/>
      <c r="URB14" s="2" t="n"/>
      <c r="URC14" s="2" t="n"/>
      <c r="URD14" s="2" t="n"/>
      <c r="URE14" s="2" t="n"/>
      <c r="URF14" s="2" t="n"/>
      <c r="URG14" s="2" t="n"/>
      <c r="URH14" s="2" t="n"/>
      <c r="URI14" s="2" t="n"/>
      <c r="URJ14" s="2" t="n"/>
      <c r="URK14" s="2" t="n"/>
      <c r="URL14" s="2" t="n"/>
      <c r="URM14" s="2" t="n"/>
      <c r="URN14" s="2" t="n"/>
      <c r="URO14" s="2" t="n"/>
      <c r="URP14" s="2" t="n"/>
      <c r="URQ14" s="2" t="n"/>
      <c r="URR14" s="2" t="n"/>
      <c r="URS14" s="2" t="n"/>
      <c r="URT14" s="2" t="n"/>
      <c r="URU14" s="2" t="n"/>
      <c r="URV14" s="2" t="n"/>
      <c r="URW14" s="2" t="n"/>
      <c r="URX14" s="2" t="n"/>
      <c r="URY14" s="2" t="n"/>
      <c r="URZ14" s="2" t="n"/>
      <c r="USA14" s="2" t="n"/>
      <c r="USB14" s="2" t="n"/>
      <c r="USC14" s="2" t="n"/>
      <c r="USD14" s="2" t="n"/>
      <c r="USE14" s="2" t="n"/>
      <c r="USF14" s="2" t="n"/>
      <c r="USG14" s="2" t="n"/>
      <c r="USH14" s="2" t="n"/>
      <c r="USI14" s="2" t="n"/>
      <c r="USJ14" s="2" t="n"/>
      <c r="USK14" s="2" t="n"/>
      <c r="USL14" s="2" t="n"/>
      <c r="USM14" s="2" t="n"/>
      <c r="USN14" s="2" t="n"/>
      <c r="USO14" s="2" t="n"/>
      <c r="USP14" s="2" t="n"/>
      <c r="USQ14" s="2" t="n"/>
      <c r="USR14" s="2" t="n"/>
      <c r="USS14" s="2" t="n"/>
      <c r="UST14" s="2" t="n"/>
      <c r="USU14" s="2" t="n"/>
      <c r="USV14" s="2" t="n"/>
      <c r="USW14" s="2" t="n"/>
      <c r="USX14" s="2" t="n"/>
      <c r="USY14" s="2" t="n"/>
      <c r="USZ14" s="2" t="n"/>
      <c r="UTA14" s="2" t="n"/>
      <c r="UTB14" s="2" t="n"/>
      <c r="UTC14" s="2" t="n"/>
      <c r="UTD14" s="2" t="n"/>
      <c r="UTE14" s="2" t="n"/>
      <c r="UTF14" s="2" t="n"/>
      <c r="UTG14" s="2" t="n"/>
      <c r="UTH14" s="2" t="n"/>
      <c r="UTI14" s="2" t="n"/>
      <c r="UTJ14" s="2" t="n"/>
      <c r="UTK14" s="2" t="n"/>
      <c r="UTL14" s="2" t="n"/>
      <c r="UTM14" s="2" t="n"/>
      <c r="UTN14" s="2" t="n"/>
      <c r="UTO14" s="2" t="n"/>
      <c r="UTP14" s="2" t="n"/>
      <c r="UTQ14" s="2" t="n"/>
      <c r="UTR14" s="2" t="n"/>
      <c r="UTS14" s="2" t="n"/>
      <c r="UTT14" s="2" t="n"/>
      <c r="UTU14" s="2" t="n"/>
      <c r="UTV14" s="2" t="n"/>
      <c r="UTW14" s="2" t="n"/>
      <c r="UTX14" s="2" t="n"/>
      <c r="UTY14" s="2" t="n"/>
      <c r="UTZ14" s="2" t="n"/>
      <c r="UUA14" s="2" t="n"/>
      <c r="UUB14" s="2" t="n"/>
      <c r="UUC14" s="2" t="n"/>
      <c r="UUD14" s="2" t="n"/>
      <c r="UUE14" s="2" t="n"/>
      <c r="UUF14" s="2" t="n"/>
      <c r="UUG14" s="2" t="n"/>
      <c r="UUH14" s="2" t="n"/>
      <c r="UUI14" s="2" t="n"/>
      <c r="UUJ14" s="2" t="n"/>
      <c r="UUK14" s="2" t="n"/>
      <c r="UUL14" s="2" t="n"/>
      <c r="UUM14" s="2" t="n"/>
      <c r="UUN14" s="2" t="n"/>
      <c r="UUO14" s="2" t="n"/>
      <c r="UUP14" s="2" t="n"/>
      <c r="UUQ14" s="2" t="n"/>
      <c r="UUR14" s="2" t="n"/>
      <c r="UUS14" s="2" t="n"/>
      <c r="UUT14" s="2" t="n"/>
      <c r="UUU14" s="2" t="n"/>
      <c r="UUV14" s="2" t="n"/>
      <c r="UUW14" s="2" t="n"/>
      <c r="UUX14" s="2" t="n"/>
      <c r="UUY14" s="2" t="n"/>
      <c r="UUZ14" s="2" t="n"/>
      <c r="UVA14" s="2" t="n"/>
      <c r="UVB14" s="2" t="n"/>
      <c r="UVC14" s="2" t="n"/>
      <c r="UVD14" s="2" t="n"/>
      <c r="UVE14" s="2" t="n"/>
      <c r="UVF14" s="2" t="n"/>
      <c r="UVG14" s="2" t="n"/>
      <c r="UVH14" s="2" t="n"/>
      <c r="UVI14" s="2" t="n"/>
      <c r="UVJ14" s="2" t="n"/>
      <c r="UVK14" s="2" t="n"/>
      <c r="UVL14" s="2" t="n"/>
      <c r="UVM14" s="2" t="n"/>
      <c r="UVN14" s="2" t="n"/>
      <c r="UVO14" s="2" t="n"/>
      <c r="UVP14" s="2" t="n"/>
      <c r="UVQ14" s="2" t="n"/>
      <c r="UVR14" s="2" t="n"/>
      <c r="UVS14" s="2" t="n"/>
      <c r="UVT14" s="2" t="n"/>
      <c r="UVU14" s="2" t="n"/>
      <c r="UVV14" s="2" t="n"/>
      <c r="UVW14" s="2" t="n"/>
      <c r="UVX14" s="2" t="n"/>
      <c r="UVY14" s="2" t="n"/>
      <c r="UVZ14" s="2" t="n"/>
      <c r="UWA14" s="2" t="n"/>
      <c r="UWB14" s="2" t="n"/>
      <c r="UWC14" s="2" t="n"/>
      <c r="UWD14" s="2" t="n"/>
      <c r="UWE14" s="2" t="n"/>
      <c r="UWF14" s="2" t="n"/>
      <c r="UWG14" s="2" t="n"/>
      <c r="UWH14" s="2" t="n"/>
      <c r="UWI14" s="2" t="n"/>
      <c r="UWJ14" s="2" t="n"/>
      <c r="UWK14" s="2" t="n"/>
      <c r="UWL14" s="2" t="n"/>
      <c r="UWM14" s="2" t="n"/>
      <c r="UWN14" s="2" t="n"/>
      <c r="UWO14" s="2" t="n"/>
      <c r="UWP14" s="2" t="n"/>
      <c r="UWQ14" s="2" t="n"/>
      <c r="UWR14" s="2" t="n"/>
      <c r="UWS14" s="2" t="n"/>
      <c r="UWT14" s="2" t="n"/>
      <c r="UWU14" s="2" t="n"/>
      <c r="UWV14" s="2" t="n"/>
      <c r="UWW14" s="2" t="n"/>
      <c r="UWX14" s="2" t="n"/>
      <c r="UWY14" s="2" t="n"/>
      <c r="UWZ14" s="2" t="n"/>
      <c r="UXA14" s="2" t="n"/>
      <c r="UXB14" s="2" t="n"/>
      <c r="UXC14" s="2" t="n"/>
      <c r="UXD14" s="2" t="n"/>
      <c r="UXE14" s="2" t="n"/>
      <c r="UXF14" s="2" t="n"/>
      <c r="UXG14" s="2" t="n"/>
      <c r="UXH14" s="2" t="n"/>
      <c r="UXI14" s="2" t="n"/>
      <c r="UXJ14" s="2" t="n"/>
      <c r="UXK14" s="2" t="n"/>
      <c r="UXL14" s="2" t="n"/>
      <c r="UXM14" s="2" t="n"/>
      <c r="UXN14" s="2" t="n"/>
      <c r="UXO14" s="2" t="n"/>
      <c r="UXP14" s="2" t="n"/>
      <c r="UXQ14" s="2" t="n"/>
      <c r="UXR14" s="2" t="n"/>
      <c r="UXS14" s="2" t="n"/>
      <c r="UXT14" s="2" t="n"/>
      <c r="UXU14" s="2" t="n"/>
      <c r="UXV14" s="2" t="n"/>
      <c r="UXW14" s="2" t="n"/>
      <c r="UXX14" s="2" t="n"/>
      <c r="UXY14" s="2" t="n"/>
      <c r="UXZ14" s="2" t="n"/>
      <c r="UYA14" s="2" t="n"/>
      <c r="UYB14" s="2" t="n"/>
      <c r="UYC14" s="2" t="n"/>
      <c r="UYD14" s="2" t="n"/>
      <c r="UYE14" s="2" t="n"/>
      <c r="UYF14" s="2" t="n"/>
      <c r="UYG14" s="2" t="n"/>
      <c r="UYH14" s="2" t="n"/>
      <c r="UYI14" s="2" t="n"/>
      <c r="UYJ14" s="2" t="n"/>
      <c r="UYK14" s="2" t="n"/>
      <c r="UYL14" s="2" t="n"/>
      <c r="UYM14" s="2" t="n"/>
      <c r="UYN14" s="2" t="n"/>
      <c r="UYO14" s="2" t="n"/>
      <c r="UYP14" s="2" t="n"/>
      <c r="UYQ14" s="2" t="n"/>
      <c r="UYR14" s="2" t="n"/>
      <c r="UYS14" s="2" t="n"/>
      <c r="UYT14" s="2" t="n"/>
      <c r="UYU14" s="2" t="n"/>
      <c r="UYV14" s="2" t="n"/>
      <c r="UYW14" s="2" t="n"/>
      <c r="UYX14" s="2" t="n"/>
      <c r="UYY14" s="2" t="n"/>
      <c r="UYZ14" s="2" t="n"/>
      <c r="UZA14" s="2" t="n"/>
      <c r="UZB14" s="2" t="n"/>
      <c r="UZC14" s="2" t="n"/>
      <c r="UZD14" s="2" t="n"/>
      <c r="UZE14" s="2" t="n"/>
      <c r="UZF14" s="2" t="n"/>
      <c r="UZG14" s="2" t="n"/>
      <c r="UZH14" s="2" t="n"/>
      <c r="UZI14" s="2" t="n"/>
      <c r="UZJ14" s="2" t="n"/>
      <c r="UZK14" s="2" t="n"/>
      <c r="UZL14" s="2" t="n"/>
      <c r="UZM14" s="2" t="n"/>
      <c r="UZN14" s="2" t="n"/>
      <c r="UZO14" s="2" t="n"/>
      <c r="UZP14" s="2" t="n"/>
      <c r="UZQ14" s="2" t="n"/>
      <c r="UZR14" s="2" t="n"/>
      <c r="UZS14" s="2" t="n"/>
      <c r="UZT14" s="2" t="n"/>
      <c r="UZU14" s="2" t="n"/>
      <c r="UZV14" s="2" t="n"/>
      <c r="UZW14" s="2" t="n"/>
      <c r="UZX14" s="2" t="n"/>
      <c r="UZY14" s="2" t="n"/>
      <c r="UZZ14" s="2" t="n"/>
      <c r="VAA14" s="2" t="n"/>
      <c r="VAB14" s="2" t="n"/>
      <c r="VAC14" s="2" t="n"/>
      <c r="VAD14" s="2" t="n"/>
      <c r="VAE14" s="2" t="n"/>
      <c r="VAF14" s="2" t="n"/>
      <c r="VAG14" s="2" t="n"/>
      <c r="VAH14" s="2" t="n"/>
      <c r="VAI14" s="2" t="n"/>
      <c r="VAJ14" s="2" t="n"/>
      <c r="VAK14" s="2" t="n"/>
      <c r="VAL14" s="2" t="n"/>
      <c r="VAM14" s="2" t="n"/>
      <c r="VAN14" s="2" t="n"/>
      <c r="VAO14" s="2" t="n"/>
      <c r="VAP14" s="2" t="n"/>
      <c r="VAQ14" s="2" t="n"/>
      <c r="VAR14" s="2" t="n"/>
      <c r="VAS14" s="2" t="n"/>
      <c r="VAT14" s="2" t="n"/>
      <c r="VAU14" s="2" t="n"/>
      <c r="VAV14" s="2" t="n"/>
      <c r="VAW14" s="2" t="n"/>
      <c r="VAX14" s="2" t="n"/>
      <c r="VAY14" s="2" t="n"/>
      <c r="VAZ14" s="2" t="n"/>
      <c r="VBA14" s="2" t="n"/>
      <c r="VBB14" s="2" t="n"/>
      <c r="VBC14" s="2" t="n"/>
      <c r="VBD14" s="2" t="n"/>
      <c r="VBE14" s="2" t="n"/>
      <c r="VBF14" s="2" t="n"/>
      <c r="VBG14" s="2" t="n"/>
      <c r="VBH14" s="2" t="n"/>
      <c r="VBI14" s="2" t="n"/>
      <c r="VBJ14" s="2" t="n"/>
      <c r="VBK14" s="2" t="n"/>
      <c r="VBL14" s="2" t="n"/>
      <c r="VBM14" s="2" t="n"/>
      <c r="VBN14" s="2" t="n"/>
      <c r="VBO14" s="2" t="n"/>
      <c r="VBP14" s="2" t="n"/>
      <c r="VBQ14" s="2" t="n"/>
      <c r="VBR14" s="2" t="n"/>
      <c r="VBS14" s="2" t="n"/>
      <c r="VBT14" s="2" t="n"/>
      <c r="VBU14" s="2" t="n"/>
      <c r="VBV14" s="2" t="n"/>
      <c r="VBW14" s="2" t="n"/>
      <c r="VBX14" s="2" t="n"/>
      <c r="VBY14" s="2" t="n"/>
      <c r="VBZ14" s="2" t="n"/>
      <c r="VCA14" s="2" t="n"/>
      <c r="VCB14" s="2" t="n"/>
      <c r="VCC14" s="2" t="n"/>
      <c r="VCD14" s="2" t="n"/>
      <c r="VCE14" s="2" t="n"/>
      <c r="VCF14" s="2" t="n"/>
      <c r="VCG14" s="2" t="n"/>
      <c r="VCH14" s="2" t="n"/>
      <c r="VCI14" s="2" t="n"/>
      <c r="VCJ14" s="2" t="n"/>
      <c r="VCK14" s="2" t="n"/>
      <c r="VCL14" s="2" t="n"/>
      <c r="VCM14" s="2" t="n"/>
      <c r="VCN14" s="2" t="n"/>
      <c r="VCO14" s="2" t="n"/>
      <c r="VCP14" s="2" t="n"/>
      <c r="VCQ14" s="2" t="n"/>
      <c r="VCR14" s="2" t="n"/>
      <c r="VCS14" s="2" t="n"/>
      <c r="VCT14" s="2" t="n"/>
      <c r="VCU14" s="2" t="n"/>
      <c r="VCV14" s="2" t="n"/>
      <c r="VCW14" s="2" t="n"/>
      <c r="VCX14" s="2" t="n"/>
      <c r="VCY14" s="2" t="n"/>
      <c r="VCZ14" s="2" t="n"/>
      <c r="VDA14" s="2" t="n"/>
      <c r="VDB14" s="2" t="n"/>
      <c r="VDC14" s="2" t="n"/>
      <c r="VDD14" s="2" t="n"/>
      <c r="VDE14" s="2" t="n"/>
      <c r="VDF14" s="2" t="n"/>
      <c r="VDG14" s="2" t="n"/>
      <c r="VDH14" s="2" t="n"/>
      <c r="VDI14" s="2" t="n"/>
      <c r="VDJ14" s="2" t="n"/>
      <c r="VDK14" s="2" t="n"/>
      <c r="VDL14" s="2" t="n"/>
      <c r="VDM14" s="2" t="n"/>
      <c r="VDN14" s="2" t="n"/>
      <c r="VDO14" s="2" t="n"/>
      <c r="VDP14" s="2" t="n"/>
      <c r="VDQ14" s="2" t="n"/>
      <c r="VDR14" s="2" t="n"/>
      <c r="VDS14" s="2" t="n"/>
      <c r="VDT14" s="2" t="n"/>
      <c r="VDU14" s="2" t="n"/>
      <c r="VDV14" s="2" t="n"/>
      <c r="VDW14" s="2" t="n"/>
      <c r="VDX14" s="2" t="n"/>
      <c r="VDY14" s="2" t="n"/>
      <c r="VDZ14" s="2" t="n"/>
      <c r="VEA14" s="2" t="n"/>
      <c r="VEB14" s="2" t="n"/>
      <c r="VEC14" s="2" t="n"/>
      <c r="VED14" s="2" t="n"/>
      <c r="VEE14" s="2" t="n"/>
      <c r="VEF14" s="2" t="n"/>
      <c r="VEG14" s="2" t="n"/>
      <c r="VEH14" s="2" t="n"/>
      <c r="VEI14" s="2" t="n"/>
      <c r="VEJ14" s="2" t="n"/>
      <c r="VEK14" s="2" t="n"/>
      <c r="VEL14" s="2" t="n"/>
      <c r="VEM14" s="2" t="n"/>
      <c r="VEN14" s="2" t="n"/>
      <c r="VEO14" s="2" t="n"/>
      <c r="VEP14" s="2" t="n"/>
      <c r="VEQ14" s="2" t="n"/>
      <c r="VER14" s="2" t="n"/>
      <c r="VES14" s="2" t="n"/>
      <c r="VET14" s="2" t="n"/>
      <c r="VEU14" s="2" t="n"/>
      <c r="VEV14" s="2" t="n"/>
      <c r="VEW14" s="2" t="n"/>
      <c r="VEX14" s="2" t="n"/>
      <c r="VEY14" s="2" t="n"/>
      <c r="VEZ14" s="2" t="n"/>
      <c r="VFA14" s="2" t="n"/>
      <c r="VFB14" s="2" t="n"/>
      <c r="VFC14" s="2" t="n"/>
      <c r="VFD14" s="2" t="n"/>
      <c r="VFE14" s="2" t="n"/>
      <c r="VFF14" s="2" t="n"/>
      <c r="VFG14" s="2" t="n"/>
      <c r="VFH14" s="2" t="n"/>
      <c r="VFI14" s="2" t="n"/>
      <c r="VFJ14" s="2" t="n"/>
      <c r="VFK14" s="2" t="n"/>
      <c r="VFL14" s="2" t="n"/>
      <c r="VFM14" s="2" t="n"/>
      <c r="VFN14" s="2" t="n"/>
      <c r="VFO14" s="2" t="n"/>
      <c r="VFP14" s="2" t="n"/>
      <c r="VFQ14" s="2" t="n"/>
      <c r="VFR14" s="2" t="n"/>
      <c r="VFS14" s="2" t="n"/>
      <c r="VFT14" s="2" t="n"/>
      <c r="VFU14" s="2" t="n"/>
      <c r="VFV14" s="2" t="n"/>
      <c r="VFW14" s="2" t="n"/>
      <c r="VFX14" s="2" t="n"/>
      <c r="VFY14" s="2" t="n"/>
      <c r="VFZ14" s="2" t="n"/>
      <c r="VGA14" s="2" t="n"/>
      <c r="VGB14" s="2" t="n"/>
      <c r="VGC14" s="2" t="n"/>
      <c r="VGD14" s="2" t="n"/>
      <c r="VGE14" s="2" t="n"/>
      <c r="VGF14" s="2" t="n"/>
      <c r="VGG14" s="2" t="n"/>
      <c r="VGH14" s="2" t="n"/>
      <c r="VGI14" s="2" t="n"/>
      <c r="VGJ14" s="2" t="n"/>
      <c r="VGK14" s="2" t="n"/>
      <c r="VGL14" s="2" t="n"/>
      <c r="VGM14" s="2" t="n"/>
      <c r="VGN14" s="2" t="n"/>
      <c r="VGO14" s="2" t="n"/>
      <c r="VGP14" s="2" t="n"/>
      <c r="VGQ14" s="2" t="n"/>
      <c r="VGR14" s="2" t="n"/>
      <c r="VGS14" s="2" t="n"/>
      <c r="VGT14" s="2" t="n"/>
      <c r="VGU14" s="2" t="n"/>
      <c r="VGV14" s="2" t="n"/>
      <c r="VGW14" s="2" t="n"/>
      <c r="VGX14" s="2" t="n"/>
      <c r="VGY14" s="2" t="n"/>
      <c r="VGZ14" s="2" t="n"/>
      <c r="VHA14" s="2" t="n"/>
      <c r="VHB14" s="2" t="n"/>
      <c r="VHC14" s="2" t="n"/>
      <c r="VHD14" s="2" t="n"/>
      <c r="VHE14" s="2" t="n"/>
      <c r="VHF14" s="2" t="n"/>
      <c r="VHG14" s="2" t="n"/>
      <c r="VHH14" s="2" t="n"/>
      <c r="VHI14" s="2" t="n"/>
      <c r="VHJ14" s="2" t="n"/>
      <c r="VHK14" s="2" t="n"/>
      <c r="VHL14" s="2" t="n"/>
      <c r="VHM14" s="2" t="n"/>
      <c r="VHN14" s="2" t="n"/>
      <c r="VHO14" s="2" t="n"/>
      <c r="VHP14" s="2" t="n"/>
      <c r="VHQ14" s="2" t="n"/>
      <c r="VHR14" s="2" t="n"/>
      <c r="VHS14" s="2" t="n"/>
      <c r="VHT14" s="2" t="n"/>
      <c r="VHU14" s="2" t="n"/>
      <c r="VHV14" s="2" t="n"/>
      <c r="VHW14" s="2" t="n"/>
      <c r="VHX14" s="2" t="n"/>
      <c r="VHY14" s="2" t="n"/>
      <c r="VHZ14" s="2" t="n"/>
      <c r="VIA14" s="2" t="n"/>
      <c r="VIB14" s="2" t="n"/>
      <c r="VIC14" s="2" t="n"/>
      <c r="VID14" s="2" t="n"/>
      <c r="VIE14" s="2" t="n"/>
      <c r="VIF14" s="2" t="n"/>
      <c r="VIG14" s="2" t="n"/>
      <c r="VIH14" s="2" t="n"/>
      <c r="VII14" s="2" t="n"/>
      <c r="VIJ14" s="2" t="n"/>
      <c r="VIK14" s="2" t="n"/>
      <c r="VIL14" s="2" t="n"/>
      <c r="VIM14" s="2" t="n"/>
      <c r="VIN14" s="2" t="n"/>
      <c r="VIO14" s="2" t="n"/>
      <c r="VIP14" s="2" t="n"/>
      <c r="VIQ14" s="2" t="n"/>
      <c r="VIR14" s="2" t="n"/>
      <c r="VIS14" s="2" t="n"/>
      <c r="VIT14" s="2" t="n"/>
      <c r="VIU14" s="2" t="n"/>
      <c r="VIV14" s="2" t="n"/>
      <c r="VIW14" s="2" t="n"/>
      <c r="VIX14" s="2" t="n"/>
      <c r="VIY14" s="2" t="n"/>
      <c r="VIZ14" s="2" t="n"/>
      <c r="VJA14" s="2" t="n"/>
      <c r="VJB14" s="2" t="n"/>
      <c r="VJC14" s="2" t="n"/>
      <c r="VJD14" s="2" t="n"/>
      <c r="VJE14" s="2" t="n"/>
      <c r="VJF14" s="2" t="n"/>
      <c r="VJG14" s="2" t="n"/>
      <c r="VJH14" s="2" t="n"/>
      <c r="VJI14" s="2" t="n"/>
      <c r="VJJ14" s="2" t="n"/>
      <c r="VJK14" s="2" t="n"/>
      <c r="VJL14" s="2" t="n"/>
      <c r="VJM14" s="2" t="n"/>
      <c r="VJN14" s="2" t="n"/>
      <c r="VJO14" s="2" t="n"/>
      <c r="VJP14" s="2" t="n"/>
      <c r="VJQ14" s="2" t="n"/>
      <c r="VJR14" s="2" t="n"/>
      <c r="VJS14" s="2" t="n"/>
      <c r="VJT14" s="2" t="n"/>
      <c r="VJU14" s="2" t="n"/>
      <c r="VJV14" s="2" t="n"/>
      <c r="VJW14" s="2" t="n"/>
      <c r="VJX14" s="2" t="n"/>
      <c r="VJY14" s="2" t="n"/>
      <c r="VJZ14" s="2" t="n"/>
      <c r="VKA14" s="2" t="n"/>
      <c r="VKB14" s="2" t="n"/>
      <c r="VKC14" s="2" t="n"/>
      <c r="VKD14" s="2" t="n"/>
      <c r="VKE14" s="2" t="n"/>
      <c r="VKF14" s="2" t="n"/>
      <c r="VKG14" s="2" t="n"/>
      <c r="VKH14" s="2" t="n"/>
      <c r="VKI14" s="2" t="n"/>
      <c r="VKJ14" s="2" t="n"/>
      <c r="VKK14" s="2" t="n"/>
      <c r="VKL14" s="2" t="n"/>
      <c r="VKM14" s="2" t="n"/>
      <c r="VKN14" s="2" t="n"/>
      <c r="VKO14" s="2" t="n"/>
      <c r="VKP14" s="2" t="n"/>
      <c r="VKQ14" s="2" t="n"/>
      <c r="VKR14" s="2" t="n"/>
      <c r="VKS14" s="2" t="n"/>
      <c r="VKT14" s="2" t="n"/>
      <c r="VKU14" s="2" t="n"/>
      <c r="VKV14" s="2" t="n"/>
      <c r="VKW14" s="2" t="n"/>
      <c r="VKX14" s="2" t="n"/>
      <c r="VKY14" s="2" t="n"/>
      <c r="VKZ14" s="2" t="n"/>
      <c r="VLA14" s="2" t="n"/>
      <c r="VLB14" s="2" t="n"/>
      <c r="VLC14" s="2" t="n"/>
      <c r="VLD14" s="2" t="n"/>
      <c r="VLE14" s="2" t="n"/>
      <c r="VLF14" s="2" t="n"/>
      <c r="VLG14" s="2" t="n"/>
      <c r="VLH14" s="2" t="n"/>
      <c r="VLI14" s="2" t="n"/>
      <c r="VLJ14" s="2" t="n"/>
      <c r="VLK14" s="2" t="n"/>
      <c r="VLL14" s="2" t="n"/>
      <c r="VLM14" s="2" t="n"/>
      <c r="VLN14" s="2" t="n"/>
      <c r="VLO14" s="2" t="n"/>
      <c r="VLP14" s="2" t="n"/>
      <c r="VLQ14" s="2" t="n"/>
      <c r="VLR14" s="2" t="n"/>
      <c r="VLS14" s="2" t="n"/>
      <c r="VLT14" s="2" t="n"/>
      <c r="VLU14" s="2" t="n"/>
      <c r="VLV14" s="2" t="n"/>
      <c r="VLW14" s="2" t="n"/>
      <c r="VLX14" s="2" t="n"/>
      <c r="VLY14" s="2" t="n"/>
      <c r="VLZ14" s="2" t="n"/>
      <c r="VMA14" s="2" t="n"/>
      <c r="VMB14" s="2" t="n"/>
      <c r="VMC14" s="2" t="n"/>
      <c r="VMD14" s="2" t="n"/>
      <c r="VME14" s="2" t="n"/>
      <c r="VMF14" s="2" t="n"/>
      <c r="VMG14" s="2" t="n"/>
      <c r="VMH14" s="2" t="n"/>
      <c r="VMI14" s="2" t="n"/>
      <c r="VMJ14" s="2" t="n"/>
      <c r="VMK14" s="2" t="n"/>
      <c r="VML14" s="2" t="n"/>
      <c r="VMM14" s="2" t="n"/>
      <c r="VMN14" s="2" t="n"/>
      <c r="VMO14" s="2" t="n"/>
      <c r="VMP14" s="2" t="n"/>
      <c r="VMQ14" s="2" t="n"/>
      <c r="VMR14" s="2" t="n"/>
      <c r="VMS14" s="2" t="n"/>
      <c r="VMT14" s="2" t="n"/>
      <c r="VMU14" s="2" t="n"/>
      <c r="VMV14" s="2" t="n"/>
      <c r="VMW14" s="2" t="n"/>
      <c r="VMX14" s="2" t="n"/>
      <c r="VMY14" s="2" t="n"/>
      <c r="VMZ14" s="2" t="n"/>
      <c r="VNA14" s="2" t="n"/>
      <c r="VNB14" s="2" t="n"/>
      <c r="VNC14" s="2" t="n"/>
      <c r="VND14" s="2" t="n"/>
      <c r="VNE14" s="2" t="n"/>
      <c r="VNF14" s="2" t="n"/>
      <c r="VNG14" s="2" t="n"/>
      <c r="VNH14" s="2" t="n"/>
      <c r="VNI14" s="2" t="n"/>
      <c r="VNJ14" s="2" t="n"/>
      <c r="VNK14" s="2" t="n"/>
      <c r="VNL14" s="2" t="n"/>
      <c r="VNM14" s="2" t="n"/>
      <c r="VNN14" s="2" t="n"/>
      <c r="VNO14" s="2" t="n"/>
      <c r="VNP14" s="2" t="n"/>
      <c r="VNQ14" s="2" t="n"/>
      <c r="VNR14" s="2" t="n"/>
      <c r="VNS14" s="2" t="n"/>
      <c r="VNT14" s="2" t="n"/>
      <c r="VNU14" s="2" t="n"/>
      <c r="VNV14" s="2" t="n"/>
      <c r="VNW14" s="2" t="n"/>
      <c r="VNX14" s="2" t="n"/>
      <c r="VNY14" s="2" t="n"/>
      <c r="VNZ14" s="2" t="n"/>
      <c r="VOA14" s="2" t="n"/>
      <c r="VOB14" s="2" t="n"/>
      <c r="VOC14" s="2" t="n"/>
      <c r="VOD14" s="2" t="n"/>
      <c r="VOE14" s="2" t="n"/>
      <c r="VOF14" s="2" t="n"/>
      <c r="VOG14" s="2" t="n"/>
      <c r="VOH14" s="2" t="n"/>
      <c r="VOI14" s="2" t="n"/>
      <c r="VOJ14" s="2" t="n"/>
      <c r="VOK14" s="2" t="n"/>
      <c r="VOL14" s="2" t="n"/>
      <c r="VOM14" s="2" t="n"/>
      <c r="VON14" s="2" t="n"/>
      <c r="VOO14" s="2" t="n"/>
      <c r="VOP14" s="2" t="n"/>
      <c r="VOQ14" s="2" t="n"/>
      <c r="VOR14" s="2" t="n"/>
      <c r="VOS14" s="2" t="n"/>
      <c r="VOT14" s="2" t="n"/>
      <c r="VOU14" s="2" t="n"/>
      <c r="VOV14" s="2" t="n"/>
      <c r="VOW14" s="2" t="n"/>
      <c r="VOX14" s="2" t="n"/>
      <c r="VOY14" s="2" t="n"/>
      <c r="VOZ14" s="2" t="n"/>
      <c r="VPA14" s="2" t="n"/>
      <c r="VPB14" s="2" t="n"/>
      <c r="VPC14" s="2" t="n"/>
      <c r="VPD14" s="2" t="n"/>
      <c r="VPE14" s="2" t="n"/>
      <c r="VPF14" s="2" t="n"/>
      <c r="VPG14" s="2" t="n"/>
      <c r="VPH14" s="2" t="n"/>
      <c r="VPI14" s="2" t="n"/>
      <c r="VPJ14" s="2" t="n"/>
      <c r="VPK14" s="2" t="n"/>
      <c r="VPL14" s="2" t="n"/>
      <c r="VPM14" s="2" t="n"/>
      <c r="VPN14" s="2" t="n"/>
      <c r="VPO14" s="2" t="n"/>
      <c r="VPP14" s="2" t="n"/>
      <c r="VPQ14" s="2" t="n"/>
      <c r="VPR14" s="2" t="n"/>
      <c r="VPS14" s="2" t="n"/>
      <c r="VPT14" s="2" t="n"/>
      <c r="VPU14" s="2" t="n"/>
      <c r="VPV14" s="2" t="n"/>
      <c r="VPW14" s="2" t="n"/>
      <c r="VPX14" s="2" t="n"/>
      <c r="VPY14" s="2" t="n"/>
      <c r="VPZ14" s="2" t="n"/>
      <c r="VQA14" s="2" t="n"/>
      <c r="VQB14" s="2" t="n"/>
      <c r="VQC14" s="2" t="n"/>
      <c r="VQD14" s="2" t="n"/>
      <c r="VQE14" s="2" t="n"/>
      <c r="VQF14" s="2" t="n"/>
      <c r="VQG14" s="2" t="n"/>
      <c r="VQH14" s="2" t="n"/>
      <c r="VQI14" s="2" t="n"/>
      <c r="VQJ14" s="2" t="n"/>
      <c r="VQK14" s="2" t="n"/>
      <c r="VQL14" s="2" t="n"/>
      <c r="VQM14" s="2" t="n"/>
      <c r="VQN14" s="2" t="n"/>
      <c r="VQO14" s="2" t="n"/>
      <c r="VQP14" s="2" t="n"/>
      <c r="VQQ14" s="2" t="n"/>
      <c r="VQR14" s="2" t="n"/>
      <c r="VQS14" s="2" t="n"/>
      <c r="VQT14" s="2" t="n"/>
      <c r="VQU14" s="2" t="n"/>
      <c r="VQV14" s="2" t="n"/>
      <c r="VQW14" s="2" t="n"/>
      <c r="VQX14" s="2" t="n"/>
      <c r="VQY14" s="2" t="n"/>
      <c r="VQZ14" s="2" t="n"/>
      <c r="VRA14" s="2" t="n"/>
      <c r="VRB14" s="2" t="n"/>
      <c r="VRC14" s="2" t="n"/>
      <c r="VRD14" s="2" t="n"/>
      <c r="VRE14" s="2" t="n"/>
      <c r="VRF14" s="2" t="n"/>
      <c r="VRG14" s="2" t="n"/>
      <c r="VRH14" s="2" t="n"/>
      <c r="VRI14" s="2" t="n"/>
      <c r="VRJ14" s="2" t="n"/>
      <c r="VRK14" s="2" t="n"/>
      <c r="VRL14" s="2" t="n"/>
      <c r="VRM14" s="2" t="n"/>
      <c r="VRN14" s="2" t="n"/>
      <c r="VRO14" s="2" t="n"/>
      <c r="VRP14" s="2" t="n"/>
      <c r="VRQ14" s="2" t="n"/>
      <c r="VRR14" s="2" t="n"/>
      <c r="VRS14" s="2" t="n"/>
      <c r="VRT14" s="2" t="n"/>
      <c r="VRU14" s="2" t="n"/>
      <c r="VRV14" s="2" t="n"/>
      <c r="VRW14" s="2" t="n"/>
      <c r="VRX14" s="2" t="n"/>
      <c r="VRY14" s="2" t="n"/>
      <c r="VRZ14" s="2" t="n"/>
      <c r="VSA14" s="2" t="n"/>
      <c r="VSB14" s="2" t="n"/>
      <c r="VSC14" s="2" t="n"/>
      <c r="VSD14" s="2" t="n"/>
      <c r="VSE14" s="2" t="n"/>
      <c r="VSF14" s="2" t="n"/>
      <c r="VSG14" s="2" t="n"/>
      <c r="VSH14" s="2" t="n"/>
      <c r="VSI14" s="2" t="n"/>
      <c r="VSJ14" s="2" t="n"/>
      <c r="VSK14" s="2" t="n"/>
      <c r="VSL14" s="2" t="n"/>
      <c r="VSM14" s="2" t="n"/>
      <c r="VSN14" s="2" t="n"/>
      <c r="VSO14" s="2" t="n"/>
      <c r="VSP14" s="2" t="n"/>
      <c r="VSQ14" s="2" t="n"/>
      <c r="VSR14" s="2" t="n"/>
      <c r="VSS14" s="2" t="n"/>
      <c r="VST14" s="2" t="n"/>
      <c r="VSU14" s="2" t="n"/>
      <c r="VSV14" s="2" t="n"/>
      <c r="VSW14" s="2" t="n"/>
      <c r="VSX14" s="2" t="n"/>
      <c r="VSY14" s="2" t="n"/>
      <c r="VSZ14" s="2" t="n"/>
      <c r="VTA14" s="2" t="n"/>
      <c r="VTB14" s="2" t="n"/>
      <c r="VTC14" s="2" t="n"/>
      <c r="VTD14" s="2" t="n"/>
      <c r="VTE14" s="2" t="n"/>
      <c r="VTF14" s="2" t="n"/>
      <c r="VTG14" s="2" t="n"/>
      <c r="VTH14" s="2" t="n"/>
      <c r="VTI14" s="2" t="n"/>
      <c r="VTJ14" s="2" t="n"/>
      <c r="VTK14" s="2" t="n"/>
      <c r="VTL14" s="2" t="n"/>
      <c r="VTM14" s="2" t="n"/>
      <c r="VTN14" s="2" t="n"/>
      <c r="VTO14" s="2" t="n"/>
      <c r="VTP14" s="2" t="n"/>
      <c r="VTQ14" s="2" t="n"/>
      <c r="VTR14" s="2" t="n"/>
      <c r="VTS14" s="2" t="n"/>
      <c r="VTT14" s="2" t="n"/>
      <c r="VTU14" s="2" t="n"/>
      <c r="VTV14" s="2" t="n"/>
      <c r="VTW14" s="2" t="n"/>
      <c r="VTX14" s="2" t="n"/>
      <c r="VTY14" s="2" t="n"/>
      <c r="VTZ14" s="2" t="n"/>
      <c r="VUA14" s="2" t="n"/>
      <c r="VUB14" s="2" t="n"/>
      <c r="VUC14" s="2" t="n"/>
      <c r="VUD14" s="2" t="n"/>
      <c r="VUE14" s="2" t="n"/>
      <c r="VUF14" s="2" t="n"/>
      <c r="VUG14" s="2" t="n"/>
      <c r="VUH14" s="2" t="n"/>
      <c r="VUI14" s="2" t="n"/>
      <c r="VUJ14" s="2" t="n"/>
      <c r="VUK14" s="2" t="n"/>
      <c r="VUL14" s="2" t="n"/>
      <c r="VUM14" s="2" t="n"/>
      <c r="VUN14" s="2" t="n"/>
      <c r="VUO14" s="2" t="n"/>
      <c r="VUP14" s="2" t="n"/>
      <c r="VUQ14" s="2" t="n"/>
      <c r="VUR14" s="2" t="n"/>
      <c r="VUS14" s="2" t="n"/>
      <c r="VUT14" s="2" t="n"/>
      <c r="VUU14" s="2" t="n"/>
      <c r="VUV14" s="2" t="n"/>
      <c r="VUW14" s="2" t="n"/>
      <c r="VUX14" s="2" t="n"/>
      <c r="VUY14" s="2" t="n"/>
      <c r="VUZ14" s="2" t="n"/>
      <c r="VVA14" s="2" t="n"/>
      <c r="VVB14" s="2" t="n"/>
      <c r="VVC14" s="2" t="n"/>
      <c r="VVD14" s="2" t="n"/>
      <c r="VVE14" s="2" t="n"/>
      <c r="VVF14" s="2" t="n"/>
      <c r="VVG14" s="2" t="n"/>
      <c r="VVH14" s="2" t="n"/>
      <c r="VVI14" s="2" t="n"/>
      <c r="VVJ14" s="2" t="n"/>
      <c r="VVK14" s="2" t="n"/>
      <c r="VVL14" s="2" t="n"/>
      <c r="VVM14" s="2" t="n"/>
      <c r="VVN14" s="2" t="n"/>
      <c r="VVO14" s="2" t="n"/>
      <c r="VVP14" s="2" t="n"/>
      <c r="VVQ14" s="2" t="n"/>
      <c r="VVR14" s="2" t="n"/>
      <c r="VVS14" s="2" t="n"/>
      <c r="VVT14" s="2" t="n"/>
      <c r="VVU14" s="2" t="n"/>
      <c r="VVV14" s="2" t="n"/>
      <c r="VVW14" s="2" t="n"/>
      <c r="VVX14" s="2" t="n"/>
      <c r="VVY14" s="2" t="n"/>
      <c r="VVZ14" s="2" t="n"/>
      <c r="VWA14" s="2" t="n"/>
      <c r="VWB14" s="2" t="n"/>
      <c r="VWC14" s="2" t="n"/>
      <c r="VWD14" s="2" t="n"/>
      <c r="VWE14" s="2" t="n"/>
      <c r="VWF14" s="2" t="n"/>
      <c r="VWG14" s="2" t="n"/>
      <c r="VWH14" s="2" t="n"/>
      <c r="VWI14" s="2" t="n"/>
      <c r="VWJ14" s="2" t="n"/>
      <c r="VWK14" s="2" t="n"/>
      <c r="VWL14" s="2" t="n"/>
      <c r="VWM14" s="2" t="n"/>
      <c r="VWN14" s="2" t="n"/>
      <c r="VWO14" s="2" t="n"/>
      <c r="VWP14" s="2" t="n"/>
      <c r="VWQ14" s="2" t="n"/>
      <c r="VWR14" s="2" t="n"/>
      <c r="VWS14" s="2" t="n"/>
      <c r="VWT14" s="2" t="n"/>
      <c r="VWU14" s="2" t="n"/>
      <c r="VWV14" s="2" t="n"/>
      <c r="VWW14" s="2" t="n"/>
      <c r="VWX14" s="2" t="n"/>
      <c r="VWY14" s="2" t="n"/>
      <c r="VWZ14" s="2" t="n"/>
      <c r="VXA14" s="2" t="n"/>
      <c r="VXB14" s="2" t="n"/>
      <c r="VXC14" s="2" t="n"/>
      <c r="VXD14" s="2" t="n"/>
      <c r="VXE14" s="2" t="n"/>
      <c r="VXF14" s="2" t="n"/>
      <c r="VXG14" s="2" t="n"/>
      <c r="VXH14" s="2" t="n"/>
      <c r="VXI14" s="2" t="n"/>
      <c r="VXJ14" s="2" t="n"/>
      <c r="VXK14" s="2" t="n"/>
      <c r="VXL14" s="2" t="n"/>
      <c r="VXM14" s="2" t="n"/>
      <c r="VXN14" s="2" t="n"/>
      <c r="VXO14" s="2" t="n"/>
      <c r="VXP14" s="2" t="n"/>
      <c r="VXQ14" s="2" t="n"/>
      <c r="VXR14" s="2" t="n"/>
      <c r="VXS14" s="2" t="n"/>
      <c r="VXT14" s="2" t="n"/>
      <c r="VXU14" s="2" t="n"/>
      <c r="VXV14" s="2" t="n"/>
      <c r="VXW14" s="2" t="n"/>
      <c r="VXX14" s="2" t="n"/>
      <c r="VXY14" s="2" t="n"/>
      <c r="VXZ14" s="2" t="n"/>
      <c r="VYA14" s="2" t="n"/>
      <c r="VYB14" s="2" t="n"/>
      <c r="VYC14" s="2" t="n"/>
      <c r="VYD14" s="2" t="n"/>
      <c r="VYE14" s="2" t="n"/>
      <c r="VYF14" s="2" t="n"/>
      <c r="VYG14" s="2" t="n"/>
      <c r="VYH14" s="2" t="n"/>
      <c r="VYI14" s="2" t="n"/>
      <c r="VYJ14" s="2" t="n"/>
      <c r="VYK14" s="2" t="n"/>
      <c r="VYL14" s="2" t="n"/>
      <c r="VYM14" s="2" t="n"/>
      <c r="VYN14" s="2" t="n"/>
      <c r="VYO14" s="2" t="n"/>
      <c r="VYP14" s="2" t="n"/>
      <c r="VYQ14" s="2" t="n"/>
      <c r="VYR14" s="2" t="n"/>
      <c r="VYS14" s="2" t="n"/>
      <c r="VYT14" s="2" t="n"/>
      <c r="VYU14" s="2" t="n"/>
      <c r="VYV14" s="2" t="n"/>
      <c r="VYW14" s="2" t="n"/>
      <c r="VYX14" s="2" t="n"/>
      <c r="VYY14" s="2" t="n"/>
      <c r="VYZ14" s="2" t="n"/>
      <c r="VZA14" s="2" t="n"/>
      <c r="VZB14" s="2" t="n"/>
      <c r="VZC14" s="2" t="n"/>
      <c r="VZD14" s="2" t="n"/>
      <c r="VZE14" s="2" t="n"/>
      <c r="VZF14" s="2" t="n"/>
      <c r="VZG14" s="2" t="n"/>
      <c r="VZH14" s="2" t="n"/>
      <c r="VZI14" s="2" t="n"/>
      <c r="VZJ14" s="2" t="n"/>
      <c r="VZK14" s="2" t="n"/>
      <c r="VZL14" s="2" t="n"/>
      <c r="VZM14" s="2" t="n"/>
      <c r="VZN14" s="2" t="n"/>
      <c r="VZO14" s="2" t="n"/>
      <c r="VZP14" s="2" t="n"/>
      <c r="VZQ14" s="2" t="n"/>
      <c r="VZR14" s="2" t="n"/>
      <c r="VZS14" s="2" t="n"/>
      <c r="VZT14" s="2" t="n"/>
      <c r="VZU14" s="2" t="n"/>
      <c r="VZV14" s="2" t="n"/>
      <c r="VZW14" s="2" t="n"/>
      <c r="VZX14" s="2" t="n"/>
      <c r="VZY14" s="2" t="n"/>
      <c r="VZZ14" s="2" t="n"/>
      <c r="WAA14" s="2" t="n"/>
      <c r="WAB14" s="2" t="n"/>
      <c r="WAC14" s="2" t="n"/>
      <c r="WAD14" s="2" t="n"/>
      <c r="WAE14" s="2" t="n"/>
      <c r="WAF14" s="2" t="n"/>
      <c r="WAG14" s="2" t="n"/>
      <c r="WAH14" s="2" t="n"/>
      <c r="WAI14" s="2" t="n"/>
      <c r="WAJ14" s="2" t="n"/>
      <c r="WAK14" s="2" t="n"/>
      <c r="WAL14" s="2" t="n"/>
      <c r="WAM14" s="2" t="n"/>
      <c r="WAN14" s="2" t="n"/>
      <c r="WAO14" s="2" t="n"/>
      <c r="WAP14" s="2" t="n"/>
      <c r="WAQ14" s="2" t="n"/>
      <c r="WAR14" s="2" t="n"/>
      <c r="WAS14" s="2" t="n"/>
      <c r="WAT14" s="2" t="n"/>
      <c r="WAU14" s="2" t="n"/>
      <c r="WAV14" s="2" t="n"/>
      <c r="WAW14" s="2" t="n"/>
      <c r="WAX14" s="2" t="n"/>
      <c r="WAY14" s="2" t="n"/>
      <c r="WAZ14" s="2" t="n"/>
      <c r="WBA14" s="2" t="n"/>
      <c r="WBB14" s="2" t="n"/>
      <c r="WBC14" s="2" t="n"/>
      <c r="WBD14" s="2" t="n"/>
      <c r="WBE14" s="2" t="n"/>
      <c r="WBF14" s="2" t="n"/>
      <c r="WBG14" s="2" t="n"/>
      <c r="WBH14" s="2" t="n"/>
      <c r="WBI14" s="2" t="n"/>
      <c r="WBJ14" s="2" t="n"/>
      <c r="WBK14" s="2" t="n"/>
      <c r="WBL14" s="2" t="n"/>
      <c r="WBM14" s="2" t="n"/>
      <c r="WBN14" s="2" t="n"/>
      <c r="WBO14" s="2" t="n"/>
      <c r="WBP14" s="2" t="n"/>
      <c r="WBQ14" s="2" t="n"/>
      <c r="WBR14" s="2" t="n"/>
      <c r="WBS14" s="2" t="n"/>
      <c r="WBT14" s="2" t="n"/>
      <c r="WBU14" s="2" t="n"/>
      <c r="WBV14" s="2" t="n"/>
      <c r="WBW14" s="2" t="n"/>
      <c r="WBX14" s="2" t="n"/>
      <c r="WBY14" s="2" t="n"/>
      <c r="WBZ14" s="2" t="n"/>
      <c r="WCA14" s="2" t="n"/>
      <c r="WCB14" s="2" t="n"/>
      <c r="WCC14" s="2" t="n"/>
      <c r="WCD14" s="2" t="n"/>
      <c r="WCE14" s="2" t="n"/>
      <c r="WCF14" s="2" t="n"/>
      <c r="WCG14" s="2" t="n"/>
      <c r="WCH14" s="2" t="n"/>
      <c r="WCI14" s="2" t="n"/>
      <c r="WCJ14" s="2" t="n"/>
      <c r="WCK14" s="2" t="n"/>
      <c r="WCL14" s="2" t="n"/>
      <c r="WCM14" s="2" t="n"/>
      <c r="WCN14" s="2" t="n"/>
      <c r="WCO14" s="2" t="n"/>
      <c r="WCP14" s="2" t="n"/>
      <c r="WCQ14" s="2" t="n"/>
      <c r="WCR14" s="2" t="n"/>
      <c r="WCS14" s="2" t="n"/>
      <c r="WCT14" s="2" t="n"/>
      <c r="WCU14" s="2" t="n"/>
      <c r="WCV14" s="2" t="n"/>
      <c r="WCW14" s="2" t="n"/>
      <c r="WCX14" s="2" t="n"/>
      <c r="WCY14" s="2" t="n"/>
      <c r="WCZ14" s="2" t="n"/>
      <c r="WDA14" s="2" t="n"/>
      <c r="WDB14" s="2" t="n"/>
      <c r="WDC14" s="2" t="n"/>
      <c r="WDD14" s="2" t="n"/>
      <c r="WDE14" s="2" t="n"/>
      <c r="WDF14" s="2" t="n"/>
      <c r="WDG14" s="2" t="n"/>
      <c r="WDH14" s="2" t="n"/>
      <c r="WDI14" s="2" t="n"/>
      <c r="WDJ14" s="2" t="n"/>
      <c r="WDK14" s="2" t="n"/>
      <c r="WDL14" s="2" t="n"/>
      <c r="WDM14" s="2" t="n"/>
      <c r="WDN14" s="2" t="n"/>
      <c r="WDO14" s="2" t="n"/>
      <c r="WDP14" s="2" t="n"/>
      <c r="WDQ14" s="2" t="n"/>
      <c r="WDR14" s="2" t="n"/>
      <c r="WDS14" s="2" t="n"/>
      <c r="WDT14" s="2" t="n"/>
      <c r="WDU14" s="2" t="n"/>
      <c r="WDV14" s="2" t="n"/>
      <c r="WDW14" s="2" t="n"/>
      <c r="WDX14" s="2" t="n"/>
      <c r="WDY14" s="2" t="n"/>
      <c r="WDZ14" s="2" t="n"/>
      <c r="WEA14" s="2" t="n"/>
      <c r="WEB14" s="2" t="n"/>
      <c r="WEC14" s="2" t="n"/>
      <c r="WED14" s="2" t="n"/>
      <c r="WEE14" s="2" t="n"/>
      <c r="WEF14" s="2" t="n"/>
      <c r="WEG14" s="2" t="n"/>
      <c r="WEH14" s="2" t="n"/>
      <c r="WEI14" s="2" t="n"/>
      <c r="WEJ14" s="2" t="n"/>
      <c r="WEK14" s="2" t="n"/>
      <c r="WEL14" s="2" t="n"/>
      <c r="WEM14" s="2" t="n"/>
      <c r="WEN14" s="2" t="n"/>
      <c r="WEO14" s="2" t="n"/>
      <c r="WEP14" s="2" t="n"/>
      <c r="WEQ14" s="2" t="n"/>
      <c r="WER14" s="2" t="n"/>
      <c r="WES14" s="2" t="n"/>
      <c r="WET14" s="2" t="n"/>
      <c r="WEU14" s="2" t="n"/>
      <c r="WEV14" s="2" t="n"/>
      <c r="WEW14" s="2" t="n"/>
      <c r="WEX14" s="2" t="n"/>
      <c r="WEY14" s="2" t="n"/>
      <c r="WEZ14" s="2" t="n"/>
      <c r="WFA14" s="2" t="n"/>
      <c r="WFB14" s="2" t="n"/>
      <c r="WFC14" s="2" t="n"/>
      <c r="WFD14" s="2" t="n"/>
      <c r="WFE14" s="2" t="n"/>
      <c r="WFF14" s="2" t="n"/>
      <c r="WFG14" s="2" t="n"/>
      <c r="WFH14" s="2" t="n"/>
      <c r="WFI14" s="2" t="n"/>
      <c r="WFJ14" s="2" t="n"/>
      <c r="WFK14" s="2" t="n"/>
      <c r="WFL14" s="2" t="n"/>
      <c r="WFM14" s="2" t="n"/>
      <c r="WFN14" s="2" t="n"/>
      <c r="WFO14" s="2" t="n"/>
      <c r="WFP14" s="2" t="n"/>
      <c r="WFQ14" s="2" t="n"/>
      <c r="WFR14" s="2" t="n"/>
      <c r="WFS14" s="2" t="n"/>
      <c r="WFT14" s="2" t="n"/>
      <c r="WFU14" s="2" t="n"/>
      <c r="WFV14" s="2" t="n"/>
      <c r="WFW14" s="2" t="n"/>
      <c r="WFX14" s="2" t="n"/>
      <c r="WFY14" s="2" t="n"/>
      <c r="WFZ14" s="2" t="n"/>
      <c r="WGA14" s="2" t="n"/>
      <c r="WGB14" s="2" t="n"/>
      <c r="WGC14" s="2" t="n"/>
      <c r="WGD14" s="2" t="n"/>
      <c r="WGE14" s="2" t="n"/>
      <c r="WGF14" s="2" t="n"/>
      <c r="WGG14" s="2" t="n"/>
      <c r="WGH14" s="2" t="n"/>
      <c r="WGI14" s="2" t="n"/>
      <c r="WGJ14" s="2" t="n"/>
      <c r="WGK14" s="2" t="n"/>
      <c r="WGL14" s="2" t="n"/>
      <c r="WGM14" s="2" t="n"/>
      <c r="WGN14" s="2" t="n"/>
      <c r="WGO14" s="2" t="n"/>
      <c r="WGP14" s="2" t="n"/>
      <c r="WGQ14" s="2" t="n"/>
      <c r="WGR14" s="2" t="n"/>
      <c r="WGS14" s="2" t="n"/>
      <c r="WGT14" s="2" t="n"/>
      <c r="WGU14" s="2" t="n"/>
      <c r="WGV14" s="2" t="n"/>
      <c r="WGW14" s="2" t="n"/>
      <c r="WGX14" s="2" t="n"/>
      <c r="WGY14" s="2" t="n"/>
      <c r="WGZ14" s="2" t="n"/>
      <c r="WHA14" s="2" t="n"/>
      <c r="WHB14" s="2" t="n"/>
      <c r="WHC14" s="2" t="n"/>
      <c r="WHD14" s="2" t="n"/>
      <c r="WHE14" s="2" t="n"/>
      <c r="WHF14" s="2" t="n"/>
      <c r="WHG14" s="2" t="n"/>
      <c r="WHH14" s="2" t="n"/>
      <c r="WHI14" s="2" t="n"/>
      <c r="WHJ14" s="2" t="n"/>
      <c r="WHK14" s="2" t="n"/>
      <c r="WHL14" s="2" t="n"/>
      <c r="WHM14" s="2" t="n"/>
      <c r="WHN14" s="2" t="n"/>
      <c r="WHO14" s="2" t="n"/>
      <c r="WHP14" s="2" t="n"/>
      <c r="WHQ14" s="2" t="n"/>
      <c r="WHR14" s="2" t="n"/>
      <c r="WHS14" s="2" t="n"/>
      <c r="WHT14" s="2" t="n"/>
      <c r="WHU14" s="2" t="n"/>
      <c r="WHV14" s="2" t="n"/>
      <c r="WHW14" s="2" t="n"/>
      <c r="WHX14" s="2" t="n"/>
      <c r="WHY14" s="2" t="n"/>
      <c r="WHZ14" s="2" t="n"/>
      <c r="WIA14" s="2" t="n"/>
      <c r="WIB14" s="2" t="n"/>
      <c r="WIC14" s="2" t="n"/>
      <c r="WID14" s="2" t="n"/>
      <c r="WIE14" s="2" t="n"/>
      <c r="WIF14" s="2" t="n"/>
      <c r="WIG14" s="2" t="n"/>
      <c r="WIH14" s="2" t="n"/>
      <c r="WII14" s="2" t="n"/>
      <c r="WIJ14" s="2" t="n"/>
      <c r="WIK14" s="2" t="n"/>
      <c r="WIL14" s="2" t="n"/>
      <c r="WIM14" s="2" t="n"/>
      <c r="WIN14" s="2" t="n"/>
      <c r="WIO14" s="2" t="n"/>
      <c r="WIP14" s="2" t="n"/>
      <c r="WIQ14" s="2" t="n"/>
      <c r="WIR14" s="2" t="n"/>
      <c r="WIS14" s="2" t="n"/>
      <c r="WIT14" s="2" t="n"/>
      <c r="WIU14" s="2" t="n"/>
      <c r="WIV14" s="2" t="n"/>
      <c r="WIW14" s="2" t="n"/>
      <c r="WIX14" s="2" t="n"/>
      <c r="WIY14" s="2" t="n"/>
      <c r="WIZ14" s="2" t="n"/>
      <c r="WJA14" s="2" t="n"/>
      <c r="WJB14" s="2" t="n"/>
      <c r="WJC14" s="2" t="n"/>
      <c r="WJD14" s="2" t="n"/>
      <c r="WJE14" s="2" t="n"/>
      <c r="WJF14" s="2" t="n"/>
      <c r="WJG14" s="2" t="n"/>
      <c r="WJH14" s="2" t="n"/>
      <c r="WJI14" s="2" t="n"/>
      <c r="WJJ14" s="2" t="n"/>
      <c r="WJK14" s="2" t="n"/>
      <c r="WJL14" s="2" t="n"/>
      <c r="WJM14" s="2" t="n"/>
      <c r="WJN14" s="2" t="n"/>
      <c r="WJO14" s="2" t="n"/>
      <c r="WJP14" s="2" t="n"/>
      <c r="WJQ14" s="2" t="n"/>
      <c r="WJR14" s="2" t="n"/>
      <c r="WJS14" s="2" t="n"/>
      <c r="WJT14" s="2" t="n"/>
      <c r="WJU14" s="2" t="n"/>
      <c r="WJV14" s="2" t="n"/>
      <c r="WJW14" s="2" t="n"/>
      <c r="WJX14" s="2" t="n"/>
      <c r="WJY14" s="2" t="n"/>
      <c r="WJZ14" s="2" t="n"/>
      <c r="WKA14" s="2" t="n"/>
      <c r="WKB14" s="2" t="n"/>
      <c r="WKC14" s="2" t="n"/>
      <c r="WKD14" s="2" t="n"/>
      <c r="WKE14" s="2" t="n"/>
      <c r="WKF14" s="2" t="n"/>
      <c r="WKG14" s="2" t="n"/>
      <c r="WKH14" s="2" t="n"/>
      <c r="WKI14" s="2" t="n"/>
      <c r="WKJ14" s="2" t="n"/>
      <c r="WKK14" s="2" t="n"/>
      <c r="WKL14" s="2" t="n"/>
      <c r="WKM14" s="2" t="n"/>
      <c r="WKN14" s="2" t="n"/>
      <c r="WKO14" s="2" t="n"/>
      <c r="WKP14" s="2" t="n"/>
      <c r="WKQ14" s="2" t="n"/>
      <c r="WKR14" s="2" t="n"/>
      <c r="WKS14" s="2" t="n"/>
      <c r="WKT14" s="2" t="n"/>
      <c r="WKU14" s="2" t="n"/>
      <c r="WKV14" s="2" t="n"/>
      <c r="WKW14" s="2" t="n"/>
      <c r="WKX14" s="2" t="n"/>
      <c r="WKY14" s="2" t="n"/>
      <c r="WKZ14" s="2" t="n"/>
      <c r="WLA14" s="2" t="n"/>
      <c r="WLB14" s="2" t="n"/>
      <c r="WLC14" s="2" t="n"/>
      <c r="WLD14" s="2" t="n"/>
      <c r="WLE14" s="2" t="n"/>
      <c r="WLF14" s="2" t="n"/>
      <c r="WLG14" s="2" t="n"/>
      <c r="WLH14" s="2" t="n"/>
      <c r="WLI14" s="2" t="n"/>
      <c r="WLJ14" s="2" t="n"/>
      <c r="WLK14" s="2" t="n"/>
      <c r="WLL14" s="2" t="n"/>
      <c r="WLM14" s="2" t="n"/>
      <c r="WLN14" s="2" t="n"/>
      <c r="WLO14" s="2" t="n"/>
      <c r="WLP14" s="2" t="n"/>
      <c r="WLQ14" s="2" t="n"/>
      <c r="WLR14" s="2" t="n"/>
      <c r="WLS14" s="2" t="n"/>
      <c r="WLT14" s="2" t="n"/>
      <c r="WLU14" s="2" t="n"/>
      <c r="WLV14" s="2" t="n"/>
      <c r="WLW14" s="2" t="n"/>
      <c r="WLX14" s="2" t="n"/>
      <c r="WLY14" s="2" t="n"/>
      <c r="WLZ14" s="2" t="n"/>
      <c r="WMA14" s="2" t="n"/>
      <c r="WMB14" s="2" t="n"/>
      <c r="WMC14" s="2" t="n"/>
      <c r="WMD14" s="2" t="n"/>
      <c r="WME14" s="2" t="n"/>
      <c r="WMF14" s="2" t="n"/>
      <c r="WMG14" s="2" t="n"/>
      <c r="WMH14" s="2" t="n"/>
      <c r="WMI14" s="2" t="n"/>
      <c r="WMJ14" s="2" t="n"/>
      <c r="WMK14" s="2" t="n"/>
      <c r="WML14" s="2" t="n"/>
      <c r="WMM14" s="2" t="n"/>
      <c r="WMN14" s="2" t="n"/>
      <c r="WMO14" s="2" t="n"/>
      <c r="WMP14" s="2" t="n"/>
      <c r="WMQ14" s="2" t="n"/>
      <c r="WMR14" s="2" t="n"/>
      <c r="WMS14" s="2" t="n"/>
      <c r="WMT14" s="2" t="n"/>
      <c r="WMU14" s="2" t="n"/>
      <c r="WMV14" s="2" t="n"/>
      <c r="WMW14" s="2" t="n"/>
      <c r="WMX14" s="2" t="n"/>
      <c r="WMY14" s="2" t="n"/>
      <c r="WMZ14" s="2" t="n"/>
      <c r="WNA14" s="2" t="n"/>
      <c r="WNB14" s="2" t="n"/>
      <c r="WNC14" s="2" t="n"/>
      <c r="WND14" s="2" t="n"/>
      <c r="WNE14" s="2" t="n"/>
      <c r="WNF14" s="2" t="n"/>
      <c r="WNG14" s="2" t="n"/>
      <c r="WNH14" s="2" t="n"/>
      <c r="WNI14" s="2" t="n"/>
      <c r="WNJ14" s="2" t="n"/>
      <c r="WNK14" s="2" t="n"/>
      <c r="WNL14" s="2" t="n"/>
      <c r="WNM14" s="2" t="n"/>
      <c r="WNN14" s="2" t="n"/>
      <c r="WNO14" s="2" t="n"/>
      <c r="WNP14" s="2" t="n"/>
      <c r="WNQ14" s="2" t="n"/>
      <c r="WNR14" s="2" t="n"/>
      <c r="WNS14" s="2" t="n"/>
      <c r="WNT14" s="2" t="n"/>
      <c r="WNU14" s="2" t="n"/>
      <c r="WNV14" s="2" t="n"/>
      <c r="WNW14" s="2" t="n"/>
      <c r="WNX14" s="2" t="n"/>
      <c r="WNY14" s="2" t="n"/>
      <c r="WNZ14" s="2" t="n"/>
      <c r="WOA14" s="2" t="n"/>
      <c r="WOB14" s="2" t="n"/>
      <c r="WOC14" s="2" t="n"/>
      <c r="WOD14" s="2" t="n"/>
      <c r="WOE14" s="2" t="n"/>
      <c r="WOF14" s="2" t="n"/>
      <c r="WOG14" s="2" t="n"/>
      <c r="WOH14" s="2" t="n"/>
      <c r="WOI14" s="2" t="n"/>
      <c r="WOJ14" s="2" t="n"/>
      <c r="WOK14" s="2" t="n"/>
      <c r="WOL14" s="2" t="n"/>
      <c r="WOM14" s="2" t="n"/>
      <c r="WON14" s="2" t="n"/>
      <c r="WOO14" s="2" t="n"/>
      <c r="WOP14" s="2" t="n"/>
      <c r="WOQ14" s="2" t="n"/>
      <c r="WOR14" s="2" t="n"/>
      <c r="WOS14" s="2" t="n"/>
      <c r="WOT14" s="2" t="n"/>
      <c r="WOU14" s="2" t="n"/>
      <c r="WOV14" s="2" t="n"/>
      <c r="WOW14" s="2" t="n"/>
      <c r="WOX14" s="2" t="n"/>
      <c r="WOY14" s="2" t="n"/>
      <c r="WOZ14" s="2" t="n"/>
      <c r="WPA14" s="2" t="n"/>
      <c r="WPB14" s="2" t="n"/>
      <c r="WPC14" s="2" t="n"/>
      <c r="WPD14" s="2" t="n"/>
      <c r="WPE14" s="2" t="n"/>
      <c r="WPF14" s="2" t="n"/>
      <c r="WPG14" s="2" t="n"/>
      <c r="WPH14" s="2" t="n"/>
      <c r="WPI14" s="2" t="n"/>
      <c r="WPJ14" s="2" t="n"/>
      <c r="WPK14" s="2" t="n"/>
      <c r="WPL14" s="2" t="n"/>
      <c r="WPM14" s="2" t="n"/>
      <c r="WPN14" s="2" t="n"/>
      <c r="WPO14" s="2" t="n"/>
      <c r="WPP14" s="2" t="n"/>
      <c r="WPQ14" s="2" t="n"/>
      <c r="WPR14" s="2" t="n"/>
      <c r="WPS14" s="2" t="n"/>
      <c r="WPT14" s="2" t="n"/>
      <c r="WPU14" s="2" t="n"/>
      <c r="WPV14" s="2" t="n"/>
      <c r="WPW14" s="2" t="n"/>
      <c r="WPX14" s="2" t="n"/>
      <c r="WPY14" s="2" t="n"/>
      <c r="WPZ14" s="2" t="n"/>
      <c r="WQA14" s="2" t="n"/>
      <c r="WQB14" s="2" t="n"/>
      <c r="WQC14" s="2" t="n"/>
      <c r="WQD14" s="2" t="n"/>
      <c r="WQE14" s="2" t="n"/>
      <c r="WQF14" s="2" t="n"/>
      <c r="WQG14" s="2" t="n"/>
      <c r="WQH14" s="2" t="n"/>
      <c r="WQI14" s="2" t="n"/>
      <c r="WQJ14" s="2" t="n"/>
      <c r="WQK14" s="2" t="n"/>
      <c r="WQL14" s="2" t="n"/>
      <c r="WQM14" s="2" t="n"/>
      <c r="WQN14" s="2" t="n"/>
      <c r="WQO14" s="2" t="n"/>
      <c r="WQP14" s="2" t="n"/>
      <c r="WQQ14" s="2" t="n"/>
      <c r="WQR14" s="2" t="n"/>
      <c r="WQS14" s="2" t="n"/>
      <c r="WQT14" s="2" t="n"/>
      <c r="WQU14" s="2" t="n"/>
      <c r="WQV14" s="2" t="n"/>
      <c r="WQW14" s="2" t="n"/>
      <c r="WQX14" s="2" t="n"/>
      <c r="WQY14" s="2" t="n"/>
      <c r="WQZ14" s="2" t="n"/>
      <c r="WRA14" s="2" t="n"/>
      <c r="WRB14" s="2" t="n"/>
      <c r="WRC14" s="2" t="n"/>
      <c r="WRD14" s="2" t="n"/>
      <c r="WRE14" s="2" t="n"/>
      <c r="WRF14" s="2" t="n"/>
      <c r="WRG14" s="2" t="n"/>
      <c r="WRH14" s="2" t="n"/>
      <c r="WRI14" s="2" t="n"/>
      <c r="WRJ14" s="2" t="n"/>
      <c r="WRK14" s="2" t="n"/>
      <c r="WRL14" s="2" t="n"/>
      <c r="WRM14" s="2" t="n"/>
      <c r="WRN14" s="2" t="n"/>
      <c r="WRO14" s="2" t="n"/>
      <c r="WRP14" s="2" t="n"/>
      <c r="WRQ14" s="2" t="n"/>
      <c r="WRR14" s="2" t="n"/>
      <c r="WRS14" s="2" t="n"/>
      <c r="WRT14" s="2" t="n"/>
      <c r="WRU14" s="2" t="n"/>
      <c r="WRV14" s="2" t="n"/>
      <c r="WRW14" s="2" t="n"/>
      <c r="WRX14" s="2" t="n"/>
      <c r="WRY14" s="2" t="n"/>
      <c r="WRZ14" s="2" t="n"/>
      <c r="WSA14" s="2" t="n"/>
      <c r="WSB14" s="2" t="n"/>
      <c r="WSC14" s="2" t="n"/>
      <c r="WSD14" s="2" t="n"/>
      <c r="WSE14" s="2" t="n"/>
      <c r="WSF14" s="2" t="n"/>
      <c r="WSG14" s="2" t="n"/>
      <c r="WSH14" s="2" t="n"/>
      <c r="WSI14" s="2" t="n"/>
      <c r="WSJ14" s="2" t="n"/>
      <c r="WSK14" s="2" t="n"/>
      <c r="WSL14" s="2" t="n"/>
      <c r="WSM14" s="2" t="n"/>
      <c r="WSN14" s="2" t="n"/>
      <c r="WSO14" s="2" t="n"/>
      <c r="WSP14" s="2" t="n"/>
      <c r="WSQ14" s="2" t="n"/>
      <c r="WSR14" s="2" t="n"/>
      <c r="WSS14" s="2" t="n"/>
      <c r="WST14" s="2" t="n"/>
      <c r="WSU14" s="2" t="n"/>
      <c r="WSV14" s="2" t="n"/>
      <c r="WSW14" s="2" t="n"/>
      <c r="WSX14" s="2" t="n"/>
      <c r="WSY14" s="2" t="n"/>
      <c r="WSZ14" s="2" t="n"/>
      <c r="WTA14" s="2" t="n"/>
      <c r="WTB14" s="2" t="n"/>
      <c r="WTC14" s="2" t="n"/>
      <c r="WTD14" s="2" t="n"/>
      <c r="WTE14" s="2" t="n"/>
      <c r="WTF14" s="2" t="n"/>
      <c r="WTG14" s="2" t="n"/>
      <c r="WTH14" s="2" t="n"/>
      <c r="WTI14" s="2" t="n"/>
      <c r="WTJ14" s="2" t="n"/>
      <c r="WTK14" s="2" t="n"/>
      <c r="WTL14" s="2" t="n"/>
      <c r="WTM14" s="2" t="n"/>
      <c r="WTN14" s="2" t="n"/>
      <c r="WTO14" s="2" t="n"/>
      <c r="WTP14" s="2" t="n"/>
      <c r="WTQ14" s="2" t="n"/>
      <c r="WTR14" s="2" t="n"/>
      <c r="WTS14" s="2" t="n"/>
      <c r="WTT14" s="2" t="n"/>
      <c r="WTU14" s="2" t="n"/>
      <c r="WTV14" s="2" t="n"/>
      <c r="WTW14" s="2" t="n"/>
      <c r="WTX14" s="2" t="n"/>
      <c r="WTY14" s="2" t="n"/>
      <c r="WTZ14" s="2" t="n"/>
      <c r="WUA14" s="2" t="n"/>
      <c r="WUB14" s="2" t="n"/>
      <c r="WUC14" s="2" t="n"/>
      <c r="WUD14" s="2" t="n"/>
      <c r="WUE14" s="2" t="n"/>
      <c r="WUF14" s="2" t="n"/>
      <c r="WUG14" s="2" t="n"/>
      <c r="WUH14" s="2" t="n"/>
      <c r="WUI14" s="2" t="n"/>
      <c r="WUJ14" s="2" t="n"/>
      <c r="WUK14" s="2" t="n"/>
      <c r="WUL14" s="2" t="n"/>
      <c r="WUM14" s="2" t="n"/>
      <c r="WUN14" s="2" t="n"/>
      <c r="WUO14" s="2" t="n"/>
      <c r="WUP14" s="2" t="n"/>
      <c r="WUQ14" s="2" t="n"/>
      <c r="WUR14" s="2" t="n"/>
      <c r="WUS14" s="2" t="n"/>
      <c r="WUT14" s="2" t="n"/>
      <c r="WUU14" s="2" t="n"/>
      <c r="WUV14" s="2" t="n"/>
      <c r="WUW14" s="2" t="n"/>
      <c r="WUX14" s="2" t="n"/>
      <c r="WUY14" s="2" t="n"/>
      <c r="WUZ14" s="2" t="n"/>
      <c r="WVA14" s="2" t="n"/>
      <c r="WVB14" s="2" t="n"/>
      <c r="WVC14" s="2" t="n"/>
      <c r="WVD14" s="2" t="n"/>
      <c r="WVE14" s="2" t="n"/>
      <c r="WVF14" s="2" t="n"/>
      <c r="WVG14" s="2" t="n"/>
      <c r="WVH14" s="2" t="n"/>
      <c r="WVI14" s="2" t="n"/>
      <c r="WVJ14" s="2" t="n"/>
      <c r="WVK14" s="2" t="n"/>
      <c r="WVL14" s="2" t="n"/>
      <c r="WVM14" s="2" t="n"/>
      <c r="WVN14" s="2" t="n"/>
      <c r="WVO14" s="2" t="n"/>
      <c r="WVP14" s="2" t="n"/>
      <c r="WVQ14" s="2" t="n"/>
      <c r="WVR14" s="2" t="n"/>
      <c r="WVS14" s="2" t="n"/>
      <c r="WVT14" s="2" t="n"/>
      <c r="WVU14" s="2" t="n"/>
      <c r="WVV14" s="2" t="n"/>
      <c r="WVW14" s="2" t="n"/>
      <c r="WVX14" s="2" t="n"/>
      <c r="WVY14" s="2" t="n"/>
      <c r="WVZ14" s="2" t="n"/>
      <c r="WWA14" s="2" t="n"/>
      <c r="WWB14" s="2" t="n"/>
      <c r="WWC14" s="2" t="n"/>
      <c r="WWD14" s="2" t="n"/>
      <c r="WWE14" s="2" t="n"/>
      <c r="WWF14" s="2" t="n"/>
      <c r="WWG14" s="2" t="n"/>
      <c r="WWH14" s="2" t="n"/>
      <c r="WWI14" s="2" t="n"/>
      <c r="WWJ14" s="2" t="n"/>
      <c r="WWK14" s="2" t="n"/>
      <c r="WWL14" s="2" t="n"/>
      <c r="WWM14" s="2" t="n"/>
      <c r="WWN14" s="2" t="n"/>
      <c r="WWO14" s="2" t="n"/>
      <c r="WWP14" s="2" t="n"/>
      <c r="WWQ14" s="2" t="n"/>
      <c r="WWR14" s="2" t="n"/>
      <c r="WWS14" s="2" t="n"/>
      <c r="WWT14" s="2" t="n"/>
      <c r="WWU14" s="2" t="n"/>
      <c r="WWV14" s="2" t="n"/>
      <c r="WWW14" s="2" t="n"/>
      <c r="WWX14" s="2" t="n"/>
      <c r="WWY14" s="2" t="n"/>
      <c r="WWZ14" s="2" t="n"/>
      <c r="WXA14" s="2" t="n"/>
      <c r="WXB14" s="2" t="n"/>
      <c r="WXC14" s="2" t="n"/>
      <c r="WXD14" s="2" t="n"/>
      <c r="WXE14" s="2" t="n"/>
      <c r="WXF14" s="2" t="n"/>
      <c r="WXG14" s="2" t="n"/>
      <c r="WXH14" s="2" t="n"/>
      <c r="WXI14" s="2" t="n"/>
      <c r="WXJ14" s="2" t="n"/>
      <c r="WXK14" s="2" t="n"/>
      <c r="WXL14" s="2" t="n"/>
      <c r="WXM14" s="2" t="n"/>
      <c r="WXN14" s="2" t="n"/>
      <c r="WXO14" s="2" t="n"/>
      <c r="WXP14" s="2" t="n"/>
      <c r="WXQ14" s="2" t="n"/>
      <c r="WXR14" s="2" t="n"/>
      <c r="WXS14" s="2" t="n"/>
      <c r="WXT14" s="2" t="n"/>
      <c r="WXU14" s="2" t="n"/>
      <c r="WXV14" s="2" t="n"/>
      <c r="WXW14" s="2" t="n"/>
      <c r="WXX14" s="2" t="n"/>
      <c r="WXY14" s="2" t="n"/>
      <c r="WXZ14" s="2" t="n"/>
      <c r="WYA14" s="2" t="n"/>
      <c r="WYB14" s="2" t="n"/>
      <c r="WYC14" s="2" t="n"/>
      <c r="WYD14" s="2" t="n"/>
      <c r="WYE14" s="2" t="n"/>
      <c r="WYF14" s="2" t="n"/>
      <c r="WYG14" s="2" t="n"/>
      <c r="WYH14" s="2" t="n"/>
      <c r="WYI14" s="2" t="n"/>
      <c r="WYJ14" s="2" t="n"/>
      <c r="WYK14" s="2" t="n"/>
      <c r="WYL14" s="2" t="n"/>
      <c r="WYM14" s="2" t="n"/>
      <c r="WYN14" s="2" t="n"/>
      <c r="WYO14" s="2" t="n"/>
      <c r="WYP14" s="2" t="n"/>
      <c r="WYQ14" s="2" t="n"/>
      <c r="WYR14" s="2" t="n"/>
      <c r="WYS14" s="2" t="n"/>
      <c r="WYT14" s="2" t="n"/>
      <c r="WYU14" s="2" t="n"/>
      <c r="WYV14" s="2" t="n"/>
      <c r="WYW14" s="2" t="n"/>
      <c r="WYX14" s="2" t="n"/>
      <c r="WYY14" s="2" t="n"/>
      <c r="WYZ14" s="2" t="n"/>
      <c r="WZA14" s="2" t="n"/>
      <c r="WZB14" s="2" t="n"/>
      <c r="WZC14" s="2" t="n"/>
      <c r="WZD14" s="2" t="n"/>
      <c r="WZE14" s="2" t="n"/>
      <c r="WZF14" s="2" t="n"/>
      <c r="WZG14" s="2" t="n"/>
      <c r="WZH14" s="2" t="n"/>
      <c r="WZI14" s="2" t="n"/>
      <c r="WZJ14" s="2" t="n"/>
      <c r="WZK14" s="2" t="n"/>
      <c r="WZL14" s="2" t="n"/>
      <c r="WZM14" s="2" t="n"/>
      <c r="WZN14" s="2" t="n"/>
      <c r="WZO14" s="2" t="n"/>
      <c r="WZP14" s="2" t="n"/>
      <c r="WZQ14" s="2" t="n"/>
      <c r="WZR14" s="2" t="n"/>
      <c r="WZS14" s="2" t="n"/>
      <c r="WZT14" s="2" t="n"/>
      <c r="WZU14" s="2" t="n"/>
      <c r="WZV14" s="2" t="n"/>
      <c r="WZW14" s="2" t="n"/>
      <c r="WZX14" s="2" t="n"/>
      <c r="WZY14" s="2" t="n"/>
      <c r="WZZ14" s="2" t="n"/>
      <c r="XAA14" s="2" t="n"/>
      <c r="XAB14" s="2" t="n"/>
      <c r="XAC14" s="2" t="n"/>
      <c r="XAD14" s="2" t="n"/>
      <c r="XAE14" s="2" t="n"/>
      <c r="XAF14" s="2" t="n"/>
      <c r="XAG14" s="2" t="n"/>
      <c r="XAH14" s="2" t="n"/>
      <c r="XAI14" s="2" t="n"/>
      <c r="XAJ14" s="2" t="n"/>
      <c r="XAK14" s="2" t="n"/>
      <c r="XAL14" s="2" t="n"/>
      <c r="XAM14" s="2" t="n"/>
      <c r="XAN14" s="2" t="n"/>
      <c r="XAO14" s="2" t="n"/>
      <c r="XAP14" s="2" t="n"/>
      <c r="XAQ14" s="2" t="n"/>
      <c r="XAR14" s="2" t="n"/>
      <c r="XAS14" s="2" t="n"/>
      <c r="XAT14" s="2" t="n"/>
      <c r="XAU14" s="2" t="n"/>
      <c r="XAV14" s="2" t="n"/>
      <c r="XAW14" s="2" t="n"/>
      <c r="XAX14" s="2" t="n"/>
      <c r="XAY14" s="2" t="n"/>
      <c r="XAZ14" s="2" t="n"/>
      <c r="XBA14" s="2" t="n"/>
      <c r="XBB14" s="2" t="n"/>
      <c r="XBC14" s="2" t="n"/>
      <c r="XBD14" s="2" t="n"/>
      <c r="XBE14" s="2" t="n"/>
      <c r="XBF14" s="2" t="n"/>
      <c r="XBG14" s="2" t="n"/>
      <c r="XBH14" s="2" t="n"/>
      <c r="XBI14" s="2" t="n"/>
      <c r="XBJ14" s="2" t="n"/>
      <c r="XBK14" s="2" t="n"/>
      <c r="XBL14" s="2" t="n"/>
      <c r="XBM14" s="2" t="n"/>
      <c r="XBN14" s="2" t="n"/>
      <c r="XBO14" s="2" t="n"/>
      <c r="XBP14" s="2" t="n"/>
      <c r="XBQ14" s="2" t="n"/>
      <c r="XBR14" s="2" t="n"/>
      <c r="XBS14" s="2" t="n"/>
      <c r="XBT14" s="2" t="n"/>
      <c r="XBU14" s="2" t="n"/>
      <c r="XBV14" s="2" t="n"/>
      <c r="XBW14" s="2" t="n"/>
      <c r="XBX14" s="2" t="n"/>
      <c r="XBY14" s="2" t="n"/>
      <c r="XBZ14" s="2" t="n"/>
      <c r="XCA14" s="2" t="n"/>
      <c r="XCB14" s="2" t="n"/>
      <c r="XCC14" s="2" t="n"/>
      <c r="XCD14" s="2" t="n"/>
      <c r="XCE14" s="2" t="n"/>
      <c r="XCF14" s="2" t="n"/>
      <c r="XCG14" s="2" t="n"/>
      <c r="XCH14" s="2" t="n"/>
      <c r="XCI14" s="2" t="n"/>
      <c r="XCJ14" s="2" t="n"/>
      <c r="XCK14" s="2" t="n"/>
      <c r="XCL14" s="2" t="n"/>
      <c r="XCM14" s="2" t="n"/>
      <c r="XCN14" s="2" t="n"/>
      <c r="XCO14" s="2" t="n"/>
      <c r="XCP14" s="2" t="n"/>
      <c r="XCQ14" s="2" t="n"/>
      <c r="XCR14" s="2" t="n"/>
      <c r="XCS14" s="2" t="n"/>
      <c r="XCT14" s="2" t="n"/>
      <c r="XCU14" s="2" t="n"/>
      <c r="XCV14" s="2" t="n"/>
      <c r="XCW14" s="2" t="n"/>
      <c r="XCX14" s="2" t="n"/>
      <c r="XCY14" s="2" t="n"/>
      <c r="XCZ14" s="2" t="n"/>
      <c r="XDA14" s="2" t="n"/>
      <c r="XDB14" s="2" t="n"/>
      <c r="XDC14" s="2" t="n"/>
      <c r="XDD14" s="2" t="n"/>
      <c r="XDE14" s="2" t="n"/>
      <c r="XDF14" s="2" t="n"/>
      <c r="XDG14" s="2" t="n"/>
      <c r="XDH14" s="2" t="n"/>
      <c r="XDI14" s="2" t="n"/>
      <c r="XDJ14" s="2" t="n"/>
      <c r="XDK14" s="2" t="n"/>
      <c r="XDL14" s="2" t="n"/>
      <c r="XDM14" s="2" t="n"/>
      <c r="XDN14" s="2" t="n"/>
      <c r="XDO14" s="2" t="n"/>
      <c r="XDP14" s="2" t="n"/>
      <c r="XDQ14" s="2" t="n"/>
      <c r="XDR14" s="2" t="n"/>
      <c r="XDS14" s="2" t="n"/>
      <c r="XDT14" s="2" t="n"/>
      <c r="XDU14" s="2" t="n"/>
      <c r="XDV14" s="2" t="n"/>
      <c r="XDW14" s="2" t="n"/>
      <c r="XDX14" s="2" t="n"/>
      <c r="XDY14" s="2" t="n"/>
      <c r="XDZ14" s="2" t="n"/>
      <c r="XEA14" s="2" t="n"/>
      <c r="XEB14" s="2" t="n"/>
      <c r="XEC14" s="2" t="n"/>
      <c r="XED14" s="2" t="n"/>
      <c r="XEE14" s="2" t="n"/>
      <c r="XEF14" s="2" t="n"/>
      <c r="XEG14" s="2" t="n"/>
      <c r="XEH14" s="2" t="n"/>
      <c r="XEI14" s="2" t="n"/>
      <c r="XEJ14" s="2" t="n"/>
      <c r="XEK14" s="2" t="n"/>
      <c r="XEL14" s="2" t="n"/>
      <c r="XEM14" s="2" t="n"/>
      <c r="XEN14" s="2" t="n"/>
      <c r="XEO14" s="2" t="n"/>
      <c r="XEP14" s="2" t="n"/>
      <c r="XEQ14" s="2" t="n"/>
      <c r="XER14" s="2" t="n"/>
      <c r="XES14" s="2" t="n"/>
      <c r="XET14" s="2" t="n"/>
      <c r="XEU14" s="2" t="n"/>
      <c r="XEV14" s="2" t="n"/>
      <c r="XEW14" s="2" t="n"/>
    </row>
    <row r="15" ht="27" customHeight="1" s="6">
      <c r="A15" s="15" t="n"/>
      <c r="B15" s="25" t="inlineStr">
        <is>
          <t>抛光</t>
        </is>
      </c>
      <c r="C15" s="17" t="n"/>
      <c r="D15" s="26" t="inlineStr">
        <is>
          <t>部门合计</t>
        </is>
      </c>
      <c r="E15" s="17" t="n"/>
      <c r="F15" s="19" t="n"/>
      <c r="G15" s="17" t="n"/>
      <c r="H15" s="23" t="n"/>
      <c r="I15" s="23" t="n"/>
      <c r="J15" s="218" t="n"/>
      <c r="K15" s="219" t="n"/>
      <c r="L15" s="23" t="n"/>
      <c r="M15" s="38" t="n"/>
      <c r="N15" s="38" t="n"/>
      <c r="O15" s="45">
        <f>SUMIF($H:$H,$B15,O:O)</f>
        <v/>
      </c>
      <c r="P15" s="45">
        <f>SUMIF($H:$H,$B15,P:P)</f>
        <v/>
      </c>
      <c r="Q15" s="45">
        <f>SUMIF($H:$H,$B15,Q:Q)</f>
        <v/>
      </c>
      <c r="R15" s="45">
        <f>SUMIF($H:$H,$B15,R:R)</f>
        <v/>
      </c>
      <c r="S15" s="45" t="n"/>
      <c r="T15" s="45" t="n"/>
      <c r="U15" s="45">
        <f>SUMIF($H:$H,$B15,U:U)</f>
        <v/>
      </c>
      <c r="V15" s="45" t="n"/>
      <c r="W15" s="45">
        <f>SUMIF($H:$H,$B15,W:W)</f>
        <v/>
      </c>
      <c r="X15" s="45" t="n"/>
      <c r="Y15" s="45">
        <f>SUMIF($H:$H,$B15,Y:Y)</f>
        <v/>
      </c>
      <c r="Z15" s="45" t="n"/>
      <c r="AA15" s="45">
        <f>SUMIF($H:$H,$B15,AA:AA)</f>
        <v/>
      </c>
      <c r="AB15" s="45" t="n"/>
      <c r="AC15" s="45">
        <f>SUMIF($H:$H,$B15,AC:AC)</f>
        <v/>
      </c>
      <c r="AD15" s="45">
        <f>SUMIF($H:$H,$B15,AD:AD)</f>
        <v/>
      </c>
      <c r="AE15" s="45">
        <f>SUMIF($H:$H,$B15,AE:AE)</f>
        <v/>
      </c>
      <c r="AF15" s="45">
        <f>SUMIF($H:$H,$B15,AF:AF)</f>
        <v/>
      </c>
      <c r="AG15" s="45">
        <f>SUMIF($H:$H,$B15,AG:AG)</f>
        <v/>
      </c>
      <c r="AH15" s="45">
        <f>SUMIF($H:$H,$B15,AH:AH)</f>
        <v/>
      </c>
      <c r="AI15" s="45">
        <f>SUMIF($H:$H,$B15,AI:AI)</f>
        <v/>
      </c>
      <c r="AJ15" s="45">
        <f>SUMIF($H:$H,$B15,AJ:AJ)</f>
        <v/>
      </c>
      <c r="AK15" s="45">
        <f>SUMIF($H:$H,$B15,AK:AK)</f>
        <v/>
      </c>
      <c r="AL15" s="45">
        <f>SUMIF($H:$H,$B15,AL:AL)</f>
        <v/>
      </c>
      <c r="AM15" s="45">
        <f>SUMIF($H:$H,$B15,AM:AM)</f>
        <v/>
      </c>
      <c r="AN15" s="235">
        <f>SUMIF($H:$H,$B15,AN:AN)</f>
        <v/>
      </c>
      <c r="AO15" s="235">
        <f>SUMIF($H:$H,$B15,AO:AO)</f>
        <v/>
      </c>
      <c r="AP15" s="235">
        <f>SUMIF($H:$H,$B15,AP:AP)</f>
        <v/>
      </c>
      <c r="AQ15" s="45">
        <f>SUMIF($H:$H,$B15,AQ:AQ)</f>
        <v/>
      </c>
      <c r="AR15" s="45">
        <f>SUMIF($H:$H,$B15,AR:AR)</f>
        <v/>
      </c>
      <c r="AS15" s="45">
        <f>SUMIF($H:$H,$B15,AS:AS)</f>
        <v/>
      </c>
      <c r="AT15" s="45">
        <f>SUMIF($H:$H,$B15,AT:AT)</f>
        <v/>
      </c>
      <c r="AU15" s="235">
        <f>SUMIF($H:$H,$B15,AU:AU)</f>
        <v/>
      </c>
      <c r="AV15" s="235">
        <f>SUMIF($H:$H,$B15,AV:AV)</f>
        <v/>
      </c>
      <c r="AW15" s="235">
        <f>SUMIF($H:$H,$B15,AW:AW)</f>
        <v/>
      </c>
      <c r="AX15" s="235">
        <f>SUMIF($H:$H,$B15,AX:AX)</f>
        <v/>
      </c>
      <c r="AY15" s="235">
        <f>SUMIF($H:$H,$B15,AY:AY)</f>
        <v/>
      </c>
      <c r="AZ15" s="236">
        <f>SUMIF($H:$H,$B15,AZ:AZ)</f>
        <v/>
      </c>
      <c r="BA15" s="236">
        <f>SUMIF($H:$H,$B15,BA:BA)</f>
        <v/>
      </c>
      <c r="BB15" s="236">
        <f>SUMIF($H:$H,$B15,BB:BB)</f>
        <v/>
      </c>
      <c r="BC15" s="237">
        <f>SUMIF($H:$H,$B15,BC:BC)</f>
        <v/>
      </c>
      <c r="BD15" s="236">
        <f>SUMIF($H:$H,$B15,BD:BD)</f>
        <v/>
      </c>
      <c r="BE15" s="98">
        <f>SUMIF($H:$H,$B15,BE:BE)</f>
        <v/>
      </c>
      <c r="BF15" s="98">
        <f>SUMIF($H:$H,$B15,BF:BF)</f>
        <v/>
      </c>
      <c r="BG15" s="98">
        <f>SUMIF($H:$H,$B15,BG:BG)</f>
        <v/>
      </c>
      <c r="BH15" s="95" t="n"/>
      <c r="BJ15" s="97">
        <f>SUMIF('[2]直工（银行代发）'!$D:$D,D:D,'[2]直工（银行代发）'!$BF:$BF)</f>
        <v/>
      </c>
      <c r="BK15" s="97" t="n"/>
      <c r="BL15" s="97">
        <f>BE15-BJ15</f>
        <v/>
      </c>
    </row>
    <row r="16" ht="18" customHeight="1" s="6">
      <c r="A16" s="27" t="n"/>
      <c r="AB16" t="inlineStr">
        <is>
          <t>核准：</t>
        </is>
      </c>
      <c r="AN16" s="238" t="n"/>
      <c r="AO16" s="238" t="n"/>
      <c r="AP16" s="238" t="n"/>
      <c r="AU16" s="238" t="n"/>
      <c r="AV16" s="238" t="n"/>
      <c r="AW16" s="238" t="n"/>
      <c r="AX16" s="238" t="n"/>
      <c r="AY16" s="238" t="n"/>
      <c r="BD16" s="192" t="inlineStr">
        <is>
          <t>制表人：梁雪霞</t>
        </is>
      </c>
      <c r="BJ16" s="97">
        <f>SUMIF('[2]直工（银行代发）'!$D:$D,D:D,'[2]直工（银行代发）'!$BF:$BF)</f>
        <v/>
      </c>
      <c r="BK16" s="97">
        <f>SUMIF(#REF!,D:D,#REF!)</f>
        <v/>
      </c>
      <c r="BL16" s="97">
        <f>BE16-BJ16</f>
        <v/>
      </c>
    </row>
    <row r="17" ht="15" customHeight="1" s="6">
      <c r="L17" s="239" t="n"/>
    </row>
    <row r="18" ht="15" customHeight="1" s="6">
      <c r="L18" s="239" t="n"/>
    </row>
    <row r="19" ht="15" customHeight="1" s="6">
      <c r="L19" s="239" t="n"/>
    </row>
    <row r="20" ht="15" customHeight="1" s="6">
      <c r="L20" s="239" t="n"/>
    </row>
    <row r="21" ht="15" customHeight="1" s="6">
      <c r="L21" s="239" t="n"/>
    </row>
    <row r="22" ht="15" customHeight="1" s="6">
      <c r="L22" s="239" t="n"/>
    </row>
    <row r="23" ht="15" customHeight="1" s="6">
      <c r="L23" s="239" t="n"/>
    </row>
    <row r="24" ht="15" customHeight="1" s="6">
      <c r="L24" s="239" t="n"/>
    </row>
    <row r="25" ht="15" customHeight="1" s="6">
      <c r="L25" s="239" t="n"/>
    </row>
    <row r="26" ht="15" customHeight="1" s="6">
      <c r="L26" s="239" t="n"/>
    </row>
    <row r="27" ht="15" customHeight="1" s="6">
      <c r="L27" s="239" t="n"/>
    </row>
    <row r="28" ht="15" customHeight="1" s="6">
      <c r="L28" s="239" t="n"/>
    </row>
    <row r="29" ht="15" customHeight="1" s="6">
      <c r="L29" s="239" t="n"/>
    </row>
    <row r="30" ht="15" customHeight="1" s="6">
      <c r="K30" s="192">
        <f>K29/12</f>
        <v/>
      </c>
      <c r="L30" s="47" t="n"/>
    </row>
  </sheetData>
  <autoFilter ref="A4:XFC16"/>
  <mergeCells count="14">
    <mergeCell ref="L26:M26"/>
    <mergeCell ref="L17:M17"/>
    <mergeCell ref="L21:M21"/>
    <mergeCell ref="L20:M20"/>
    <mergeCell ref="L24:M24"/>
    <mergeCell ref="L18:M18"/>
    <mergeCell ref="L25:M25"/>
    <mergeCell ref="L27:M27"/>
    <mergeCell ref="L19:M19"/>
    <mergeCell ref="L23:M23"/>
    <mergeCell ref="L28:M28"/>
    <mergeCell ref="L22:M22"/>
    <mergeCell ref="L29:N29"/>
    <mergeCell ref="L30:M30"/>
  </mergeCells>
  <conditionalFormatting sqref="BG5">
    <cfRule type="duplicateValues" priority="12" dxfId="0">
      <formula>AND(COUNTIF($BG$5:$BG$5,BG5)&gt;1,NOT(ISBLANK(BG5)))</formula>
    </cfRule>
  </conditionalFormatting>
  <conditionalFormatting sqref="BG6">
    <cfRule type="duplicateValues" priority="3" dxfId="0">
      <formula>AND(COUNTIF($BG$6:$BG$6,BG6)&gt;1,NOT(ISBLANK(BG6)))</formula>
    </cfRule>
  </conditionalFormatting>
  <conditionalFormatting sqref="A15">
    <cfRule type="expression" priority="17" dxfId="1" stopIfTrue="1">
      <formula>AND(SUMPRODUCT(1*(($B$4:$B$4&amp;"x")=(A15&amp;"x")))&gt;1,NOT(ISBLANK(A15)))</formula>
    </cfRule>
  </conditionalFormatting>
  <conditionalFormatting sqref="BE5:BE6">
    <cfRule type="duplicateValues" priority="42" dxfId="0">
      <formula>AND(COUNTIF($BE$5:$BE$6,BE5)&gt;1,NOT(ISBLANK(BE5)))</formula>
    </cfRule>
  </conditionalFormatting>
  <conditionalFormatting sqref="BE7:BE11">
    <cfRule type="duplicateValues" priority="56" dxfId="0">
      <formula>AND(COUNTIF($BE$7:$BE$11,BE7)&gt;1,NOT(ISBLANK(BE7)))</formula>
    </cfRule>
  </conditionalFormatting>
  <conditionalFormatting sqref="BE12:BE14">
    <cfRule type="duplicateValues" priority="19" dxfId="0">
      <formula>AND(COUNTIF($BE$12:$BE$14,BE12)&gt;1,NOT(ISBLANK(BE12)))</formula>
    </cfRule>
  </conditionalFormatting>
  <conditionalFormatting sqref="BF5:BF14">
    <cfRule type="duplicateValues" priority="48" dxfId="0">
      <formula>AND(COUNTIF($BF$5:$BF$14,BF5)&gt;1,NOT(ISBLANK(BF5)))</formula>
    </cfRule>
  </conditionalFormatting>
  <conditionalFormatting sqref="BG7:BG8">
    <cfRule type="duplicateValues" priority="45" dxfId="0">
      <formula>AND(COUNTIF($BG$7:$BG$8,BG7)&gt;1,NOT(ISBLANK(BG7)))</formula>
    </cfRule>
  </conditionalFormatting>
  <conditionalFormatting sqref="BG9:BG11">
    <cfRule type="duplicateValues" priority="20" dxfId="0">
      <formula>AND(COUNTIF($BG$9:$BG$11,BG9)&gt;1,NOT(ISBLANK(BG9)))</formula>
    </cfRule>
  </conditionalFormatting>
  <conditionalFormatting sqref="BG12:BG14">
    <cfRule type="duplicateValues" priority="18" dxfId="0">
      <formula>AND(COUNTIF($BG$12:$BG$14,BG12)&gt;1,NOT(ISBLANK(BG12)))</formula>
    </cfRule>
  </conditionalFormatting>
  <conditionalFormatting sqref="A5:A14 A16">
    <cfRule type="expression" priority="63" dxfId="1" stopIfTrue="1">
      <formula>AND(SUMPRODUCT(1*(($B$4:$B$4&amp;"x")=(A5&amp;"x")))&gt;1,NOT(ISBLANK(A5)))</formula>
    </cfRule>
  </conditionalFormatting>
  <pageMargins left="0.314583333333333" right="0.275" top="0.118055555555556" bottom="0" header="0.432638888888889" footer="0.511805555555556"/>
  <pageSetup orientation="landscape" paperSize="9" scale="67" horizontalDpi="600" verticalDpi="600"/>
  <headerFooter>
    <oddHeader>&amp;R第 &amp;P 页，共 &amp;N 页&amp;D</oddHeader>
    <oddFooter/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nbc-cwb02</dc:creator>
  <dcterms:created xsi:type="dcterms:W3CDTF">2019-07-15T00:41:00Z</dcterms:created>
  <dcterms:modified xsi:type="dcterms:W3CDTF">2025-07-08T22:23:58Z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ADCC6A4E71DF4A1EA8C4337AA828993F_11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v1.0_mb_hgZkoWVzjVyj+y//6W6GLg==</vt:lpwstr>
  </property>
</Properties>
</file>