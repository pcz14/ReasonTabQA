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/m/d;@"/>
    <numFmt numFmtId="166" formatCode="0&quot;年&quot;"/>
  </numFmts>
  <fonts count="31">
    <font>
      <name val="宋体"/>
      <family val="2"/>
      <color theme="1"/>
      <sz val="11"/>
      <scheme val="minor"/>
    </font>
    <font>
      <name val="Arial"/>
      <family val="2"/>
      <sz val="10"/>
    </font>
    <font>
      <name val="黑体"/>
      <family val="2"/>
      <color theme="0"/>
      <sz val="12"/>
    </font>
    <font>
      <name val="黑体"/>
      <family val="2"/>
      <color theme="1" tint="0.2499800026416779"/>
      <sz val="11"/>
    </font>
    <font>
      <name val="黑体"/>
      <family val="2"/>
      <color theme="0"/>
      <sz val="11"/>
    </font>
    <font>
      <name val="黑体"/>
      <family val="2"/>
      <color theme="0"/>
      <sz val="22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theme="0"/>
      <sz val="11"/>
    </font>
    <font>
      <name val="黑体"/>
      <family val="2"/>
      <sz val="11"/>
    </font>
    <font>
      <name val="黑体"/>
      <family val="2"/>
      <color theme="1" tint="0.35"/>
      <sz val="10"/>
    </font>
    <font>
      <name val="黑体"/>
      <family val="2"/>
      <color theme="1" tint="0.35"/>
      <sz val="11"/>
    </font>
    <font>
      <name val="黑体"/>
      <family val="2"/>
      <color theme="1" tint="0.35"/>
      <sz val="9"/>
    </font>
    <font>
      <name val="猫啃网风雅宋"/>
      <family val="2"/>
      <color theme="1" tint="0.35"/>
      <sz val="11"/>
    </font>
    <font>
      <name val="猫啃网风雅宋"/>
      <family val="2"/>
      <color theme="0"/>
      <sz val="16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6452F7"/>
        <bgColor indexed="64"/>
      </patternFill>
    </fill>
    <fill>
      <patternFill patternType="solid">
        <fgColor rgb="FFF1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F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theme="0" tint="-0.149959996342659"/>
      </left>
      <right style="thin">
        <color theme="0" tint="-0.149959996342659"/>
      </right>
      <top/>
      <bottom style="thin">
        <color theme="0" tint="-0.149959996342659"/>
      </bottom>
    </border>
    <border>
      <left style="thin">
        <color theme="0" tint="-0.149959996342659"/>
      </left>
      <right style="thin">
        <color theme="0" tint="-0.149959996342659"/>
      </right>
      <top style="thin">
        <color theme="0" tint="-0.149959996342659"/>
      </top>
      <bottom style="thin">
        <color theme="0" tint="-0.149959996342659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0" fontId="3" fillId="0" borderId="0" applyAlignment="1" pivotButton="0" quotePrefix="0" xfId="22">
      <alignment horizontal="center" vertical="center"/>
    </xf>
    <xf numFmtId="0" fontId="4" fillId="0" borderId="0" applyAlignment="1" pivotButton="0" quotePrefix="0" xfId="0">
      <alignment vertical="center"/>
    </xf>
    <xf numFmtId="0" fontId="3" fillId="33" borderId="0" applyAlignment="1" pivotButton="0" quotePrefix="0" xfId="0">
      <alignment vertical="center"/>
    </xf>
    <xf numFmtId="0" fontId="3" fillId="33" borderId="0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0" fontId="5" fillId="33" borderId="0" applyAlignment="1" pivotButton="0" quotePrefix="0" xfId="0">
      <alignment horizontal="left" vertical="center"/>
    </xf>
    <xf numFmtId="0" fontId="3" fillId="34" borderId="0" applyAlignment="1" pivotButton="0" quotePrefix="0" xfId="0">
      <alignment vertical="center"/>
    </xf>
    <xf numFmtId="0" fontId="3" fillId="34" borderId="0" applyAlignment="1" pivotButton="0" quotePrefix="0" xfId="0">
      <alignment horizontal="center" vertical="center"/>
    </xf>
    <xf numFmtId="164" fontId="3" fillId="34" borderId="0" applyAlignment="1" pivotButton="0" quotePrefix="0" xfId="0">
      <alignment horizontal="center" vertical="center"/>
    </xf>
    <xf numFmtId="0" fontId="3" fillId="35" borderId="0" applyAlignment="1" pivotButton="0" quotePrefix="0" xfId="0">
      <alignment vertical="center"/>
    </xf>
    <xf numFmtId="0" fontId="3" fillId="35" borderId="0" applyAlignment="1" pivotButton="0" quotePrefix="0" xfId="0">
      <alignment horizontal="center" vertical="center"/>
    </xf>
    <xf numFmtId="164" fontId="3" fillId="35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2" fillId="35" borderId="0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164" fontId="2" fillId="33" borderId="9" applyAlignment="1" pivotButton="0" quotePrefix="0" xfId="0">
      <alignment horizontal="center" vertical="center"/>
    </xf>
    <xf numFmtId="164" fontId="2" fillId="33" borderId="10" applyAlignment="1" pivotButton="0" quotePrefix="0" xfId="0">
      <alignment horizontal="center" vertical="center"/>
    </xf>
    <xf numFmtId="164" fontId="2" fillId="33" borderId="11" applyAlignment="1" pivotButton="0" quotePrefix="0" xfId="0">
      <alignment horizontal="center" vertical="center"/>
    </xf>
    <xf numFmtId="0" fontId="4" fillId="33" borderId="9" applyAlignment="1" pivotButton="0" quotePrefix="0" xfId="0">
      <alignment horizontal="center" vertical="center"/>
    </xf>
    <xf numFmtId="164" fontId="4" fillId="33" borderId="9" applyAlignment="1" pivotButton="0" quotePrefix="0" xfId="0">
      <alignment horizontal="center" vertical="center"/>
    </xf>
    <xf numFmtId="0" fontId="3" fillId="35" borderId="12" applyAlignment="1" pivotButton="0" quotePrefix="0" xfId="0">
      <alignment horizontal="center" vertical="center"/>
    </xf>
    <xf numFmtId="14" fontId="3" fillId="35" borderId="12" applyAlignment="1" pivotButton="0" quotePrefix="0" xfId="0">
      <alignment horizontal="center" vertical="center"/>
    </xf>
    <xf numFmtId="164" fontId="3" fillId="35" borderId="12" applyAlignment="1" pivotButton="0" quotePrefix="0" xfId="0">
      <alignment horizontal="center" vertical="center"/>
    </xf>
    <xf numFmtId="0" fontId="3" fillId="35" borderId="13" applyAlignment="1" pivotButton="0" quotePrefix="0" xfId="0">
      <alignment horizontal="center" vertical="center"/>
    </xf>
    <xf numFmtId="164" fontId="3" fillId="35" borderId="13" applyAlignment="1" pivotButton="0" quotePrefix="0" xfId="0">
      <alignment horizontal="center" vertical="center"/>
    </xf>
    <xf numFmtId="10" fontId="3" fillId="33" borderId="0" applyAlignment="1" pivotButton="0" quotePrefix="0" xfId="22">
      <alignment horizontal="center" vertical="center"/>
    </xf>
    <xf numFmtId="10" fontId="3" fillId="34" borderId="0" applyAlignment="1" pivotButton="0" quotePrefix="0" xfId="22">
      <alignment horizontal="center" vertical="center"/>
    </xf>
    <xf numFmtId="10" fontId="3" fillId="35" borderId="0" applyAlignment="1" pivotButton="0" quotePrefix="0" xfId="22">
      <alignment horizontal="center" vertical="center"/>
    </xf>
    <xf numFmtId="164" fontId="2" fillId="33" borderId="14" applyAlignment="1" pivotButton="0" quotePrefix="0" xfId="0">
      <alignment horizontal="center" vertical="center"/>
    </xf>
    <xf numFmtId="10" fontId="4" fillId="33" borderId="15" applyAlignment="1" pivotButton="0" quotePrefix="0" xfId="22">
      <alignment horizontal="center" vertical="center"/>
    </xf>
    <xf numFmtId="10" fontId="4" fillId="33" borderId="16" applyAlignment="1" pivotButton="0" quotePrefix="0" xfId="22">
      <alignment horizontal="center" vertical="center"/>
    </xf>
    <xf numFmtId="10" fontId="3" fillId="35" borderId="12" applyAlignment="1" pivotButton="0" quotePrefix="0" xfId="22">
      <alignment horizontal="center" vertical="center"/>
    </xf>
    <xf numFmtId="0" fontId="3" fillId="36" borderId="9" applyAlignment="1" pivotButton="0" quotePrefix="0" xfId="0">
      <alignment horizontal="center" vertical="center"/>
    </xf>
    <xf numFmtId="164" fontId="3" fillId="36" borderId="9" applyAlignment="1" pivotButton="0" quotePrefix="0" xfId="0">
      <alignment horizontal="right" vertical="center"/>
    </xf>
    <xf numFmtId="165" fontId="3" fillId="36" borderId="9" applyAlignment="1" pivotButton="0" quotePrefix="0" xfId="0">
      <alignment horizontal="right" vertical="center"/>
    </xf>
    <xf numFmtId="10" fontId="3" fillId="36" borderId="9" applyAlignment="1" pivotButton="0" quotePrefix="0" xfId="22">
      <alignment horizontal="right" vertical="center"/>
    </xf>
    <xf numFmtId="166" fontId="3" fillId="0" borderId="0" applyAlignment="1" pivotButton="0" quotePrefix="0" xfId="0">
      <alignment horizontal="left" vertical="center"/>
    </xf>
    <xf numFmtId="10" fontId="4" fillId="0" borderId="0" applyAlignment="1" pivotButton="0" quotePrefix="0" xfId="22">
      <alignment vertical="center"/>
    </xf>
    <xf numFmtId="10" fontId="3" fillId="0" borderId="0" applyAlignment="1" pivotButton="0" quotePrefix="0" xfId="22">
      <alignment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33" borderId="0" applyAlignment="1" pivotButton="0" quotePrefix="0" xfId="0">
      <alignment horizontal="center" vertical="center"/>
    </xf>
    <xf numFmtId="164" fontId="3" fillId="34" borderId="0" applyAlignment="1" pivotButton="0" quotePrefix="0" xfId="0">
      <alignment horizontal="center" vertical="center"/>
    </xf>
    <xf numFmtId="164" fontId="3" fillId="35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4" fontId="2" fillId="33" borderId="9" applyAlignment="1" pivotButton="0" quotePrefix="0" xfId="0">
      <alignment horizontal="center" vertical="center"/>
    </xf>
    <xf numFmtId="10" fontId="4" fillId="33" borderId="9" applyAlignment="1" pivotButton="0" quotePrefix="0" xfId="22">
      <alignment horizontal="center" vertical="center"/>
    </xf>
    <xf numFmtId="166" fontId="3" fillId="0" borderId="0" applyAlignment="1" pivotButton="0" quotePrefix="0" xfId="0">
      <alignment horizontal="left" vertical="center"/>
    </xf>
    <xf numFmtId="164" fontId="4" fillId="33" borderId="9" applyAlignment="1" pivotButton="0" quotePrefix="0" xfId="0">
      <alignment horizontal="center" vertical="center"/>
    </xf>
    <xf numFmtId="0" fontId="0" fillId="0" borderId="23" pivotButton="0" quotePrefix="0" xfId="0"/>
    <xf numFmtId="164" fontId="3" fillId="35" borderId="12" applyAlignment="1" pivotButton="0" quotePrefix="0" xfId="0">
      <alignment horizontal="center" vertical="center"/>
    </xf>
    <xf numFmtId="164" fontId="3" fillId="35" borderId="13" applyAlignment="1" pivotButton="0" quotePrefix="0" xfId="0">
      <alignment horizontal="center" vertical="center"/>
    </xf>
    <xf numFmtId="164" fontId="3" fillId="36" borderId="9" applyAlignment="1" pivotButton="0" quotePrefix="0" xfId="0">
      <alignment horizontal="right" vertical="center"/>
    </xf>
    <xf numFmtId="165" fontId="3" fillId="36" borderId="9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363"/>
          <y val="0.039"/>
        </manualLayout>
      </layout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1000" b="0" i="0" baseline="0">
              <a:solidFill>
                <a:schemeClr val="tx1">
                  <a:lumMod val="65000"/>
                  <a:lumOff val="35000"/>
                </a:schemeClr>
              </a:solidFill>
              <a:latin typeface="黑体"/>
              <a:ea typeface="黑体"/>
              <a:cs typeface="黑体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385"/>
          <y val="0.28975"/>
          <w val="0.81375"/>
          <h val="0.48025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Sheet1!$Y$14</f>
              <strCache>
                <ptCount val="1"/>
                <pt idx="0">
                  <v>合同数量</v>
                </pt>
              </strCache>
            </strRef>
          </tx>
          <spPr>
            <a:ln>
              <a:noFill/>
              <a:prstDash val="solid"/>
            </a:ln>
          </spPr>
          <invertIfNegative val="0"/>
          <pictureOptions>
            <pictureFormat val="stretch"/>
          </pictureOptions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Sheet1!$Y$15:$Y$26</f>
              <numCache/>
            </numRef>
          </val>
        </ser>
        <gapWidth val="219"/>
        <overlap val="-27"/>
        <axId val="63299407"/>
        <axId val="32823752"/>
      </barChart>
      <catAx>
        <axId val="632994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>
            <a:noFill/>
            <a:prstDash val="solid"/>
            <a:round/>
          </a:ln>
        </spPr>
        <txPr>
          <a:bodyPr/>
          <a:lstStyle/>
          <a:p>
            <a:pPr>
              <a:defRPr lang="en-US" sz="10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32823752"/>
        <crosses val="autoZero"/>
        <auto val="1"/>
        <lblOffset val="100"/>
        <noMultiLvlLbl val="0"/>
      </catAx>
      <valAx>
        <axId val="3282375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10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63299407"/>
        <crosses val="autoZero"/>
        <crossBetween val="between"/>
        <dispUnits/>
      </valAx>
    </plotArea>
    <plotVisOnly val="1"/>
    <dispBlanksAs val="gap"/>
  </chart>
  <spPr>
    <a:noFill/>
    <a:ln w="9525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1000" b="0" i="0" baseline="0">
              <a:solidFill>
                <a:schemeClr val="tx1">
                  <a:lumMod val="65000"/>
                  <a:lumOff val="35000"/>
                </a:schemeClr>
              </a:solidFill>
              <a:latin typeface="黑体"/>
              <a:ea typeface="黑体"/>
              <a:cs typeface="黑体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22475"/>
          <y val="0.24975"/>
          <w val="0.76525"/>
          <h val="0.52625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Sheet1!$Z$14</f>
              <strCache>
                <ptCount val="1"/>
                <pt idx="0">
                  <v>合同金额</v>
                </pt>
              </strCache>
            </strRef>
          </tx>
          <spPr>
            <a:ln>
              <a:noFill/>
              <a:prstDash val="solid"/>
            </a:ln>
          </spPr>
          <invertIfNegative val="0"/>
          <pictureOptions>
            <pictureFormat val="stretch"/>
          </pictureOptions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Sheet1!$Z$15:$Z$26</f>
              <numCache/>
            </numRef>
          </val>
        </ser>
        <gapWidth val="219"/>
        <overlap val="-27"/>
        <axId val="26978313"/>
        <axId val="41478226"/>
      </barChart>
      <catAx>
        <axId val="2697831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>
            <a:noFill/>
            <a:prstDash val="solid"/>
            <a:round/>
          </a:ln>
        </spPr>
        <txPr>
          <a:bodyPr/>
          <a:lstStyle/>
          <a:p>
            <a:pPr>
              <a:defRPr lang="en-US" sz="10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41478226"/>
        <crosses val="autoZero"/>
        <auto val="1"/>
        <lblOffset val="100"/>
        <noMultiLvlLbl val="0"/>
      </catAx>
      <valAx>
        <axId val="41478226"/>
        <scaling>
          <orientation val="minMax"/>
        </scaling>
        <delete val="0"/>
        <axPos val="l"/>
        <numFmt formatCode="_ * #,##0.00_ ;_ * \-#,##0.00_ ;_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10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26978313"/>
        <crosses val="autoZero"/>
        <crossBetween val="between"/>
        <dispUnits/>
      </valAx>
    </plotArea>
    <plotVisOnly val="1"/>
    <dispBlanksAs val="gap"/>
  </chart>
  <spPr>
    <a:noFill/>
    <a:ln w="9525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1100" b="0" i="0" baseline="0">
              <a:solidFill>
                <a:schemeClr val="tx1">
                  <a:lumMod val="65000"/>
                  <a:lumOff val="35000"/>
                </a:schemeClr>
              </a:solidFill>
              <a:latin typeface="黑体"/>
              <a:ea typeface="黑体"/>
              <a:cs typeface="黑体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675"/>
          <y val="0.19375"/>
          <w val="0.845"/>
          <h val="0.5865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Sheet1!$Y$28</f>
              <strCache>
                <ptCount val="1"/>
                <pt idx="0">
                  <v>项目费用</v>
                </pt>
              </strCache>
            </strRef>
          </tx>
          <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Sheet1!$X$29:$X$35</f>
              <strCache/>
            </strRef>
          </cat>
          <val>
            <numRef>
              <f>Sheet1!$Y$29:$Y$35</f>
              <numCache/>
            </numRef>
          </val>
        </ser>
        <gapWidth val="219"/>
        <overlap val="-27"/>
        <axId val="37759715"/>
        <axId val="4293116"/>
      </barChart>
      <catAx>
        <axId val="3775971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>
            <a:noFill/>
            <a:prstDash val="solid"/>
            <a:round/>
          </a:ln>
        </spPr>
        <txPr>
          <a:bodyPr/>
          <a:lstStyle/>
          <a:p>
            <a:pPr>
              <a:defRPr lang="en-US" sz="10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4293116"/>
        <crosses val="autoZero"/>
        <auto val="1"/>
        <lblOffset val="100"/>
        <noMultiLvlLbl val="0"/>
      </catAx>
      <valAx>
        <axId val="4293116"/>
        <scaling>
          <orientation val="minMax"/>
        </scaling>
        <delete val="0"/>
        <axPos val="l"/>
        <numFmt formatCode="_ * #,##0.00_ ;_ * \-#,##0.00_ ;_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/>
                <a:ea typeface="黑体"/>
                <a:cs typeface="黑体"/>
              </a:defRPr>
            </a:pPr>
            <a:r>
              <a:t/>
            </a:r>
          </a:p>
        </txPr>
        <crossAx val="37759715"/>
        <crosses val="autoZero"/>
        <crossBetween val="between"/>
        <dispUnits/>
      </valAx>
    </plotArea>
    <plotVisOnly val="1"/>
    <dispBlanksAs val="gap"/>
  </chart>
  <spPr>
    <a:noFill/>
    <a:ln w="9525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Relationship Type="http://schemas.openxmlformats.org/officeDocument/2006/relationships/image" Target="/xl/media/image2.png" Id="rId5" /><Relationship Type="http://schemas.openxmlformats.org/officeDocument/2006/relationships/image" Target="/xl/media/image3.png" Id="rId6" /><Relationship Type="http://schemas.openxmlformats.org/officeDocument/2006/relationships/image" Target="/xl/media/image4.png" Id="rId7" /><Relationship Type="http://schemas.openxmlformats.org/officeDocument/2006/relationships/image" Target="/xl/media/image5.png" Id="rId8" /><Relationship Type="http://schemas.openxmlformats.org/officeDocument/2006/relationships/image" Target="/xl/media/image6.png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85725</colOff>
      <row>11</row>
      <rowOff>142875</rowOff>
    </from>
    <to>
      <col>21</col>
      <colOff>0</colOff>
      <row>16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17</col>
      <colOff>47625</colOff>
      <row>16</row>
      <rowOff>304800</rowOff>
    </from>
    <to>
      <col>21</col>
      <colOff>19050</colOff>
      <row>21</row>
      <rowOff>133350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161925</colOff>
      <row>3</row>
      <rowOff>85725</rowOff>
    </from>
    <to>
      <col>14</col>
      <colOff>552450</colOff>
      <row>9</row>
      <rowOff>38100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1</col>
      <colOff>180975</colOff>
      <row>1</row>
      <rowOff>57150</rowOff>
    </from>
    <to>
      <col>2</col>
      <colOff>323850</colOff>
      <row>1</row>
      <rowOff>485775</rowOff>
    </to>
    <pic>
      <nvPicPr>
        <cNvPr id="5" name="图片 4" descr="333530363731353b333530363633343b5bf98d26"/>
        <cNvPicPr preferRelativeResize="1">
          <a:picLocks noChangeAspect="1"/>
        </cNvPicPr>
      </nvPicPr>
      <blipFill>
        <a:blip r:embed="rId4"/>
        <a:stretch>
          <a:fillRect/>
        </a:stretch>
      </blipFill>
      <spPr>
        <a:xfrm>
          <a:off x="609600" y="180975"/>
          <a:ext cx="419100" cy="428625"/>
        </a:xfrm>
        <a:prstGeom prst="rect">
          <avLst/>
        </a:prstGeom>
        <a:ln>
          <a:noFill/>
          <a:prstDash val="solid"/>
        </a:ln>
      </spPr>
    </pic>
    <clientData/>
  </twoCellAnchor>
  <twoCellAnchor>
    <from>
      <col>1</col>
      <colOff>152400</colOff>
      <row>5</row>
      <rowOff>28575</rowOff>
    </from>
    <to>
      <col>2</col>
      <colOff>161925</colOff>
      <row>6</row>
      <rowOff>0</rowOff>
    </to>
    <grpSp>
      <nvGrpSpPr>
        <cNvPr id="30" name="组合 29"/>
        <cNvGrpSpPr/>
      </nvGrpSpPr>
      <grpSpPr>
        <a:xfrm rot="0">
          <a:off x="581025" y="962025"/>
          <a:ext cx="285750" cy="285750"/>
          <a:chOff x="900" y="1502"/>
          <a:chExt cx="454" cy="458"/>
        </a:xfrm>
      </grpSpPr>
      <pic>
        <nvPicPr>
          <cNvPr id="23" name="图片 22" descr="333530363731343b333530363637373b987976ee"/>
          <cNvPicPr preferRelativeResize="1">
            <a:picLocks noChangeAspect="1"/>
          </cNvPicPr>
        </nvPicPr>
        <blipFill>
          <a:blip r:embed="rId5"/>
          <a:stretch>
            <a:fillRect/>
          </a:stretch>
        </blipFill>
        <spPr>
          <a:xfrm>
            <a:off x="992" y="1596"/>
            <a:ext cx="270" cy="270"/>
          </a:xfrm>
          <a:prstGeom prst="rect">
            <avLst/>
          </a:prstGeom>
          <a:ln>
            <a:noFill/>
            <a:prstDash val="solid"/>
          </a:ln>
        </spPr>
      </pic>
    </grpSp>
    <clientData/>
  </twoCellAnchor>
  <twoCellAnchor>
    <from>
      <col>3</col>
      <colOff>666750</colOff>
      <row>5</row>
      <rowOff>28575</rowOff>
    </from>
    <to>
      <col>4</col>
      <colOff>95250</colOff>
      <row>6</row>
      <rowOff>0</rowOff>
    </to>
    <grpSp>
      <nvGrpSpPr>
        <cNvPr id="29" name="组合 28"/>
        <cNvGrpSpPr/>
      </nvGrpSpPr>
      <grpSpPr>
        <a:xfrm rot="0">
          <a:off x="1819275" y="962025"/>
          <a:ext cx="295275" cy="285750"/>
          <a:chOff x="2855" y="1500"/>
          <a:chExt cx="454" cy="458"/>
        </a:xfrm>
      </grpSpPr>
      <pic>
        <nvPicPr>
          <cNvPr id="24" name="图片 23" descr="333530363731343b333530363637383b987976ee91d1989d"/>
          <cNvPicPr preferRelativeResize="1">
            <a:picLocks noChangeAspect="1"/>
          </cNvPicPr>
        </nvPicPr>
        <blipFill>
          <a:blip r:embed="rId6"/>
          <a:stretch>
            <a:fillRect/>
          </a:stretch>
        </blipFill>
        <spPr>
          <a:xfrm>
            <a:off x="2962" y="1610"/>
            <a:ext cx="240" cy="238"/>
          </a:xfrm>
          <a:prstGeom prst="rect">
            <avLst/>
          </a:prstGeom>
          <a:ln>
            <a:noFill/>
            <a:prstDash val="solid"/>
          </a:ln>
        </spPr>
      </pic>
    </grpSp>
    <clientData/>
  </twoCellAnchor>
  <twoCellAnchor>
    <from>
      <col>5</col>
      <colOff>114300</colOff>
      <row>5</row>
      <rowOff>28575</rowOff>
    </from>
    <to>
      <col>5</col>
      <colOff>400050</colOff>
      <row>6</row>
      <rowOff>0</rowOff>
    </to>
    <grpSp>
      <nvGrpSpPr>
        <cNvPr id="28" name="组合 27"/>
        <cNvGrpSpPr/>
      </nvGrpSpPr>
      <grpSpPr>
        <a:xfrm rot="0">
          <a:off x="3067050" y="962025"/>
          <a:ext cx="285750" cy="285750"/>
          <a:chOff x="4810" y="1502"/>
          <a:chExt cx="454" cy="458"/>
        </a:xfrm>
      </grpSpPr>
      <pic>
        <nvPicPr>
          <cNvPr id="25" name="图片 24" descr="343435333332333b333635383831333b56fe8868"/>
          <cNvPicPr preferRelativeResize="1">
            <a:picLocks noChangeAspect="1"/>
          </cNvPicPr>
        </nvPicPr>
        <blipFill>
          <a:blip r:embed="rId7"/>
          <a:stretch>
            <a:fillRect/>
          </a:stretch>
        </blipFill>
        <spPr>
          <a:xfrm>
            <a:off x="4916" y="1611"/>
            <a:ext cx="241" cy="241"/>
          </a:xfrm>
          <a:prstGeom prst="rect">
            <avLst/>
          </a:prstGeom>
          <a:ln>
            <a:noFill/>
            <a:prstDash val="solid"/>
          </a:ln>
        </spPr>
      </pic>
    </grpSp>
    <clientData/>
  </twoCellAnchor>
  <twoCellAnchor>
    <from>
      <col>6</col>
      <colOff>419100</colOff>
      <row>5</row>
      <rowOff>28575</rowOff>
    </from>
    <to>
      <col>6</col>
      <colOff>704850</colOff>
      <row>6</row>
      <rowOff>0</rowOff>
    </to>
    <grpSp>
      <nvGrpSpPr>
        <cNvPr id="27" name="组合 26"/>
        <cNvGrpSpPr/>
      </nvGrpSpPr>
      <grpSpPr>
        <a:xfrm rot="0">
          <a:off x="4305300" y="962025"/>
          <a:ext cx="285750" cy="285750"/>
          <a:chOff x="6765" y="1502"/>
          <a:chExt cx="454" cy="458"/>
        </a:xfrm>
      </grpSpPr>
      <pic>
        <nvPicPr>
          <cNvPr id="26" name="图片 25" descr="3b343132323533313b56fe8868"/>
          <cNvPicPr preferRelativeResize="1">
            <a:picLocks noChangeAspect="1"/>
          </cNvPicPr>
        </nvPicPr>
        <blipFill>
          <a:blip r:embed="rId8"/>
          <a:stretch>
            <a:fillRect/>
          </a:stretch>
        </blipFill>
        <spPr>
          <a:xfrm>
            <a:off x="6864" y="1603"/>
            <a:ext cx="256" cy="256"/>
          </a:xfrm>
          <a:prstGeom prst="rect">
            <avLst/>
          </a:prstGeom>
          <a:ln>
            <a:noFill/>
            <a:prstDash val="solid"/>
          </a:ln>
        </spPr>
      </pic>
    </grpSp>
    <clientData/>
  </twoCellAnchor>
  <twoCellAnchor>
    <from>
      <col>18</col>
      <colOff>123825</colOff>
      <row>22</row>
      <rowOff>171450</rowOff>
    </from>
    <to>
      <col>19</col>
      <colOff>933450</colOff>
      <row>23</row>
      <rowOff>228600</rowOff>
    </to>
    <grpSp>
      <nvGrpSpPr>
        <cNvPr id="43" name="组合 42"/>
        <cNvGrpSpPr/>
      </nvGrpSpPr>
      <grpSpPr>
        <a:xfrm rot="0">
          <a:off x="11496675" y="5962650"/>
          <a:ext cx="1838325" cy="371475"/>
          <a:chOff x="18017" y="9424"/>
          <a:chExt cx="2991" cy="581"/>
        </a:xfrm>
      </grpSpPr>
      <pic>
        <nvPicPr>
          <cNvPr id="12" name="图片 11" descr="333437323739323b333530343835313b67e58be2"/>
          <cNvPicPr preferRelativeResize="1">
            <a:picLocks noChangeAspect="1"/>
          </cNvPicPr>
        </nvPicPr>
        <blipFill>
          <a:blip r:embed="rId9"/>
          <a:stretch>
            <a:fillRect/>
          </a:stretch>
        </blipFill>
        <spPr>
          <a:xfrm>
            <a:off x="18172" y="9512"/>
            <a:ext cx="423" cy="405"/>
          </a:xfrm>
          <a:prstGeom prst="rect">
            <avLst/>
          </a:prstGeom>
          <a:ln>
            <a:noFill/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showGridLines="0" topLeftCell="A1" workbookViewId="0">
      <selection activeCell="C14" sqref="C14:L14"/>
    </sheetView>
  </sheetViews>
  <sheetFormatPr baseColWidth="8" defaultColWidth="9.00390625" defaultRowHeight="24.75" customHeight="1"/>
  <cols>
    <col width="5.625" customWidth="1" style="2" min="1" max="1"/>
    <col width="3.625" customWidth="1" style="2" min="2" max="2"/>
    <col width="5.875" customWidth="1" style="3" min="3" max="3"/>
    <col width="11.375" customWidth="1" style="3" min="4" max="4"/>
    <col width="12.25390625" customWidth="1" style="3" min="5" max="5"/>
    <col width="12.25390625" customWidth="1" style="47" min="6" max="6"/>
    <col width="9.375" customWidth="1" style="47" min="7" max="13"/>
    <col width="11.00390625" customWidth="1" style="47" min="14" max="14"/>
    <col width="12.625" customWidth="1" style="5" min="15" max="15"/>
    <col width="3.625" customWidth="1" style="3" min="16" max="16"/>
    <col width="0.74609375" customWidth="1" style="3" min="17" max="17"/>
    <col width="4.625" customWidth="1" style="3" min="18" max="18"/>
    <col width="13.50390625" customWidth="1" style="3" min="19" max="20"/>
    <col width="4.625" customWidth="1" style="2" min="21" max="22"/>
    <col width="5.50390625" customWidth="1" style="6" min="23" max="23"/>
    <col width="11.00390625" customWidth="1" style="2" min="24" max="24"/>
    <col width="11.375" customWidth="1" style="2" min="25" max="27"/>
    <col width="13.75390625" customWidth="1" style="2" min="28" max="29"/>
    <col width="9.00390625" customWidth="1" style="2" min="30" max="16384"/>
  </cols>
  <sheetData>
    <row r="1" ht="9.75" customHeight="1" s="48">
      <c r="A1" s="7" t="n"/>
      <c r="B1" s="7" t="n"/>
      <c r="C1" s="8" t="n"/>
      <c r="D1" s="8" t="n"/>
      <c r="E1" s="8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30" t="n"/>
      <c r="P1" s="8" t="n"/>
      <c r="Q1" s="8" t="n"/>
      <c r="R1" s="8" t="n"/>
      <c r="S1" s="8" t="n"/>
      <c r="T1" s="8" t="n"/>
      <c r="U1" s="7" t="n"/>
      <c r="V1" s="7" t="n"/>
    </row>
    <row r="2" ht="40.5" customHeight="1" s="48">
      <c r="A2" s="7" t="n"/>
      <c r="B2" s="7" t="n"/>
      <c r="C2" s="49" t="n"/>
      <c r="D2" s="10" t="inlineStr">
        <is>
          <t>Engineering Cost Accounting Table</t>
        </is>
      </c>
      <c r="G2" s="49" t="n"/>
      <c r="H2" s="49" t="n"/>
      <c r="I2" s="49" t="n"/>
      <c r="J2" s="49" t="n"/>
      <c r="K2" s="49" t="n"/>
      <c r="L2" s="49" t="n"/>
      <c r="M2" s="49" t="n"/>
      <c r="N2" s="49" t="n"/>
      <c r="O2" s="30" t="n"/>
      <c r="P2" s="8" t="n"/>
      <c r="Q2" s="8" t="n"/>
      <c r="R2" s="8" t="n"/>
      <c r="S2" s="8" t="n"/>
      <c r="T2" s="8" t="n"/>
      <c r="U2" s="7" t="n"/>
      <c r="V2" s="7" t="n"/>
    </row>
    <row r="3" ht="9.75" customHeight="1" s="48">
      <c r="A3" s="7" t="n"/>
      <c r="B3" s="7" t="n"/>
      <c r="C3" s="8" t="n"/>
      <c r="D3" s="8" t="n"/>
      <c r="E3" s="8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30" t="n"/>
      <c r="P3" s="8" t="n"/>
      <c r="Q3" s="8" t="n"/>
      <c r="R3" s="8" t="n"/>
      <c r="S3" s="8" t="n"/>
      <c r="T3" s="8" t="n"/>
      <c r="U3" s="7" t="n"/>
      <c r="V3" s="7" t="n"/>
    </row>
    <row r="4" ht="6.75" customHeight="1" s="48">
      <c r="A4" s="11" t="n"/>
      <c r="B4" s="11" t="n"/>
      <c r="C4" s="12" t="n"/>
      <c r="D4" s="12" t="n"/>
      <c r="E4" s="12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31" t="n"/>
      <c r="P4" s="12" t="n"/>
      <c r="Q4" s="12" t="n"/>
      <c r="R4" s="12" t="n"/>
      <c r="S4" s="12" t="n"/>
      <c r="T4" s="12" t="n"/>
      <c r="U4" s="11" t="n"/>
      <c r="V4" s="11" t="n"/>
    </row>
    <row r="5" ht="6.75" customHeight="1" s="48">
      <c r="A5" s="11" t="n"/>
      <c r="B5" s="11" t="n"/>
      <c r="C5" s="11" t="n"/>
      <c r="D5" s="11" t="n"/>
      <c r="E5" s="11" t="n"/>
      <c r="F5" s="11" t="n"/>
      <c r="G5" s="11" t="n"/>
      <c r="H5" s="11" t="n"/>
      <c r="I5" s="14" t="n"/>
      <c r="J5" s="14" t="n"/>
      <c r="K5" s="51" t="n"/>
      <c r="L5" s="51" t="n"/>
      <c r="M5" s="51" t="n"/>
      <c r="N5" s="51" t="n"/>
      <c r="O5" s="32" t="n"/>
      <c r="P5" s="15" t="n"/>
      <c r="Q5" s="15" t="n"/>
      <c r="R5" s="15" t="n"/>
      <c r="S5" s="15" t="n"/>
      <c r="T5" s="15" t="n"/>
      <c r="U5" s="14" t="n"/>
      <c r="V5" s="11" t="n"/>
    </row>
    <row r="6" ht="24.75" customHeight="1" s="48">
      <c r="A6" s="11" t="n"/>
      <c r="B6" s="11" t="n"/>
      <c r="C6" s="11" t="n"/>
      <c r="D6" s="11" t="n"/>
      <c r="E6" s="11" t="n"/>
      <c r="F6" s="11" t="n"/>
      <c r="G6" s="11" t="n"/>
      <c r="H6" s="11" t="n"/>
      <c r="I6" s="14" t="n"/>
      <c r="J6" s="14" t="n"/>
      <c r="K6" s="51" t="n"/>
      <c r="L6" s="51" t="n"/>
      <c r="M6" s="51" t="n"/>
      <c r="N6" s="51" t="n"/>
      <c r="O6" s="32" t="n"/>
      <c r="P6" s="15" t="n"/>
      <c r="Q6" s="15" t="n"/>
      <c r="R6" s="15" t="n"/>
      <c r="S6" s="15" t="n"/>
      <c r="T6" s="15" t="n"/>
      <c r="U6" s="14" t="n"/>
      <c r="V6" s="11" t="n"/>
    </row>
    <row r="7" ht="24.75" customHeight="1" s="48">
      <c r="A7" s="11" t="n"/>
      <c r="B7" s="11" t="n"/>
      <c r="C7" s="11" t="n"/>
      <c r="D7" s="11" t="n"/>
      <c r="E7" s="11" t="n"/>
      <c r="F7" s="11" t="n"/>
      <c r="G7" s="11" t="n"/>
      <c r="H7" s="11" t="n"/>
      <c r="I7" s="14" t="n"/>
      <c r="J7" s="14" t="n"/>
      <c r="K7" s="51" t="n"/>
      <c r="L7" s="51" t="n"/>
      <c r="M7" s="51" t="n"/>
      <c r="N7" s="51" t="n"/>
      <c r="O7" s="32" t="n"/>
      <c r="P7" s="15" t="n"/>
      <c r="Q7" s="15" t="n"/>
      <c r="R7" s="15" t="n"/>
      <c r="S7" s="15" t="n"/>
      <c r="T7" s="15" t="n"/>
      <c r="U7" s="14" t="n"/>
      <c r="V7" s="11" t="n"/>
    </row>
    <row r="8" ht="24.75" customHeight="1" s="48">
      <c r="A8" s="11" t="n"/>
      <c r="B8" s="11" t="n"/>
      <c r="C8" s="11" t="n"/>
      <c r="D8" s="11" t="n"/>
      <c r="E8" s="11" t="n"/>
      <c r="F8" s="11" t="n"/>
      <c r="G8" s="11" t="n"/>
      <c r="H8" s="11" t="n"/>
      <c r="I8" s="14" t="n"/>
      <c r="J8" s="14" t="n"/>
      <c r="K8" s="51" t="n"/>
      <c r="L8" s="51" t="n"/>
      <c r="M8" s="51" t="n"/>
      <c r="N8" s="51" t="n"/>
      <c r="O8" s="32" t="n"/>
      <c r="P8" s="15" t="n"/>
      <c r="Q8" s="15" t="n"/>
      <c r="R8" s="15" t="n"/>
      <c r="S8" s="15" t="n"/>
      <c r="T8" s="15" t="n"/>
      <c r="U8" s="14" t="n"/>
      <c r="V8" s="11" t="n"/>
    </row>
    <row r="9" ht="24.75" customHeight="1" s="48">
      <c r="A9" s="11" t="n"/>
      <c r="B9" s="11" t="n"/>
      <c r="C9" s="11" t="n"/>
      <c r="D9" s="11" t="n"/>
      <c r="E9" s="11" t="n"/>
      <c r="F9" s="11" t="n"/>
      <c r="G9" s="11" t="n"/>
      <c r="H9" s="11" t="n"/>
      <c r="I9" s="14" t="n"/>
      <c r="J9" s="14" t="n"/>
      <c r="K9" s="51" t="n"/>
      <c r="L9" s="51" t="n"/>
      <c r="M9" s="51" t="n"/>
      <c r="N9" s="51" t="n"/>
      <c r="O9" s="32" t="n"/>
      <c r="P9" s="15" t="n"/>
      <c r="Q9" s="15" t="n"/>
      <c r="R9" s="15" t="n"/>
      <c r="S9" s="15" t="n"/>
      <c r="T9" s="15" t="n"/>
      <c r="U9" s="14" t="n"/>
      <c r="V9" s="11" t="n"/>
    </row>
    <row r="10" ht="6.75" customHeight="1" s="48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4" t="n"/>
      <c r="J10" s="14" t="n"/>
      <c r="K10" s="51" t="n"/>
      <c r="L10" s="51" t="n"/>
      <c r="M10" s="51" t="n"/>
      <c r="N10" s="51" t="n"/>
      <c r="O10" s="32" t="n"/>
      <c r="P10" s="15" t="n"/>
      <c r="Q10" s="15" t="n"/>
      <c r="R10" s="15" t="n"/>
      <c r="S10" s="15" t="n"/>
      <c r="T10" s="15" t="n"/>
      <c r="U10" s="14" t="n"/>
      <c r="V10" s="11" t="n"/>
    </row>
    <row r="11" ht="4.5" customHeight="1" s="48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50" t="n"/>
      <c r="L11" s="50" t="n"/>
      <c r="M11" s="50" t="n"/>
      <c r="N11" s="50" t="n"/>
      <c r="O11" s="31" t="n"/>
      <c r="P11" s="12" t="n"/>
      <c r="Q11" s="12" t="n"/>
      <c r="R11" s="12" t="n"/>
      <c r="S11" s="12" t="n"/>
      <c r="T11" s="12" t="n"/>
      <c r="U11" s="11" t="n"/>
      <c r="V11" s="11" t="n"/>
    </row>
    <row r="12" ht="24.75" customHeight="1" s="48">
      <c r="A12" s="11" t="n"/>
      <c r="B12" s="14" t="n"/>
      <c r="C12" s="15" t="n"/>
      <c r="D12" s="15" t="n"/>
      <c r="E12" s="15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32" t="n"/>
      <c r="P12" s="15" t="n"/>
      <c r="Q12" s="12" t="n"/>
      <c r="R12" s="11" t="n"/>
      <c r="S12" s="11" t="n"/>
      <c r="T12" s="11" t="n"/>
      <c r="U12" s="11" t="n"/>
      <c r="V12" s="11" t="n"/>
    </row>
    <row r="13" ht="24.75" customFormat="1" customHeight="1" s="1">
      <c r="A13" s="17" t="n"/>
      <c r="B13" s="18" t="n"/>
      <c r="C13" s="19" t="inlineStr">
        <is>
          <t>Basic Information</t>
        </is>
      </c>
      <c r="D13" s="52" t="n"/>
      <c r="E13" s="52" t="n"/>
      <c r="F13" s="53" t="n"/>
      <c r="G13" s="54" t="inlineStr">
        <is>
          <t>Project Expense Expenditure</t>
        </is>
      </c>
      <c r="H13" s="52" t="n"/>
      <c r="I13" s="52" t="n"/>
      <c r="J13" s="52" t="n"/>
      <c r="K13" s="52" t="n"/>
      <c r="L13" s="52" t="n"/>
      <c r="M13" s="52" t="n"/>
      <c r="N13" s="53" t="n"/>
      <c r="O13" s="55" t="inlineStr">
        <is>
          <t>Project Gross Profit Margin</t>
        </is>
      </c>
      <c r="P13" s="18" t="n"/>
      <c r="Q13" s="17" t="n"/>
      <c r="R13" s="17" t="n"/>
      <c r="S13" s="17" t="n"/>
      <c r="T13" s="17" t="n"/>
      <c r="U13" s="17" t="n"/>
      <c r="V13" s="17" t="n"/>
      <c r="W13" s="1" t="n"/>
      <c r="X13" s="3" t="inlineStr">
        <is>
          <t>Current Year</t>
        </is>
      </c>
      <c r="Y13" s="56" t="n">
        <v>2023</v>
      </c>
      <c r="Z13" s="3" t="n"/>
      <c r="AA13" s="1" t="n"/>
    </row>
    <row r="14" ht="24.75" customFormat="1" customHeight="1" s="1">
      <c r="A14" s="17" t="n"/>
      <c r="B14" s="18" t="n"/>
      <c r="C14" s="23" t="inlineStr">
        <is>
          <t>Serial Number</t>
        </is>
      </c>
      <c r="D14" s="23" t="inlineStr">
        <is>
          <t>Project Name</t>
        </is>
      </c>
      <c r="E14" s="23" t="inlineStr">
        <is>
          <t>Start Date</t>
        </is>
      </c>
      <c r="F14" s="57" t="inlineStr">
        <is>
          <t>Contract Amount</t>
        </is>
      </c>
      <c r="G14" s="57" t="inlineStr">
        <is>
          <t>Material Cost</t>
        </is>
      </c>
      <c r="H14" s="57" t="inlineStr">
        <is>
          <t>Equipment Cost</t>
        </is>
      </c>
      <c r="I14" s="57" t="inlineStr">
        <is>
          <t>Transportation Cost</t>
        </is>
      </c>
      <c r="J14" s="57" t="inlineStr">
        <is>
          <t>Labor Cost</t>
        </is>
      </c>
      <c r="K14" s="57" t="inlineStr">
        <is>
          <t>Processing Fee</t>
        </is>
      </c>
      <c r="L14" s="57" t="inlineStr">
        <is>
          <t>Travel expenses</t>
        </is>
      </c>
      <c r="M14" s="57" t="inlineStr">
        <is>
          <t>Other Expenses</t>
        </is>
      </c>
      <c r="N14" s="57" t="inlineStr">
        <is>
          <t>Total Cost</t>
        </is>
      </c>
      <c r="O14" s="58" t="n"/>
      <c r="P14" s="18" t="n"/>
      <c r="Q14" s="17" t="n"/>
      <c r="R14" s="17" t="n"/>
      <c r="S14" s="17" t="n"/>
      <c r="T14" s="17" t="n"/>
      <c r="U14" s="17" t="n"/>
      <c r="V14" s="17" t="n"/>
      <c r="W14" s="1" t="n"/>
      <c r="X14" s="57" t="inlineStr">
        <is>
          <t>Month</t>
        </is>
      </c>
      <c r="Y14" s="57" t="inlineStr">
        <is>
          <t>Number of Contracts</t>
        </is>
      </c>
      <c r="Z14" s="57" t="inlineStr">
        <is>
          <t>Contract Amount</t>
        </is>
      </c>
      <c r="AA14" s="1" t="n"/>
    </row>
    <row r="15" ht="24.75" customHeight="1" s="48">
      <c r="A15" s="11" t="n"/>
      <c r="B15" s="14" t="n"/>
      <c r="C15" s="25" t="n">
        <v>1</v>
      </c>
      <c r="D15" s="25" t="inlineStr">
        <is>
          <t>Project 1</t>
        </is>
      </c>
      <c r="E15" s="26" t="n">
        <v>44927</v>
      </c>
      <c r="F15" s="59" t="n">
        <v>2000</v>
      </c>
      <c r="G15" s="59" t="n">
        <v>70</v>
      </c>
      <c r="H15" s="59" t="n">
        <v>400</v>
      </c>
      <c r="I15" s="59" t="n">
        <v>200</v>
      </c>
      <c r="J15" s="59" t="n">
        <v>120</v>
      </c>
      <c r="K15" s="59" t="n">
        <v>200</v>
      </c>
      <c r="L15" s="59" t="n">
        <v>100</v>
      </c>
      <c r="M15" s="59" t="n">
        <v>100</v>
      </c>
      <c r="N15" s="59">
        <f>SUM(G15:M15)</f>
        <v/>
      </c>
      <c r="O15" s="36">
        <f>IF(D15="","",(F15-N15)/F15)</f>
        <v/>
      </c>
      <c r="P15" s="15" t="n"/>
      <c r="Q15" s="12" t="n"/>
      <c r="R15" s="11" t="n"/>
      <c r="S15" s="11" t="n"/>
      <c r="T15" s="11" t="n"/>
      <c r="U15" s="11" t="n"/>
      <c r="V15" s="11" t="n"/>
      <c r="X15" s="25" t="n">
        <v>1</v>
      </c>
      <c r="Y15" s="25">
        <f>SUMPRODUCT((YEAR($E$15:$E$13766)=$Y$13)*(MONTH($E$15:$E$13766)=X15))</f>
        <v/>
      </c>
      <c r="Z15" s="59">
        <f>SUMPRODUCT((YEAR($E$15:$E$13766)=$Y$13)*(MONTH($E$15:$E$13766)=X15)*($F$15:$F$13766))</f>
        <v/>
      </c>
    </row>
    <row r="16" ht="24.75" customHeight="1" s="48">
      <c r="A16" s="11" t="n"/>
      <c r="B16" s="14" t="n"/>
      <c r="C16" s="28" t="n">
        <v>2</v>
      </c>
      <c r="D16" s="25" t="inlineStr">
        <is>
          <t>Project 2</t>
        </is>
      </c>
      <c r="E16" s="26" t="n">
        <v>44958</v>
      </c>
      <c r="F16" s="60" t="n">
        <v>1500</v>
      </c>
      <c r="G16" s="59" t="n">
        <v>60</v>
      </c>
      <c r="H16" s="59" t="n">
        <v>500</v>
      </c>
      <c r="I16" s="59" t="n">
        <v>250</v>
      </c>
      <c r="J16" s="59" t="n">
        <v>110</v>
      </c>
      <c r="K16" s="59" t="n">
        <v>190</v>
      </c>
      <c r="L16" s="59" t="n">
        <v>150</v>
      </c>
      <c r="M16" s="59" t="n">
        <v>130</v>
      </c>
      <c r="N16" s="59">
        <f>SUM(G16:M16)</f>
        <v/>
      </c>
      <c r="O16" s="36">
        <f>IF(D16="","",(F16-N16)/F16)</f>
        <v/>
      </c>
      <c r="P16" s="15" t="n"/>
      <c r="Q16" s="12" t="n"/>
      <c r="R16" s="11" t="n"/>
      <c r="S16" s="11" t="n"/>
      <c r="T16" s="11" t="n"/>
      <c r="U16" s="11" t="n"/>
      <c r="V16" s="11" t="n"/>
      <c r="X16" s="25" t="n">
        <v>2</v>
      </c>
      <c r="Y16" s="25">
        <f>SUMPRODUCT((YEAR($E$15:$E$13766)=$Y$13)*(MONTH($E$15:$E$13766)=X16))</f>
        <v/>
      </c>
      <c r="Z16" s="59">
        <f>SUMPRODUCT((YEAR($E$15:$E$13766)=$Y$13)*(MONTH($E$15:$E$13766)=X16)*($F$15:$F$13766))</f>
        <v/>
      </c>
    </row>
    <row r="17" ht="24.75" customHeight="1" s="48">
      <c r="A17" s="11" t="n"/>
      <c r="B17" s="14" t="n"/>
      <c r="C17" s="25" t="n">
        <v>3</v>
      </c>
      <c r="D17" s="25" t="inlineStr">
        <is>
          <t>Project 3</t>
        </is>
      </c>
      <c r="E17" s="26" t="n">
        <v>44986</v>
      </c>
      <c r="F17" s="60" t="n">
        <v>1700</v>
      </c>
      <c r="G17" s="59" t="n">
        <v>70</v>
      </c>
      <c r="H17" s="59" t="n">
        <v>600</v>
      </c>
      <c r="I17" s="59" t="n">
        <v>100</v>
      </c>
      <c r="J17" s="59" t="n">
        <v>150</v>
      </c>
      <c r="K17" s="59" t="n">
        <v>240</v>
      </c>
      <c r="L17" s="59" t="n">
        <v>200</v>
      </c>
      <c r="M17" s="59" t="n">
        <v>140</v>
      </c>
      <c r="N17" s="59">
        <f>SUM(G17:M17)</f>
        <v/>
      </c>
      <c r="O17" s="36">
        <f>IF(D17="","",(F17-N17)/F17)</f>
        <v/>
      </c>
      <c r="P17" s="15" t="n"/>
      <c r="Q17" s="12" t="n"/>
      <c r="R17" s="11" t="n"/>
      <c r="S17" s="11" t="n"/>
      <c r="T17" s="11" t="n"/>
      <c r="U17" s="11" t="n"/>
      <c r="V17" s="11" t="n"/>
      <c r="X17" s="25" t="n">
        <v>3</v>
      </c>
      <c r="Y17" s="25">
        <f>SUMPRODUCT((YEAR($E$15:$E$13766)=$Y$13)*(MONTH($E$15:$E$13766)=X17))</f>
        <v/>
      </c>
      <c r="Z17" s="59">
        <f>SUMPRODUCT((YEAR($E$15:$E$13766)=$Y$13)*(MONTH($E$15:$E$13766)=X17)*($F$15:$F$13766))</f>
        <v/>
      </c>
    </row>
    <row r="18" ht="24.75" customHeight="1" s="48">
      <c r="A18" s="11" t="n"/>
      <c r="B18" s="14" t="n"/>
      <c r="C18" s="28" t="n">
        <v>4</v>
      </c>
      <c r="D18" s="25" t="inlineStr">
        <is>
          <t>Project 4</t>
        </is>
      </c>
      <c r="E18" s="26" t="n">
        <v>45017</v>
      </c>
      <c r="F18" s="60" t="n">
        <v>2100</v>
      </c>
      <c r="G18" s="59" t="n">
        <v>90</v>
      </c>
      <c r="H18" s="59" t="n">
        <v>270</v>
      </c>
      <c r="I18" s="59" t="n">
        <v>120</v>
      </c>
      <c r="J18" s="59" t="n">
        <v>80</v>
      </c>
      <c r="K18" s="59" t="n">
        <v>200</v>
      </c>
      <c r="L18" s="59" t="n">
        <v>170</v>
      </c>
      <c r="M18" s="59" t="n">
        <v>125</v>
      </c>
      <c r="N18" s="59">
        <f>SUM(G18:M18)</f>
        <v/>
      </c>
      <c r="O18" s="36">
        <f>IF(D18="","",(F18-N18)/F18)</f>
        <v/>
      </c>
      <c r="P18" s="15" t="n"/>
      <c r="Q18" s="12" t="n"/>
      <c r="R18" s="11" t="n"/>
      <c r="S18" s="11" t="n"/>
      <c r="T18" s="11" t="n"/>
      <c r="U18" s="11" t="n"/>
      <c r="V18" s="11" t="n"/>
      <c r="X18" s="25" t="n">
        <v>4</v>
      </c>
      <c r="Y18" s="25">
        <f>SUMPRODUCT((YEAR($E$15:$E$13766)=$Y$13)*(MONTH($E$15:$E$13766)=X18))</f>
        <v/>
      </c>
      <c r="Z18" s="59">
        <f>SUMPRODUCT((YEAR($E$15:$E$13766)=$Y$13)*(MONTH($E$15:$E$13766)=X18)*($F$15:$F$13766))</f>
        <v/>
      </c>
    </row>
    <row r="19" ht="24.75" customHeight="1" s="48">
      <c r="A19" s="11" t="n"/>
      <c r="B19" s="14" t="n"/>
      <c r="C19" s="25" t="n">
        <v>5</v>
      </c>
      <c r="D19" s="25" t="inlineStr">
        <is>
          <t>Project 5</t>
        </is>
      </c>
      <c r="E19" s="26" t="n">
        <v>45047</v>
      </c>
      <c r="F19" s="60" t="n">
        <v>2300</v>
      </c>
      <c r="G19" s="59" t="n">
        <v>180</v>
      </c>
      <c r="H19" s="59" t="n">
        <v>190</v>
      </c>
      <c r="I19" s="59" t="n">
        <v>170</v>
      </c>
      <c r="J19" s="59" t="n">
        <v>170</v>
      </c>
      <c r="K19" s="59" t="n">
        <v>180</v>
      </c>
      <c r="L19" s="59" t="n">
        <v>200</v>
      </c>
      <c r="M19" s="59" t="n">
        <v>135</v>
      </c>
      <c r="N19" s="59">
        <f>SUM(G19:M19)</f>
        <v/>
      </c>
      <c r="O19" s="36">
        <f>IF(D19="","",(F19-N19)/F19)</f>
        <v/>
      </c>
      <c r="P19" s="15" t="n"/>
      <c r="Q19" s="12" t="n"/>
      <c r="R19" s="11" t="n"/>
      <c r="S19" s="11" t="n"/>
      <c r="T19" s="11" t="n"/>
      <c r="U19" s="11" t="n"/>
      <c r="V19" s="11" t="n"/>
      <c r="X19" s="25" t="n">
        <v>5</v>
      </c>
      <c r="Y19" s="25">
        <f>SUMPRODUCT((YEAR($E$15:$E$13766)=$Y$13)*(MONTH($E$15:$E$13766)=X19))</f>
        <v/>
      </c>
      <c r="Z19" s="59">
        <f>SUMPRODUCT((YEAR($E$15:$E$13766)=$Y$13)*(MONTH($E$15:$E$13766)=X19)*($F$15:$F$13766))</f>
        <v/>
      </c>
    </row>
    <row r="20" ht="24.75" customHeight="1" s="48">
      <c r="A20" s="11" t="n"/>
      <c r="B20" s="14" t="n"/>
      <c r="C20" s="28" t="n">
        <v>6</v>
      </c>
      <c r="D20" s="25" t="inlineStr">
        <is>
          <t>Project 6</t>
        </is>
      </c>
      <c r="E20" s="26" t="n">
        <v>45078</v>
      </c>
      <c r="F20" s="60" t="n">
        <v>2500</v>
      </c>
      <c r="G20" s="59" t="n">
        <v>340</v>
      </c>
      <c r="H20" s="59" t="n">
        <v>120</v>
      </c>
      <c r="I20" s="59" t="n">
        <v>100</v>
      </c>
      <c r="J20" s="59" t="n">
        <v>200</v>
      </c>
      <c r="K20" s="59" t="n">
        <v>230</v>
      </c>
      <c r="L20" s="59" t="n">
        <v>220</v>
      </c>
      <c r="M20" s="59" t="n">
        <v>145</v>
      </c>
      <c r="N20" s="59">
        <f>SUM(G20:M20)</f>
        <v/>
      </c>
      <c r="O20" s="36">
        <f>IF(D20="","",(F20-N20)/F20)</f>
        <v/>
      </c>
      <c r="P20" s="15" t="n"/>
      <c r="Q20" s="12" t="n"/>
      <c r="R20" s="11" t="n"/>
      <c r="S20" s="11" t="n"/>
      <c r="T20" s="11" t="n"/>
      <c r="U20" s="11" t="n"/>
      <c r="V20" s="11" t="n"/>
      <c r="X20" s="25" t="n">
        <v>6</v>
      </c>
      <c r="Y20" s="25">
        <f>SUMPRODUCT((YEAR($E$15:$E$13766)=$Y$13)*(MONTH($E$15:$E$13766)=X20))</f>
        <v/>
      </c>
      <c r="Z20" s="59">
        <f>SUMPRODUCT((YEAR($E$15:$E$13766)=$Y$13)*(MONTH($E$15:$E$13766)=X20)*($F$15:$F$13766))</f>
        <v/>
      </c>
    </row>
    <row r="21" ht="24.75" customHeight="1" s="48">
      <c r="A21" s="11" t="n"/>
      <c r="B21" s="14" t="n"/>
      <c r="C21" s="25" t="n">
        <v>7</v>
      </c>
      <c r="D21" s="25" t="inlineStr">
        <is>
          <t>Project 7</t>
        </is>
      </c>
      <c r="E21" s="26" t="n">
        <v>45108</v>
      </c>
      <c r="F21" s="60" t="n">
        <v>1900</v>
      </c>
      <c r="G21" s="59" t="n">
        <v>240</v>
      </c>
      <c r="H21" s="59" t="n">
        <v>140</v>
      </c>
      <c r="I21" s="59" t="n">
        <v>120</v>
      </c>
      <c r="J21" s="59" t="n">
        <v>190</v>
      </c>
      <c r="K21" s="59" t="n">
        <v>190</v>
      </c>
      <c r="L21" s="59" t="n">
        <v>240</v>
      </c>
      <c r="M21" s="59" t="n">
        <v>155</v>
      </c>
      <c r="N21" s="59">
        <f>SUM(G21:M21)</f>
        <v/>
      </c>
      <c r="O21" s="36">
        <f>IF(D21="","",(F21-N21)/F21)</f>
        <v/>
      </c>
      <c r="P21" s="15" t="n"/>
      <c r="Q21" s="12" t="n"/>
      <c r="R21" s="11" t="n"/>
      <c r="S21" s="11" t="n"/>
      <c r="T21" s="11" t="n"/>
      <c r="U21" s="11" t="n"/>
      <c r="V21" s="11" t="n"/>
      <c r="X21" s="25" t="n">
        <v>7</v>
      </c>
      <c r="Y21" s="25">
        <f>SUMPRODUCT((YEAR($E$15:$E$13766)=$Y$13)*(MONTH($E$15:$E$13766)=X21))</f>
        <v/>
      </c>
      <c r="Z21" s="59">
        <f>SUMPRODUCT((YEAR($E$15:$E$13766)=$Y$13)*(MONTH($E$15:$E$13766)=X21)*($F$15:$F$13766))</f>
        <v/>
      </c>
    </row>
    <row r="22" ht="24.75" customHeight="1" s="48">
      <c r="A22" s="11" t="n"/>
      <c r="B22" s="14" t="n"/>
      <c r="C22" s="28" t="n">
        <v>8</v>
      </c>
      <c r="D22" s="25" t="inlineStr">
        <is>
          <t>Project 8</t>
        </is>
      </c>
      <c r="E22" s="26" t="n">
        <v>45139</v>
      </c>
      <c r="F22" s="60" t="n">
        <v>1100</v>
      </c>
      <c r="G22" s="59" t="n">
        <v>350</v>
      </c>
      <c r="H22" s="59" t="n">
        <v>100</v>
      </c>
      <c r="I22" s="59" t="n">
        <v>110</v>
      </c>
      <c r="J22" s="59" t="n">
        <v>200</v>
      </c>
      <c r="K22" s="59" t="n">
        <v>150</v>
      </c>
      <c r="L22" s="59" t="n">
        <v>260</v>
      </c>
      <c r="M22" s="59" t="n">
        <v>142</v>
      </c>
      <c r="N22" s="59">
        <f>SUM(G22:M22)</f>
        <v/>
      </c>
      <c r="O22" s="36">
        <f>IF(D22="","",(F22-N22)/F22)</f>
        <v/>
      </c>
      <c r="P22" s="15" t="n"/>
      <c r="Q22" s="12" t="n"/>
      <c r="R22" s="11" t="n"/>
      <c r="S22" s="11" t="n"/>
      <c r="T22" s="11" t="n"/>
      <c r="U22" s="11" t="n"/>
      <c r="V22" s="11" t="n"/>
      <c r="X22" s="25" t="n">
        <v>8</v>
      </c>
      <c r="Y22" s="25">
        <f>SUMPRODUCT((YEAR($E$15:$E$13766)=$Y$13)*(MONTH($E$15:$E$13766)=X22))</f>
        <v/>
      </c>
      <c r="Z22" s="59">
        <f>SUMPRODUCT((YEAR($E$15:$E$13766)=$Y$13)*(MONTH($E$15:$E$13766)=X22)*($F$15:$F$13766))</f>
        <v/>
      </c>
    </row>
    <row r="23" ht="24.75" customHeight="1" s="48">
      <c r="A23" s="11" t="n"/>
      <c r="B23" s="14" t="n"/>
      <c r="C23" s="25" t="n">
        <v>9</v>
      </c>
      <c r="D23" s="25" t="inlineStr">
        <is>
          <t>Project 9</t>
        </is>
      </c>
      <c r="E23" s="26" t="n">
        <v>45170</v>
      </c>
      <c r="F23" s="60" t="n">
        <v>1400</v>
      </c>
      <c r="G23" s="59" t="n">
        <v>170</v>
      </c>
      <c r="H23" s="59" t="n">
        <v>180</v>
      </c>
      <c r="I23" s="59" t="n">
        <v>100</v>
      </c>
      <c r="J23" s="59" t="n">
        <v>170</v>
      </c>
      <c r="K23" s="59" t="n">
        <v>220</v>
      </c>
      <c r="L23" s="59" t="n">
        <v>150</v>
      </c>
      <c r="M23" s="59" t="n">
        <v>135</v>
      </c>
      <c r="N23" s="59">
        <f>SUM(G23:M23)</f>
        <v/>
      </c>
      <c r="O23" s="36">
        <f>IF(D23="","",(F23-N23)/F23)</f>
        <v/>
      </c>
      <c r="P23" s="15" t="n"/>
      <c r="Q23" s="12" t="n"/>
      <c r="R23" s="15" t="n"/>
      <c r="S23" s="15" t="n"/>
      <c r="T23" s="15" t="n"/>
      <c r="U23" s="14" t="n"/>
      <c r="V23" s="11" t="n"/>
      <c r="X23" s="25" t="n">
        <v>9</v>
      </c>
      <c r="Y23" s="25">
        <f>SUMPRODUCT((YEAR($E$15:$E$13766)=$Y$13)*(MONTH($E$15:$E$13766)=X23))</f>
        <v/>
      </c>
      <c r="Z23" s="59">
        <f>SUMPRODUCT((YEAR($E$15:$E$13766)=$Y$13)*(MONTH($E$15:$E$13766)=X23)*($F$15:$F$13766))</f>
        <v/>
      </c>
    </row>
    <row r="24" ht="24.75" customHeight="1" s="48">
      <c r="A24" s="11" t="n"/>
      <c r="B24" s="14" t="n"/>
      <c r="C24" s="28" t="n">
        <v>10</v>
      </c>
      <c r="D24" s="25" t="inlineStr">
        <is>
          <t>Project 10</t>
        </is>
      </c>
      <c r="E24" s="26" t="n">
        <v>45200</v>
      </c>
      <c r="F24" s="60" t="n">
        <v>1600</v>
      </c>
      <c r="G24" s="59" t="n">
        <v>150</v>
      </c>
      <c r="H24" s="59" t="n">
        <v>220</v>
      </c>
      <c r="I24" s="59" t="n">
        <v>150</v>
      </c>
      <c r="J24" s="59" t="n">
        <v>140</v>
      </c>
      <c r="K24" s="59" t="n">
        <v>170</v>
      </c>
      <c r="L24" s="59" t="n">
        <v>150</v>
      </c>
      <c r="M24" s="59" t="n">
        <v>130</v>
      </c>
      <c r="N24" s="59">
        <f>SUM(G24:M24)</f>
        <v/>
      </c>
      <c r="O24" s="36">
        <f>IF(D24="","",(F24-N24)/F24)</f>
        <v/>
      </c>
      <c r="P24" s="15" t="n"/>
      <c r="Q24" s="12" t="n"/>
      <c r="R24" s="15" t="n"/>
      <c r="S24" s="15" t="n"/>
      <c r="T24" s="15" t="n"/>
      <c r="U24" s="14" t="n"/>
      <c r="V24" s="11" t="n"/>
      <c r="X24" s="25" t="n">
        <v>10</v>
      </c>
      <c r="Y24" s="25">
        <f>SUMPRODUCT((YEAR($E$15:$E$13766)=$Y$13)*(MONTH($E$15:$E$13766)=X24))</f>
        <v/>
      </c>
      <c r="Z24" s="59">
        <f>SUMPRODUCT((YEAR($E$15:$E$13766)=$Y$13)*(MONTH($E$15:$E$13766)=X24)*($F$15:$F$13766))</f>
        <v/>
      </c>
    </row>
    <row r="25" ht="24.75" customHeight="1" s="48">
      <c r="A25" s="11" t="n"/>
      <c r="B25" s="14" t="n"/>
      <c r="C25" s="25" t="n">
        <v>11</v>
      </c>
      <c r="D25" s="25" t="inlineStr">
        <is>
          <t>Project 11</t>
        </is>
      </c>
      <c r="E25" s="26" t="n">
        <v>45231</v>
      </c>
      <c r="F25" s="60" t="n">
        <v>1900</v>
      </c>
      <c r="G25" s="59" t="n">
        <v>120</v>
      </c>
      <c r="H25" s="59" t="n">
        <v>105</v>
      </c>
      <c r="I25" s="59" t="n">
        <v>140</v>
      </c>
      <c r="J25" s="59" t="n">
        <v>120</v>
      </c>
      <c r="K25" s="59" t="n">
        <v>120</v>
      </c>
      <c r="L25" s="59" t="n">
        <v>170</v>
      </c>
      <c r="M25" s="59" t="n">
        <v>120</v>
      </c>
      <c r="N25" s="59">
        <f>SUM(G25:M25)</f>
        <v/>
      </c>
      <c r="O25" s="36">
        <f>IF(D25="","",(F25-N25)/F25)</f>
        <v/>
      </c>
      <c r="P25" s="15" t="n"/>
      <c r="Q25" s="12" t="n"/>
      <c r="R25" s="15" t="n"/>
      <c r="S25" s="37" t="inlineStr">
        <is>
          <t>Project Name</t>
        </is>
      </c>
      <c r="T25" s="61" t="inlineStr">
        <is>
          <t>Project 1</t>
        </is>
      </c>
      <c r="U25" s="14" t="n"/>
      <c r="V25" s="11" t="n"/>
      <c r="X25" s="25" t="n">
        <v>11</v>
      </c>
      <c r="Y25" s="25">
        <f>SUMPRODUCT((YEAR($E$15:$E$13766)=$Y$13)*(MONTH($E$15:$E$13766)=X25))</f>
        <v/>
      </c>
      <c r="Z25" s="59">
        <f>SUMPRODUCT((YEAR($E$15:$E$13766)=$Y$13)*(MONTH($E$15:$E$13766)=X25)*($F$15:$F$13766))</f>
        <v/>
      </c>
    </row>
    <row r="26" ht="24.75" customHeight="1" s="48">
      <c r="A26" s="11" t="n"/>
      <c r="B26" s="14" t="n"/>
      <c r="C26" s="28" t="n">
        <v>12</v>
      </c>
      <c r="D26" s="25" t="inlineStr">
        <is>
          <t>Project 12</t>
        </is>
      </c>
      <c r="E26" s="26" t="n">
        <v>45261</v>
      </c>
      <c r="F26" s="60" t="n">
        <v>2000</v>
      </c>
      <c r="G26" s="59" t="n">
        <v>200</v>
      </c>
      <c r="H26" s="59" t="n">
        <v>115</v>
      </c>
      <c r="I26" s="59" t="n">
        <v>200</v>
      </c>
      <c r="J26" s="59" t="n">
        <v>110</v>
      </c>
      <c r="K26" s="59" t="n">
        <v>200</v>
      </c>
      <c r="L26" s="59" t="n">
        <v>150</v>
      </c>
      <c r="M26" s="59" t="n">
        <v>125</v>
      </c>
      <c r="N26" s="59">
        <f>SUM(G26:M26)</f>
        <v/>
      </c>
      <c r="O26" s="36">
        <f>IF(D26="","",(F26-N26)/F26)</f>
        <v/>
      </c>
      <c r="P26" s="15" t="n"/>
      <c r="Q26" s="12" t="n"/>
      <c r="R26" s="15" t="n"/>
      <c r="S26" s="37" t="inlineStr">
        <is>
          <t>Start Date</t>
        </is>
      </c>
      <c r="T26" s="62">
        <f>_xlfn.IFERROR(VLOOKUP($T$25,$D$15:$O$13765,2,FALSE),"")</f>
        <v/>
      </c>
      <c r="U26" s="14" t="n"/>
      <c r="V26" s="11" t="n"/>
      <c r="X26" s="25" t="n">
        <v>12</v>
      </c>
      <c r="Y26" s="25">
        <f>SUMPRODUCT((YEAR($E$15:$E$13766)=$Y$13)*(MONTH($E$15:$E$13766)=X26))</f>
        <v/>
      </c>
      <c r="Z26" s="59">
        <f>SUMPRODUCT((YEAR($E$15:$E$13766)=$Y$13)*(MONTH($E$15:$E$13766)=X26)*($F$15:$F$13766))</f>
        <v/>
      </c>
    </row>
    <row r="27" ht="24.75" customHeight="1" s="48">
      <c r="A27" s="11" t="n"/>
      <c r="B27" s="14" t="n"/>
      <c r="C27" s="28" t="n">
        <v>13</v>
      </c>
      <c r="D27" s="25" t="inlineStr">
        <is>
          <t>Project 13</t>
        </is>
      </c>
      <c r="E27" s="26" t="n">
        <v>45262</v>
      </c>
      <c r="F27" s="60" t="n">
        <v>2001</v>
      </c>
      <c r="G27" s="59" t="n">
        <v>201</v>
      </c>
      <c r="H27" s="59" t="n">
        <v>116</v>
      </c>
      <c r="I27" s="59" t="n">
        <v>201</v>
      </c>
      <c r="J27" s="59" t="n">
        <v>111</v>
      </c>
      <c r="K27" s="59" t="n">
        <v>201</v>
      </c>
      <c r="L27" s="59" t="n">
        <v>151</v>
      </c>
      <c r="M27" s="59" t="n">
        <v>126</v>
      </c>
      <c r="N27" s="59">
        <f>SUM(G27:M27)</f>
        <v/>
      </c>
      <c r="O27" s="36">
        <f>IF(D27="","",(F27-N27)/F27)</f>
        <v/>
      </c>
      <c r="P27" s="15" t="n"/>
      <c r="Q27" s="12" t="n"/>
      <c r="R27" s="15" t="n"/>
      <c r="S27" s="37" t="inlineStr">
        <is>
          <t>Contract Amount</t>
        </is>
      </c>
      <c r="T27" s="61">
        <f>_xlfn.IFERROR(VLOOKUP($T$25,$D$15:$O$13765,3,FALSE),"")</f>
        <v/>
      </c>
      <c r="U27" s="14" t="n"/>
      <c r="V27" s="11" t="n"/>
    </row>
    <row r="28" ht="24.75" customHeight="1" s="48">
      <c r="A28" s="11" t="n"/>
      <c r="B28" s="14" t="n"/>
      <c r="C28" s="28" t="n">
        <v>14</v>
      </c>
      <c r="D28" s="25" t="inlineStr">
        <is>
          <t>Project 14</t>
        </is>
      </c>
      <c r="E28" s="26" t="n">
        <v>45263</v>
      </c>
      <c r="F28" s="60" t="n">
        <v>2002</v>
      </c>
      <c r="G28" s="59" t="n">
        <v>202</v>
      </c>
      <c r="H28" s="59" t="n">
        <v>117</v>
      </c>
      <c r="I28" s="59" t="n">
        <v>202</v>
      </c>
      <c r="J28" s="59" t="n">
        <v>112</v>
      </c>
      <c r="K28" s="59" t="n">
        <v>202</v>
      </c>
      <c r="L28" s="59" t="n">
        <v>152</v>
      </c>
      <c r="M28" s="59" t="n">
        <v>127</v>
      </c>
      <c r="N28" s="59">
        <f>SUM(G28:M28)</f>
        <v/>
      </c>
      <c r="O28" s="36">
        <f>IF(D28="","",(F28-N28)/F28)</f>
        <v/>
      </c>
      <c r="P28" s="15" t="n"/>
      <c r="Q28" s="12" t="n"/>
      <c r="R28" s="15" t="n"/>
      <c r="S28" s="37" t="inlineStr">
        <is>
          <t>Material Cost</t>
        </is>
      </c>
      <c r="T28" s="61">
        <f>_xlfn.IFERROR(VLOOKUP($T$25,$D$15:$O$13765,4,FALSE),"")</f>
        <v/>
      </c>
      <c r="U28" s="14" t="n"/>
      <c r="V28" s="11" t="n"/>
      <c r="X28" s="57" t="inlineStr">
        <is>
          <t>Project Name</t>
        </is>
      </c>
      <c r="Y28" s="57" t="inlineStr">
        <is>
          <t>Project Cost</t>
        </is>
      </c>
    </row>
    <row r="29" ht="24.75" customHeight="1" s="48">
      <c r="A29" s="11" t="n"/>
      <c r="B29" s="14" t="n"/>
      <c r="C29" s="28" t="n">
        <v>15</v>
      </c>
      <c r="D29" s="25" t="inlineStr">
        <is>
          <t>Project 15</t>
        </is>
      </c>
      <c r="E29" s="26" t="n">
        <v>45264</v>
      </c>
      <c r="F29" s="60" t="n">
        <v>2003</v>
      </c>
      <c r="G29" s="59" t="n">
        <v>203</v>
      </c>
      <c r="H29" s="59" t="n">
        <v>118</v>
      </c>
      <c r="I29" s="59" t="n">
        <v>203</v>
      </c>
      <c r="J29" s="59" t="n">
        <v>113</v>
      </c>
      <c r="K29" s="59" t="n">
        <v>203</v>
      </c>
      <c r="L29" s="59" t="n">
        <v>153</v>
      </c>
      <c r="M29" s="59" t="n">
        <v>128</v>
      </c>
      <c r="N29" s="59">
        <f>SUM(G29:M29)</f>
        <v/>
      </c>
      <c r="O29" s="36">
        <f>IF(D29="","",(F29-N29)/F29)</f>
        <v/>
      </c>
      <c r="P29" s="15" t="n"/>
      <c r="Q29" s="12" t="n"/>
      <c r="R29" s="15" t="n"/>
      <c r="S29" s="37" t="inlineStr">
        <is>
          <t>Equipment Cost</t>
        </is>
      </c>
      <c r="T29" s="61">
        <f>_xlfn.IFERROR(VLOOKUP($T$25,$D$15:$O$13765,5,FALSE),"")</f>
        <v/>
      </c>
      <c r="U29" s="14" t="n"/>
      <c r="V29" s="11" t="n"/>
      <c r="W29" s="6">
        <f>IF(X29="","",RANK(Y29,$Y$29:$Y$35,0))</f>
        <v/>
      </c>
      <c r="X29" s="25" t="inlineStr">
        <is>
          <t>Material Cost</t>
        </is>
      </c>
      <c r="Y29" s="59">
        <f>SUM(G15:G13765)</f>
        <v/>
      </c>
    </row>
    <row r="30" ht="24.75" customHeight="1" s="48">
      <c r="A30" s="11" t="n"/>
      <c r="B30" s="14" t="n"/>
      <c r="C30" s="28" t="n">
        <v>16</v>
      </c>
      <c r="D30" s="25" t="inlineStr">
        <is>
          <t>Project 16</t>
        </is>
      </c>
      <c r="E30" s="26" t="n">
        <v>45265</v>
      </c>
      <c r="F30" s="60" t="n">
        <v>2004</v>
      </c>
      <c r="G30" s="59" t="n">
        <v>204</v>
      </c>
      <c r="H30" s="59" t="n">
        <v>119</v>
      </c>
      <c r="I30" s="59" t="n">
        <v>204</v>
      </c>
      <c r="J30" s="59" t="n">
        <v>114</v>
      </c>
      <c r="K30" s="59" t="n">
        <v>204</v>
      </c>
      <c r="L30" s="59" t="n">
        <v>154</v>
      </c>
      <c r="M30" s="59" t="n">
        <v>129</v>
      </c>
      <c r="N30" s="59">
        <f>SUM(G30:M30)</f>
        <v/>
      </c>
      <c r="O30" s="36">
        <f>IF(D30="","",(F30-N30)/F30)</f>
        <v/>
      </c>
      <c r="P30" s="15" t="n"/>
      <c r="Q30" s="12" t="n"/>
      <c r="R30" s="15" t="n"/>
      <c r="S30" s="37" t="inlineStr">
        <is>
          <t>Transportation Cost</t>
        </is>
      </c>
      <c r="T30" s="61">
        <f>_xlfn.IFERROR(VLOOKUP($T$25,$D$15:$O$13765,6,FALSE),"")</f>
        <v/>
      </c>
      <c r="U30" s="14" t="n"/>
      <c r="V30" s="11" t="n"/>
      <c r="W30" s="6">
        <f>IF(X30="","",RANK(Y30,$Y$29:$Y$35,0))</f>
        <v/>
      </c>
      <c r="X30" s="25" t="inlineStr">
        <is>
          <t>Equipment Cost</t>
        </is>
      </c>
      <c r="Y30" s="59">
        <f>SUM(H15:H40)</f>
        <v/>
      </c>
    </row>
    <row r="31" ht="24.75" customHeight="1" s="48">
      <c r="A31" s="11" t="n"/>
      <c r="B31" s="14" t="n"/>
      <c r="C31" s="28" t="n">
        <v>17</v>
      </c>
      <c r="D31" s="25" t="inlineStr">
        <is>
          <t>Project 17</t>
        </is>
      </c>
      <c r="E31" s="26" t="n">
        <v>45266</v>
      </c>
      <c r="F31" s="60" t="n">
        <v>2005</v>
      </c>
      <c r="G31" s="59" t="n">
        <v>205</v>
      </c>
      <c r="H31" s="59" t="n">
        <v>120</v>
      </c>
      <c r="I31" s="59" t="n">
        <v>205</v>
      </c>
      <c r="J31" s="59" t="n">
        <v>115</v>
      </c>
      <c r="K31" s="59" t="n">
        <v>205</v>
      </c>
      <c r="L31" s="59" t="n">
        <v>155</v>
      </c>
      <c r="M31" s="59" t="n">
        <v>130</v>
      </c>
      <c r="N31" s="59">
        <f>SUM(G31:M31)</f>
        <v/>
      </c>
      <c r="O31" s="36">
        <f>IF(D31="","",(F31-N31)/F31)</f>
        <v/>
      </c>
      <c r="P31" s="15" t="n"/>
      <c r="Q31" s="12" t="n"/>
      <c r="R31" s="15" t="n"/>
      <c r="S31" s="37" t="inlineStr">
        <is>
          <t>Labor Cost</t>
        </is>
      </c>
      <c r="T31" s="61">
        <f>_xlfn.IFERROR(VLOOKUP($T$25,$D$15:$O$13765,7,FALSE),"")</f>
        <v/>
      </c>
      <c r="U31" s="14" t="n"/>
      <c r="V31" s="11" t="n"/>
      <c r="W31" s="6">
        <f>IF(X31="","",RANK(Y31,$Y$29:$Y$35,0))</f>
        <v/>
      </c>
      <c r="X31" s="25" t="inlineStr">
        <is>
          <t>Transportation Cost</t>
        </is>
      </c>
      <c r="Y31" s="59">
        <f>SUM(I15:I13765)</f>
        <v/>
      </c>
    </row>
    <row r="32" ht="24.75" customHeight="1" s="48">
      <c r="A32" s="11" t="n"/>
      <c r="B32" s="14" t="n"/>
      <c r="C32" s="28" t="n">
        <v>18</v>
      </c>
      <c r="D32" s="25" t="inlineStr">
        <is>
          <t>Project 18</t>
        </is>
      </c>
      <c r="E32" s="26" t="n">
        <v>45267</v>
      </c>
      <c r="F32" s="60" t="n">
        <v>2006</v>
      </c>
      <c r="G32" s="59" t="n">
        <v>206</v>
      </c>
      <c r="H32" s="59" t="n">
        <v>121</v>
      </c>
      <c r="I32" s="59" t="n">
        <v>206</v>
      </c>
      <c r="J32" s="59" t="n">
        <v>116</v>
      </c>
      <c r="K32" s="59" t="n">
        <v>206</v>
      </c>
      <c r="L32" s="59" t="n">
        <v>156</v>
      </c>
      <c r="M32" s="59" t="n">
        <v>131</v>
      </c>
      <c r="N32" s="59">
        <f>SUM(G32:M32)</f>
        <v/>
      </c>
      <c r="O32" s="36">
        <f>IF(D32="","",(F32-N32)/F32)</f>
        <v/>
      </c>
      <c r="P32" s="15" t="n"/>
      <c r="Q32" s="12" t="n"/>
      <c r="R32" s="15" t="n"/>
      <c r="S32" s="37" t="inlineStr">
        <is>
          <t>Processing Fee</t>
        </is>
      </c>
      <c r="T32" s="61">
        <f>_xlfn.IFERROR(VLOOKUP($T$25,$D$15:$O$13765,8,FALSE),"")</f>
        <v/>
      </c>
      <c r="U32" s="14" t="n"/>
      <c r="V32" s="11" t="n"/>
      <c r="W32" s="6">
        <f>IF(X32="","",RANK(Y32,$Y$29:$Y$35,0))</f>
        <v/>
      </c>
      <c r="X32" s="25" t="inlineStr">
        <is>
          <t>Labor Cost</t>
        </is>
      </c>
      <c r="Y32" s="59">
        <f>SUM(J15:J13765)</f>
        <v/>
      </c>
    </row>
    <row r="33" ht="24.75" customHeight="1" s="48">
      <c r="A33" s="11" t="n"/>
      <c r="B33" s="14" t="n"/>
      <c r="C33" s="28" t="n">
        <v>19</v>
      </c>
      <c r="D33" s="25" t="inlineStr">
        <is>
          <t>Project 19</t>
        </is>
      </c>
      <c r="E33" s="26" t="n">
        <v>45268</v>
      </c>
      <c r="F33" s="60" t="n">
        <v>2007</v>
      </c>
      <c r="G33" s="59" t="n">
        <v>207</v>
      </c>
      <c r="H33" s="59" t="n">
        <v>122</v>
      </c>
      <c r="I33" s="59" t="n">
        <v>207</v>
      </c>
      <c r="J33" s="59" t="n">
        <v>117</v>
      </c>
      <c r="K33" s="59" t="n">
        <v>207</v>
      </c>
      <c r="L33" s="59" t="n">
        <v>157</v>
      </c>
      <c r="M33" s="59" t="n">
        <v>132</v>
      </c>
      <c r="N33" s="59">
        <f>SUM(G33:M33)</f>
        <v/>
      </c>
      <c r="O33" s="36">
        <f>IF(D33="","",(F33-N33)/F33)</f>
        <v/>
      </c>
      <c r="P33" s="15" t="n"/>
      <c r="Q33" s="12" t="n"/>
      <c r="R33" s="15" t="n"/>
      <c r="S33" s="37" t="inlineStr">
        <is>
          <t>Travel expenses</t>
        </is>
      </c>
      <c r="T33" s="61">
        <f>_xlfn.IFERROR(VLOOKUP($T$25,$D$15:$O$13765,9,FALSE),"")</f>
        <v/>
      </c>
      <c r="U33" s="14" t="n"/>
      <c r="V33" s="11" t="n"/>
      <c r="W33" s="6">
        <f>IF(X33="","",RANK(Y33,$Y$29:$Y$35,0))</f>
        <v/>
      </c>
      <c r="X33" s="25" t="inlineStr">
        <is>
          <t>Processing Fee</t>
        </is>
      </c>
      <c r="Y33" s="59">
        <f>SUM(K15:K13765)</f>
        <v/>
      </c>
    </row>
    <row r="34" ht="24.75" customHeight="1" s="48">
      <c r="A34" s="11" t="n"/>
      <c r="B34" s="14" t="n"/>
      <c r="C34" s="28" t="n">
        <v>20</v>
      </c>
      <c r="D34" s="25" t="inlineStr">
        <is>
          <t>Project 20</t>
        </is>
      </c>
      <c r="E34" s="26" t="n">
        <v>45269</v>
      </c>
      <c r="F34" s="60" t="n">
        <v>2008</v>
      </c>
      <c r="G34" s="59" t="n">
        <v>208</v>
      </c>
      <c r="H34" s="59" t="n">
        <v>123</v>
      </c>
      <c r="I34" s="59" t="n">
        <v>208</v>
      </c>
      <c r="J34" s="59" t="n">
        <v>118</v>
      </c>
      <c r="K34" s="59" t="n">
        <v>208</v>
      </c>
      <c r="L34" s="59" t="n">
        <v>158</v>
      </c>
      <c r="M34" s="59" t="n">
        <v>133</v>
      </c>
      <c r="N34" s="59">
        <f>SUM(G34:M34)</f>
        <v/>
      </c>
      <c r="O34" s="36">
        <f>IF(D34="","",(F34-N34)/F34)</f>
        <v/>
      </c>
      <c r="P34" s="15" t="n"/>
      <c r="Q34" s="12" t="n"/>
      <c r="R34" s="15" t="n"/>
      <c r="S34" s="37" t="inlineStr">
        <is>
          <t>Other Expenses</t>
        </is>
      </c>
      <c r="T34" s="61">
        <f>_xlfn.IFERROR(VLOOKUP($T$25,$D$15:$O$13765,10,FALSE),"")</f>
        <v/>
      </c>
      <c r="U34" s="14" t="n"/>
      <c r="V34" s="11" t="n"/>
      <c r="W34" s="6">
        <f>IF(X34="","",RANK(Y34,$Y$29:$Y$35,0))</f>
        <v/>
      </c>
      <c r="X34" s="25" t="inlineStr">
        <is>
          <t>Travel expenses</t>
        </is>
      </c>
      <c r="Y34" s="59">
        <f>SUM(L15:L13765)</f>
        <v/>
      </c>
    </row>
    <row r="35" ht="24.75" customHeight="1" s="48">
      <c r="A35" s="11" t="n"/>
      <c r="B35" s="14" t="n"/>
      <c r="C35" s="28" t="n">
        <v>21</v>
      </c>
      <c r="D35" s="25" t="inlineStr">
        <is>
          <t>Project 21</t>
        </is>
      </c>
      <c r="E35" s="26" t="n">
        <v>45270</v>
      </c>
      <c r="F35" s="60" t="n">
        <v>2009</v>
      </c>
      <c r="G35" s="59" t="n">
        <v>209</v>
      </c>
      <c r="H35" s="59" t="n">
        <v>124</v>
      </c>
      <c r="I35" s="59" t="n">
        <v>209</v>
      </c>
      <c r="J35" s="59" t="n">
        <v>119</v>
      </c>
      <c r="K35" s="59" t="n">
        <v>209</v>
      </c>
      <c r="L35" s="59" t="n">
        <v>159</v>
      </c>
      <c r="M35" s="59" t="n">
        <v>134</v>
      </c>
      <c r="N35" s="59">
        <f>SUM(G35:M35)</f>
        <v/>
      </c>
      <c r="O35" s="36">
        <f>IF(D35="","",(F35-N35)/F35)</f>
        <v/>
      </c>
      <c r="P35" s="15" t="n"/>
      <c r="Q35" s="12" t="n"/>
      <c r="R35" s="15" t="n"/>
      <c r="S35" s="37" t="inlineStr">
        <is>
          <t>Total Cost</t>
        </is>
      </c>
      <c r="T35" s="61">
        <f>_xlfn.IFERROR(VLOOKUP($T$25,$D$15:$O$13765,11,FALSE),"")</f>
        <v/>
      </c>
      <c r="U35" s="14" t="n"/>
      <c r="V35" s="11" t="n"/>
      <c r="W35" s="6">
        <f>IF(X35="","",RANK(Y35,$Y$29:$Y$35,0))</f>
        <v/>
      </c>
      <c r="X35" s="25" t="inlineStr">
        <is>
          <t>Other Expenses</t>
        </is>
      </c>
      <c r="Y35" s="59">
        <f>SUM(M15:M13765)</f>
        <v/>
      </c>
    </row>
    <row r="36" ht="24.75" customHeight="1" s="48">
      <c r="A36" s="11" t="n"/>
      <c r="B36" s="14" t="n"/>
      <c r="C36" s="28" t="n">
        <v>22</v>
      </c>
      <c r="D36" s="25" t="inlineStr">
        <is>
          <t>Project 22</t>
        </is>
      </c>
      <c r="E36" s="26" t="n">
        <v>45271</v>
      </c>
      <c r="F36" s="60" t="n">
        <v>2010</v>
      </c>
      <c r="G36" s="59" t="n">
        <v>210</v>
      </c>
      <c r="H36" s="59" t="n">
        <v>125</v>
      </c>
      <c r="I36" s="59" t="n">
        <v>210</v>
      </c>
      <c r="J36" s="59" t="n">
        <v>120</v>
      </c>
      <c r="K36" s="59" t="n">
        <v>210</v>
      </c>
      <c r="L36" s="59" t="n">
        <v>160</v>
      </c>
      <c r="M36" s="59" t="n">
        <v>135</v>
      </c>
      <c r="N36" s="59">
        <f>SUM(G36:M36)</f>
        <v/>
      </c>
      <c r="O36" s="36">
        <f>IF(D36="","",(F36-N36)/F36)</f>
        <v/>
      </c>
      <c r="P36" s="15" t="n"/>
      <c r="Q36" s="12" t="n"/>
      <c r="R36" s="15" t="n"/>
      <c r="S36" s="37" t="inlineStr">
        <is>
          <t>Project Gross Profit Margin</t>
        </is>
      </c>
      <c r="T36" s="40">
        <f>_xlfn.IFERROR(VLOOKUP($T$25,$D$15:$O$13765,12,FALSE),"")</f>
        <v/>
      </c>
      <c r="U36" s="14" t="n"/>
      <c r="V36" s="11" t="n"/>
    </row>
    <row r="37" ht="24.75" customHeight="1" s="48">
      <c r="A37" s="11" t="n"/>
      <c r="B37" s="14" t="n"/>
      <c r="C37" s="28" t="n">
        <v>23</v>
      </c>
      <c r="D37" s="25" t="inlineStr">
        <is>
          <t>Project 23</t>
        </is>
      </c>
      <c r="E37" s="26" t="n">
        <v>45272</v>
      </c>
      <c r="F37" s="60" t="n">
        <v>2011</v>
      </c>
      <c r="G37" s="59" t="n">
        <v>211</v>
      </c>
      <c r="H37" s="59" t="n">
        <v>126</v>
      </c>
      <c r="I37" s="59" t="n">
        <v>211</v>
      </c>
      <c r="J37" s="59" t="n">
        <v>121</v>
      </c>
      <c r="K37" s="59" t="n">
        <v>211</v>
      </c>
      <c r="L37" s="59" t="n">
        <v>161</v>
      </c>
      <c r="M37" s="59" t="n">
        <v>136</v>
      </c>
      <c r="N37" s="59">
        <f>SUM(G37:M37)</f>
        <v/>
      </c>
      <c r="O37" s="36">
        <f>IF(D37="","",(F37-N37)/F37)</f>
        <v/>
      </c>
      <c r="P37" s="15" t="n"/>
      <c r="Q37" s="12" t="n"/>
      <c r="R37" s="15" t="n"/>
      <c r="S37" s="15" t="n"/>
      <c r="T37" s="15" t="n"/>
      <c r="U37" s="14" t="n"/>
      <c r="V37" s="11" t="n"/>
      <c r="X37" s="57" t="inlineStr">
        <is>
          <t>Project Name</t>
        </is>
      </c>
      <c r="Y37" s="57" t="inlineStr">
        <is>
          <t>Project Cost</t>
        </is>
      </c>
    </row>
    <row r="38" ht="24.75" customHeight="1" s="48">
      <c r="A38" s="11" t="n"/>
      <c r="B38" s="14" t="n"/>
      <c r="C38" s="28" t="n">
        <v>24</v>
      </c>
      <c r="D38" s="25" t="inlineStr">
        <is>
          <t>Project 24</t>
        </is>
      </c>
      <c r="E38" s="26" t="n">
        <v>45273</v>
      </c>
      <c r="F38" s="60" t="n">
        <v>2012</v>
      </c>
      <c r="G38" s="59" t="n">
        <v>212</v>
      </c>
      <c r="H38" s="59" t="n">
        <v>127</v>
      </c>
      <c r="I38" s="59" t="n">
        <v>212</v>
      </c>
      <c r="J38" s="59" t="n">
        <v>122</v>
      </c>
      <c r="K38" s="59" t="n">
        <v>212</v>
      </c>
      <c r="L38" s="59" t="n">
        <v>162</v>
      </c>
      <c r="M38" s="59" t="n">
        <v>137</v>
      </c>
      <c r="N38" s="59">
        <f>SUM(G38:M38)</f>
        <v/>
      </c>
      <c r="O38" s="36">
        <f>IF(D38="","",(F38-N38)/F38)</f>
        <v/>
      </c>
      <c r="P38" s="15" t="n"/>
      <c r="Q38" s="12" t="n"/>
      <c r="R38" s="15" t="n"/>
      <c r="S38" s="15" t="n"/>
      <c r="T38" s="15" t="n"/>
      <c r="U38" s="14" t="n"/>
      <c r="V38" s="11" t="n"/>
      <c r="X38" s="25">
        <f>_xlfn.IFERROR(VLOOKUP(1,$W$29:$X$35,2,0),"")</f>
        <v/>
      </c>
      <c r="Y38" s="59">
        <f>_xlfn.IFERROR(VLOOKUP(X38,$X$29:$Y$35,2,0),"")</f>
        <v/>
      </c>
      <c r="Z38" s="42">
        <f>Y38/SUM($Y$29:$Y$35)</f>
        <v/>
      </c>
      <c r="AA38" s="43">
        <f>1-Z38</f>
        <v/>
      </c>
    </row>
    <row r="39" ht="24.75" customHeight="1" s="48">
      <c r="A39" s="11" t="n"/>
      <c r="B39" s="14" t="n"/>
      <c r="C39" s="28" t="n">
        <v>25</v>
      </c>
      <c r="D39" s="25" t="inlineStr">
        <is>
          <t>Project 25</t>
        </is>
      </c>
      <c r="E39" s="26" t="n">
        <v>45274</v>
      </c>
      <c r="F39" s="60" t="n">
        <v>2013</v>
      </c>
      <c r="G39" s="59" t="n">
        <v>213</v>
      </c>
      <c r="H39" s="59" t="n">
        <v>128</v>
      </c>
      <c r="I39" s="59" t="n">
        <v>213</v>
      </c>
      <c r="J39" s="59" t="n">
        <v>123</v>
      </c>
      <c r="K39" s="59" t="n">
        <v>213</v>
      </c>
      <c r="L39" s="59" t="n">
        <v>163</v>
      </c>
      <c r="M39" s="59" t="n">
        <v>138</v>
      </c>
      <c r="N39" s="59">
        <f>SUM(G39:M39)</f>
        <v/>
      </c>
      <c r="O39" s="36">
        <f>IF(D39="","",(F39-N39)/F39)</f>
        <v/>
      </c>
      <c r="P39" s="15" t="n"/>
      <c r="Q39" s="12" t="n"/>
      <c r="R39" s="15" t="n"/>
      <c r="S39" s="15" t="n"/>
      <c r="T39" s="15" t="n"/>
      <c r="U39" s="14" t="n"/>
      <c r="V39" s="11" t="n"/>
      <c r="X39" s="25">
        <f>_xlfn.IFERROR(VLOOKUP(2,$W$29:$X$35,2,0),"")</f>
        <v/>
      </c>
      <c r="Y39" s="59">
        <f>_xlfn.IFERROR(VLOOKUP(X39,$X$29:$Y$35,2,0),"")</f>
        <v/>
      </c>
      <c r="Z39" s="42">
        <f>Y39/SUM($Y$29:$Y$35)</f>
        <v/>
      </c>
      <c r="AA39" s="43">
        <f>1-Z39</f>
        <v/>
      </c>
    </row>
    <row r="40" ht="24.75" customHeight="1" s="48">
      <c r="A40" s="11" t="n"/>
      <c r="B40" s="14" t="n"/>
      <c r="C40" s="28" t="n">
        <v>26</v>
      </c>
      <c r="D40" s="25" t="inlineStr">
        <is>
          <t>Project 26</t>
        </is>
      </c>
      <c r="E40" s="26" t="n">
        <v>45275</v>
      </c>
      <c r="F40" s="60" t="n">
        <v>2014</v>
      </c>
      <c r="G40" s="59" t="n">
        <v>214</v>
      </c>
      <c r="H40" s="59" t="n">
        <v>129</v>
      </c>
      <c r="I40" s="59" t="n">
        <v>214</v>
      </c>
      <c r="J40" s="59" t="n">
        <v>124</v>
      </c>
      <c r="K40" s="59" t="n">
        <v>214</v>
      </c>
      <c r="L40" s="59" t="n">
        <v>164</v>
      </c>
      <c r="M40" s="59" t="n">
        <v>139</v>
      </c>
      <c r="N40" s="59">
        <f>SUM(G40:M40)</f>
        <v/>
      </c>
      <c r="O40" s="36">
        <f>IF(D40="","",(F40-N40)/F40)</f>
        <v/>
      </c>
      <c r="P40" s="15" t="n"/>
      <c r="Q40" s="12" t="n"/>
      <c r="R40" s="15" t="n"/>
      <c r="S40" s="15" t="n"/>
      <c r="T40" s="15" t="n"/>
      <c r="U40" s="14" t="n"/>
      <c r="V40" s="11" t="n"/>
      <c r="X40" s="25">
        <f>_xlfn.IFERROR(VLOOKUP(3,$W$29:$X$35,2,0),"")</f>
        <v/>
      </c>
      <c r="Y40" s="59">
        <f>_xlfn.IFERROR(VLOOKUP(X40,$X$29:$Y$35,2,0),"")</f>
        <v/>
      </c>
      <c r="Z40" s="42">
        <f>Y40/SUM($Y$29:$Y$35)</f>
        <v/>
      </c>
      <c r="AA40" s="43">
        <f>1-Z40</f>
        <v/>
      </c>
    </row>
  </sheetData>
  <mergeCells count="4">
    <mergeCell ref="D2:F2"/>
    <mergeCell ref="C13:F13"/>
    <mergeCell ref="G13:N13"/>
    <mergeCell ref="O13:O14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陈娜娜</dc:creator>
  <dcterms:created xsi:type="dcterms:W3CDTF">2023-07-03T16:26:00Z</dcterms:created>
  <dcterms:modified xsi:type="dcterms:W3CDTF">2025-07-08T02:31:32Z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599C083E55DF4F46BFFDE5BDAAD3C605_11</vt:lpwstr>
  </property>
  <property name="KSOProductBuildVer" fmtid="{D5CDD505-2E9C-101B-9397-08002B2CF9AE}" pid="3">
    <vt:lpwstr>2052-12.1.0.16388</vt:lpwstr>
  </property>
</Properties>
</file>