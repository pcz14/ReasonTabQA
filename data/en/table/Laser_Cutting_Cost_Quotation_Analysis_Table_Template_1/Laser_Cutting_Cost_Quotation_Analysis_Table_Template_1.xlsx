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Sheet1" sheetId="1" state="visible" r:id="rId1"/>
  </sheets>
  <definedNames>
    <definedName name="Ecost">'Sheet1'!$E$27</definedName>
    <definedName name="Lcost">'Sheet1'!$F$21</definedName>
    <definedName name="Lenscost">'Sheet1'!$E$29</definedName>
    <definedName name="Llife">'Sheet1'!$F$29</definedName>
    <definedName name="Ncost">'Sheet1'!$F$25</definedName>
    <definedName name="Ocost">'Sheet1'!$F$24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.00_ "/>
    <numFmt numFmtId="166" formatCode="#,##0.00_ "/>
    <numFmt numFmtId="167" formatCode="0.0000"/>
  </numFmts>
  <fonts count="25">
    <font>
      <name val="等线"/>
      <family val="2"/>
      <color theme="1"/>
      <sz val="11"/>
      <scheme val="minor"/>
    </font>
    <font>
      <name val="Arial"/>
      <family val="2"/>
      <sz val="10"/>
    </font>
    <font>
      <name val="楷体_GB2312"/>
      <family val="2"/>
      <b val="1"/>
      <sz val="24"/>
    </font>
    <font>
      <name val="华文中宋"/>
      <family val="2"/>
      <color theme="1"/>
      <sz val="12"/>
    </font>
    <font>
      <name val="华文中宋"/>
      <family val="2"/>
      <sz val="12"/>
    </font>
    <font>
      <name val="华文中宋"/>
      <family val="2"/>
      <color indexed="10"/>
      <sz val="12"/>
    </font>
    <font>
      <name val="等线"/>
      <family val="2"/>
      <color rgb="FF0000FF"/>
      <sz val="11"/>
      <u val="single"/>
      <scheme val="minor"/>
    </font>
    <font>
      <name val="等线"/>
      <family val="2"/>
      <color rgb="FF800080"/>
      <sz val="11"/>
      <u val="single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3"/>
      <sz val="18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b val="1"/>
      <color rgb="FFFFFFFF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6500"/>
      <sz val="11"/>
      <scheme val="minor"/>
    </font>
    <font>
      <name val="等线"/>
      <family val="2"/>
      <color theme="0"/>
      <sz val="11"/>
      <scheme val="minor"/>
    </font>
    <font>
      <name val="华文中宋"/>
      <family val="2"/>
      <sz val="12"/>
      <vertAlign val="sub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thin"/>
      <top style="medium"/>
      <bottom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 style="thin">
        <color indexed="8"/>
      </left>
      <right style="medium">
        <color indexed="8"/>
      </right>
      <top style="medium"/>
      <bottom/>
    </border>
    <border>
      <left style="thin"/>
      <right style="medium"/>
      <top style="medium"/>
      <bottom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/>
      <right style="medium"/>
      <top style="medium"/>
      <bottom/>
    </border>
    <border>
      <left/>
      <right style="medium"/>
      <top/>
      <bottom/>
    </border>
    <border>
      <left/>
      <right style="medium"/>
      <top/>
      <bottom style="medium"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29" borderId="9" applyAlignment="1" pivotButton="0" quotePrefix="0" xfId="0">
      <alignment horizontal="center" vertical="center" wrapText="1"/>
    </xf>
    <xf numFmtId="0" fontId="3" fillId="29" borderId="10" applyAlignment="1" pivotButton="0" quotePrefix="0" xfId="0">
      <alignment horizontal="center" vertical="center" wrapText="1"/>
    </xf>
    <xf numFmtId="0" fontId="3" fillId="29" borderId="11" applyAlignment="1" pivotButton="0" quotePrefix="0" xfId="0">
      <alignment horizontal="center" vertical="center" wrapText="1"/>
    </xf>
    <xf numFmtId="0" fontId="3" fillId="29" borderId="12" applyAlignment="1" applyProtection="1" pivotButton="0" quotePrefix="0" xfId="0">
      <alignment horizontal="center" vertical="center"/>
      <protection locked="0" hidden="0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29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167" fontId="4" fillId="0" borderId="13" applyAlignment="1" applyProtection="1" pivotButton="0" quotePrefix="0" xfId="0">
      <alignment horizontal="center"/>
      <protection locked="1" hidden="1"/>
    </xf>
    <xf numFmtId="0" fontId="3" fillId="0" borderId="13" applyAlignment="1" pivotButton="0" quotePrefix="0" xfId="0">
      <alignment vertical="center"/>
    </xf>
    <xf numFmtId="0" fontId="5" fillId="29" borderId="12" applyAlignment="1" pivotButton="0" quotePrefix="0" xfId="0">
      <alignment horizontal="center" vertical="center"/>
    </xf>
    <xf numFmtId="0" fontId="3" fillId="0" borderId="13" applyAlignment="1" pivotButton="0" quotePrefix="0" xfId="0">
      <alignment vertical="center"/>
    </xf>
    <xf numFmtId="0" fontId="5" fillId="29" borderId="15" applyAlignment="1" pivotButton="0" quotePrefix="0" xfId="0">
      <alignment horizontal="center" vertical="center"/>
    </xf>
    <xf numFmtId="0" fontId="3" fillId="0" borderId="16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167" fontId="4" fillId="0" borderId="16" applyAlignment="1" applyProtection="1" pivotButton="0" quotePrefix="0" xfId="0">
      <alignment horizontal="center"/>
      <protection locked="1" hidden="1"/>
    </xf>
    <xf numFmtId="0" fontId="3" fillId="0" borderId="1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center" vertical="center"/>
    </xf>
    <xf numFmtId="164" fontId="3" fillId="29" borderId="11" applyAlignment="1" pivotButton="0" quotePrefix="0" xfId="0">
      <alignment horizontal="center" vertical="center" wrapText="1"/>
    </xf>
    <xf numFmtId="165" fontId="3" fillId="29" borderId="22" applyAlignment="1" pivotButton="0" quotePrefix="0" xfId="0">
      <alignment horizontal="center" vertical="center" wrapText="1"/>
    </xf>
    <xf numFmtId="166" fontId="3" fillId="29" borderId="2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 wrapText="1"/>
    </xf>
    <xf numFmtId="165" fontId="3" fillId="0" borderId="13" applyAlignment="1" pivotButton="0" quotePrefix="0" xfId="0">
      <alignment horizontal="center" vertical="center" wrapText="1"/>
    </xf>
    <xf numFmtId="166" fontId="3" fillId="0" borderId="24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/>
    </xf>
    <xf numFmtId="165" fontId="3" fillId="0" borderId="13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5" fontId="3" fillId="0" borderId="16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165" fontId="3" fillId="0" borderId="18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6" fontId="3" fillId="0" borderId="27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27" applyAlignment="1" pivotButton="0" quotePrefix="0" xfId="0">
      <alignment vertical="center"/>
    </xf>
    <xf numFmtId="164" fontId="3" fillId="0" borderId="21" applyAlignment="1" pivotButton="0" quotePrefix="0" xfId="0">
      <alignment vertical="center"/>
    </xf>
    <xf numFmtId="165" fontId="3" fillId="0" borderId="21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3" fillId="29" borderId="11" applyAlignment="1" pivotButton="0" quotePrefix="0" xfId="0">
      <alignment horizontal="center" vertical="center" wrapText="1"/>
    </xf>
    <xf numFmtId="165" fontId="3" fillId="29" borderId="22" applyAlignment="1" pivotButton="0" quotePrefix="0" xfId="0">
      <alignment horizontal="center" vertical="center" wrapText="1"/>
    </xf>
    <xf numFmtId="166" fontId="3" fillId="29" borderId="2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 wrapText="1"/>
    </xf>
    <xf numFmtId="165" fontId="3" fillId="0" borderId="13" applyAlignment="1" pivotButton="0" quotePrefix="0" xfId="0">
      <alignment horizontal="center" vertical="center" wrapText="1"/>
    </xf>
    <xf numFmtId="166" fontId="3" fillId="0" borderId="24" applyAlignment="1" pivotButton="0" quotePrefix="0" xfId="0">
      <alignment horizontal="center" vertical="center" wrapText="1"/>
    </xf>
    <xf numFmtId="0" fontId="0" fillId="0" borderId="31" applyProtection="1" pivotButton="0" quotePrefix="0" xfId="0">
      <protection locked="0" hidden="0"/>
    </xf>
    <xf numFmtId="167" fontId="4" fillId="0" borderId="13" applyAlignment="1" applyProtection="1" pivotButton="0" quotePrefix="0" xfId="0">
      <alignment horizontal="center"/>
      <protection locked="1" hidden="1"/>
    </xf>
    <xf numFmtId="164" fontId="3" fillId="0" borderId="13" applyAlignment="1" pivotButton="0" quotePrefix="0" xfId="0">
      <alignment horizontal="center" vertical="center"/>
    </xf>
    <xf numFmtId="165" fontId="3" fillId="0" borderId="1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4" pivotButton="0" quotePrefix="0" xfId="0"/>
    <xf numFmtId="167" fontId="4" fillId="0" borderId="16" applyAlignment="1" applyProtection="1" pivotButton="0" quotePrefix="0" xfId="0">
      <alignment horizontal="center"/>
      <protection locked="1" hidden="1"/>
    </xf>
    <xf numFmtId="164" fontId="3" fillId="0" borderId="16" applyAlignment="1" pivotButton="0" quotePrefix="0" xfId="0">
      <alignment horizontal="center" vertical="center"/>
    </xf>
    <xf numFmtId="165" fontId="3" fillId="0" borderId="16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165" fontId="3" fillId="0" borderId="18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27" applyAlignment="1" pivotButton="0" quotePrefix="0" xfId="0">
      <alignment vertical="center"/>
    </xf>
    <xf numFmtId="164" fontId="3" fillId="0" borderId="21" applyAlignment="1" pivotButton="0" quotePrefix="0" xfId="0">
      <alignment vertical="center"/>
    </xf>
    <xf numFmtId="165" fontId="3" fillId="0" borderId="21" applyAlignment="1" pivotButton="0" quotePrefix="0" xfId="0">
      <alignment vertical="center"/>
    </xf>
    <xf numFmtId="166" fontId="3" fillId="0" borderId="28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4"/>
  <sheetViews>
    <sheetView showGridLines="0" topLeftCell="A1" workbookViewId="0">
      <selection activeCell="B1" sqref="B1:L35"/>
    </sheetView>
  </sheetViews>
  <sheetFormatPr baseColWidth="8" defaultColWidth="9.00390625" defaultRowHeight="14.25"/>
  <cols>
    <col width="4.00390625" customWidth="1" min="1" max="1"/>
    <col width="8.375" customWidth="1" min="2" max="3"/>
    <col width="14.25390625" customWidth="1" min="4" max="4"/>
    <col width="14.75390625" customWidth="1" min="5" max="5"/>
    <col width="10.875" customWidth="1" min="6" max="6"/>
    <col width="11.375" customWidth="1" min="7" max="7"/>
    <col width="5.75390625" customWidth="1" min="8" max="8"/>
    <col width="9.875" customWidth="1" min="9" max="9"/>
    <col width="8.875" customWidth="1" style="63" min="10" max="10"/>
    <col width="13.375" customWidth="1" style="64" min="11" max="11"/>
    <col width="11.00390625" customWidth="1" style="65" min="12" max="12"/>
    <col width="8.375" customWidth="1" min="258" max="258"/>
    <col width="5.875" customWidth="1" min="259" max="259"/>
    <col width="14.25390625" customWidth="1" min="260" max="260"/>
    <col width="14.75390625" customWidth="1" min="261" max="261"/>
    <col width="10.875" customWidth="1" min="262" max="262"/>
    <col width="11.375" customWidth="1" min="263" max="263"/>
    <col width="5.75390625" customWidth="1" min="264" max="264"/>
    <col width="9.875" customWidth="1" min="265" max="265"/>
    <col width="8.875" customWidth="1" min="266" max="266"/>
    <col width="13.375" customWidth="1" min="267" max="267"/>
    <col width="11.00390625" customWidth="1" min="268" max="268"/>
    <col width="8.375" customWidth="1" min="514" max="514"/>
    <col width="5.875" customWidth="1" min="515" max="515"/>
    <col width="14.25390625" customWidth="1" min="516" max="516"/>
    <col width="14.75390625" customWidth="1" min="517" max="517"/>
    <col width="10.875" customWidth="1" min="518" max="518"/>
    <col width="11.375" customWidth="1" min="519" max="519"/>
    <col width="5.75390625" customWidth="1" min="520" max="520"/>
    <col width="9.875" customWidth="1" min="521" max="521"/>
    <col width="8.875" customWidth="1" min="522" max="522"/>
    <col width="13.375" customWidth="1" min="523" max="523"/>
    <col width="11.00390625" customWidth="1" min="524" max="524"/>
    <col width="8.375" customWidth="1" min="770" max="770"/>
    <col width="5.875" customWidth="1" min="771" max="771"/>
    <col width="14.25390625" customWidth="1" min="772" max="772"/>
    <col width="14.75390625" customWidth="1" min="773" max="773"/>
    <col width="10.875" customWidth="1" min="774" max="774"/>
    <col width="11.375" customWidth="1" min="775" max="775"/>
    <col width="5.75390625" customWidth="1" min="776" max="776"/>
    <col width="9.875" customWidth="1" min="777" max="777"/>
    <col width="8.875" customWidth="1" min="778" max="778"/>
    <col width="13.375" customWidth="1" min="779" max="779"/>
    <col width="11.00390625" customWidth="1" min="780" max="780"/>
    <col width="8.375" customWidth="1" min="1026" max="1026"/>
    <col width="5.875" customWidth="1" min="1027" max="1027"/>
    <col width="14.25390625" customWidth="1" min="1028" max="1028"/>
    <col width="14.75390625" customWidth="1" min="1029" max="1029"/>
    <col width="10.875" customWidth="1" min="1030" max="1030"/>
    <col width="11.375" customWidth="1" min="1031" max="1031"/>
    <col width="5.75390625" customWidth="1" min="1032" max="1032"/>
    <col width="9.875" customWidth="1" min="1033" max="1033"/>
    <col width="8.875" customWidth="1" min="1034" max="1034"/>
    <col width="13.375" customWidth="1" min="1035" max="1035"/>
    <col width="11.00390625" customWidth="1" min="1036" max="1036"/>
    <col width="8.375" customWidth="1" min="1282" max="1282"/>
    <col width="5.875" customWidth="1" min="1283" max="1283"/>
    <col width="14.25390625" customWidth="1" min="1284" max="1284"/>
    <col width="14.75390625" customWidth="1" min="1285" max="1285"/>
    <col width="10.875" customWidth="1" min="1286" max="1286"/>
    <col width="11.375" customWidth="1" min="1287" max="1287"/>
    <col width="5.75390625" customWidth="1" min="1288" max="1288"/>
    <col width="9.875" customWidth="1" min="1289" max="1289"/>
    <col width="8.875" customWidth="1" min="1290" max="1290"/>
    <col width="13.375" customWidth="1" min="1291" max="1291"/>
    <col width="11.00390625" customWidth="1" min="1292" max="1292"/>
    <col width="8.375" customWidth="1" min="1538" max="1538"/>
    <col width="5.875" customWidth="1" min="1539" max="1539"/>
    <col width="14.25390625" customWidth="1" min="1540" max="1540"/>
    <col width="14.75390625" customWidth="1" min="1541" max="1541"/>
    <col width="10.875" customWidth="1" min="1542" max="1542"/>
    <col width="11.375" customWidth="1" min="1543" max="1543"/>
    <col width="5.75390625" customWidth="1" min="1544" max="1544"/>
    <col width="9.875" customWidth="1" min="1545" max="1545"/>
    <col width="8.875" customWidth="1" min="1546" max="1546"/>
    <col width="13.375" customWidth="1" min="1547" max="1547"/>
    <col width="11.00390625" customWidth="1" min="1548" max="1548"/>
    <col width="8.375" customWidth="1" min="1794" max="1794"/>
    <col width="5.875" customWidth="1" min="1795" max="1795"/>
    <col width="14.25390625" customWidth="1" min="1796" max="1796"/>
    <col width="14.75390625" customWidth="1" min="1797" max="1797"/>
    <col width="10.875" customWidth="1" min="1798" max="1798"/>
    <col width="11.375" customWidth="1" min="1799" max="1799"/>
    <col width="5.75390625" customWidth="1" min="1800" max="1800"/>
    <col width="9.875" customWidth="1" min="1801" max="1801"/>
    <col width="8.875" customWidth="1" min="1802" max="1802"/>
    <col width="13.375" customWidth="1" min="1803" max="1803"/>
    <col width="11.00390625" customWidth="1" min="1804" max="1804"/>
    <col width="8.375" customWidth="1" min="2050" max="2050"/>
    <col width="5.875" customWidth="1" min="2051" max="2051"/>
    <col width="14.25390625" customWidth="1" min="2052" max="2052"/>
    <col width="14.75390625" customWidth="1" min="2053" max="2053"/>
    <col width="10.875" customWidth="1" min="2054" max="2054"/>
    <col width="11.375" customWidth="1" min="2055" max="2055"/>
    <col width="5.75390625" customWidth="1" min="2056" max="2056"/>
    <col width="9.875" customWidth="1" min="2057" max="2057"/>
    <col width="8.875" customWidth="1" min="2058" max="2058"/>
    <col width="13.375" customWidth="1" min="2059" max="2059"/>
    <col width="11.00390625" customWidth="1" min="2060" max="2060"/>
    <col width="8.375" customWidth="1" min="2306" max="2306"/>
    <col width="5.875" customWidth="1" min="2307" max="2307"/>
    <col width="14.25390625" customWidth="1" min="2308" max="2308"/>
    <col width="14.75390625" customWidth="1" min="2309" max="2309"/>
    <col width="10.875" customWidth="1" min="2310" max="2310"/>
    <col width="11.375" customWidth="1" min="2311" max="2311"/>
    <col width="5.75390625" customWidth="1" min="2312" max="2312"/>
    <col width="9.875" customWidth="1" min="2313" max="2313"/>
    <col width="8.875" customWidth="1" min="2314" max="2314"/>
    <col width="13.375" customWidth="1" min="2315" max="2315"/>
    <col width="11.00390625" customWidth="1" min="2316" max="2316"/>
    <col width="8.375" customWidth="1" min="2562" max="2562"/>
    <col width="5.875" customWidth="1" min="2563" max="2563"/>
    <col width="14.25390625" customWidth="1" min="2564" max="2564"/>
    <col width="14.75390625" customWidth="1" min="2565" max="2565"/>
    <col width="10.875" customWidth="1" min="2566" max="2566"/>
    <col width="11.375" customWidth="1" min="2567" max="2567"/>
    <col width="5.75390625" customWidth="1" min="2568" max="2568"/>
    <col width="9.875" customWidth="1" min="2569" max="2569"/>
    <col width="8.875" customWidth="1" min="2570" max="2570"/>
    <col width="13.375" customWidth="1" min="2571" max="2571"/>
    <col width="11.00390625" customWidth="1" min="2572" max="2572"/>
    <col width="8.375" customWidth="1" min="2818" max="2818"/>
    <col width="5.875" customWidth="1" min="2819" max="2819"/>
    <col width="14.25390625" customWidth="1" min="2820" max="2820"/>
    <col width="14.75390625" customWidth="1" min="2821" max="2821"/>
    <col width="10.875" customWidth="1" min="2822" max="2822"/>
    <col width="11.375" customWidth="1" min="2823" max="2823"/>
    <col width="5.75390625" customWidth="1" min="2824" max="2824"/>
    <col width="9.875" customWidth="1" min="2825" max="2825"/>
    <col width="8.875" customWidth="1" min="2826" max="2826"/>
    <col width="13.375" customWidth="1" min="2827" max="2827"/>
    <col width="11.00390625" customWidth="1" min="2828" max="2828"/>
    <col width="8.375" customWidth="1" min="3074" max="3074"/>
    <col width="5.875" customWidth="1" min="3075" max="3075"/>
    <col width="14.25390625" customWidth="1" min="3076" max="3076"/>
    <col width="14.75390625" customWidth="1" min="3077" max="3077"/>
    <col width="10.875" customWidth="1" min="3078" max="3078"/>
    <col width="11.375" customWidth="1" min="3079" max="3079"/>
    <col width="5.75390625" customWidth="1" min="3080" max="3080"/>
    <col width="9.875" customWidth="1" min="3081" max="3081"/>
    <col width="8.875" customWidth="1" min="3082" max="3082"/>
    <col width="13.375" customWidth="1" min="3083" max="3083"/>
    <col width="11.00390625" customWidth="1" min="3084" max="3084"/>
    <col width="8.375" customWidth="1" min="3330" max="3330"/>
    <col width="5.875" customWidth="1" min="3331" max="3331"/>
    <col width="14.25390625" customWidth="1" min="3332" max="3332"/>
    <col width="14.75390625" customWidth="1" min="3333" max="3333"/>
    <col width="10.875" customWidth="1" min="3334" max="3334"/>
    <col width="11.375" customWidth="1" min="3335" max="3335"/>
    <col width="5.75390625" customWidth="1" min="3336" max="3336"/>
    <col width="9.875" customWidth="1" min="3337" max="3337"/>
    <col width="8.875" customWidth="1" min="3338" max="3338"/>
    <col width="13.375" customWidth="1" min="3339" max="3339"/>
    <col width="11.00390625" customWidth="1" min="3340" max="3340"/>
    <col width="8.375" customWidth="1" min="3586" max="3586"/>
    <col width="5.875" customWidth="1" min="3587" max="3587"/>
    <col width="14.25390625" customWidth="1" min="3588" max="3588"/>
    <col width="14.75390625" customWidth="1" min="3589" max="3589"/>
    <col width="10.875" customWidth="1" min="3590" max="3590"/>
    <col width="11.375" customWidth="1" min="3591" max="3591"/>
    <col width="5.75390625" customWidth="1" min="3592" max="3592"/>
    <col width="9.875" customWidth="1" min="3593" max="3593"/>
    <col width="8.875" customWidth="1" min="3594" max="3594"/>
    <col width="13.375" customWidth="1" min="3595" max="3595"/>
    <col width="11.00390625" customWidth="1" min="3596" max="3596"/>
    <col width="8.375" customWidth="1" min="3842" max="3842"/>
    <col width="5.875" customWidth="1" min="3843" max="3843"/>
    <col width="14.25390625" customWidth="1" min="3844" max="3844"/>
    <col width="14.75390625" customWidth="1" min="3845" max="3845"/>
    <col width="10.875" customWidth="1" min="3846" max="3846"/>
    <col width="11.375" customWidth="1" min="3847" max="3847"/>
    <col width="5.75390625" customWidth="1" min="3848" max="3848"/>
    <col width="9.875" customWidth="1" min="3849" max="3849"/>
    <col width="8.875" customWidth="1" min="3850" max="3850"/>
    <col width="13.375" customWidth="1" min="3851" max="3851"/>
    <col width="11.00390625" customWidth="1" min="3852" max="3852"/>
    <col width="8.375" customWidth="1" min="4098" max="4098"/>
    <col width="5.875" customWidth="1" min="4099" max="4099"/>
    <col width="14.25390625" customWidth="1" min="4100" max="4100"/>
    <col width="14.75390625" customWidth="1" min="4101" max="4101"/>
    <col width="10.875" customWidth="1" min="4102" max="4102"/>
    <col width="11.375" customWidth="1" min="4103" max="4103"/>
    <col width="5.75390625" customWidth="1" min="4104" max="4104"/>
    <col width="9.875" customWidth="1" min="4105" max="4105"/>
    <col width="8.875" customWidth="1" min="4106" max="4106"/>
    <col width="13.375" customWidth="1" min="4107" max="4107"/>
    <col width="11.00390625" customWidth="1" min="4108" max="4108"/>
    <col width="8.375" customWidth="1" min="4354" max="4354"/>
    <col width="5.875" customWidth="1" min="4355" max="4355"/>
    <col width="14.25390625" customWidth="1" min="4356" max="4356"/>
    <col width="14.75390625" customWidth="1" min="4357" max="4357"/>
    <col width="10.875" customWidth="1" min="4358" max="4358"/>
    <col width="11.375" customWidth="1" min="4359" max="4359"/>
    <col width="5.75390625" customWidth="1" min="4360" max="4360"/>
    <col width="9.875" customWidth="1" min="4361" max="4361"/>
    <col width="8.875" customWidth="1" min="4362" max="4362"/>
    <col width="13.375" customWidth="1" min="4363" max="4363"/>
    <col width="11.00390625" customWidth="1" min="4364" max="4364"/>
    <col width="8.375" customWidth="1" min="4610" max="4610"/>
    <col width="5.875" customWidth="1" min="4611" max="4611"/>
    <col width="14.25390625" customWidth="1" min="4612" max="4612"/>
    <col width="14.75390625" customWidth="1" min="4613" max="4613"/>
    <col width="10.875" customWidth="1" min="4614" max="4614"/>
    <col width="11.375" customWidth="1" min="4615" max="4615"/>
    <col width="5.75390625" customWidth="1" min="4616" max="4616"/>
    <col width="9.875" customWidth="1" min="4617" max="4617"/>
    <col width="8.875" customWidth="1" min="4618" max="4618"/>
    <col width="13.375" customWidth="1" min="4619" max="4619"/>
    <col width="11.00390625" customWidth="1" min="4620" max="4620"/>
    <col width="8.375" customWidth="1" min="4866" max="4866"/>
    <col width="5.875" customWidth="1" min="4867" max="4867"/>
    <col width="14.25390625" customWidth="1" min="4868" max="4868"/>
    <col width="14.75390625" customWidth="1" min="4869" max="4869"/>
    <col width="10.875" customWidth="1" min="4870" max="4870"/>
    <col width="11.375" customWidth="1" min="4871" max="4871"/>
    <col width="5.75390625" customWidth="1" min="4872" max="4872"/>
    <col width="9.875" customWidth="1" min="4873" max="4873"/>
    <col width="8.875" customWidth="1" min="4874" max="4874"/>
    <col width="13.375" customWidth="1" min="4875" max="4875"/>
    <col width="11.00390625" customWidth="1" min="4876" max="4876"/>
    <col width="8.375" customWidth="1" min="5122" max="5122"/>
    <col width="5.875" customWidth="1" min="5123" max="5123"/>
    <col width="14.25390625" customWidth="1" min="5124" max="5124"/>
    <col width="14.75390625" customWidth="1" min="5125" max="5125"/>
    <col width="10.875" customWidth="1" min="5126" max="5126"/>
    <col width="11.375" customWidth="1" min="5127" max="5127"/>
    <col width="5.75390625" customWidth="1" min="5128" max="5128"/>
    <col width="9.875" customWidth="1" min="5129" max="5129"/>
    <col width="8.875" customWidth="1" min="5130" max="5130"/>
    <col width="13.375" customWidth="1" min="5131" max="5131"/>
    <col width="11.00390625" customWidth="1" min="5132" max="5132"/>
    <col width="8.375" customWidth="1" min="5378" max="5378"/>
    <col width="5.875" customWidth="1" min="5379" max="5379"/>
    <col width="14.25390625" customWidth="1" min="5380" max="5380"/>
    <col width="14.75390625" customWidth="1" min="5381" max="5381"/>
    <col width="10.875" customWidth="1" min="5382" max="5382"/>
    <col width="11.375" customWidth="1" min="5383" max="5383"/>
    <col width="5.75390625" customWidth="1" min="5384" max="5384"/>
    <col width="9.875" customWidth="1" min="5385" max="5385"/>
    <col width="8.875" customWidth="1" min="5386" max="5386"/>
    <col width="13.375" customWidth="1" min="5387" max="5387"/>
    <col width="11.00390625" customWidth="1" min="5388" max="5388"/>
    <col width="8.375" customWidth="1" min="5634" max="5634"/>
    <col width="5.875" customWidth="1" min="5635" max="5635"/>
    <col width="14.25390625" customWidth="1" min="5636" max="5636"/>
    <col width="14.75390625" customWidth="1" min="5637" max="5637"/>
    <col width="10.875" customWidth="1" min="5638" max="5638"/>
    <col width="11.375" customWidth="1" min="5639" max="5639"/>
    <col width="5.75390625" customWidth="1" min="5640" max="5640"/>
    <col width="9.875" customWidth="1" min="5641" max="5641"/>
    <col width="8.875" customWidth="1" min="5642" max="5642"/>
    <col width="13.375" customWidth="1" min="5643" max="5643"/>
    <col width="11.00390625" customWidth="1" min="5644" max="5644"/>
    <col width="8.375" customWidth="1" min="5890" max="5890"/>
    <col width="5.875" customWidth="1" min="5891" max="5891"/>
    <col width="14.25390625" customWidth="1" min="5892" max="5892"/>
    <col width="14.75390625" customWidth="1" min="5893" max="5893"/>
    <col width="10.875" customWidth="1" min="5894" max="5894"/>
    <col width="11.375" customWidth="1" min="5895" max="5895"/>
    <col width="5.75390625" customWidth="1" min="5896" max="5896"/>
    <col width="9.875" customWidth="1" min="5897" max="5897"/>
    <col width="8.875" customWidth="1" min="5898" max="5898"/>
    <col width="13.375" customWidth="1" min="5899" max="5899"/>
    <col width="11.00390625" customWidth="1" min="5900" max="5900"/>
    <col width="8.375" customWidth="1" min="6146" max="6146"/>
    <col width="5.875" customWidth="1" min="6147" max="6147"/>
    <col width="14.25390625" customWidth="1" min="6148" max="6148"/>
    <col width="14.75390625" customWidth="1" min="6149" max="6149"/>
    <col width="10.875" customWidth="1" min="6150" max="6150"/>
    <col width="11.375" customWidth="1" min="6151" max="6151"/>
    <col width="5.75390625" customWidth="1" min="6152" max="6152"/>
    <col width="9.875" customWidth="1" min="6153" max="6153"/>
    <col width="8.875" customWidth="1" min="6154" max="6154"/>
    <col width="13.375" customWidth="1" min="6155" max="6155"/>
    <col width="11.00390625" customWidth="1" min="6156" max="6156"/>
    <col width="8.375" customWidth="1" min="6402" max="6402"/>
    <col width="5.875" customWidth="1" min="6403" max="6403"/>
    <col width="14.25390625" customWidth="1" min="6404" max="6404"/>
    <col width="14.75390625" customWidth="1" min="6405" max="6405"/>
    <col width="10.875" customWidth="1" min="6406" max="6406"/>
    <col width="11.375" customWidth="1" min="6407" max="6407"/>
    <col width="5.75390625" customWidth="1" min="6408" max="6408"/>
    <col width="9.875" customWidth="1" min="6409" max="6409"/>
    <col width="8.875" customWidth="1" min="6410" max="6410"/>
    <col width="13.375" customWidth="1" min="6411" max="6411"/>
    <col width="11.00390625" customWidth="1" min="6412" max="6412"/>
    <col width="8.375" customWidth="1" min="6658" max="6658"/>
    <col width="5.875" customWidth="1" min="6659" max="6659"/>
    <col width="14.25390625" customWidth="1" min="6660" max="6660"/>
    <col width="14.75390625" customWidth="1" min="6661" max="6661"/>
    <col width="10.875" customWidth="1" min="6662" max="6662"/>
    <col width="11.375" customWidth="1" min="6663" max="6663"/>
    <col width="5.75390625" customWidth="1" min="6664" max="6664"/>
    <col width="9.875" customWidth="1" min="6665" max="6665"/>
    <col width="8.875" customWidth="1" min="6666" max="6666"/>
    <col width="13.375" customWidth="1" min="6667" max="6667"/>
    <col width="11.00390625" customWidth="1" min="6668" max="6668"/>
    <col width="8.375" customWidth="1" min="6914" max="6914"/>
    <col width="5.875" customWidth="1" min="6915" max="6915"/>
    <col width="14.25390625" customWidth="1" min="6916" max="6916"/>
    <col width="14.75390625" customWidth="1" min="6917" max="6917"/>
    <col width="10.875" customWidth="1" min="6918" max="6918"/>
    <col width="11.375" customWidth="1" min="6919" max="6919"/>
    <col width="5.75390625" customWidth="1" min="6920" max="6920"/>
    <col width="9.875" customWidth="1" min="6921" max="6921"/>
    <col width="8.875" customWidth="1" min="6922" max="6922"/>
    <col width="13.375" customWidth="1" min="6923" max="6923"/>
    <col width="11.00390625" customWidth="1" min="6924" max="6924"/>
    <col width="8.375" customWidth="1" min="7170" max="7170"/>
    <col width="5.875" customWidth="1" min="7171" max="7171"/>
    <col width="14.25390625" customWidth="1" min="7172" max="7172"/>
    <col width="14.75390625" customWidth="1" min="7173" max="7173"/>
    <col width="10.875" customWidth="1" min="7174" max="7174"/>
    <col width="11.375" customWidth="1" min="7175" max="7175"/>
    <col width="5.75390625" customWidth="1" min="7176" max="7176"/>
    <col width="9.875" customWidth="1" min="7177" max="7177"/>
    <col width="8.875" customWidth="1" min="7178" max="7178"/>
    <col width="13.375" customWidth="1" min="7179" max="7179"/>
    <col width="11.00390625" customWidth="1" min="7180" max="7180"/>
    <col width="8.375" customWidth="1" min="7426" max="7426"/>
    <col width="5.875" customWidth="1" min="7427" max="7427"/>
    <col width="14.25390625" customWidth="1" min="7428" max="7428"/>
    <col width="14.75390625" customWidth="1" min="7429" max="7429"/>
    <col width="10.875" customWidth="1" min="7430" max="7430"/>
    <col width="11.375" customWidth="1" min="7431" max="7431"/>
    <col width="5.75390625" customWidth="1" min="7432" max="7432"/>
    <col width="9.875" customWidth="1" min="7433" max="7433"/>
    <col width="8.875" customWidth="1" min="7434" max="7434"/>
    <col width="13.375" customWidth="1" min="7435" max="7435"/>
    <col width="11.00390625" customWidth="1" min="7436" max="7436"/>
    <col width="8.375" customWidth="1" min="7682" max="7682"/>
    <col width="5.875" customWidth="1" min="7683" max="7683"/>
    <col width="14.25390625" customWidth="1" min="7684" max="7684"/>
    <col width="14.75390625" customWidth="1" min="7685" max="7685"/>
    <col width="10.875" customWidth="1" min="7686" max="7686"/>
    <col width="11.375" customWidth="1" min="7687" max="7687"/>
    <col width="5.75390625" customWidth="1" min="7688" max="7688"/>
    <col width="9.875" customWidth="1" min="7689" max="7689"/>
    <col width="8.875" customWidth="1" min="7690" max="7690"/>
    <col width="13.375" customWidth="1" min="7691" max="7691"/>
    <col width="11.00390625" customWidth="1" min="7692" max="7692"/>
    <col width="8.375" customWidth="1" min="7938" max="7938"/>
    <col width="5.875" customWidth="1" min="7939" max="7939"/>
    <col width="14.25390625" customWidth="1" min="7940" max="7940"/>
    <col width="14.75390625" customWidth="1" min="7941" max="7941"/>
    <col width="10.875" customWidth="1" min="7942" max="7942"/>
    <col width="11.375" customWidth="1" min="7943" max="7943"/>
    <col width="5.75390625" customWidth="1" min="7944" max="7944"/>
    <col width="9.875" customWidth="1" min="7945" max="7945"/>
    <col width="8.875" customWidth="1" min="7946" max="7946"/>
    <col width="13.375" customWidth="1" min="7947" max="7947"/>
    <col width="11.00390625" customWidth="1" min="7948" max="7948"/>
    <col width="8.375" customWidth="1" min="8194" max="8194"/>
    <col width="5.875" customWidth="1" min="8195" max="8195"/>
    <col width="14.25390625" customWidth="1" min="8196" max="8196"/>
    <col width="14.75390625" customWidth="1" min="8197" max="8197"/>
    <col width="10.875" customWidth="1" min="8198" max="8198"/>
    <col width="11.375" customWidth="1" min="8199" max="8199"/>
    <col width="5.75390625" customWidth="1" min="8200" max="8200"/>
    <col width="9.875" customWidth="1" min="8201" max="8201"/>
    <col width="8.875" customWidth="1" min="8202" max="8202"/>
    <col width="13.375" customWidth="1" min="8203" max="8203"/>
    <col width="11.00390625" customWidth="1" min="8204" max="8204"/>
    <col width="8.375" customWidth="1" min="8450" max="8450"/>
    <col width="5.875" customWidth="1" min="8451" max="8451"/>
    <col width="14.25390625" customWidth="1" min="8452" max="8452"/>
    <col width="14.75390625" customWidth="1" min="8453" max="8453"/>
    <col width="10.875" customWidth="1" min="8454" max="8454"/>
    <col width="11.375" customWidth="1" min="8455" max="8455"/>
    <col width="5.75390625" customWidth="1" min="8456" max="8456"/>
    <col width="9.875" customWidth="1" min="8457" max="8457"/>
    <col width="8.875" customWidth="1" min="8458" max="8458"/>
    <col width="13.375" customWidth="1" min="8459" max="8459"/>
    <col width="11.00390625" customWidth="1" min="8460" max="8460"/>
    <col width="8.375" customWidth="1" min="8706" max="8706"/>
    <col width="5.875" customWidth="1" min="8707" max="8707"/>
    <col width="14.25390625" customWidth="1" min="8708" max="8708"/>
    <col width="14.75390625" customWidth="1" min="8709" max="8709"/>
    <col width="10.875" customWidth="1" min="8710" max="8710"/>
    <col width="11.375" customWidth="1" min="8711" max="8711"/>
    <col width="5.75390625" customWidth="1" min="8712" max="8712"/>
    <col width="9.875" customWidth="1" min="8713" max="8713"/>
    <col width="8.875" customWidth="1" min="8714" max="8714"/>
    <col width="13.375" customWidth="1" min="8715" max="8715"/>
    <col width="11.00390625" customWidth="1" min="8716" max="8716"/>
    <col width="8.375" customWidth="1" min="8962" max="8962"/>
    <col width="5.875" customWidth="1" min="8963" max="8963"/>
    <col width="14.25390625" customWidth="1" min="8964" max="8964"/>
    <col width="14.75390625" customWidth="1" min="8965" max="8965"/>
    <col width="10.875" customWidth="1" min="8966" max="8966"/>
    <col width="11.375" customWidth="1" min="8967" max="8967"/>
    <col width="5.75390625" customWidth="1" min="8968" max="8968"/>
    <col width="9.875" customWidth="1" min="8969" max="8969"/>
    <col width="8.875" customWidth="1" min="8970" max="8970"/>
    <col width="13.375" customWidth="1" min="8971" max="8971"/>
    <col width="11.00390625" customWidth="1" min="8972" max="8972"/>
    <col width="8.375" customWidth="1" min="9218" max="9218"/>
    <col width="5.875" customWidth="1" min="9219" max="9219"/>
    <col width="14.25390625" customWidth="1" min="9220" max="9220"/>
    <col width="14.75390625" customWidth="1" min="9221" max="9221"/>
    <col width="10.875" customWidth="1" min="9222" max="9222"/>
    <col width="11.375" customWidth="1" min="9223" max="9223"/>
    <col width="5.75390625" customWidth="1" min="9224" max="9224"/>
    <col width="9.875" customWidth="1" min="9225" max="9225"/>
    <col width="8.875" customWidth="1" min="9226" max="9226"/>
    <col width="13.375" customWidth="1" min="9227" max="9227"/>
    <col width="11.00390625" customWidth="1" min="9228" max="9228"/>
    <col width="8.375" customWidth="1" min="9474" max="9474"/>
    <col width="5.875" customWidth="1" min="9475" max="9475"/>
    <col width="14.25390625" customWidth="1" min="9476" max="9476"/>
    <col width="14.75390625" customWidth="1" min="9477" max="9477"/>
    <col width="10.875" customWidth="1" min="9478" max="9478"/>
    <col width="11.375" customWidth="1" min="9479" max="9479"/>
    <col width="5.75390625" customWidth="1" min="9480" max="9480"/>
    <col width="9.875" customWidth="1" min="9481" max="9481"/>
    <col width="8.875" customWidth="1" min="9482" max="9482"/>
    <col width="13.375" customWidth="1" min="9483" max="9483"/>
    <col width="11.00390625" customWidth="1" min="9484" max="9484"/>
    <col width="8.375" customWidth="1" min="9730" max="9730"/>
    <col width="5.875" customWidth="1" min="9731" max="9731"/>
    <col width="14.25390625" customWidth="1" min="9732" max="9732"/>
    <col width="14.75390625" customWidth="1" min="9733" max="9733"/>
    <col width="10.875" customWidth="1" min="9734" max="9734"/>
    <col width="11.375" customWidth="1" min="9735" max="9735"/>
    <col width="5.75390625" customWidth="1" min="9736" max="9736"/>
    <col width="9.875" customWidth="1" min="9737" max="9737"/>
    <col width="8.875" customWidth="1" min="9738" max="9738"/>
    <col width="13.375" customWidth="1" min="9739" max="9739"/>
    <col width="11.00390625" customWidth="1" min="9740" max="9740"/>
    <col width="8.375" customWidth="1" min="9986" max="9986"/>
    <col width="5.875" customWidth="1" min="9987" max="9987"/>
    <col width="14.25390625" customWidth="1" min="9988" max="9988"/>
    <col width="14.75390625" customWidth="1" min="9989" max="9989"/>
    <col width="10.875" customWidth="1" min="9990" max="9990"/>
    <col width="11.375" customWidth="1" min="9991" max="9991"/>
    <col width="5.75390625" customWidth="1" min="9992" max="9992"/>
    <col width="9.875" customWidth="1" min="9993" max="9993"/>
    <col width="8.875" customWidth="1" min="9994" max="9994"/>
    <col width="13.375" customWidth="1" min="9995" max="9995"/>
    <col width="11.00390625" customWidth="1" min="9996" max="9996"/>
    <col width="8.375" customWidth="1" min="10242" max="10242"/>
    <col width="5.875" customWidth="1" min="10243" max="10243"/>
    <col width="14.25390625" customWidth="1" min="10244" max="10244"/>
    <col width="14.75390625" customWidth="1" min="10245" max="10245"/>
    <col width="10.875" customWidth="1" min="10246" max="10246"/>
    <col width="11.375" customWidth="1" min="10247" max="10247"/>
    <col width="5.75390625" customWidth="1" min="10248" max="10248"/>
    <col width="9.875" customWidth="1" min="10249" max="10249"/>
    <col width="8.875" customWidth="1" min="10250" max="10250"/>
    <col width="13.375" customWidth="1" min="10251" max="10251"/>
    <col width="11.00390625" customWidth="1" min="10252" max="10252"/>
    <col width="8.375" customWidth="1" min="10498" max="10498"/>
    <col width="5.875" customWidth="1" min="10499" max="10499"/>
    <col width="14.25390625" customWidth="1" min="10500" max="10500"/>
    <col width="14.75390625" customWidth="1" min="10501" max="10501"/>
    <col width="10.875" customWidth="1" min="10502" max="10502"/>
    <col width="11.375" customWidth="1" min="10503" max="10503"/>
    <col width="5.75390625" customWidth="1" min="10504" max="10504"/>
    <col width="9.875" customWidth="1" min="10505" max="10505"/>
    <col width="8.875" customWidth="1" min="10506" max="10506"/>
    <col width="13.375" customWidth="1" min="10507" max="10507"/>
    <col width="11.00390625" customWidth="1" min="10508" max="10508"/>
    <col width="8.375" customWidth="1" min="10754" max="10754"/>
    <col width="5.875" customWidth="1" min="10755" max="10755"/>
    <col width="14.25390625" customWidth="1" min="10756" max="10756"/>
    <col width="14.75390625" customWidth="1" min="10757" max="10757"/>
    <col width="10.875" customWidth="1" min="10758" max="10758"/>
    <col width="11.375" customWidth="1" min="10759" max="10759"/>
    <col width="5.75390625" customWidth="1" min="10760" max="10760"/>
    <col width="9.875" customWidth="1" min="10761" max="10761"/>
    <col width="8.875" customWidth="1" min="10762" max="10762"/>
    <col width="13.375" customWidth="1" min="10763" max="10763"/>
    <col width="11.00390625" customWidth="1" min="10764" max="10764"/>
    <col width="8.375" customWidth="1" min="11010" max="11010"/>
    <col width="5.875" customWidth="1" min="11011" max="11011"/>
    <col width="14.25390625" customWidth="1" min="11012" max="11012"/>
    <col width="14.75390625" customWidth="1" min="11013" max="11013"/>
    <col width="10.875" customWidth="1" min="11014" max="11014"/>
    <col width="11.375" customWidth="1" min="11015" max="11015"/>
    <col width="5.75390625" customWidth="1" min="11016" max="11016"/>
    <col width="9.875" customWidth="1" min="11017" max="11017"/>
    <col width="8.875" customWidth="1" min="11018" max="11018"/>
    <col width="13.375" customWidth="1" min="11019" max="11019"/>
    <col width="11.00390625" customWidth="1" min="11020" max="11020"/>
    <col width="8.375" customWidth="1" min="11266" max="11266"/>
    <col width="5.875" customWidth="1" min="11267" max="11267"/>
    <col width="14.25390625" customWidth="1" min="11268" max="11268"/>
    <col width="14.75390625" customWidth="1" min="11269" max="11269"/>
    <col width="10.875" customWidth="1" min="11270" max="11270"/>
    <col width="11.375" customWidth="1" min="11271" max="11271"/>
    <col width="5.75390625" customWidth="1" min="11272" max="11272"/>
    <col width="9.875" customWidth="1" min="11273" max="11273"/>
    <col width="8.875" customWidth="1" min="11274" max="11274"/>
    <col width="13.375" customWidth="1" min="11275" max="11275"/>
    <col width="11.00390625" customWidth="1" min="11276" max="11276"/>
    <col width="8.375" customWidth="1" min="11522" max="11522"/>
    <col width="5.875" customWidth="1" min="11523" max="11523"/>
    <col width="14.25390625" customWidth="1" min="11524" max="11524"/>
    <col width="14.75390625" customWidth="1" min="11525" max="11525"/>
    <col width="10.875" customWidth="1" min="11526" max="11526"/>
    <col width="11.375" customWidth="1" min="11527" max="11527"/>
    <col width="5.75390625" customWidth="1" min="11528" max="11528"/>
    <col width="9.875" customWidth="1" min="11529" max="11529"/>
    <col width="8.875" customWidth="1" min="11530" max="11530"/>
    <col width="13.375" customWidth="1" min="11531" max="11531"/>
    <col width="11.00390625" customWidth="1" min="11532" max="11532"/>
    <col width="8.375" customWidth="1" min="11778" max="11778"/>
    <col width="5.875" customWidth="1" min="11779" max="11779"/>
    <col width="14.25390625" customWidth="1" min="11780" max="11780"/>
    <col width="14.75390625" customWidth="1" min="11781" max="11781"/>
    <col width="10.875" customWidth="1" min="11782" max="11782"/>
    <col width="11.375" customWidth="1" min="11783" max="11783"/>
    <col width="5.75390625" customWidth="1" min="11784" max="11784"/>
    <col width="9.875" customWidth="1" min="11785" max="11785"/>
    <col width="8.875" customWidth="1" min="11786" max="11786"/>
    <col width="13.375" customWidth="1" min="11787" max="11787"/>
    <col width="11.00390625" customWidth="1" min="11788" max="11788"/>
    <col width="8.375" customWidth="1" min="12034" max="12034"/>
    <col width="5.875" customWidth="1" min="12035" max="12035"/>
    <col width="14.25390625" customWidth="1" min="12036" max="12036"/>
    <col width="14.75390625" customWidth="1" min="12037" max="12037"/>
    <col width="10.875" customWidth="1" min="12038" max="12038"/>
    <col width="11.375" customWidth="1" min="12039" max="12039"/>
    <col width="5.75390625" customWidth="1" min="12040" max="12040"/>
    <col width="9.875" customWidth="1" min="12041" max="12041"/>
    <col width="8.875" customWidth="1" min="12042" max="12042"/>
    <col width="13.375" customWidth="1" min="12043" max="12043"/>
    <col width="11.00390625" customWidth="1" min="12044" max="12044"/>
    <col width="8.375" customWidth="1" min="12290" max="12290"/>
    <col width="5.875" customWidth="1" min="12291" max="12291"/>
    <col width="14.25390625" customWidth="1" min="12292" max="12292"/>
    <col width="14.75390625" customWidth="1" min="12293" max="12293"/>
    <col width="10.875" customWidth="1" min="12294" max="12294"/>
    <col width="11.375" customWidth="1" min="12295" max="12295"/>
    <col width="5.75390625" customWidth="1" min="12296" max="12296"/>
    <col width="9.875" customWidth="1" min="12297" max="12297"/>
    <col width="8.875" customWidth="1" min="12298" max="12298"/>
    <col width="13.375" customWidth="1" min="12299" max="12299"/>
    <col width="11.00390625" customWidth="1" min="12300" max="12300"/>
    <col width="8.375" customWidth="1" min="12546" max="12546"/>
    <col width="5.875" customWidth="1" min="12547" max="12547"/>
    <col width="14.25390625" customWidth="1" min="12548" max="12548"/>
    <col width="14.75390625" customWidth="1" min="12549" max="12549"/>
    <col width="10.875" customWidth="1" min="12550" max="12550"/>
    <col width="11.375" customWidth="1" min="12551" max="12551"/>
    <col width="5.75390625" customWidth="1" min="12552" max="12552"/>
    <col width="9.875" customWidth="1" min="12553" max="12553"/>
    <col width="8.875" customWidth="1" min="12554" max="12554"/>
    <col width="13.375" customWidth="1" min="12555" max="12555"/>
    <col width="11.00390625" customWidth="1" min="12556" max="12556"/>
    <col width="8.375" customWidth="1" min="12802" max="12802"/>
    <col width="5.875" customWidth="1" min="12803" max="12803"/>
    <col width="14.25390625" customWidth="1" min="12804" max="12804"/>
    <col width="14.75390625" customWidth="1" min="12805" max="12805"/>
    <col width="10.875" customWidth="1" min="12806" max="12806"/>
    <col width="11.375" customWidth="1" min="12807" max="12807"/>
    <col width="5.75390625" customWidth="1" min="12808" max="12808"/>
    <col width="9.875" customWidth="1" min="12809" max="12809"/>
    <col width="8.875" customWidth="1" min="12810" max="12810"/>
    <col width="13.375" customWidth="1" min="12811" max="12811"/>
    <col width="11.00390625" customWidth="1" min="12812" max="12812"/>
    <col width="8.375" customWidth="1" min="13058" max="13058"/>
    <col width="5.875" customWidth="1" min="13059" max="13059"/>
    <col width="14.25390625" customWidth="1" min="13060" max="13060"/>
    <col width="14.75390625" customWidth="1" min="13061" max="13061"/>
    <col width="10.875" customWidth="1" min="13062" max="13062"/>
    <col width="11.375" customWidth="1" min="13063" max="13063"/>
    <col width="5.75390625" customWidth="1" min="13064" max="13064"/>
    <col width="9.875" customWidth="1" min="13065" max="13065"/>
    <col width="8.875" customWidth="1" min="13066" max="13066"/>
    <col width="13.375" customWidth="1" min="13067" max="13067"/>
    <col width="11.00390625" customWidth="1" min="13068" max="13068"/>
    <col width="8.375" customWidth="1" min="13314" max="13314"/>
    <col width="5.875" customWidth="1" min="13315" max="13315"/>
    <col width="14.25390625" customWidth="1" min="13316" max="13316"/>
    <col width="14.75390625" customWidth="1" min="13317" max="13317"/>
    <col width="10.875" customWidth="1" min="13318" max="13318"/>
    <col width="11.375" customWidth="1" min="13319" max="13319"/>
    <col width="5.75390625" customWidth="1" min="13320" max="13320"/>
    <col width="9.875" customWidth="1" min="13321" max="13321"/>
    <col width="8.875" customWidth="1" min="13322" max="13322"/>
    <col width="13.375" customWidth="1" min="13323" max="13323"/>
    <col width="11.00390625" customWidth="1" min="13324" max="13324"/>
    <col width="8.375" customWidth="1" min="13570" max="13570"/>
    <col width="5.875" customWidth="1" min="13571" max="13571"/>
    <col width="14.25390625" customWidth="1" min="13572" max="13572"/>
    <col width="14.75390625" customWidth="1" min="13573" max="13573"/>
    <col width="10.875" customWidth="1" min="13574" max="13574"/>
    <col width="11.375" customWidth="1" min="13575" max="13575"/>
    <col width="5.75390625" customWidth="1" min="13576" max="13576"/>
    <col width="9.875" customWidth="1" min="13577" max="13577"/>
    <col width="8.875" customWidth="1" min="13578" max="13578"/>
    <col width="13.375" customWidth="1" min="13579" max="13579"/>
    <col width="11.00390625" customWidth="1" min="13580" max="13580"/>
    <col width="8.375" customWidth="1" min="13826" max="13826"/>
    <col width="5.875" customWidth="1" min="13827" max="13827"/>
    <col width="14.25390625" customWidth="1" min="13828" max="13828"/>
    <col width="14.75390625" customWidth="1" min="13829" max="13829"/>
    <col width="10.875" customWidth="1" min="13830" max="13830"/>
    <col width="11.375" customWidth="1" min="13831" max="13831"/>
    <col width="5.75390625" customWidth="1" min="13832" max="13832"/>
    <col width="9.875" customWidth="1" min="13833" max="13833"/>
    <col width="8.875" customWidth="1" min="13834" max="13834"/>
    <col width="13.375" customWidth="1" min="13835" max="13835"/>
    <col width="11.00390625" customWidth="1" min="13836" max="13836"/>
    <col width="8.375" customWidth="1" min="14082" max="14082"/>
    <col width="5.875" customWidth="1" min="14083" max="14083"/>
    <col width="14.25390625" customWidth="1" min="14084" max="14084"/>
    <col width="14.75390625" customWidth="1" min="14085" max="14085"/>
    <col width="10.875" customWidth="1" min="14086" max="14086"/>
    <col width="11.375" customWidth="1" min="14087" max="14087"/>
    <col width="5.75390625" customWidth="1" min="14088" max="14088"/>
    <col width="9.875" customWidth="1" min="14089" max="14089"/>
    <col width="8.875" customWidth="1" min="14090" max="14090"/>
    <col width="13.375" customWidth="1" min="14091" max="14091"/>
    <col width="11.00390625" customWidth="1" min="14092" max="14092"/>
    <col width="8.375" customWidth="1" min="14338" max="14338"/>
    <col width="5.875" customWidth="1" min="14339" max="14339"/>
    <col width="14.25390625" customWidth="1" min="14340" max="14340"/>
    <col width="14.75390625" customWidth="1" min="14341" max="14341"/>
    <col width="10.875" customWidth="1" min="14342" max="14342"/>
    <col width="11.375" customWidth="1" min="14343" max="14343"/>
    <col width="5.75390625" customWidth="1" min="14344" max="14344"/>
    <col width="9.875" customWidth="1" min="14345" max="14345"/>
    <col width="8.875" customWidth="1" min="14346" max="14346"/>
    <col width="13.375" customWidth="1" min="14347" max="14347"/>
    <col width="11.00390625" customWidth="1" min="14348" max="14348"/>
    <col width="8.375" customWidth="1" min="14594" max="14594"/>
    <col width="5.875" customWidth="1" min="14595" max="14595"/>
    <col width="14.25390625" customWidth="1" min="14596" max="14596"/>
    <col width="14.75390625" customWidth="1" min="14597" max="14597"/>
    <col width="10.875" customWidth="1" min="14598" max="14598"/>
    <col width="11.375" customWidth="1" min="14599" max="14599"/>
    <col width="5.75390625" customWidth="1" min="14600" max="14600"/>
    <col width="9.875" customWidth="1" min="14601" max="14601"/>
    <col width="8.875" customWidth="1" min="14602" max="14602"/>
    <col width="13.375" customWidth="1" min="14603" max="14603"/>
    <col width="11.00390625" customWidth="1" min="14604" max="14604"/>
    <col width="8.375" customWidth="1" min="14850" max="14850"/>
    <col width="5.875" customWidth="1" min="14851" max="14851"/>
    <col width="14.25390625" customWidth="1" min="14852" max="14852"/>
    <col width="14.75390625" customWidth="1" min="14853" max="14853"/>
    <col width="10.875" customWidth="1" min="14854" max="14854"/>
    <col width="11.375" customWidth="1" min="14855" max="14855"/>
    <col width="5.75390625" customWidth="1" min="14856" max="14856"/>
    <col width="9.875" customWidth="1" min="14857" max="14857"/>
    <col width="8.875" customWidth="1" min="14858" max="14858"/>
    <col width="13.375" customWidth="1" min="14859" max="14859"/>
    <col width="11.00390625" customWidth="1" min="14860" max="14860"/>
    <col width="8.375" customWidth="1" min="15106" max="15106"/>
    <col width="5.875" customWidth="1" min="15107" max="15107"/>
    <col width="14.25390625" customWidth="1" min="15108" max="15108"/>
    <col width="14.75390625" customWidth="1" min="15109" max="15109"/>
    <col width="10.875" customWidth="1" min="15110" max="15110"/>
    <col width="11.375" customWidth="1" min="15111" max="15111"/>
    <col width="5.75390625" customWidth="1" min="15112" max="15112"/>
    <col width="9.875" customWidth="1" min="15113" max="15113"/>
    <col width="8.875" customWidth="1" min="15114" max="15114"/>
    <col width="13.375" customWidth="1" min="15115" max="15115"/>
    <col width="11.00390625" customWidth="1" min="15116" max="15116"/>
    <col width="8.375" customWidth="1" min="15362" max="15362"/>
    <col width="5.875" customWidth="1" min="15363" max="15363"/>
    <col width="14.25390625" customWidth="1" min="15364" max="15364"/>
    <col width="14.75390625" customWidth="1" min="15365" max="15365"/>
    <col width="10.875" customWidth="1" min="15366" max="15366"/>
    <col width="11.375" customWidth="1" min="15367" max="15367"/>
    <col width="5.75390625" customWidth="1" min="15368" max="15368"/>
    <col width="9.875" customWidth="1" min="15369" max="15369"/>
    <col width="8.875" customWidth="1" min="15370" max="15370"/>
    <col width="13.375" customWidth="1" min="15371" max="15371"/>
    <col width="11.00390625" customWidth="1" min="15372" max="15372"/>
    <col width="8.375" customWidth="1" min="15618" max="15618"/>
    <col width="5.875" customWidth="1" min="15619" max="15619"/>
    <col width="14.25390625" customWidth="1" min="15620" max="15620"/>
    <col width="14.75390625" customWidth="1" min="15621" max="15621"/>
    <col width="10.875" customWidth="1" min="15622" max="15622"/>
    <col width="11.375" customWidth="1" min="15623" max="15623"/>
    <col width="5.75390625" customWidth="1" min="15624" max="15624"/>
    <col width="9.875" customWidth="1" min="15625" max="15625"/>
    <col width="8.875" customWidth="1" min="15626" max="15626"/>
    <col width="13.375" customWidth="1" min="15627" max="15627"/>
    <col width="11.00390625" customWidth="1" min="15628" max="15628"/>
    <col width="8.375" customWidth="1" min="15874" max="15874"/>
    <col width="5.875" customWidth="1" min="15875" max="15875"/>
    <col width="14.25390625" customWidth="1" min="15876" max="15876"/>
    <col width="14.75390625" customWidth="1" min="15877" max="15877"/>
    <col width="10.875" customWidth="1" min="15878" max="15878"/>
    <col width="11.375" customWidth="1" min="15879" max="15879"/>
    <col width="5.75390625" customWidth="1" min="15880" max="15880"/>
    <col width="9.875" customWidth="1" min="15881" max="15881"/>
    <col width="8.875" customWidth="1" min="15882" max="15882"/>
    <col width="13.375" customWidth="1" min="15883" max="15883"/>
    <col width="11.00390625" customWidth="1" min="15884" max="15884"/>
    <col width="8.375" customWidth="1" min="16130" max="16130"/>
    <col width="5.875" customWidth="1" min="16131" max="16131"/>
    <col width="14.25390625" customWidth="1" min="16132" max="16132"/>
    <col width="14.75390625" customWidth="1" min="16133" max="16133"/>
    <col width="10.875" customWidth="1" min="16134" max="16134"/>
    <col width="11.375" customWidth="1" min="16135" max="16135"/>
    <col width="5.75390625" customWidth="1" min="16136" max="16136"/>
    <col width="9.875" customWidth="1" min="16137" max="16137"/>
    <col width="8.875" customWidth="1" min="16138" max="16138"/>
    <col width="13.375" customWidth="1" min="16139" max="16139"/>
    <col width="11.00390625" customWidth="1" min="16140" max="16140"/>
  </cols>
  <sheetData>
    <row r="1" ht="31.5" customHeight="1" s="66">
      <c r="B1" s="4" t="inlineStr">
        <is>
          <t>Laser Cutting Quotation Cost Analysis Table Template</t>
        </is>
      </c>
    </row>
    <row r="2" ht="49.5" customHeight="1" s="66">
      <c r="B2" s="5" t="inlineStr">
        <is>
          <t>Material</t>
        </is>
      </c>
      <c r="C2" s="6" t="inlineStr">
        <is>
          <t>Thickness</t>
        </is>
      </c>
      <c r="D2" s="6" t="inlineStr">
        <is>
          <t>Average cutting speed mm/min</t>
        </is>
      </c>
      <c r="E2" s="6" t="inlineStr">
        <is>
          <t>Auxiliary gas for cutting</t>
        </is>
      </c>
      <c r="F2" s="6" t="inlineStr">
        <is>
          <t>Auxiliary gas cost per minute (RMB)</t>
        </is>
      </c>
      <c r="G2" s="7" t="inlineStr">
        <is>
          <t>Laser gas cost per minute (RMB)</t>
        </is>
      </c>
      <c r="H2" s="7" t="inlineStr">
        <is>
          <t>Power (KW)</t>
        </is>
      </c>
      <c r="I2" s="7" t="inlineStr">
        <is>
          <t>Electricity cost per minute (RMB)</t>
        </is>
      </c>
      <c r="J2" s="67" t="inlineStr">
        <is>
          <t>Total Cost per Minute (RMB)</t>
        </is>
      </c>
      <c r="K2" s="68" t="inlineStr">
        <is>
          <t>Cutting cost per meter (RMB)</t>
        </is>
      </c>
      <c r="L2" s="69" t="inlineStr">
        <is>
          <t>Lens replacement time and cost</t>
        </is>
      </c>
    </row>
    <row r="3" ht="20.25" customHeight="1" s="66">
      <c r="B3" s="8" t="inlineStr">
        <is>
          <t>SPCC</t>
        </is>
      </c>
      <c r="C3" s="9" t="inlineStr">
        <is>
          <t>1.0MM</t>
        </is>
      </c>
      <c r="D3" s="9" t="n">
        <v>9000</v>
      </c>
      <c r="E3" s="10" t="inlineStr">
        <is>
          <t>O2</t>
        </is>
      </c>
      <c r="F3" s="10">
        <f>2.3/60*Ocost</f>
        <v/>
      </c>
      <c r="G3" s="9">
        <f>Lcost</f>
        <v/>
      </c>
      <c r="H3" s="9" t="n">
        <v>26.4</v>
      </c>
      <c r="I3" s="9">
        <f>H3*Ecost/60</f>
        <v/>
      </c>
      <c r="J3" s="70">
        <f>F3+G3+I3</f>
        <v/>
      </c>
      <c r="K3" s="71">
        <f>J3/D3*1000</f>
        <v/>
      </c>
      <c r="L3" s="72" t="n">
        <v>0.04</v>
      </c>
    </row>
    <row r="4" ht="20.25" customHeight="1" s="66">
      <c r="B4" s="73" t="n"/>
      <c r="C4" s="12" t="inlineStr">
        <is>
          <t>1.0MM</t>
        </is>
      </c>
      <c r="D4" s="12" t="n">
        <v>9500</v>
      </c>
      <c r="E4" s="12" t="inlineStr">
        <is>
          <t>N2</t>
        </is>
      </c>
      <c r="F4" s="74">
        <f>14.6/60*Ncost</f>
        <v/>
      </c>
      <c r="G4" s="9">
        <f>Lcost</f>
        <v/>
      </c>
      <c r="H4" s="12" t="n">
        <v>35.5</v>
      </c>
      <c r="I4" s="9">
        <f>H4*Ecost/60</f>
        <v/>
      </c>
      <c r="J4" s="75">
        <f>F4+G4+I4</f>
        <v/>
      </c>
      <c r="K4" s="76">
        <f>J4/D4*1000</f>
        <v/>
      </c>
      <c r="L4" s="72">
        <f>Lenscost/Llife/60</f>
        <v/>
      </c>
    </row>
    <row r="5" ht="20.25" customHeight="1" s="66">
      <c r="B5" s="11" t="inlineStr">
        <is>
          <t>SPCC</t>
        </is>
      </c>
      <c r="C5" s="12" t="inlineStr">
        <is>
          <t>3.0MM</t>
        </is>
      </c>
      <c r="D5" s="12" t="n">
        <v>4200</v>
      </c>
      <c r="E5" s="12" t="inlineStr">
        <is>
          <t>O2</t>
        </is>
      </c>
      <c r="F5" s="74">
        <f>2.3/60*Ocost</f>
        <v/>
      </c>
      <c r="G5" s="9">
        <f>Lcost</f>
        <v/>
      </c>
      <c r="H5" s="12" t="n">
        <v>26.4</v>
      </c>
      <c r="I5" s="9">
        <f>H5*Ecost/60</f>
        <v/>
      </c>
      <c r="J5" s="75">
        <f>F5+G5+I5</f>
        <v/>
      </c>
      <c r="K5" s="76">
        <f>J5/D5*1000</f>
        <v/>
      </c>
      <c r="L5" s="72" t="n">
        <v>0.04</v>
      </c>
    </row>
    <row r="6" ht="20.25" customHeight="1" s="66">
      <c r="B6" s="11" t="n"/>
      <c r="C6" s="16" t="inlineStr">
        <is>
          <t>3.0MM</t>
        </is>
      </c>
      <c r="D6" s="12" t="n">
        <v>3800</v>
      </c>
      <c r="E6" s="12" t="inlineStr">
        <is>
          <t>N2</t>
        </is>
      </c>
      <c r="F6" s="74">
        <f>21.4/60*Ncost</f>
        <v/>
      </c>
      <c r="G6" s="9">
        <f>Lcost</f>
        <v/>
      </c>
      <c r="H6" s="12" t="n">
        <v>36.9</v>
      </c>
      <c r="I6" s="9">
        <f>H6*Ecost/60</f>
        <v/>
      </c>
      <c r="J6" s="75">
        <f>F6+G6+I6</f>
        <v/>
      </c>
      <c r="K6" s="76">
        <f>J6/D6*1000</f>
        <v/>
      </c>
      <c r="L6" s="72" t="n">
        <v>0.04</v>
      </c>
    </row>
    <row r="7" ht="20.25" customHeight="1" s="66">
      <c r="B7" s="15" t="inlineStr">
        <is>
          <t>SPCC</t>
        </is>
      </c>
      <c r="C7" s="12" t="inlineStr">
        <is>
          <t>6.0MM</t>
        </is>
      </c>
      <c r="D7" s="12" t="n">
        <v>2800</v>
      </c>
      <c r="E7" s="12" t="inlineStr">
        <is>
          <t>O2</t>
        </is>
      </c>
      <c r="F7" s="74">
        <f>1.2/60*Ocost</f>
        <v/>
      </c>
      <c r="G7" s="9">
        <f>Lcost</f>
        <v/>
      </c>
      <c r="H7" s="12" t="n">
        <v>34.2</v>
      </c>
      <c r="I7" s="9">
        <f>H7*Ecost/60</f>
        <v/>
      </c>
      <c r="J7" s="75">
        <f>F7+G7+I7</f>
        <v/>
      </c>
      <c r="K7" s="76">
        <f>J7/D7*1000</f>
        <v/>
      </c>
      <c r="L7" s="72" t="n">
        <v>0.04</v>
      </c>
    </row>
    <row r="8" ht="20.25" customHeight="1" s="66">
      <c r="B8" s="15" t="inlineStr">
        <is>
          <t>SPCC</t>
        </is>
      </c>
      <c r="C8" s="12" t="inlineStr">
        <is>
          <t>9.0MM</t>
        </is>
      </c>
      <c r="D8" s="12" t="n">
        <v>2000</v>
      </c>
      <c r="E8" s="12" t="inlineStr">
        <is>
          <t>O2</t>
        </is>
      </c>
      <c r="F8" s="74">
        <f>1.2/60*Ocost</f>
        <v/>
      </c>
      <c r="G8" s="9">
        <f>Lcost</f>
        <v/>
      </c>
      <c r="H8" s="12" t="n">
        <v>35</v>
      </c>
      <c r="I8" s="9">
        <f>H8*Ecost/60</f>
        <v/>
      </c>
      <c r="J8" s="75">
        <f>F8+G8+I8</f>
        <v/>
      </c>
      <c r="K8" s="76">
        <f>J8/D8*1000</f>
        <v/>
      </c>
      <c r="L8" s="72" t="n">
        <v>0.04</v>
      </c>
    </row>
    <row r="9" ht="20.25" customHeight="1" s="66">
      <c r="B9" s="15" t="inlineStr">
        <is>
          <t>SPCC</t>
        </is>
      </c>
      <c r="C9" s="12" t="inlineStr">
        <is>
          <t>12.0MM</t>
        </is>
      </c>
      <c r="D9" s="12" t="n">
        <v>1400</v>
      </c>
      <c r="E9" s="12" t="inlineStr">
        <is>
          <t>O2</t>
        </is>
      </c>
      <c r="F9" s="74">
        <f>1.7/60*Ocost</f>
        <v/>
      </c>
      <c r="G9" s="9">
        <f>Lcost</f>
        <v/>
      </c>
      <c r="H9" s="12" t="n">
        <v>35.5</v>
      </c>
      <c r="I9" s="9">
        <f>H9*Ecost/60</f>
        <v/>
      </c>
      <c r="J9" s="75">
        <f>F9+G9+I9</f>
        <v/>
      </c>
      <c r="K9" s="76">
        <f>J9/D9*1000</f>
        <v/>
      </c>
      <c r="L9" s="72" t="n">
        <v>0.04</v>
      </c>
    </row>
    <row r="10" ht="20.25" customHeight="1" s="66">
      <c r="B10" s="11" t="inlineStr">
        <is>
          <t>AL</t>
        </is>
      </c>
      <c r="C10" s="12" t="inlineStr">
        <is>
          <t>1.2MM</t>
        </is>
      </c>
      <c r="D10" s="12" t="n">
        <v>10000</v>
      </c>
      <c r="E10" s="12" t="inlineStr">
        <is>
          <t>O2</t>
        </is>
      </c>
      <c r="F10" s="74">
        <f>3.3/60*Ocost</f>
        <v/>
      </c>
      <c r="G10" s="9">
        <f>Lcost</f>
        <v/>
      </c>
      <c r="H10" s="12" t="n">
        <v>29.7</v>
      </c>
      <c r="I10" s="9">
        <f>H10*Ecost/60</f>
        <v/>
      </c>
      <c r="J10" s="75">
        <f>F10+G10+I10</f>
        <v/>
      </c>
      <c r="K10" s="76">
        <f>J10/D10*1000</f>
        <v/>
      </c>
      <c r="L10" s="72" t="n">
        <v>0.04</v>
      </c>
    </row>
    <row r="11" ht="20.25" customHeight="1" s="66">
      <c r="B11" s="77" t="n"/>
      <c r="C11" s="78" t="n"/>
      <c r="D11" s="12" t="n">
        <v>9000</v>
      </c>
      <c r="E11" s="12" t="inlineStr">
        <is>
          <t>N2</t>
        </is>
      </c>
      <c r="F11" s="74">
        <f>10.1/60*Ncost</f>
        <v/>
      </c>
      <c r="G11" s="9">
        <f>Lcost</f>
        <v/>
      </c>
      <c r="H11" s="12" t="n">
        <v>35.5</v>
      </c>
      <c r="I11" s="9">
        <f>H11*Ecost/60</f>
        <v/>
      </c>
      <c r="J11" s="75">
        <f>F11+G11+I11</f>
        <v/>
      </c>
      <c r="K11" s="76">
        <f>J11/D11*1000</f>
        <v/>
      </c>
      <c r="L11" s="72" t="n">
        <v>0.04</v>
      </c>
    </row>
    <row r="12" ht="24" customHeight="1" s="66">
      <c r="B12" s="15" t="inlineStr">
        <is>
          <t>AL</t>
        </is>
      </c>
      <c r="C12" s="16" t="inlineStr">
        <is>
          <t>4MM</t>
        </is>
      </c>
      <c r="D12" s="12" t="n">
        <v>2600</v>
      </c>
      <c r="E12" s="12" t="inlineStr">
        <is>
          <t>N2</t>
        </is>
      </c>
      <c r="F12" s="74">
        <f>24/60*Ncost</f>
        <v/>
      </c>
      <c r="G12" s="9" t="n">
        <v>0.08777778</v>
      </c>
      <c r="H12" s="12" t="n">
        <v>36.9</v>
      </c>
      <c r="I12" s="9" t="n">
        <v>0.369</v>
      </c>
      <c r="J12" s="75">
        <f>F12+G12+I12</f>
        <v/>
      </c>
      <c r="K12" s="76">
        <f>J12/D12*1000</f>
        <v/>
      </c>
      <c r="L12" s="72" t="n">
        <v>0.04</v>
      </c>
    </row>
    <row r="13" ht="24.75" customHeight="1" s="66">
      <c r="B13" s="15" t="inlineStr">
        <is>
          <t>AL</t>
        </is>
      </c>
      <c r="C13" s="16" t="inlineStr">
        <is>
          <t>5MM</t>
        </is>
      </c>
      <c r="D13" s="12" t="n">
        <v>2000</v>
      </c>
      <c r="E13" s="12" t="inlineStr">
        <is>
          <t>N2</t>
        </is>
      </c>
      <c r="F13" s="74">
        <f>40.6/60*Ncost</f>
        <v/>
      </c>
      <c r="G13" s="9" t="n">
        <v>0.08777778</v>
      </c>
      <c r="H13" s="12" t="n">
        <v>36.9</v>
      </c>
      <c r="I13" s="9" t="n">
        <v>0.369</v>
      </c>
      <c r="J13" s="75">
        <f>F13+G13+I13</f>
        <v/>
      </c>
      <c r="K13" s="76">
        <f>J13/D13*1000</f>
        <v/>
      </c>
      <c r="L13" s="72" t="n">
        <v>0.04</v>
      </c>
    </row>
    <row r="14" ht="20.25" customHeight="1" s="66">
      <c r="B14" s="11" t="inlineStr">
        <is>
          <t>SUS</t>
        </is>
      </c>
      <c r="C14" s="16" t="inlineStr">
        <is>
          <t>1.0MM</t>
        </is>
      </c>
      <c r="D14" s="12" t="n">
        <v>9500</v>
      </c>
      <c r="E14" s="12" t="inlineStr">
        <is>
          <t>N2</t>
        </is>
      </c>
      <c r="F14" s="74">
        <f>16.9/60*Ncost</f>
        <v/>
      </c>
      <c r="G14" s="9">
        <f>Lcost</f>
        <v/>
      </c>
      <c r="H14" s="12" t="n">
        <v>35.5</v>
      </c>
      <c r="I14" s="9">
        <f>H14*Ecost/60</f>
        <v/>
      </c>
      <c r="J14" s="75">
        <f>F14+G14+I14</f>
        <v/>
      </c>
      <c r="K14" s="76">
        <f>J14/D14*1000</f>
        <v/>
      </c>
      <c r="L14" s="72" t="n">
        <v>0.04</v>
      </c>
    </row>
    <row r="15" ht="20.25" customHeight="1" s="66">
      <c r="B15" s="77" t="n"/>
      <c r="C15" s="16" t="inlineStr">
        <is>
          <t>1.0MM</t>
        </is>
      </c>
      <c r="D15" s="12" t="n">
        <v>10000</v>
      </c>
      <c r="E15" s="12" t="inlineStr">
        <is>
          <t>O2</t>
        </is>
      </c>
      <c r="F15" s="74">
        <f>3.3/60*Ocost</f>
        <v/>
      </c>
      <c r="G15" s="9">
        <f>Lcost</f>
        <v/>
      </c>
      <c r="H15" s="12" t="n">
        <v>29.7</v>
      </c>
      <c r="I15" s="9">
        <f>H15*Ecost/60</f>
        <v/>
      </c>
      <c r="J15" s="75">
        <f>F15+G15+I15</f>
        <v/>
      </c>
      <c r="K15" s="76">
        <f>J15/D15*1000</f>
        <v/>
      </c>
      <c r="L15" s="72" t="n">
        <v>0.04</v>
      </c>
    </row>
    <row r="16" ht="20.25" customHeight="1" s="66">
      <c r="B16" s="11" t="inlineStr">
        <is>
          <t>SUS</t>
        </is>
      </c>
      <c r="C16" s="12" t="inlineStr">
        <is>
          <t>2.0MM</t>
        </is>
      </c>
      <c r="D16" s="12" t="n">
        <v>6500</v>
      </c>
      <c r="E16" s="12" t="inlineStr">
        <is>
          <t>N2</t>
        </is>
      </c>
      <c r="F16" s="74">
        <f>16.9/60*Ncost</f>
        <v/>
      </c>
      <c r="G16" s="9">
        <f>Lcost</f>
        <v/>
      </c>
      <c r="H16" s="12" t="n">
        <v>36.9</v>
      </c>
      <c r="I16" s="9">
        <f>H16*Ecost/60</f>
        <v/>
      </c>
      <c r="J16" s="75">
        <f>F16+G16+I16</f>
        <v/>
      </c>
      <c r="K16" s="76">
        <f>J16/D16*1000</f>
        <v/>
      </c>
      <c r="L16" s="72" t="n">
        <v>0.04</v>
      </c>
    </row>
    <row r="17" ht="20.25" customHeight="1" s="66">
      <c r="B17" s="77" t="n"/>
      <c r="C17" s="78" t="n"/>
      <c r="D17" s="12" t="n">
        <v>7900</v>
      </c>
      <c r="E17" s="12" t="inlineStr">
        <is>
          <t>O2</t>
        </is>
      </c>
      <c r="F17" s="74">
        <f>4/60*Ocost</f>
        <v/>
      </c>
      <c r="G17" s="9">
        <f>Lcost</f>
        <v/>
      </c>
      <c r="H17" s="12" t="n">
        <v>31.2</v>
      </c>
      <c r="I17" s="9">
        <f>H17*Ecost/60</f>
        <v/>
      </c>
      <c r="J17" s="75">
        <f>F17+G17+I17</f>
        <v/>
      </c>
      <c r="K17" s="76">
        <f>J17/D17*1000</f>
        <v/>
      </c>
      <c r="L17" s="72" t="n">
        <v>0.04</v>
      </c>
    </row>
    <row r="18" ht="20.25" customHeight="1" s="66">
      <c r="B18" s="15" t="inlineStr">
        <is>
          <t>SUS</t>
        </is>
      </c>
      <c r="C18" s="12" t="inlineStr">
        <is>
          <t>3.0MM</t>
        </is>
      </c>
      <c r="D18" s="12" t="n">
        <v>4200</v>
      </c>
      <c r="E18" s="12" t="inlineStr">
        <is>
          <t>N2</t>
        </is>
      </c>
      <c r="F18" s="74">
        <f>24.5/60*Ncost</f>
        <v/>
      </c>
      <c r="G18" s="9">
        <f>Lcost</f>
        <v/>
      </c>
      <c r="H18" s="12" t="n">
        <v>36.9</v>
      </c>
      <c r="I18" s="9">
        <f>H18*Ecost/60</f>
        <v/>
      </c>
      <c r="J18" s="75">
        <f>F18+G18+I18</f>
        <v/>
      </c>
      <c r="K18" s="76">
        <f>J18/D18*1000</f>
        <v/>
      </c>
      <c r="L18" s="72" t="n">
        <v>0.04</v>
      </c>
    </row>
    <row r="19" ht="21" customHeight="1" s="66">
      <c r="B19" s="77" t="n"/>
      <c r="C19" s="78" t="n"/>
      <c r="D19" s="19" t="n">
        <v>5800</v>
      </c>
      <c r="E19" s="19" t="inlineStr">
        <is>
          <t>O2</t>
        </is>
      </c>
      <c r="F19" s="79">
        <f>4.4/60*Ocost</f>
        <v/>
      </c>
      <c r="G19" s="21">
        <f>Lcost</f>
        <v/>
      </c>
      <c r="H19" s="19" t="n">
        <v>32.7</v>
      </c>
      <c r="I19" s="21">
        <f>H19*Ecost/60</f>
        <v/>
      </c>
      <c r="J19" s="80">
        <f>F19+G19+I19</f>
        <v/>
      </c>
      <c r="K19" s="81">
        <f>J19/D19*1000</f>
        <v/>
      </c>
      <c r="L19" s="82" t="n">
        <v>0.04</v>
      </c>
    </row>
    <row r="20" ht="17.25" customHeight="1" s="66">
      <c r="B20" s="22" t="n"/>
      <c r="C20" s="22" t="n"/>
      <c r="D20" s="22" t="n"/>
      <c r="E20" s="22" t="n"/>
      <c r="F20" s="22" t="n"/>
      <c r="G20" s="22" t="n"/>
      <c r="H20" s="22" t="n"/>
      <c r="I20" s="22" t="n"/>
      <c r="J20" s="83" t="n"/>
      <c r="K20" s="84" t="n"/>
      <c r="L20" s="85" t="n"/>
    </row>
    <row r="21" ht="16.5" customHeight="1" s="66">
      <c r="B21" s="23" t="n"/>
      <c r="C21" s="24" t="n"/>
      <c r="D21" s="24" t="inlineStr">
        <is>
          <t>Laser gas</t>
        </is>
      </c>
      <c r="E21" s="24" t="inlineStr">
        <is>
          <t>Co2</t>
        </is>
      </c>
      <c r="F21" s="24">
        <f>700/150/60+70/150/60+400/3000/60</f>
        <v/>
      </c>
      <c r="G21" s="24" t="n"/>
      <c r="H21" s="24" t="n"/>
      <c r="I21" s="24" t="inlineStr">
        <is>
          <t>Co2: 400 per bottle</t>
        </is>
      </c>
      <c r="J21" s="86" t="n"/>
      <c r="K21" s="87" t="n"/>
      <c r="L21" s="88" t="n"/>
    </row>
    <row r="22" ht="16.5" customHeight="1" s="66">
      <c r="B22" s="25" t="n"/>
      <c r="C22" s="22" t="n"/>
      <c r="D22" s="22" t="n"/>
      <c r="E22" s="22" t="inlineStr">
        <is>
          <t>N2</t>
        </is>
      </c>
      <c r="F22" s="22" t="n"/>
      <c r="G22" s="22" t="n"/>
      <c r="H22" s="26" t="inlineStr">
        <is>
          <t>N2: 70 per bottle</t>
        </is>
      </c>
      <c r="I22" s="52" t="n"/>
      <c r="J22" s="83" t="n"/>
      <c r="K22" s="84" t="n"/>
      <c r="L22" s="89" t="n"/>
    </row>
    <row r="23" ht="16.5" customHeight="1" s="66">
      <c r="B23" s="25" t="n"/>
      <c r="C23" s="22" t="n"/>
      <c r="D23" s="22" t="n"/>
      <c r="E23" s="22" t="inlineStr">
        <is>
          <t>He</t>
        </is>
      </c>
      <c r="F23" s="22" t="n"/>
      <c r="G23" s="22" t="n"/>
      <c r="H23" s="26" t="inlineStr">
        <is>
          <t>He: 700 per bottle</t>
        </is>
      </c>
      <c r="I23" s="22" t="n"/>
      <c r="J23" s="83" t="n"/>
      <c r="K23" s="84" t="n"/>
      <c r="L23" s="89" t="n"/>
    </row>
    <row r="24" ht="16.5" customHeight="1" s="66">
      <c r="B24" s="25" t="n"/>
      <c r="C24" s="22" t="n"/>
      <c r="D24" s="22" t="inlineStr">
        <is>
          <t>Cutting gas</t>
        </is>
      </c>
      <c r="E24" s="22" t="inlineStr">
        <is>
          <t>O2</t>
        </is>
      </c>
      <c r="F24" s="22">
        <f>20/6</f>
        <v/>
      </c>
      <c r="G24" s="22" t="inlineStr">
        <is>
          <t>per M3</t>
        </is>
      </c>
      <c r="H24" s="22" t="n"/>
      <c r="I24" s="26" t="inlineStr">
        <is>
          <t>RMB20 per bottle, 6 m3 per bottle</t>
        </is>
      </c>
      <c r="J24" s="83" t="n"/>
      <c r="K24" s="84" t="n"/>
      <c r="L24" s="89" t="n"/>
    </row>
    <row r="25" ht="16.5" customHeight="1" s="66">
      <c r="B25" s="25" t="n"/>
      <c r="C25" s="22" t="n"/>
      <c r="D25" s="22" t="n"/>
      <c r="E25" s="22" t="inlineStr">
        <is>
          <t>N2</t>
        </is>
      </c>
      <c r="F25" s="22">
        <f>20/6</f>
        <v/>
      </c>
      <c r="G25" s="22" t="inlineStr">
        <is>
          <t>per M3</t>
        </is>
      </c>
      <c r="H25" s="22" t="n"/>
      <c r="I25" s="26" t="inlineStr">
        <is>
          <t>RMB20 per bottle, 6 m3 per bottle</t>
        </is>
      </c>
      <c r="J25" s="83" t="n"/>
      <c r="K25" s="84" t="n"/>
      <c r="L25" s="89" t="n"/>
    </row>
    <row r="26" ht="16.5" customHeight="1" s="66">
      <c r="B26" s="25" t="n"/>
      <c r="C26" s="22" t="n"/>
      <c r="D26" s="22" t="n"/>
      <c r="E26" s="22" t="n"/>
      <c r="F26" s="22" t="n"/>
      <c r="G26" s="22" t="n"/>
      <c r="H26" s="22" t="n"/>
      <c r="I26" s="22" t="n"/>
      <c r="J26" s="83" t="n"/>
      <c r="K26" s="84" t="n"/>
      <c r="L26" s="89" t="n"/>
    </row>
    <row r="27" ht="16.5" customHeight="1" s="66">
      <c r="B27" s="25" t="n"/>
      <c r="C27" s="22" t="n"/>
      <c r="D27" s="22" t="inlineStr">
        <is>
          <t>Electricity cost</t>
        </is>
      </c>
      <c r="E27" s="22" t="n">
        <v>1</v>
      </c>
      <c r="F27" s="26" t="inlineStr">
        <is>
          <t>100 cents per KW</t>
        </is>
      </c>
      <c r="G27" s="22" t="n"/>
      <c r="H27" s="22" t="n"/>
      <c r="I27" s="22" t="n"/>
      <c r="J27" s="83" t="n"/>
      <c r="K27" s="84" t="n"/>
      <c r="L27" s="89" t="n"/>
    </row>
    <row r="28" ht="16.5" customHeight="1" s="66">
      <c r="B28" s="25" t="n"/>
      <c r="C28" s="22" t="n"/>
      <c r="D28" s="22" t="n"/>
      <c r="E28" s="22" t="n"/>
      <c r="F28" s="22" t="n"/>
      <c r="G28" s="22" t="n"/>
      <c r="H28" s="22" t="n"/>
      <c r="I28" s="22" t="n"/>
      <c r="J28" s="83" t="n"/>
      <c r="K28" s="84" t="n"/>
      <c r="L28" s="89" t="n"/>
    </row>
    <row r="29" ht="16.5" customHeight="1" s="66">
      <c r="B29" s="25" t="n"/>
      <c r="C29" s="22" t="n"/>
      <c r="D29" s="22" t="inlineStr">
        <is>
          <t>Lens</t>
        </is>
      </c>
      <c r="E29" s="22" t="n">
        <v>5000</v>
      </c>
      <c r="F29" s="26" t="n">
        <v>2000</v>
      </c>
      <c r="G29" s="26" t="inlineStr">
        <is>
          <t>hours per lens</t>
        </is>
      </c>
      <c r="H29" s="22" t="n"/>
      <c r="I29" s="22" t="n"/>
      <c r="J29" s="83" t="n"/>
      <c r="K29" s="84" t="n"/>
      <c r="L29" s="89" t="n"/>
    </row>
    <row r="30" ht="16.5" customHeight="1" s="66">
      <c r="B30" s="27" t="n"/>
      <c r="C30" s="52" t="n"/>
      <c r="D30" s="52" t="n"/>
      <c r="E30" s="22" t="n"/>
      <c r="F30" s="22" t="n"/>
      <c r="G30" s="22" t="n"/>
      <c r="H30" s="22" t="n"/>
      <c r="I30" s="22" t="n"/>
      <c r="J30" s="83" t="n"/>
      <c r="K30" s="84" t="n"/>
      <c r="L30" s="89" t="n"/>
    </row>
    <row r="31" ht="16.5" customHeight="1" s="66">
      <c r="B31" s="29" t="inlineStr">
        <is>
          <t>Service Charge</t>
        </is>
      </c>
      <c r="C31" s="30" t="n"/>
      <c r="D31" s="31" t="inlineStr">
        <is>
          <t>260 RMB/hour</t>
        </is>
      </c>
      <c r="E31" s="52" t="inlineStr">
        <is>
          <t>Annual maintenance contract 35,000 RMB, including the full year's maintenance costs and engineer transportation and accommodation expenses, excluding spare parts.</t>
        </is>
      </c>
      <c r="F31" s="52" t="n"/>
      <c r="G31" s="52" t="n"/>
      <c r="H31" s="52" t="n"/>
      <c r="I31" s="52" t="n"/>
      <c r="J31" s="90" t="n"/>
      <c r="K31" s="91" t="n"/>
      <c r="L31" s="92" t="n"/>
    </row>
    <row r="32" ht="20.25" customHeight="1" s="66">
      <c r="B32" s="27" t="inlineStr">
        <is>
          <t>Gas charge</t>
        </is>
      </c>
      <c r="C32" s="52" t="n"/>
      <c r="D32" s="12" t="inlineStr">
        <is>
          <t>N2</t>
        </is>
      </c>
      <c r="E32" s="52" t="inlineStr">
        <is>
          <t>300 RMB/125KG</t>
        </is>
      </c>
      <c r="F32" s="52" t="inlineStr">
        <is>
          <t>2.5 RMB/KG</t>
        </is>
      </c>
      <c r="G32" s="52" t="n"/>
      <c r="H32" s="52" t="n"/>
      <c r="I32" s="52" t="n"/>
      <c r="J32" s="90" t="n"/>
      <c r="K32" s="91" t="n"/>
      <c r="L32" s="92" t="n"/>
    </row>
    <row r="33" ht="20.25" customHeight="1" s="66">
      <c r="B33" s="27" t="n"/>
      <c r="C33" s="52" t="n"/>
      <c r="D33" s="12" t="inlineStr">
        <is>
          <t>O2</t>
        </is>
      </c>
      <c r="E33" s="52" t="inlineStr">
        <is>
          <t>390 RMB/180KG</t>
        </is>
      </c>
      <c r="F33" s="52" t="inlineStr">
        <is>
          <t>2.2 RMB/KG</t>
        </is>
      </c>
      <c r="G33" s="52" t="n"/>
      <c r="H33" s="52" t="n"/>
      <c r="I33" s="52" t="n"/>
      <c r="J33" s="90" t="n"/>
      <c r="K33" s="91" t="n"/>
      <c r="L33" s="92" t="n"/>
    </row>
    <row r="34" ht="17.25" customHeight="1" s="66">
      <c r="B34" s="32" t="n"/>
      <c r="C34" s="33" t="n"/>
      <c r="D34" s="34" t="inlineStr">
        <is>
          <t>Including gas pipeline installation cost of 20,000 RMB, small cylinder provided</t>
        </is>
      </c>
      <c r="E34" s="33" t="n"/>
      <c r="F34" s="33" t="n"/>
      <c r="G34" s="33" t="n"/>
      <c r="H34" s="33" t="n"/>
      <c r="I34" s="33" t="n"/>
      <c r="J34" s="93" t="n"/>
      <c r="K34" s="94" t="n"/>
      <c r="L34" s="95" t="n"/>
    </row>
  </sheetData>
  <mergeCells count="9">
    <mergeCell ref="B18:B19"/>
    <mergeCell ref="B3:B4"/>
    <mergeCell ref="B16:B17"/>
    <mergeCell ref="B10:B11"/>
    <mergeCell ref="C10:C11"/>
    <mergeCell ref="C16:C17"/>
    <mergeCell ref="C18:C19"/>
    <mergeCell ref="B14:B15"/>
    <mergeCell ref="B1:L1"/>
  </mergeCells>
  <pageMargins left="0.7" right="0.7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2019-05-20T05:26:00Z</dcterms:created>
  <dcterms:modified xsi:type="dcterms:W3CDTF">2025-07-08T02:32:27Z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6604A8E31A6C49C28545B399CF8DD114_11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v1.0_mb_k5Rp138zCLRCe21+z5vEaw==</vt:lpwstr>
  </property>
</Properties>
</file>