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797" firstSheet="7" autoFilterDateGrouping="1"/>
  </bookViews>
  <sheets>
    <sheet name="Futures_Follow-up_Table" sheetId="1" state="visible" r:id="rId1"/>
    <sheet name="Sales_and_Discounts" sheetId="2" state="visible" r:id="rId2"/>
    <sheet name="Sales_and_Gross_Profit" sheetId="3" state="visible" r:id="rId3"/>
    <sheet name="Stock-to-sales_ratio" sheetId="4" state="visible" r:id="rId4"/>
    <sheet name="Year-over-Year_Store_Sales" sheetId="5" state="visible" r:id="rId5"/>
    <sheet name="Sales_Ranking" sheetId="6" state="visible" r:id="rId6"/>
    <sheet name="Special_Sale_Resources" sheetId="7" state="visible" r:id="rId7"/>
  </sheets>
  <definedNames>
    <definedName name="_xlnm._FilterDatabase" localSheetId="4" hidden="1">'Year-over-Year_Store_Sales'!$A$3:$BN$107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_);[Red]\(0\)"/>
    <numFmt numFmtId="167" formatCode="0.00_);[Red]\(0.00\)"/>
  </numFmts>
  <fonts count="28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theme="1"/>
      <sz val="10"/>
      <scheme val="minor"/>
    </font>
    <font>
      <name val="宋体"/>
      <family val="2"/>
      <sz val="11"/>
      <scheme val="minor"/>
    </font>
    <font>
      <name val="宋体"/>
      <family val="2"/>
      <color theme="1"/>
      <sz val="9"/>
      <scheme val="minor"/>
    </font>
    <font>
      <name val="宋体"/>
      <family val="2"/>
      <sz val="9"/>
      <scheme val="minor"/>
    </font>
    <font>
      <name val="宋体"/>
      <family val="2"/>
      <color rgb="FFFF0000"/>
      <sz val="9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aj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theme="0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sz val="9"/>
    </font>
    <font>
      <name val="宋体"/>
      <family val="2"/>
      <color theme="1"/>
      <sz val="10"/>
    </font>
    <font>
      <name val="+mn-cs"/>
      <family val="2"/>
      <color theme="1"/>
      <sz val="10"/>
    </font>
  </fonts>
  <fills count="39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 tint="-0.1499900072813034"/>
        <bgColor indexed="64"/>
      </patternFill>
    </fill>
    <fill>
      <patternFill patternType="solid">
        <fgColor theme="0" tint="-0.24997000396251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6999800205231"/>
        <bgColor indexed="64"/>
      </patternFill>
    </fill>
    <fill>
      <patternFill patternType="solid">
        <fgColor rgb="FFFFFF00"/>
        <bgColor indexed="64"/>
      </patternFill>
    </fill>
  </fills>
  <borders count="9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79"/>
      </bottom>
    </border>
    <border>
      <left/>
      <right/>
      <top/>
      <bottom style="medium">
        <color theme="4" tint="0.399980008602142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indexed="8"/>
      </left>
      <right/>
      <top style="thin">
        <color indexed="65"/>
      </top>
      <bottom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>
        <color indexed="8"/>
      </left>
      <right/>
      <top style="thin">
        <color indexed="8"/>
      </top>
      <bottom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/>
      <top/>
      <bottom/>
    </border>
    <border>
      <left style="thin">
        <color indexed="8"/>
      </left>
      <right style="thin">
        <color indexed="8"/>
      </right>
      <top/>
      <bottom/>
    </border>
    <border>
      <left/>
      <right/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 style="thin">
        <color indexed="8"/>
      </bottom>
    </border>
    <border>
      <left style="thin"/>
      <right style="thin"/>
      <top/>
      <bottom/>
    </border>
    <border>
      <left style="thin"/>
      <right style="thin"/>
      <top style="thin">
        <color indexed="8"/>
      </top>
      <bottom/>
    </border>
    <border>
      <left style="thin"/>
      <right style="thin"/>
      <top style="thin">
        <color indexed="8"/>
      </top>
      <bottom style="thin"/>
    </border>
    <border>
      <left style="thin">
        <color indexed="65"/>
      </left>
      <right/>
      <top/>
      <bottom/>
    </border>
    <border>
      <left style="thin"/>
      <right/>
      <top style="thin"/>
      <bottom/>
    </border>
    <border>
      <left style="thin">
        <color indexed="8"/>
      </left>
      <right/>
      <top style="thin"/>
      <bottom/>
    </border>
    <border>
      <left/>
      <right/>
      <top style="thin"/>
      <bottom/>
    </border>
    <border>
      <left style="thin"/>
      <right/>
      <top style="thin">
        <color indexed="65"/>
      </top>
      <bottom/>
    </border>
    <border>
      <left style="thin"/>
      <right/>
      <top style="thin">
        <color indexed="65"/>
      </top>
      <bottom style="thin"/>
    </border>
    <border>
      <left style="thin">
        <color indexed="8"/>
      </left>
      <right/>
      <top style="thin">
        <color indexed="65"/>
      </top>
      <bottom style="thin"/>
    </border>
    <border>
      <left style="thin">
        <color indexed="8"/>
      </left>
      <right/>
      <top style="thin">
        <color indexed="8"/>
      </top>
      <bottom style="thin"/>
    </border>
    <border>
      <left/>
      <right/>
      <top style="thin">
        <color indexed="8"/>
      </top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>
        <color indexed="8"/>
      </left>
      <right style="thin"/>
      <top style="thin">
        <color indexed="8"/>
      </top>
      <bottom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/>
      <top style="thin"/>
      <bottom/>
    </border>
    <border>
      <left style="thin">
        <color indexed="65"/>
      </left>
      <right/>
      <top style="thin">
        <color indexed="65"/>
      </top>
      <bottom/>
    </border>
    <border>
      <left style="thin">
        <color indexed="65"/>
      </left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/>
      <right/>
      <top/>
      <bottom style="thin"/>
    </border>
    <border>
      <left style="thin"/>
      <right/>
      <top/>
      <bottom/>
    </border>
    <border>
      <left/>
      <right style="thin"/>
      <top/>
      <bottom/>
    </border>
    <border>
      <left style="thin">
        <color indexed="8"/>
      </left>
      <right/>
      <top/>
      <bottom style="thin">
        <color indexed="8"/>
      </bottom>
    </border>
    <border>
      <left/>
      <right/>
      <top/>
      <bottom style="thin">
        <color indexed="8"/>
      </bottom>
    </border>
    <border>
      <left/>
      <right style="thin"/>
      <top/>
      <bottom style="thin">
        <color indexed="8"/>
      </bottom>
    </border>
    <border>
      <left style="thin"/>
      <right/>
      <top style="thin">
        <color indexed="8"/>
      </top>
      <bottom style="thin"/>
    </border>
    <border>
      <left/>
      <right style="thin"/>
      <top style="thin">
        <color indexed="8"/>
      </top>
      <bottom style="thin"/>
    </border>
    <border>
      <left style="thin"/>
      <right style="thin"/>
      <top style="thin"/>
      <bottom style="thin"/>
    </border>
    <border>
      <left style="thin">
        <color indexed="8"/>
      </left>
      <right/>
      <top style="thin"/>
      <bottom style="thin"/>
    </border>
    <border>
      <left style="thin">
        <color indexed="65"/>
      </left>
      <right/>
      <top style="thin">
        <color indexed="8"/>
      </top>
      <bottom style="thin">
        <color indexed="8"/>
      </bottom>
    </border>
    <border>
      <left/>
      <right style="thin"/>
      <top/>
      <bottom style="thin"/>
    </border>
    <border>
      <left style="thin"/>
      <right/>
      <top style="thin">
        <color indexed="8"/>
      </top>
      <bottom/>
    </border>
    <border>
      <left style="thin">
        <color indexed="8"/>
      </left>
      <right style="thin"/>
      <top/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 style="medium"/>
      <right style="thin"/>
      <top style="thin"/>
      <bottom style="thin"/>
    </border>
    <border>
      <left style="medium"/>
      <right/>
      <top style="thin">
        <color indexed="8"/>
      </top>
      <bottom/>
    </border>
    <border>
      <left style="medium"/>
      <right/>
      <top/>
      <bottom/>
    </border>
    <border>
      <left style="medium"/>
      <right/>
      <top style="thin">
        <color indexed="8"/>
      </top>
      <bottom style="medium"/>
    </border>
    <border>
      <left style="thin">
        <color indexed="8"/>
      </left>
      <right/>
      <top style="thin">
        <color indexed="8"/>
      </top>
      <bottom style="medium"/>
    </border>
    <border>
      <left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>
        <color indexed="8"/>
      </left>
      <right style="medium"/>
      <top style="thin">
        <color indexed="8"/>
      </top>
      <bottom/>
    </border>
    <border>
      <left style="thin">
        <color indexed="8"/>
      </left>
      <right style="medium"/>
      <top/>
      <bottom/>
    </border>
    <border>
      <left style="thin">
        <color indexed="8"/>
      </left>
      <right style="medium"/>
      <top style="thin">
        <color indexed="8"/>
      </top>
      <bottom style="medium"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thin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/>
      <bottom style="thin">
        <color indexed="8"/>
      </bottom>
    </border>
    <border>
      <left/>
      <right style="thin"/>
      <top/>
      <bottom/>
      <diagonal/>
    </border>
    <border>
      <left/>
      <right/>
      <top/>
      <bottom style="thin">
        <color indexed="8"/>
      </bottom>
      <diagonal/>
    </border>
    <border>
      <left/>
      <right style="thin"/>
      <top/>
      <bottom style="thin">
        <color indexed="8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</borders>
  <cellStyleXfs count="51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3" borderId="5"/>
    <xf numFmtId="0" fontId="16" fillId="4" borderId="6"/>
    <xf numFmtId="0" fontId="17" fillId="4" borderId="5"/>
    <xf numFmtId="0" fontId="18" fillId="5" borderId="7"/>
    <xf numFmtId="0" fontId="19" fillId="0" borderId="8"/>
    <xf numFmtId="0" fontId="20" fillId="0" borderId="9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24" fillId="12" borderId="0"/>
    <xf numFmtId="0" fontId="24" fillId="13" borderId="0"/>
    <xf numFmtId="0" fontId="0" fillId="14" borderId="0"/>
    <xf numFmtId="0" fontId="0" fillId="15" borderId="0"/>
    <xf numFmtId="0" fontId="24" fillId="16" borderId="0"/>
    <xf numFmtId="0" fontId="24" fillId="17" borderId="0"/>
    <xf numFmtId="0" fontId="0" fillId="18" borderId="0"/>
    <xf numFmtId="0" fontId="0" fillId="19" borderId="0"/>
    <xf numFmtId="0" fontId="24" fillId="20" borderId="0"/>
    <xf numFmtId="0" fontId="24" fillId="21" borderId="0"/>
    <xf numFmtId="0" fontId="0" fillId="22" borderId="0"/>
    <xf numFmtId="0" fontId="0" fillId="23" borderId="0"/>
    <xf numFmtId="0" fontId="24" fillId="24" borderId="0"/>
    <xf numFmtId="0" fontId="24" fillId="25" borderId="0"/>
    <xf numFmtId="0" fontId="0" fillId="26" borderId="0"/>
    <xf numFmtId="0" fontId="0" fillId="27" borderId="0"/>
    <xf numFmtId="0" fontId="24" fillId="28" borderId="0"/>
    <xf numFmtId="0" fontId="24" fillId="29" borderId="0"/>
    <xf numFmtId="0" fontId="0" fillId="30" borderId="0"/>
    <xf numFmtId="0" fontId="0" fillId="31" borderId="0"/>
    <xf numFmtId="0" fontId="24" fillId="32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0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4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18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2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26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30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1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5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19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3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27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0" fillId="31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2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16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0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4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28" borderId="0"/>
    <xf numFmtId="0" fontId="24" fillId="32" borderId="0"/>
    <xf numFmtId="0" fontId="24" fillId="32" borderId="0"/>
    <xf numFmtId="0" fontId="24" fillId="32" borderId="0"/>
    <xf numFmtId="0" fontId="24" fillId="32" borderId="0"/>
    <xf numFmtId="0" fontId="24" fillId="32" borderId="0"/>
    <xf numFmtId="0" fontId="24" fillId="32" borderId="0"/>
    <xf numFmtId="0" fontId="24" fillId="32" borderId="0"/>
    <xf numFmtId="0" fontId="24" fillId="32" borderId="0"/>
    <xf numFmtId="0" fontId="24" fillId="32" borderId="0"/>
    <xf numFmtId="0" fontId="24" fillId="32" borderId="0"/>
    <xf numFmtId="0" fontId="24" fillId="32" borderId="0"/>
    <xf numFmtId="9" fontId="0" fillId="0" borderId="0"/>
    <xf numFmtId="0" fontId="12" fillId="0" borderId="2"/>
    <xf numFmtId="0" fontId="12" fillId="0" borderId="2"/>
    <xf numFmtId="0" fontId="12" fillId="0" borderId="2"/>
    <xf numFmtId="0" fontId="12" fillId="0" borderId="2"/>
    <xf numFmtId="0" fontId="12" fillId="0" borderId="2"/>
    <xf numFmtId="0" fontId="12" fillId="0" borderId="2"/>
    <xf numFmtId="0" fontId="12" fillId="0" borderId="2"/>
    <xf numFmtId="0" fontId="12" fillId="0" borderId="2"/>
    <xf numFmtId="0" fontId="12" fillId="0" borderId="2"/>
    <xf numFmtId="0" fontId="12" fillId="0" borderId="2"/>
    <xf numFmtId="0" fontId="12" fillId="0" borderId="2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3" fillId="0" borderId="3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4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2" fillId="7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0" fillId="0" borderId="0" applyAlignment="1">
      <alignment vertical="center"/>
    </xf>
    <xf numFmtId="0" fontId="21" fillId="6" borderId="0"/>
    <xf numFmtId="0" fontId="21" fillId="6" borderId="0"/>
    <xf numFmtId="0" fontId="21" fillId="6" borderId="0"/>
    <xf numFmtId="0" fontId="21" fillId="6" borderId="0"/>
    <xf numFmtId="0" fontId="21" fillId="6" borderId="0"/>
    <xf numFmtId="0" fontId="21" fillId="6" borderId="0"/>
    <xf numFmtId="0" fontId="21" fillId="6" borderId="0"/>
    <xf numFmtId="0" fontId="21" fillId="6" borderId="0"/>
    <xf numFmtId="0" fontId="21" fillId="6" borderId="0"/>
    <xf numFmtId="0" fontId="21" fillId="6" borderId="0"/>
    <xf numFmtId="0" fontId="21" fillId="6" borderId="0"/>
    <xf numFmtId="0" fontId="20" fillId="0" borderId="9"/>
    <xf numFmtId="0" fontId="20" fillId="0" borderId="9"/>
    <xf numFmtId="0" fontId="20" fillId="0" borderId="9"/>
    <xf numFmtId="0" fontId="20" fillId="0" borderId="9"/>
    <xf numFmtId="0" fontId="20" fillId="0" borderId="9"/>
    <xf numFmtId="0" fontId="20" fillId="0" borderId="9"/>
    <xf numFmtId="0" fontId="20" fillId="0" borderId="9"/>
    <xf numFmtId="0" fontId="20" fillId="0" borderId="9"/>
    <xf numFmtId="0" fontId="20" fillId="0" borderId="9"/>
    <xf numFmtId="0" fontId="20" fillId="0" borderId="9"/>
    <xf numFmtId="0" fontId="20" fillId="0" borderId="9"/>
    <xf numFmtId="0" fontId="17" fillId="4" borderId="5"/>
    <xf numFmtId="0" fontId="17" fillId="4" borderId="5"/>
    <xf numFmtId="0" fontId="17" fillId="4" borderId="5"/>
    <xf numFmtId="0" fontId="17" fillId="4" borderId="5"/>
    <xf numFmtId="0" fontId="17" fillId="4" borderId="5"/>
    <xf numFmtId="0" fontId="17" fillId="4" borderId="5"/>
    <xf numFmtId="0" fontId="17" fillId="4" borderId="5"/>
    <xf numFmtId="0" fontId="17" fillId="4" borderId="5"/>
    <xf numFmtId="0" fontId="17" fillId="4" borderId="5"/>
    <xf numFmtId="0" fontId="17" fillId="4" borderId="5"/>
    <xf numFmtId="0" fontId="17" fillId="4" borderId="5"/>
    <xf numFmtId="0" fontId="18" fillId="5" borderId="7"/>
    <xf numFmtId="0" fontId="18" fillId="5" borderId="7"/>
    <xf numFmtId="0" fontId="18" fillId="5" borderId="7"/>
    <xf numFmtId="0" fontId="18" fillId="5" borderId="7"/>
    <xf numFmtId="0" fontId="18" fillId="5" borderId="7"/>
    <xf numFmtId="0" fontId="18" fillId="5" borderId="7"/>
    <xf numFmtId="0" fontId="18" fillId="5" borderId="7"/>
    <xf numFmtId="0" fontId="18" fillId="5" borderId="7"/>
    <xf numFmtId="0" fontId="18" fillId="5" borderId="7"/>
    <xf numFmtId="0" fontId="18" fillId="5" borderId="7"/>
    <xf numFmtId="0" fontId="18" fillId="5" borderId="7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" fillId="0" borderId="8"/>
    <xf numFmtId="0" fontId="19" fillId="0" borderId="8"/>
    <xf numFmtId="0" fontId="19" fillId="0" borderId="8"/>
    <xf numFmtId="0" fontId="19" fillId="0" borderId="8"/>
    <xf numFmtId="0" fontId="19" fillId="0" borderId="8"/>
    <xf numFmtId="0" fontId="19" fillId="0" borderId="8"/>
    <xf numFmtId="0" fontId="19" fillId="0" borderId="8"/>
    <xf numFmtId="0" fontId="19" fillId="0" borderId="8"/>
    <xf numFmtId="0" fontId="19" fillId="0" borderId="8"/>
    <xf numFmtId="0" fontId="19" fillId="0" borderId="8"/>
    <xf numFmtId="0" fontId="19" fillId="0" borderId="8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9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3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17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1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5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4" fillId="29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23" fillId="8" borderId="0"/>
    <xf numFmtId="0" fontId="16" fillId="4" borderId="6"/>
    <xf numFmtId="0" fontId="16" fillId="4" borderId="6"/>
    <xf numFmtId="0" fontId="16" fillId="4" borderId="6"/>
    <xf numFmtId="0" fontId="16" fillId="4" borderId="6"/>
    <xf numFmtId="0" fontId="16" fillId="4" borderId="6"/>
    <xf numFmtId="0" fontId="16" fillId="4" borderId="6"/>
    <xf numFmtId="0" fontId="16" fillId="4" borderId="6"/>
    <xf numFmtId="0" fontId="16" fillId="4" borderId="6"/>
    <xf numFmtId="0" fontId="16" fillId="4" borderId="6"/>
    <xf numFmtId="0" fontId="16" fillId="4" borderId="6"/>
    <xf numFmtId="0" fontId="16" fillId="4" borderId="6"/>
    <xf numFmtId="0" fontId="15" fillId="3" borderId="5"/>
    <xf numFmtId="0" fontId="15" fillId="3" borderId="5"/>
    <xf numFmtId="0" fontId="15" fillId="3" borderId="5"/>
    <xf numFmtId="0" fontId="15" fillId="3" borderId="5"/>
    <xf numFmtId="0" fontId="15" fillId="3" borderId="5"/>
    <xf numFmtId="0" fontId="15" fillId="3" borderId="5"/>
    <xf numFmtId="0" fontId="15" fillId="3" borderId="5"/>
    <xf numFmtId="0" fontId="15" fillId="3" borderId="5"/>
    <xf numFmtId="0" fontId="15" fillId="3" borderId="5"/>
    <xf numFmtId="0" fontId="15" fillId="3" borderId="5"/>
    <xf numFmtId="0" fontId="15" fillId="3" borderId="5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0" fillId="2" borderId="1"/>
    <xf numFmtId="0" fontId="7" fillId="0" borderId="0" applyAlignment="1">
      <alignment vertical="center"/>
    </xf>
  </cellStyleXfs>
  <cellXfs count="30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26" borderId="11" applyAlignment="1" pivotButton="0" quotePrefix="0" xfId="0">
      <alignment horizontal="center" vertical="center"/>
    </xf>
    <xf numFmtId="0" fontId="2" fillId="26" borderId="12" applyAlignment="1" pivotButton="0" quotePrefix="0" xfId="0">
      <alignment horizontal="center" vertical="center"/>
    </xf>
    <xf numFmtId="0" fontId="2" fillId="26" borderId="11" applyAlignment="1" pivotButton="0" quotePrefix="0" xfId="0">
      <alignment horizontal="center" vertical="center"/>
    </xf>
    <xf numFmtId="0" fontId="2" fillId="26" borderId="13" applyAlignment="1" pivotButton="0" quotePrefix="0" xfId="0">
      <alignment horizontal="center" vertical="center"/>
    </xf>
    <xf numFmtId="0" fontId="2" fillId="33" borderId="14" applyAlignment="1" pivotButton="0" quotePrefix="0" xfId="0">
      <alignment vertical="center"/>
    </xf>
    <xf numFmtId="0" fontId="2" fillId="33" borderId="15" applyAlignment="1" pivotButton="0" quotePrefix="0" xfId="0">
      <alignment vertical="center"/>
    </xf>
    <xf numFmtId="0" fontId="2" fillId="33" borderId="16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2" fillId="33" borderId="17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9" fontId="2" fillId="0" borderId="14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9" fontId="2" fillId="0" borderId="17" applyAlignment="1" pivotButton="0" quotePrefix="0" xfId="0">
      <alignment vertical="center"/>
    </xf>
    <xf numFmtId="0" fontId="2" fillId="33" borderId="20" applyAlignment="1" pivotButton="0" quotePrefix="0" xfId="0">
      <alignment vertical="center"/>
    </xf>
    <xf numFmtId="0" fontId="2" fillId="33" borderId="21" applyAlignment="1" pivotButton="0" quotePrefix="0" xfId="0">
      <alignment vertical="center"/>
    </xf>
    <xf numFmtId="0" fontId="2" fillId="33" borderId="20" applyAlignment="1" pivotButton="0" quotePrefix="0" xfId="0">
      <alignment vertical="center"/>
    </xf>
    <xf numFmtId="0" fontId="2" fillId="33" borderId="22" applyAlignment="1" pivotButton="0" quotePrefix="0" xfId="0">
      <alignment vertical="center"/>
    </xf>
    <xf numFmtId="9" fontId="2" fillId="33" borderId="20" applyAlignment="1" pivotButton="0" quotePrefix="0" xfId="0">
      <alignment vertical="center"/>
    </xf>
    <xf numFmtId="0" fontId="2" fillId="33" borderId="23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9" fontId="2" fillId="0" borderId="23" applyAlignment="1" pivotButton="0" quotePrefix="0" xfId="0">
      <alignment vertical="center"/>
    </xf>
    <xf numFmtId="9" fontId="2" fillId="33" borderId="2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164" fontId="4" fillId="0" borderId="19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164" fontId="4" fillId="0" borderId="34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164" fontId="4" fillId="0" borderId="29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29" applyAlignment="1" pivotButton="0" quotePrefix="0" xfId="0">
      <alignment vertical="center"/>
    </xf>
    <xf numFmtId="164" fontId="4" fillId="0" borderId="29" applyAlignment="1" pivotButton="0" quotePrefix="0" xfId="0">
      <alignment vertical="center"/>
    </xf>
    <xf numFmtId="0" fontId="4" fillId="0" borderId="30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164" fontId="4" fillId="0" borderId="19" applyAlignment="1" pivotButton="0" quotePrefix="0" xfId="0">
      <alignment vertical="center"/>
    </xf>
    <xf numFmtId="0" fontId="4" fillId="0" borderId="31" applyAlignment="1" pivotButton="0" quotePrefix="0" xfId="0">
      <alignment vertical="center"/>
    </xf>
    <xf numFmtId="0" fontId="4" fillId="0" borderId="32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164" fontId="4" fillId="0" borderId="34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9" fontId="4" fillId="34" borderId="35" applyAlignment="1" pivotButton="0" quotePrefix="0" xfId="0">
      <alignment horizontal="center" vertical="center"/>
    </xf>
    <xf numFmtId="165" fontId="4" fillId="34" borderId="35" applyAlignment="1" pivotButton="0" quotePrefix="0" xfId="0">
      <alignment horizontal="center" vertical="center"/>
    </xf>
    <xf numFmtId="9" fontId="4" fillId="34" borderId="36" applyAlignment="1" pivotButton="0" quotePrefix="0" xfId="0">
      <alignment horizontal="center" vertical="center"/>
    </xf>
    <xf numFmtId="165" fontId="4" fillId="34" borderId="36" applyAlignment="1" pivotButton="0" quotePrefix="0" xfId="0">
      <alignment horizontal="center" vertical="center"/>
    </xf>
    <xf numFmtId="9" fontId="4" fillId="0" borderId="14" applyAlignment="1" pivotButton="0" quotePrefix="0" xfId="0">
      <alignment vertical="center"/>
    </xf>
    <xf numFmtId="165" fontId="4" fillId="0" borderId="37" applyAlignment="1" pivotButton="0" quotePrefix="0" xfId="0">
      <alignment vertical="center"/>
    </xf>
    <xf numFmtId="9" fontId="4" fillId="0" borderId="33" applyAlignment="1" pivotButton="0" quotePrefix="0" xfId="0">
      <alignment vertical="center"/>
    </xf>
    <xf numFmtId="165" fontId="4" fillId="0" borderId="38" applyAlignment="1" pivotButton="0" quotePrefix="0" xfId="0">
      <alignment vertical="center"/>
    </xf>
    <xf numFmtId="9" fontId="4" fillId="0" borderId="28" applyAlignment="1" pivotButton="0" quotePrefix="0" xfId="0">
      <alignment vertical="center"/>
    </xf>
    <xf numFmtId="165" fontId="4" fillId="0" borderId="39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9" fontId="4" fillId="0" borderId="28" applyAlignment="1" pivotButton="0" quotePrefix="0" xfId="0">
      <alignment vertical="center"/>
    </xf>
    <xf numFmtId="165" fontId="4" fillId="0" borderId="39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9" fontId="4" fillId="0" borderId="14" applyAlignment="1" pivotButton="0" quotePrefix="0" xfId="0">
      <alignment vertical="center"/>
    </xf>
    <xf numFmtId="165" fontId="4" fillId="0" borderId="37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9" fontId="4" fillId="0" borderId="33" applyAlignment="1" pivotButton="0" quotePrefix="0" xfId="0">
      <alignment vertical="center"/>
    </xf>
    <xf numFmtId="165" fontId="4" fillId="0" borderId="38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28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5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9" fontId="4" fillId="0" borderId="0" applyAlignment="1" pivotButton="0" quotePrefix="0" xfId="22">
      <alignment vertical="center"/>
    </xf>
    <xf numFmtId="165" fontId="4" fillId="0" borderId="0" applyAlignment="1" pivotButton="0" quotePrefix="0" xfId="0">
      <alignment vertical="center"/>
    </xf>
    <xf numFmtId="0" fontId="4" fillId="0" borderId="4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41" applyAlignment="1" pivotButton="0" quotePrefix="0" xfId="0">
      <alignment vertical="center"/>
    </xf>
    <xf numFmtId="0" fontId="4" fillId="0" borderId="4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164" fontId="2" fillId="35" borderId="35" applyAlignment="1" pivotButton="0" quotePrefix="0" xfId="0">
      <alignment horizontal="center" vertical="center" wrapText="1"/>
    </xf>
    <xf numFmtId="9" fontId="2" fillId="36" borderId="27" applyAlignment="1" pivotButton="0" quotePrefix="0" xfId="22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2" fillId="35" borderId="36" applyAlignment="1" pivotButton="0" quotePrefix="0" xfId="0">
      <alignment horizontal="center" vertical="center" wrapText="1"/>
    </xf>
    <xf numFmtId="9" fontId="2" fillId="36" borderId="43" applyAlignment="1" pivotButton="0" quotePrefix="0" xfId="22">
      <alignment horizontal="center" vertical="center" wrapText="1"/>
    </xf>
    <xf numFmtId="0" fontId="4" fillId="0" borderId="19" applyAlignment="1" pivotButton="0" quotePrefix="0" xfId="0">
      <alignment vertical="center"/>
    </xf>
    <xf numFmtId="164" fontId="2" fillId="0" borderId="44" applyAlignment="1" pivotButton="0" quotePrefix="0" xfId="0">
      <alignment vertical="center"/>
    </xf>
    <xf numFmtId="9" fontId="2" fillId="0" borderId="45" applyAlignment="1" pivotButton="0" quotePrefix="0" xfId="22">
      <alignment vertical="center"/>
    </xf>
    <xf numFmtId="164" fontId="2" fillId="0" borderId="11" applyAlignment="1" pivotButton="0" quotePrefix="0" xfId="0">
      <alignment vertical="center"/>
    </xf>
    <xf numFmtId="9" fontId="2" fillId="0" borderId="12" applyAlignment="1" pivotButton="0" quotePrefix="0" xfId="22">
      <alignment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166" fontId="4" fillId="22" borderId="36" applyAlignment="1" pivotButton="0" quotePrefix="0" xfId="0">
      <alignment horizontal="center" vertical="center" wrapText="1"/>
    </xf>
    <xf numFmtId="167" fontId="4" fillId="22" borderId="36" applyAlignment="1" pivotButton="0" quotePrefix="0" xfId="0">
      <alignment horizontal="center" vertical="center" wrapText="1"/>
    </xf>
    <xf numFmtId="164" fontId="4" fillId="35" borderId="36" applyAlignment="1" pivotButton="0" quotePrefix="0" xfId="0">
      <alignment horizontal="center" vertical="center" wrapText="1"/>
    </xf>
    <xf numFmtId="0" fontId="4" fillId="0" borderId="49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50" applyAlignment="1" pivotButton="0" quotePrefix="0" xfId="0">
      <alignment horizontal="center" vertical="center"/>
    </xf>
    <xf numFmtId="165" fontId="4" fillId="37" borderId="51" applyAlignment="1" pivotButton="0" quotePrefix="0" xfId="0">
      <alignment horizontal="center" vertical="center"/>
    </xf>
    <xf numFmtId="166" fontId="4" fillId="22" borderId="51" applyAlignment="1" pivotButton="0" quotePrefix="0" xfId="0">
      <alignment horizontal="center" vertical="center" wrapText="1"/>
    </xf>
    <xf numFmtId="167" fontId="4" fillId="22" borderId="51" applyAlignment="1" pivotButton="0" quotePrefix="0" xfId="0">
      <alignment horizontal="center" vertical="center" wrapText="1"/>
    </xf>
    <xf numFmtId="164" fontId="4" fillId="35" borderId="5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/>
    </xf>
    <xf numFmtId="165" fontId="4" fillId="37" borderId="0" applyAlignment="1" pivotButton="0" quotePrefix="0" xfId="0">
      <alignment vertical="center"/>
    </xf>
    <xf numFmtId="166" fontId="4" fillId="0" borderId="44" applyAlignment="1" pivotButton="0" quotePrefix="0" xfId="0">
      <alignment vertical="center"/>
    </xf>
    <xf numFmtId="164" fontId="4" fillId="0" borderId="45" applyAlignment="1" pivotButton="0" quotePrefix="0" xfId="0">
      <alignment vertical="center"/>
    </xf>
    <xf numFmtId="164" fontId="4" fillId="0" borderId="51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164" fontId="4" fillId="0" borderId="13" applyAlignment="1" pivotButton="0" quotePrefix="0" xfId="0">
      <alignment vertical="center"/>
    </xf>
    <xf numFmtId="166" fontId="4" fillId="0" borderId="11" applyAlignment="1" pivotButton="0" quotePrefix="0" xfId="0">
      <alignment vertical="center"/>
    </xf>
    <xf numFmtId="164" fontId="4" fillId="0" borderId="12" applyAlignment="1" pivotButton="0" quotePrefix="0" xfId="0">
      <alignment vertical="center"/>
    </xf>
    <xf numFmtId="9" fontId="4" fillId="36" borderId="36" applyAlignment="1" pivotButton="0" quotePrefix="0" xfId="0">
      <alignment horizontal="center" vertical="center" wrapText="1"/>
    </xf>
    <xf numFmtId="0" fontId="5" fillId="33" borderId="23" applyAlignment="1" pivotButton="0" quotePrefix="0" xfId="0">
      <alignment horizontal="center" vertical="center"/>
    </xf>
    <xf numFmtId="9" fontId="4" fillId="36" borderId="51" applyAlignment="1" pivotButton="0" quotePrefix="0" xfId="0">
      <alignment horizontal="center" vertical="center" wrapText="1"/>
    </xf>
    <xf numFmtId="0" fontId="5" fillId="33" borderId="36" applyAlignment="1" pivotButton="0" quotePrefix="0" xfId="0">
      <alignment horizontal="center" vertical="center"/>
    </xf>
    <xf numFmtId="9" fontId="4" fillId="0" borderId="51" applyAlignment="1" pivotButton="0" quotePrefix="0" xfId="0">
      <alignment vertical="center"/>
    </xf>
    <xf numFmtId="164" fontId="4" fillId="0" borderId="51" applyAlignment="1" pivotButton="0" quotePrefix="0" xfId="0">
      <alignment vertical="center"/>
    </xf>
    <xf numFmtId="0" fontId="4" fillId="0" borderId="52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53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164" fontId="4" fillId="0" borderId="22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9" fontId="0" fillId="0" borderId="0" applyAlignment="1" pivotButton="0" quotePrefix="0" xfId="22">
      <alignment vertical="center"/>
    </xf>
    <xf numFmtId="166" fontId="4" fillId="0" borderId="43" applyAlignment="1" pivotButton="0" quotePrefix="0" xfId="0">
      <alignment vertical="center"/>
    </xf>
    <xf numFmtId="164" fontId="4" fillId="0" borderId="54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33" borderId="51" applyAlignment="1" pivotButton="0" quotePrefix="0" xfId="0">
      <alignment vertical="center"/>
    </xf>
    <xf numFmtId="0" fontId="4" fillId="33" borderId="11" applyAlignment="1" pivotButton="0" quotePrefix="0" xfId="0">
      <alignment vertical="center"/>
    </xf>
    <xf numFmtId="166" fontId="2" fillId="33" borderId="12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164" fontId="4" fillId="0" borderId="14" applyAlignment="1" pivotButton="0" quotePrefix="0" xfId="0">
      <alignment vertical="center"/>
    </xf>
    <xf numFmtId="0" fontId="4" fillId="0" borderId="44" applyAlignment="1" pivotButton="0" quotePrefix="0" xfId="0">
      <alignment vertical="center"/>
    </xf>
    <xf numFmtId="164" fontId="4" fillId="0" borderId="17" applyAlignment="1" pivotButton="0" quotePrefix="0" xfId="0">
      <alignment vertical="center"/>
    </xf>
    <xf numFmtId="165" fontId="4" fillId="0" borderId="56" applyAlignment="1" pivotButton="0" quotePrefix="0" xfId="0">
      <alignment vertical="center"/>
    </xf>
    <xf numFmtId="0" fontId="4" fillId="33" borderId="49" applyAlignment="1" pivotButton="0" quotePrefix="0" xfId="0">
      <alignment vertical="center"/>
    </xf>
    <xf numFmtId="164" fontId="4" fillId="33" borderId="33" applyAlignment="1" pivotButton="0" quotePrefix="0" xfId="0">
      <alignment vertical="center"/>
    </xf>
    <xf numFmtId="165" fontId="4" fillId="33" borderId="3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33" borderId="51" applyAlignment="1" pivotButton="0" quotePrefix="0" xfId="0">
      <alignment vertical="center"/>
    </xf>
    <xf numFmtId="0" fontId="4" fillId="33" borderId="51" applyAlignment="1" pivotButton="0" quotePrefix="0" xfId="0">
      <alignment vertical="center"/>
    </xf>
    <xf numFmtId="9" fontId="4" fillId="0" borderId="24" applyAlignment="1" pivotButton="0" quotePrefix="0" xfId="0">
      <alignment vertical="center"/>
    </xf>
    <xf numFmtId="9" fontId="4" fillId="0" borderId="17" applyAlignment="1" pivotButton="0" quotePrefix="0" xfId="0">
      <alignment vertical="center"/>
    </xf>
    <xf numFmtId="9" fontId="4" fillId="0" borderId="23" applyAlignment="1" pivotButton="0" quotePrefix="0" xfId="0">
      <alignment vertical="center"/>
    </xf>
    <xf numFmtId="0" fontId="4" fillId="33" borderId="20" applyAlignment="1" pivotButton="0" quotePrefix="0" xfId="0">
      <alignment vertical="center"/>
    </xf>
    <xf numFmtId="164" fontId="4" fillId="33" borderId="20" applyAlignment="1" pivotButton="0" quotePrefix="0" xfId="0">
      <alignment vertical="center"/>
    </xf>
    <xf numFmtId="9" fontId="4" fillId="33" borderId="20" applyAlignment="1" pivotButton="0" quotePrefix="0" xfId="0">
      <alignment vertical="center"/>
    </xf>
    <xf numFmtId="9" fontId="4" fillId="33" borderId="25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164" fontId="4" fillId="0" borderId="14" applyAlignment="1" pivotButton="0" quotePrefix="0" xfId="0">
      <alignment vertical="center"/>
    </xf>
    <xf numFmtId="164" fontId="4" fillId="0" borderId="57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164" fontId="4" fillId="0" borderId="17" applyAlignment="1" pivotButton="0" quotePrefix="0" xfId="0">
      <alignment vertical="center"/>
    </xf>
    <xf numFmtId="164" fontId="4" fillId="0" borderId="18" applyAlignment="1" pivotButton="0" quotePrefix="0" xfId="0">
      <alignment vertical="center"/>
    </xf>
    <xf numFmtId="0" fontId="4" fillId="33" borderId="20" applyAlignment="1" pivotButton="0" quotePrefix="0" xfId="0">
      <alignment vertical="center"/>
    </xf>
    <xf numFmtId="164" fontId="4" fillId="33" borderId="20" applyAlignment="1" pivotButton="0" quotePrefix="0" xfId="0">
      <alignment vertical="center"/>
    </xf>
    <xf numFmtId="164" fontId="4" fillId="33" borderId="21" applyAlignment="1" pivotButton="0" quotePrefix="0" xfId="0">
      <alignment vertical="center"/>
    </xf>
    <xf numFmtId="0" fontId="4" fillId="0" borderId="10" applyAlignment="1" pivotButton="0" quotePrefix="0" xfId="342">
      <alignment vertical="center"/>
    </xf>
    <xf numFmtId="0" fontId="4" fillId="0" borderId="40" applyAlignment="1" pivotButton="0" quotePrefix="0" xfId="342">
      <alignment vertical="center"/>
    </xf>
    <xf numFmtId="0" fontId="4" fillId="0" borderId="58" applyAlignment="1" pivotButton="0" quotePrefix="0" xfId="342">
      <alignment horizontal="center" vertical="center" wrapText="1"/>
    </xf>
    <xf numFmtId="0" fontId="4" fillId="0" borderId="59" applyAlignment="1" pivotButton="0" quotePrefix="0" xfId="342">
      <alignment horizontal="center" vertical="center" wrapText="1"/>
    </xf>
    <xf numFmtId="0" fontId="4" fillId="0" borderId="14" applyAlignment="1" pivotButton="0" quotePrefix="0" xfId="342">
      <alignment vertical="center"/>
    </xf>
    <xf numFmtId="0" fontId="4" fillId="0" borderId="60" applyAlignment="1" pivotButton="0" quotePrefix="0" xfId="342">
      <alignment horizontal="justify" vertical="center" wrapText="1"/>
    </xf>
    <xf numFmtId="0" fontId="4" fillId="0" borderId="51" applyAlignment="1" pivotButton="0" quotePrefix="0" xfId="342">
      <alignment horizontal="justify" vertical="center" wrapText="1"/>
    </xf>
    <xf numFmtId="0" fontId="4" fillId="0" borderId="61" applyAlignment="1" pivotButton="0" quotePrefix="0" xfId="342">
      <alignment horizontal="center" vertical="center"/>
    </xf>
    <xf numFmtId="0" fontId="4" fillId="0" borderId="14" applyAlignment="1" pivotButton="0" quotePrefix="0" xfId="342">
      <alignment horizontal="center" vertical="center"/>
    </xf>
    <xf numFmtId="0" fontId="4" fillId="0" borderId="17" applyAlignment="1" pivotButton="0" quotePrefix="0" xfId="342">
      <alignment vertical="center"/>
    </xf>
    <xf numFmtId="0" fontId="4" fillId="0" borderId="62" applyAlignment="1" pivotButton="0" quotePrefix="0" xfId="342">
      <alignment horizontal="center" vertical="center"/>
    </xf>
    <xf numFmtId="0" fontId="4" fillId="0" borderId="17" applyAlignment="1" pivotButton="0" quotePrefix="0" xfId="342">
      <alignment horizontal="center" vertical="center"/>
    </xf>
    <xf numFmtId="0" fontId="4" fillId="38" borderId="17" applyAlignment="1" pivotButton="0" quotePrefix="0" xfId="342">
      <alignment vertical="center"/>
    </xf>
    <xf numFmtId="0" fontId="4" fillId="38" borderId="62" applyAlignment="1" pivotButton="0" quotePrefix="0" xfId="342">
      <alignment horizontal="center" vertical="center"/>
    </xf>
    <xf numFmtId="0" fontId="4" fillId="38" borderId="17" applyAlignment="1" pivotButton="0" quotePrefix="0" xfId="342">
      <alignment horizontal="center" vertical="center"/>
    </xf>
    <xf numFmtId="0" fontId="4" fillId="30" borderId="14" applyAlignment="1" pivotButton="0" quotePrefix="0" xfId="342">
      <alignment vertical="center"/>
    </xf>
    <xf numFmtId="0" fontId="4" fillId="30" borderId="41" applyAlignment="1" pivotButton="0" quotePrefix="0" xfId="342">
      <alignment vertical="center"/>
    </xf>
    <xf numFmtId="0" fontId="4" fillId="30" borderId="61" applyAlignment="1" pivotButton="0" quotePrefix="0" xfId="342">
      <alignment horizontal="center" vertical="center"/>
    </xf>
    <xf numFmtId="0" fontId="4" fillId="30" borderId="14" applyAlignment="1" pivotButton="0" quotePrefix="0" xfId="342">
      <alignment horizontal="center" vertical="center"/>
    </xf>
    <xf numFmtId="0" fontId="4" fillId="32" borderId="20" applyAlignment="1" pivotButton="0" quotePrefix="0" xfId="342">
      <alignment vertical="center"/>
    </xf>
    <xf numFmtId="0" fontId="4" fillId="32" borderId="53" applyAlignment="1" pivotButton="0" quotePrefix="0" xfId="342">
      <alignment vertical="center"/>
    </xf>
    <xf numFmtId="0" fontId="4" fillId="32" borderId="63" applyAlignment="1" pivotButton="0" quotePrefix="0" xfId="342">
      <alignment horizontal="center" vertical="center"/>
    </xf>
    <xf numFmtId="0" fontId="4" fillId="32" borderId="64" applyAlignment="1" pivotButton="0" quotePrefix="0" xfId="342">
      <alignment horizontal="center" vertical="center"/>
    </xf>
    <xf numFmtId="0" fontId="6" fillId="0" borderId="65" applyAlignment="1" pivotButton="0" quotePrefix="0" xfId="342">
      <alignment horizontal="center" vertical="center" wrapText="1"/>
    </xf>
    <xf numFmtId="0" fontId="6" fillId="0" borderId="66" applyAlignment="1" pivotButton="0" quotePrefix="0" xfId="342">
      <alignment horizontal="justify" vertical="center" wrapText="1"/>
    </xf>
    <xf numFmtId="0" fontId="6" fillId="0" borderId="67" applyAlignment="1" pivotButton="0" quotePrefix="0" xfId="342">
      <alignment horizontal="center" vertical="center"/>
    </xf>
    <xf numFmtId="0" fontId="6" fillId="0" borderId="68" applyAlignment="1" pivotButton="0" quotePrefix="0" xfId="342">
      <alignment horizontal="center" vertical="center"/>
    </xf>
    <xf numFmtId="0" fontId="6" fillId="38" borderId="68" applyAlignment="1" pivotButton="0" quotePrefix="0" xfId="342">
      <alignment horizontal="center" vertical="center"/>
    </xf>
    <xf numFmtId="0" fontId="6" fillId="30" borderId="67" applyAlignment="1" pivotButton="0" quotePrefix="0" xfId="342">
      <alignment horizontal="center" vertical="center"/>
    </xf>
    <xf numFmtId="0" fontId="6" fillId="32" borderId="69" applyAlignment="1" pivotButton="0" quotePrefix="0" xfId="342">
      <alignment horizontal="center" vertical="center"/>
    </xf>
    <xf numFmtId="0" fontId="4" fillId="0" borderId="65" applyAlignment="1" pivotButton="0" quotePrefix="0" xfId="342">
      <alignment horizontal="center" vertical="center" wrapText="1"/>
    </xf>
    <xf numFmtId="0" fontId="4" fillId="0" borderId="19" applyAlignment="1" pivotButton="0" quotePrefix="0" xfId="342">
      <alignment horizontal="center" vertical="center"/>
    </xf>
    <xf numFmtId="0" fontId="4" fillId="0" borderId="41" applyAlignment="1" pivotButton="0" quotePrefix="0" xfId="342">
      <alignment horizontal="center" vertical="center"/>
    </xf>
    <xf numFmtId="0" fontId="4" fillId="0" borderId="19" applyAlignment="1" pivotButton="0" quotePrefix="0" xfId="342">
      <alignment horizontal="center" vertical="center"/>
    </xf>
    <xf numFmtId="0" fontId="4" fillId="0" borderId="0" applyAlignment="1" pivotButton="0" quotePrefix="0" xfId="342">
      <alignment horizontal="center" vertical="center"/>
    </xf>
    <xf numFmtId="0" fontId="4" fillId="0" borderId="0" applyAlignment="1" pivotButton="0" quotePrefix="0" xfId="342">
      <alignment horizontal="center" vertical="center"/>
    </xf>
    <xf numFmtId="0" fontId="4" fillId="38" borderId="0" applyAlignment="1" pivotButton="0" quotePrefix="0" xfId="342">
      <alignment horizontal="center" vertical="center"/>
    </xf>
    <xf numFmtId="0" fontId="4" fillId="38" borderId="0" applyAlignment="1" pivotButton="0" quotePrefix="0" xfId="342">
      <alignment horizontal="center" vertical="center"/>
    </xf>
    <xf numFmtId="0" fontId="4" fillId="30" borderId="19" applyAlignment="1" pivotButton="0" quotePrefix="0" xfId="342">
      <alignment horizontal="center" vertical="center"/>
    </xf>
    <xf numFmtId="0" fontId="4" fillId="32" borderId="22" applyAlignment="1" pivotButton="0" quotePrefix="0" xfId="342">
      <alignment horizontal="center" vertical="center"/>
    </xf>
    <xf numFmtId="0" fontId="4" fillId="0" borderId="70" applyAlignment="1" pivotButton="0" quotePrefix="0" xfId="342">
      <alignment vertical="center"/>
    </xf>
    <xf numFmtId="0" fontId="4" fillId="0" borderId="71" applyAlignment="1" pivotButton="0" quotePrefix="0" xfId="342">
      <alignment vertical="center"/>
    </xf>
    <xf numFmtId="9" fontId="4" fillId="0" borderId="60" applyAlignment="1" pivotButton="0" quotePrefix="0" xfId="266">
      <alignment horizontal="center" vertical="center"/>
    </xf>
    <xf numFmtId="166" fontId="4" fillId="0" borderId="66" applyAlignment="1" pivotButton="0" quotePrefix="0" xfId="342">
      <alignment horizontal="center" vertical="center"/>
    </xf>
    <xf numFmtId="9" fontId="4" fillId="38" borderId="60" applyAlignment="1" pivotButton="0" quotePrefix="0" xfId="266">
      <alignment horizontal="center" vertical="center"/>
    </xf>
    <xf numFmtId="166" fontId="4" fillId="38" borderId="66" applyAlignment="1" pivotButton="0" quotePrefix="0" xfId="342">
      <alignment horizontal="center" vertical="center"/>
    </xf>
    <xf numFmtId="9" fontId="4" fillId="30" borderId="60" applyAlignment="1" pivotButton="0" quotePrefix="0" xfId="266">
      <alignment horizontal="center" vertical="center"/>
    </xf>
    <xf numFmtId="166" fontId="4" fillId="30" borderId="66" applyAlignment="1" pivotButton="0" quotePrefix="0" xfId="342">
      <alignment horizontal="center" vertical="center"/>
    </xf>
    <xf numFmtId="9" fontId="4" fillId="30" borderId="72" applyAlignment="1" pivotButton="0" quotePrefix="0" xfId="266">
      <alignment horizontal="center" vertical="center"/>
    </xf>
    <xf numFmtId="166" fontId="4" fillId="30" borderId="73" applyAlignment="1" pivotButton="0" quotePrefix="0" xfId="342">
      <alignment horizontal="center" vertical="center"/>
    </xf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53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74" applyAlignment="1" pivotButton="0" quotePrefix="0" xfId="342">
      <alignment horizontal="center" vertical="center" wrapText="1"/>
    </xf>
    <xf numFmtId="0" fontId="0" fillId="0" borderId="77" pivotButton="0" quotePrefix="0" xfId="0"/>
    <xf numFmtId="0" fontId="0" fillId="0" borderId="78" pivotButton="0" quotePrefix="0" xfId="0"/>
    <xf numFmtId="166" fontId="4" fillId="0" borderId="66" applyAlignment="1" pivotButton="0" quotePrefix="0" xfId="342">
      <alignment horizontal="center" vertical="center"/>
    </xf>
    <xf numFmtId="166" fontId="4" fillId="38" borderId="66" applyAlignment="1" pivotButton="0" quotePrefix="0" xfId="342">
      <alignment horizontal="center" vertical="center"/>
    </xf>
    <xf numFmtId="166" fontId="4" fillId="30" borderId="66" applyAlignment="1" pivotButton="0" quotePrefix="0" xfId="342">
      <alignment horizontal="center" vertical="center"/>
    </xf>
    <xf numFmtId="166" fontId="4" fillId="30" borderId="73" applyAlignment="1" pivotButton="0" quotePrefix="0" xfId="342">
      <alignment horizontal="center" vertical="center"/>
    </xf>
    <xf numFmtId="164" fontId="4" fillId="0" borderId="14" applyAlignment="1" pivotButton="0" quotePrefix="0" xfId="0">
      <alignment vertical="center"/>
    </xf>
    <xf numFmtId="164" fontId="4" fillId="0" borderId="57" applyAlignment="1" pivotButton="0" quotePrefix="0" xfId="0">
      <alignment vertical="center"/>
    </xf>
    <xf numFmtId="164" fontId="4" fillId="0" borderId="17" applyAlignment="1" pivotButton="0" quotePrefix="0" xfId="0">
      <alignment vertical="center"/>
    </xf>
    <xf numFmtId="164" fontId="4" fillId="0" borderId="18" applyAlignment="1" pivotButton="0" quotePrefix="0" xfId="0">
      <alignment vertical="center"/>
    </xf>
    <xf numFmtId="164" fontId="4" fillId="33" borderId="20" applyAlignment="1" pivotButton="0" quotePrefix="0" xfId="0">
      <alignment vertical="center"/>
    </xf>
    <xf numFmtId="164" fontId="4" fillId="33" borderId="21" applyAlignment="1" pivotButton="0" quotePrefix="0" xfId="0">
      <alignment vertical="center"/>
    </xf>
    <xf numFmtId="166" fontId="2" fillId="33" borderId="12" applyAlignment="1" pivotButton="0" quotePrefix="0" xfId="0">
      <alignment vertical="center"/>
    </xf>
    <xf numFmtId="165" fontId="4" fillId="0" borderId="37" applyAlignment="1" pivotButton="0" quotePrefix="0" xfId="0">
      <alignment vertical="center"/>
    </xf>
    <xf numFmtId="165" fontId="4" fillId="0" borderId="56" applyAlignment="1" pivotButton="0" quotePrefix="0" xfId="0">
      <alignment vertical="center"/>
    </xf>
    <xf numFmtId="164" fontId="4" fillId="33" borderId="33" applyAlignment="1" pivotButton="0" quotePrefix="0" xfId="0">
      <alignment vertical="center"/>
    </xf>
    <xf numFmtId="165" fontId="4" fillId="33" borderId="38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4" fillId="0" borderId="57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0" pivotButton="0" quotePrefix="0" xfId="0"/>
    <xf numFmtId="0" fontId="4" fillId="0" borderId="51" applyAlignment="1" pivotButton="0" quotePrefix="0" xfId="0">
      <alignment horizontal="center" vertical="center"/>
    </xf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164" fontId="2" fillId="35" borderId="51" applyAlignment="1" pivotButton="0" quotePrefix="0" xfId="0">
      <alignment horizontal="center" vertical="center" wrapText="1"/>
    </xf>
    <xf numFmtId="9" fontId="2" fillId="36" borderId="11" applyAlignment="1" pivotButton="0" quotePrefix="0" xfId="22">
      <alignment horizontal="center" vertical="center" wrapText="1"/>
    </xf>
    <xf numFmtId="0" fontId="4" fillId="0" borderId="86" applyAlignment="1" pivotButton="0" quotePrefix="0" xfId="0">
      <alignment horizontal="center" vertical="center"/>
    </xf>
    <xf numFmtId="0" fontId="0" fillId="0" borderId="88" pivotButton="0" quotePrefix="0" xfId="0"/>
    <xf numFmtId="0" fontId="0" fillId="0" borderId="89" pivotButton="0" quotePrefix="0" xfId="0"/>
    <xf numFmtId="0" fontId="4" fillId="0" borderId="23" applyAlignment="1" pivotButton="0" quotePrefix="0" xfId="0">
      <alignment horizontal="center" vertical="center"/>
    </xf>
    <xf numFmtId="0" fontId="0" fillId="0" borderId="87" pivotButton="0" quotePrefix="0" xfId="0"/>
    <xf numFmtId="166" fontId="4" fillId="22" borderId="36" applyAlignment="1" pivotButton="0" quotePrefix="0" xfId="0">
      <alignment horizontal="center" vertical="center" wrapText="1"/>
    </xf>
    <xf numFmtId="167" fontId="4" fillId="22" borderId="36" applyAlignment="1" pivotButton="0" quotePrefix="0" xfId="0">
      <alignment horizontal="center" vertical="center" wrapText="1"/>
    </xf>
    <xf numFmtId="164" fontId="4" fillId="35" borderId="36" applyAlignment="1" pivotButton="0" quotePrefix="0" xfId="0">
      <alignment horizontal="center" vertical="center" wrapText="1"/>
    </xf>
    <xf numFmtId="0" fontId="0" fillId="0" borderId="92" pivotButton="0" quotePrefix="0" xfId="0"/>
    <xf numFmtId="0" fontId="0" fillId="0" borderId="93" pivotButton="0" quotePrefix="0" xfId="0"/>
    <xf numFmtId="165" fontId="4" fillId="37" borderId="51" applyAlignment="1" pivotButton="0" quotePrefix="0" xfId="0">
      <alignment horizontal="center" vertical="center"/>
    </xf>
    <xf numFmtId="164" fontId="4" fillId="0" borderId="19" applyAlignment="1" pivotButton="0" quotePrefix="0" xfId="0">
      <alignment vertical="center"/>
    </xf>
    <xf numFmtId="164" fontId="2" fillId="0" borderId="44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37" borderId="0" applyAlignment="1" pivotButton="0" quotePrefix="0" xfId="0">
      <alignment vertical="center"/>
    </xf>
    <xf numFmtId="166" fontId="4" fillId="0" borderId="44" applyAlignment="1" pivotButton="0" quotePrefix="0" xfId="0">
      <alignment vertical="center"/>
    </xf>
    <xf numFmtId="164" fontId="4" fillId="0" borderId="45" applyAlignment="1" pivotButton="0" quotePrefix="0" xfId="0">
      <alignment vertical="center"/>
    </xf>
    <xf numFmtId="164" fontId="4" fillId="0" borderId="51" applyAlignment="1" pivotButton="0" quotePrefix="0" xfId="0">
      <alignment vertical="center"/>
    </xf>
    <xf numFmtId="164" fontId="2" fillId="0" borderId="11" applyAlignment="1" pivotButton="0" quotePrefix="0" xfId="0">
      <alignment vertical="center"/>
    </xf>
    <xf numFmtId="164" fontId="4" fillId="0" borderId="13" applyAlignment="1" pivotButton="0" quotePrefix="0" xfId="0">
      <alignment vertical="center"/>
    </xf>
    <xf numFmtId="166" fontId="4" fillId="0" borderId="11" applyAlignment="1" pivotButton="0" quotePrefix="0" xfId="0">
      <alignment vertical="center"/>
    </xf>
    <xf numFmtId="164" fontId="4" fillId="0" borderId="12" applyAlignment="1" pivotButton="0" quotePrefix="0" xfId="0">
      <alignment vertical="center"/>
    </xf>
    <xf numFmtId="164" fontId="4" fillId="0" borderId="22" applyAlignment="1" pivotButton="0" quotePrefix="0" xfId="0">
      <alignment vertical="center"/>
    </xf>
    <xf numFmtId="166" fontId="4" fillId="0" borderId="43" applyAlignment="1" pivotButton="0" quotePrefix="0" xfId="0">
      <alignment vertical="center"/>
    </xf>
    <xf numFmtId="164" fontId="4" fillId="0" borderId="54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51" applyAlignment="1" pivotButton="0" quotePrefix="0" xfId="0">
      <alignment horizontal="center" vertical="center"/>
    </xf>
    <xf numFmtId="9" fontId="4" fillId="34" borderId="51" applyAlignment="1" pivotButton="0" quotePrefix="0" xfId="0">
      <alignment horizontal="center" vertical="center"/>
    </xf>
    <xf numFmtId="165" fontId="4" fillId="34" borderId="51" applyAlignment="1" pivotButton="0" quotePrefix="0" xfId="0">
      <alignment horizontal="center" vertical="center"/>
    </xf>
    <xf numFmtId="164" fontId="4" fillId="0" borderId="34" applyAlignment="1" pivotButton="0" quotePrefix="0" xfId="0">
      <alignment vertical="center"/>
    </xf>
    <xf numFmtId="165" fontId="4" fillId="0" borderId="38" applyAlignment="1" pivotButton="0" quotePrefix="0" xfId="0">
      <alignment vertical="center"/>
    </xf>
    <xf numFmtId="164" fontId="4" fillId="0" borderId="29" applyAlignment="1" pivotButton="0" quotePrefix="0" xfId="0">
      <alignment vertical="center"/>
    </xf>
    <xf numFmtId="165" fontId="4" fillId="0" borderId="39" applyAlignment="1" pivotButton="0" quotePrefix="0" xfId="0">
      <alignment vertical="center"/>
    </xf>
    <xf numFmtId="0" fontId="2" fillId="26" borderId="51" applyAlignment="1" pivotButton="0" quotePrefix="0" xfId="0">
      <alignment horizontal="center" vertical="center"/>
    </xf>
  </cellXfs>
  <cellStyles count="517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20% - 强调文字颜色 1 10" xfId="54"/>
    <cellStyle name="20% - 强调文字颜色 1 11" xfId="55"/>
    <cellStyle name="20% - 强调文字颜色 1 12" xfId="56"/>
    <cellStyle name="20% - 强调文字颜色 1 2" xfId="57"/>
    <cellStyle name="20% - 强调文字颜色 1 3" xfId="58"/>
    <cellStyle name="20% - 强调文字颜色 1 4" xfId="59"/>
    <cellStyle name="20% - 强调文字颜色 1 5" xfId="60"/>
    <cellStyle name="20% - 强调文字颜色 1 6" xfId="61"/>
    <cellStyle name="20% - 强调文字颜色 1 7" xfId="62"/>
    <cellStyle name="20% - 强调文字颜色 1 8" xfId="63"/>
    <cellStyle name="20% - 强调文字颜色 1 9" xfId="64"/>
    <cellStyle name="20% - 强调文字颜色 2 10" xfId="65"/>
    <cellStyle name="20% - 强调文字颜色 2 11" xfId="66"/>
    <cellStyle name="20% - 强调文字颜色 2 12" xfId="67"/>
    <cellStyle name="20% - 强调文字颜色 2 2" xfId="68"/>
    <cellStyle name="20% - 强调文字颜色 2 3" xfId="69"/>
    <cellStyle name="20% - 强调文字颜色 2 4" xfId="70"/>
    <cellStyle name="20% - 强调文字颜色 2 5" xfId="71"/>
    <cellStyle name="20% - 强调文字颜色 2 6" xfId="72"/>
    <cellStyle name="20% - 强调文字颜色 2 7" xfId="73"/>
    <cellStyle name="20% - 强调文字颜色 2 8" xfId="74"/>
    <cellStyle name="20% - 强调文字颜色 2 9" xfId="75"/>
    <cellStyle name="20% - 强调文字颜色 3 10" xfId="76"/>
    <cellStyle name="20% - 强调文字颜色 3 11" xfId="77"/>
    <cellStyle name="20% - 强调文字颜色 3 12" xfId="78"/>
    <cellStyle name="20% - 强调文字颜色 3 2" xfId="79"/>
    <cellStyle name="20% - 强调文字颜色 3 3" xfId="80"/>
    <cellStyle name="20% - 强调文字颜色 3 4" xfId="81"/>
    <cellStyle name="20% - 强调文字颜色 3 5" xfId="82"/>
    <cellStyle name="20% - 强调文字颜色 3 6" xfId="83"/>
    <cellStyle name="20% - 强调文字颜色 3 7" xfId="84"/>
    <cellStyle name="20% - 强调文字颜色 3 8" xfId="85"/>
    <cellStyle name="20% - 强调文字颜色 3 9" xfId="86"/>
    <cellStyle name="20% - 强调文字颜色 4 10" xfId="87"/>
    <cellStyle name="20% - 强调文字颜色 4 11" xfId="88"/>
    <cellStyle name="20% - 强调文字颜色 4 12" xfId="89"/>
    <cellStyle name="20% - 强调文字颜色 4 2" xfId="90"/>
    <cellStyle name="20% - 强调文字颜色 4 3" xfId="91"/>
    <cellStyle name="20% - 强调文字颜色 4 4" xfId="92"/>
    <cellStyle name="20% - 强调文字颜色 4 5" xfId="93"/>
    <cellStyle name="20% - 强调文字颜色 4 6" xfId="94"/>
    <cellStyle name="20% - 强调文字颜色 4 7" xfId="95"/>
    <cellStyle name="20% - 强调文字颜色 4 8" xfId="96"/>
    <cellStyle name="20% - 强调文字颜色 4 9" xfId="97"/>
    <cellStyle name="20% - 强调文字颜色 5 10" xfId="98"/>
    <cellStyle name="20% - 强调文字颜色 5 11" xfId="99"/>
    <cellStyle name="20% - 强调文字颜色 5 12" xfId="100"/>
    <cellStyle name="20% - 强调文字颜色 5 2" xfId="101"/>
    <cellStyle name="20% - 强调文字颜色 5 3" xfId="102"/>
    <cellStyle name="20% - 强调文字颜色 5 4" xfId="103"/>
    <cellStyle name="20% - 强调文字颜色 5 5" xfId="104"/>
    <cellStyle name="20% - 强调文字颜色 5 6" xfId="105"/>
    <cellStyle name="20% - 强调文字颜色 5 7" xfId="106"/>
    <cellStyle name="20% - 强调文字颜色 5 8" xfId="107"/>
    <cellStyle name="20% - 强调文字颜色 5 9" xfId="108"/>
    <cellStyle name="20% - 强调文字颜色 6 10" xfId="109"/>
    <cellStyle name="20% - 强调文字颜色 6 11" xfId="110"/>
    <cellStyle name="20% - 强调文字颜色 6 12" xfId="111"/>
    <cellStyle name="20% - 强调文字颜色 6 2" xfId="112"/>
    <cellStyle name="20% - 强调文字颜色 6 3" xfId="113"/>
    <cellStyle name="20% - 强调文字颜色 6 4" xfId="114"/>
    <cellStyle name="20% - 强调文字颜色 6 5" xfId="115"/>
    <cellStyle name="20% - 强调文字颜色 6 6" xfId="116"/>
    <cellStyle name="20% - 强调文字颜色 6 7" xfId="117"/>
    <cellStyle name="20% - 强调文字颜色 6 8" xfId="118"/>
    <cellStyle name="20% - 强调文字颜色 6 9" xfId="119"/>
    <cellStyle name="40% - 强调文字颜色 1 10" xfId="120"/>
    <cellStyle name="40% - 强调文字颜色 1 11" xfId="121"/>
    <cellStyle name="40% - 强调文字颜色 1 12" xfId="122"/>
    <cellStyle name="40% - 强调文字颜色 1 2" xfId="123"/>
    <cellStyle name="40% - 强调文字颜色 1 3" xfId="124"/>
    <cellStyle name="40% - 强调文字颜色 1 4" xfId="125"/>
    <cellStyle name="40% - 强调文字颜色 1 5" xfId="126"/>
    <cellStyle name="40% - 强调文字颜色 1 6" xfId="127"/>
    <cellStyle name="40% - 强调文字颜色 1 7" xfId="128"/>
    <cellStyle name="40% - 强调文字颜色 1 8" xfId="129"/>
    <cellStyle name="40% - 强调文字颜色 1 9" xfId="130"/>
    <cellStyle name="40% - 强调文字颜色 2 10" xfId="131"/>
    <cellStyle name="40% - 强调文字颜色 2 11" xfId="132"/>
    <cellStyle name="40% - 强调文字颜色 2 12" xfId="133"/>
    <cellStyle name="40% - 强调文字颜色 2 2" xfId="134"/>
    <cellStyle name="40% - 强调文字颜色 2 3" xfId="135"/>
    <cellStyle name="40% - 强调文字颜色 2 4" xfId="136"/>
    <cellStyle name="40% - 强调文字颜色 2 5" xfId="137"/>
    <cellStyle name="40% - 强调文字颜色 2 6" xfId="138"/>
    <cellStyle name="40% - 强调文字颜色 2 7" xfId="139"/>
    <cellStyle name="40% - 强调文字颜色 2 8" xfId="140"/>
    <cellStyle name="40% - 强调文字颜色 2 9" xfId="141"/>
    <cellStyle name="40% - 强调文字颜色 3 10" xfId="142"/>
    <cellStyle name="40% - 强调文字颜色 3 11" xfId="143"/>
    <cellStyle name="40% - 强调文字颜色 3 12" xfId="144"/>
    <cellStyle name="40% - 强调文字颜色 3 2" xfId="145"/>
    <cellStyle name="40% - 强调文字颜色 3 3" xfId="146"/>
    <cellStyle name="40% - 强调文字颜色 3 4" xfId="147"/>
    <cellStyle name="40% - 强调文字颜色 3 5" xfId="148"/>
    <cellStyle name="40% - 强调文字颜色 3 6" xfId="149"/>
    <cellStyle name="40% - 强调文字颜色 3 7" xfId="150"/>
    <cellStyle name="40% - 强调文字颜色 3 8" xfId="151"/>
    <cellStyle name="40% - 强调文字颜色 3 9" xfId="152"/>
    <cellStyle name="40% - 强调文字颜色 4 10" xfId="153"/>
    <cellStyle name="40% - 强调文字颜色 4 11" xfId="154"/>
    <cellStyle name="40% - 强调文字颜色 4 12" xfId="155"/>
    <cellStyle name="40% - 强调文字颜色 4 2" xfId="156"/>
    <cellStyle name="40% - 强调文字颜色 4 3" xfId="157"/>
    <cellStyle name="40% - 强调文字颜色 4 4" xfId="158"/>
    <cellStyle name="40% - 强调文字颜色 4 5" xfId="159"/>
    <cellStyle name="40% - 强调文字颜色 4 6" xfId="160"/>
    <cellStyle name="40% - 强调文字颜色 4 7" xfId="161"/>
    <cellStyle name="40% - 强调文字颜色 4 8" xfId="162"/>
    <cellStyle name="40% - 强调文字颜色 4 9" xfId="163"/>
    <cellStyle name="40% - 强调文字颜色 5 10" xfId="164"/>
    <cellStyle name="40% - 强调文字颜色 5 11" xfId="165"/>
    <cellStyle name="40% - 强调文字颜色 5 12" xfId="166"/>
    <cellStyle name="40% - 强调文字颜色 5 2" xfId="167"/>
    <cellStyle name="40% - 强调文字颜色 5 3" xfId="168"/>
    <cellStyle name="40% - 强调文字颜色 5 4" xfId="169"/>
    <cellStyle name="40% - 强调文字颜色 5 5" xfId="170"/>
    <cellStyle name="40% - 强调文字颜色 5 6" xfId="171"/>
    <cellStyle name="40% - 强调文字颜色 5 7" xfId="172"/>
    <cellStyle name="40% - 强调文字颜色 5 8" xfId="173"/>
    <cellStyle name="40% - 强调文字颜色 5 9" xfId="174"/>
    <cellStyle name="40% - 强调文字颜色 6 10" xfId="175"/>
    <cellStyle name="40% - 强调文字颜色 6 11" xfId="176"/>
    <cellStyle name="40% - 强调文字颜色 6 12" xfId="177"/>
    <cellStyle name="40% - 强调文字颜色 6 2" xfId="178"/>
    <cellStyle name="40% - 强调文字颜色 6 3" xfId="179"/>
    <cellStyle name="40% - 强调文字颜色 6 4" xfId="180"/>
    <cellStyle name="40% - 强调文字颜色 6 5" xfId="181"/>
    <cellStyle name="40% - 强调文字颜色 6 6" xfId="182"/>
    <cellStyle name="40% - 强调文字颜色 6 7" xfId="183"/>
    <cellStyle name="40% - 强调文字颜色 6 8" xfId="184"/>
    <cellStyle name="40% - 强调文字颜色 6 9" xfId="185"/>
    <cellStyle name="60% - 强调文字颜色 1 10" xfId="186"/>
    <cellStyle name="60% - 强调文字颜色 1 11" xfId="187"/>
    <cellStyle name="60% - 强调文字颜色 1 12" xfId="188"/>
    <cellStyle name="60% - 强调文字颜色 1 2" xfId="189"/>
    <cellStyle name="60% - 强调文字颜色 1 3" xfId="190"/>
    <cellStyle name="60% - 强调文字颜色 1 4" xfId="191"/>
    <cellStyle name="60% - 强调文字颜色 1 5" xfId="192"/>
    <cellStyle name="60% - 强调文字颜色 1 6" xfId="193"/>
    <cellStyle name="60% - 强调文字颜色 1 7" xfId="194"/>
    <cellStyle name="60% - 强调文字颜色 1 8" xfId="195"/>
    <cellStyle name="60% - 强调文字颜色 1 9" xfId="196"/>
    <cellStyle name="60% - 强调文字颜色 2 10" xfId="197"/>
    <cellStyle name="60% - 强调文字颜色 2 11" xfId="198"/>
    <cellStyle name="60% - 强调文字颜色 2 12" xfId="199"/>
    <cellStyle name="60% - 强调文字颜色 2 2" xfId="200"/>
    <cellStyle name="60% - 强调文字颜色 2 3" xfId="201"/>
    <cellStyle name="60% - 强调文字颜色 2 4" xfId="202"/>
    <cellStyle name="60% - 强调文字颜色 2 5" xfId="203"/>
    <cellStyle name="60% - 强调文字颜色 2 6" xfId="204"/>
    <cellStyle name="60% - 强调文字颜色 2 7" xfId="205"/>
    <cellStyle name="60% - 强调文字颜色 2 8" xfId="206"/>
    <cellStyle name="60% - 强调文字颜色 2 9" xfId="207"/>
    <cellStyle name="60% - 强调文字颜色 3 10" xfId="208"/>
    <cellStyle name="60% - 强调文字颜色 3 11" xfId="209"/>
    <cellStyle name="60% - 强调文字颜色 3 12" xfId="210"/>
    <cellStyle name="60% - 强调文字颜色 3 2" xfId="211"/>
    <cellStyle name="60% - 强调文字颜色 3 3" xfId="212"/>
    <cellStyle name="60% - 强调文字颜色 3 4" xfId="213"/>
    <cellStyle name="60% - 强调文字颜色 3 5" xfId="214"/>
    <cellStyle name="60% - 强调文字颜色 3 6" xfId="215"/>
    <cellStyle name="60% - 强调文字颜色 3 7" xfId="216"/>
    <cellStyle name="60% - 强调文字颜色 3 8" xfId="217"/>
    <cellStyle name="60% - 强调文字颜色 3 9" xfId="218"/>
    <cellStyle name="60% - 强调文字颜色 4 10" xfId="219"/>
    <cellStyle name="60% - 强调文字颜色 4 11" xfId="220"/>
    <cellStyle name="60% - 强调文字颜色 4 12" xfId="221"/>
    <cellStyle name="60% - 强调文字颜色 4 2" xfId="222"/>
    <cellStyle name="60% - 强调文字颜色 4 3" xfId="223"/>
    <cellStyle name="60% - 强调文字颜色 4 4" xfId="224"/>
    <cellStyle name="60% - 强调文字颜色 4 5" xfId="225"/>
    <cellStyle name="60% - 强调文字颜色 4 6" xfId="226"/>
    <cellStyle name="60% - 强调文字颜色 4 7" xfId="227"/>
    <cellStyle name="60% - 强调文字颜色 4 8" xfId="228"/>
    <cellStyle name="60% - 强调文字颜色 4 9" xfId="229"/>
    <cellStyle name="60% - 强调文字颜色 5 10" xfId="230"/>
    <cellStyle name="60% - 强调文字颜色 5 11" xfId="231"/>
    <cellStyle name="60% - 强调文字颜色 5 12" xfId="232"/>
    <cellStyle name="60% - 强调文字颜色 5 2" xfId="233"/>
    <cellStyle name="60% - 强调文字颜色 5 3" xfId="234"/>
    <cellStyle name="60% - 强调文字颜色 5 4" xfId="235"/>
    <cellStyle name="60% - 强调文字颜色 5 5" xfId="236"/>
    <cellStyle name="60% - 强调文字颜色 5 6" xfId="237"/>
    <cellStyle name="60% - 强调文字颜色 5 7" xfId="238"/>
    <cellStyle name="60% - 强调文字颜色 5 8" xfId="239"/>
    <cellStyle name="60% - 强调文字颜色 5 9" xfId="240"/>
    <cellStyle name="60% - 强调文字颜色 6 10" xfId="241"/>
    <cellStyle name="60% - 强调文字颜色 6 11" xfId="242"/>
    <cellStyle name="60% - 强调文字颜色 6 12" xfId="243"/>
    <cellStyle name="60% - 强调文字颜色 6 2" xfId="244"/>
    <cellStyle name="60% - 强调文字颜色 6 3" xfId="245"/>
    <cellStyle name="60% - 强调文字颜色 6 4" xfId="246"/>
    <cellStyle name="60% - 强调文字颜色 6 5" xfId="247"/>
    <cellStyle name="60% - 强调文字颜色 6 6" xfId="248"/>
    <cellStyle name="60% - 强调文字颜色 6 7" xfId="249"/>
    <cellStyle name="60% - 强调文字颜色 6 8" xfId="250"/>
    <cellStyle name="60% - 强调文字颜色 6 9" xfId="251"/>
    <cellStyle name="百分比 2" xfId="252"/>
    <cellStyle name="标题 1 10" xfId="253"/>
    <cellStyle name="标题 1 11" xfId="254"/>
    <cellStyle name="标题 1 12" xfId="255"/>
    <cellStyle name="标题 1 2" xfId="256"/>
    <cellStyle name="标题 1 3" xfId="257"/>
    <cellStyle name="标题 1 4" xfId="258"/>
    <cellStyle name="标题 1 5" xfId="259"/>
    <cellStyle name="标题 1 6" xfId="260"/>
    <cellStyle name="标题 1 7" xfId="261"/>
    <cellStyle name="标题 1 8" xfId="262"/>
    <cellStyle name="标题 1 9" xfId="263"/>
    <cellStyle name="标题 10" xfId="264"/>
    <cellStyle name="标题 11" xfId="265"/>
    <cellStyle name="标题 12" xfId="266"/>
    <cellStyle name="标题 13" xfId="267"/>
    <cellStyle name="标题 14" xfId="268"/>
    <cellStyle name="标题 15" xfId="269"/>
    <cellStyle name="标题 2 10" xfId="270"/>
    <cellStyle name="标题 2 11" xfId="271"/>
    <cellStyle name="标题 2 12" xfId="272"/>
    <cellStyle name="标题 2 2" xfId="273"/>
    <cellStyle name="标题 2 3" xfId="274"/>
    <cellStyle name="标题 2 4" xfId="275"/>
    <cellStyle name="标题 2 5" xfId="276"/>
    <cellStyle name="标题 2 6" xfId="277"/>
    <cellStyle name="标题 2 7" xfId="278"/>
    <cellStyle name="标题 2 8" xfId="279"/>
    <cellStyle name="标题 2 9" xfId="280"/>
    <cellStyle name="标题 3 10" xfId="281"/>
    <cellStyle name="标题 3 11" xfId="282"/>
    <cellStyle name="标题 3 12" xfId="283"/>
    <cellStyle name="标题 3 2" xfId="284"/>
    <cellStyle name="标题 3 3" xfId="285"/>
    <cellStyle name="标题 3 4" xfId="286"/>
    <cellStyle name="标题 3 5" xfId="287"/>
    <cellStyle name="标题 3 6" xfId="288"/>
    <cellStyle name="标题 3 7" xfId="289"/>
    <cellStyle name="标题 3 8" xfId="290"/>
    <cellStyle name="标题 3 9" xfId="291"/>
    <cellStyle name="标题 4 10" xfId="292"/>
    <cellStyle name="标题 4 11" xfId="293"/>
    <cellStyle name="标题 4 12" xfId="294"/>
    <cellStyle name="标题 4 2" xfId="295"/>
    <cellStyle name="标题 4 3" xfId="296"/>
    <cellStyle name="标题 4 4" xfId="297"/>
    <cellStyle name="标题 4 5" xfId="298"/>
    <cellStyle name="标题 4 6" xfId="299"/>
    <cellStyle name="标题 4 7" xfId="300"/>
    <cellStyle name="标题 4 8" xfId="301"/>
    <cellStyle name="标题 4 9" xfId="302"/>
    <cellStyle name="标题 5" xfId="303"/>
    <cellStyle name="标题 6" xfId="304"/>
    <cellStyle name="标题 7" xfId="305"/>
    <cellStyle name="标题 8" xfId="306"/>
    <cellStyle name="标题 9" xfId="307"/>
    <cellStyle name="差 10" xfId="308"/>
    <cellStyle name="差 11" xfId="309"/>
    <cellStyle name="差 12" xfId="310"/>
    <cellStyle name="差 2" xfId="311"/>
    <cellStyle name="差 3" xfId="312"/>
    <cellStyle name="差 4" xfId="313"/>
    <cellStyle name="差 5" xfId="314"/>
    <cellStyle name="差 6" xfId="315"/>
    <cellStyle name="差 7" xfId="316"/>
    <cellStyle name="差 8" xfId="317"/>
    <cellStyle name="差 9" xfId="318"/>
    <cellStyle name="常规 10" xfId="319"/>
    <cellStyle name="常规 2" xfId="320"/>
    <cellStyle name="常规 3" xfId="321"/>
    <cellStyle name="常规 3 2" xfId="322"/>
    <cellStyle name="常规 4" xfId="323"/>
    <cellStyle name="常规 4 2" xfId="324"/>
    <cellStyle name="常规 5" xfId="325"/>
    <cellStyle name="常规 6" xfId="326"/>
    <cellStyle name="常规 6 2" xfId="327"/>
    <cellStyle name="常规 7" xfId="328"/>
    <cellStyle name="好 10" xfId="329"/>
    <cellStyle name="好 11" xfId="330"/>
    <cellStyle name="好 12" xfId="331"/>
    <cellStyle name="好 2" xfId="332"/>
    <cellStyle name="好 3" xfId="333"/>
    <cellStyle name="好 4" xfId="334"/>
    <cellStyle name="好 5" xfId="335"/>
    <cellStyle name="好 6" xfId="336"/>
    <cellStyle name="好 7" xfId="337"/>
    <cellStyle name="好 8" xfId="338"/>
    <cellStyle name="好 9" xfId="339"/>
    <cellStyle name="汇总 10" xfId="340"/>
    <cellStyle name="汇总 11" xfId="341"/>
    <cellStyle name="汇总 12" xfId="342"/>
    <cellStyle name="汇总 2" xfId="343"/>
    <cellStyle name="汇总 3" xfId="344"/>
    <cellStyle name="汇总 4" xfId="345"/>
    <cellStyle name="汇总 5" xfId="346"/>
    <cellStyle name="汇总 6" xfId="347"/>
    <cellStyle name="汇总 7" xfId="348"/>
    <cellStyle name="汇总 8" xfId="349"/>
    <cellStyle name="汇总 9" xfId="350"/>
    <cellStyle name="计算 10" xfId="351"/>
    <cellStyle name="计算 11" xfId="352"/>
    <cellStyle name="计算 12" xfId="353"/>
    <cellStyle name="计算 2" xfId="354"/>
    <cellStyle name="计算 3" xfId="355"/>
    <cellStyle name="计算 4" xfId="356"/>
    <cellStyle name="计算 5" xfId="357"/>
    <cellStyle name="计算 6" xfId="358"/>
    <cellStyle name="计算 7" xfId="359"/>
    <cellStyle name="计算 8" xfId="360"/>
    <cellStyle name="计算 9" xfId="361"/>
    <cellStyle name="检查单元格 10" xfId="362"/>
    <cellStyle name="检查单元格 11" xfId="363"/>
    <cellStyle name="检查单元格 12" xfId="364"/>
    <cellStyle name="检查单元格 2" xfId="365"/>
    <cellStyle name="检查单元格 3" xfId="366"/>
    <cellStyle name="检查单元格 4" xfId="367"/>
    <cellStyle name="检查单元格 5" xfId="368"/>
    <cellStyle name="检查单元格 6" xfId="369"/>
    <cellStyle name="检查单元格 7" xfId="370"/>
    <cellStyle name="检查单元格 8" xfId="371"/>
    <cellStyle name="检查单元格 9" xfId="372"/>
    <cellStyle name="解释性文本 10" xfId="373"/>
    <cellStyle name="解释性文本 11" xfId="374"/>
    <cellStyle name="解释性文本 12" xfId="375"/>
    <cellStyle name="解释性文本 2" xfId="376"/>
    <cellStyle name="解释性文本 3" xfId="377"/>
    <cellStyle name="解释性文本 4" xfId="378"/>
    <cellStyle name="解释性文本 5" xfId="379"/>
    <cellStyle name="解释性文本 6" xfId="380"/>
    <cellStyle name="解释性文本 7" xfId="381"/>
    <cellStyle name="解释性文本 8" xfId="382"/>
    <cellStyle name="解释性文本 9" xfId="383"/>
    <cellStyle name="警告文本 10" xfId="384"/>
    <cellStyle name="警告文本 11" xfId="385"/>
    <cellStyle name="警告文本 12" xfId="386"/>
    <cellStyle name="警告文本 2" xfId="387"/>
    <cellStyle name="警告文本 3" xfId="388"/>
    <cellStyle name="警告文本 4" xfId="389"/>
    <cellStyle name="警告文本 5" xfId="390"/>
    <cellStyle name="警告文本 6" xfId="391"/>
    <cellStyle name="警告文本 7" xfId="392"/>
    <cellStyle name="警告文本 8" xfId="393"/>
    <cellStyle name="警告文本 9" xfId="394"/>
    <cellStyle name="链接单元格 10" xfId="395"/>
    <cellStyle name="链接单元格 11" xfId="396"/>
    <cellStyle name="链接单元格 12" xfId="397"/>
    <cellStyle name="链接单元格 2" xfId="398"/>
    <cellStyle name="链接单元格 3" xfId="399"/>
    <cellStyle name="链接单元格 4" xfId="400"/>
    <cellStyle name="链接单元格 5" xfId="401"/>
    <cellStyle name="链接单元格 6" xfId="402"/>
    <cellStyle name="链接单元格 7" xfId="403"/>
    <cellStyle name="链接单元格 8" xfId="404"/>
    <cellStyle name="链接单元格 9" xfId="405"/>
    <cellStyle name="强调文字颜色 1 10" xfId="406"/>
    <cellStyle name="强调文字颜色 1 11" xfId="407"/>
    <cellStyle name="强调文字颜色 1 12" xfId="408"/>
    <cellStyle name="强调文字颜色 1 2" xfId="409"/>
    <cellStyle name="强调文字颜色 1 3" xfId="410"/>
    <cellStyle name="强调文字颜色 1 4" xfId="411"/>
    <cellStyle name="强调文字颜色 1 5" xfId="412"/>
    <cellStyle name="强调文字颜色 1 6" xfId="413"/>
    <cellStyle name="强调文字颜色 1 7" xfId="414"/>
    <cellStyle name="强调文字颜色 1 8" xfId="415"/>
    <cellStyle name="强调文字颜色 1 9" xfId="416"/>
    <cellStyle name="强调文字颜色 2 10" xfId="417"/>
    <cellStyle name="强调文字颜色 2 11" xfId="418"/>
    <cellStyle name="强调文字颜色 2 12" xfId="419"/>
    <cellStyle name="强调文字颜色 2 2" xfId="420"/>
    <cellStyle name="强调文字颜色 2 3" xfId="421"/>
    <cellStyle name="强调文字颜色 2 4" xfId="422"/>
    <cellStyle name="强调文字颜色 2 5" xfId="423"/>
    <cellStyle name="强调文字颜色 2 6" xfId="424"/>
    <cellStyle name="强调文字颜色 2 7" xfId="425"/>
    <cellStyle name="强调文字颜色 2 8" xfId="426"/>
    <cellStyle name="强调文字颜色 2 9" xfId="427"/>
    <cellStyle name="强调文字颜色 3 10" xfId="428"/>
    <cellStyle name="强调文字颜色 3 11" xfId="429"/>
    <cellStyle name="强调文字颜色 3 12" xfId="430"/>
    <cellStyle name="强调文字颜色 3 2" xfId="431"/>
    <cellStyle name="强调文字颜色 3 3" xfId="432"/>
    <cellStyle name="强调文字颜色 3 4" xfId="433"/>
    <cellStyle name="强调文字颜色 3 5" xfId="434"/>
    <cellStyle name="强调文字颜色 3 6" xfId="435"/>
    <cellStyle name="强调文字颜色 3 7" xfId="436"/>
    <cellStyle name="强调文字颜色 3 8" xfId="437"/>
    <cellStyle name="强调文字颜色 3 9" xfId="438"/>
    <cellStyle name="强调文字颜色 4 10" xfId="439"/>
    <cellStyle name="强调文字颜色 4 11" xfId="440"/>
    <cellStyle name="强调文字颜色 4 12" xfId="441"/>
    <cellStyle name="强调文字颜色 4 2" xfId="442"/>
    <cellStyle name="强调文字颜色 4 3" xfId="443"/>
    <cellStyle name="强调文字颜色 4 4" xfId="444"/>
    <cellStyle name="强调文字颜色 4 5" xfId="445"/>
    <cellStyle name="强调文字颜色 4 6" xfId="446"/>
    <cellStyle name="强调文字颜色 4 7" xfId="447"/>
    <cellStyle name="强调文字颜色 4 8" xfId="448"/>
    <cellStyle name="强调文字颜色 4 9" xfId="449"/>
    <cellStyle name="强调文字颜色 5 10" xfId="450"/>
    <cellStyle name="强调文字颜色 5 11" xfId="451"/>
    <cellStyle name="强调文字颜色 5 12" xfId="452"/>
    <cellStyle name="强调文字颜色 5 2" xfId="453"/>
    <cellStyle name="强调文字颜色 5 3" xfId="454"/>
    <cellStyle name="强调文字颜色 5 4" xfId="455"/>
    <cellStyle name="强调文字颜色 5 5" xfId="456"/>
    <cellStyle name="强调文字颜色 5 6" xfId="457"/>
    <cellStyle name="强调文字颜色 5 7" xfId="458"/>
    <cellStyle name="强调文字颜色 5 8" xfId="459"/>
    <cellStyle name="强调文字颜色 5 9" xfId="460"/>
    <cellStyle name="强调文字颜色 6 10" xfId="461"/>
    <cellStyle name="强调文字颜色 6 11" xfId="462"/>
    <cellStyle name="强调文字颜色 6 12" xfId="463"/>
    <cellStyle name="强调文字颜色 6 2" xfId="464"/>
    <cellStyle name="强调文字颜色 6 3" xfId="465"/>
    <cellStyle name="强调文字颜色 6 4" xfId="466"/>
    <cellStyle name="强调文字颜色 6 5" xfId="467"/>
    <cellStyle name="强调文字颜色 6 6" xfId="468"/>
    <cellStyle name="强调文字颜色 6 7" xfId="469"/>
    <cellStyle name="强调文字颜色 6 8" xfId="470"/>
    <cellStyle name="强调文字颜色 6 9" xfId="471"/>
    <cellStyle name="适中 10" xfId="472"/>
    <cellStyle name="适中 11" xfId="473"/>
    <cellStyle name="适中 12" xfId="474"/>
    <cellStyle name="适中 2" xfId="475"/>
    <cellStyle name="适中 3" xfId="476"/>
    <cellStyle name="适中 4" xfId="477"/>
    <cellStyle name="适中 5" xfId="478"/>
    <cellStyle name="适中 6" xfId="479"/>
    <cellStyle name="适中 7" xfId="480"/>
    <cellStyle name="适中 8" xfId="481"/>
    <cellStyle name="适中 9" xfId="482"/>
    <cellStyle name="输出 10" xfId="483"/>
    <cellStyle name="输出 11" xfId="484"/>
    <cellStyle name="输出 12" xfId="485"/>
    <cellStyle name="输出 2" xfId="486"/>
    <cellStyle name="输出 3" xfId="487"/>
    <cellStyle name="输出 4" xfId="488"/>
    <cellStyle name="输出 5" xfId="489"/>
    <cellStyle name="输出 6" xfId="490"/>
    <cellStyle name="输出 7" xfId="491"/>
    <cellStyle name="输出 8" xfId="492"/>
    <cellStyle name="输出 9" xfId="493"/>
    <cellStyle name="输入 10" xfId="494"/>
    <cellStyle name="输入 11" xfId="495"/>
    <cellStyle name="输入 12" xfId="496"/>
    <cellStyle name="输入 2" xfId="497"/>
    <cellStyle name="输入 3" xfId="498"/>
    <cellStyle name="输入 4" xfId="499"/>
    <cellStyle name="输入 5" xfId="500"/>
    <cellStyle name="输入 6" xfId="501"/>
    <cellStyle name="输入 7" xfId="502"/>
    <cellStyle name="输入 8" xfId="503"/>
    <cellStyle name="输入 9" xfId="504"/>
    <cellStyle name="注释 10" xfId="505"/>
    <cellStyle name="注释 11" xfId="506"/>
    <cellStyle name="注释 12" xfId="507"/>
    <cellStyle name="注释 2" xfId="508"/>
    <cellStyle name="注释 3" xfId="509"/>
    <cellStyle name="注释 4" xfId="510"/>
    <cellStyle name="注释 5" xfId="511"/>
    <cellStyle name="注释 6" xfId="512"/>
    <cellStyle name="注释 7" xfId="513"/>
    <cellStyle name="注释 8" xfId="514"/>
    <cellStyle name="注释 9" xfId="515"/>
    <cellStyle name="Hyperlink" xfId="516"/>
  </cellStyles>
  <dxfs count="5">
    <dxf>
      <font>
        <color rgb="FF9C0006"/>
      </font>
      <fill>
        <patternFill patternType="solid">
          <bgColor rgb="FFFFC7CE"/>
        </patternFill>
      </fill>
      <border/>
    </dxf>
    <dxf>
      <fill>
        <patternFill patternType="solid">
          <bgColor theme="8" tint="0.5999600291252136"/>
        </patternFill>
      </fill>
      <border/>
    </dxf>
    <dxf>
      <font>
        <color rgb="FF9C6500"/>
      </font>
      <fill>
        <patternFill patternType="solid">
          <bgColor rgb="FFFFEB9C"/>
        </patternFill>
      </fill>
      <border/>
    </dxf>
    <dxf>
      <numFmt numFmtId="180" formatCode="0%"/>
      <fill>
        <patternFill patternType="solid">
          <bgColor theme="8" tint="0.5999600291252136"/>
        </patternFill>
      </fill>
      <border/>
    </dxf>
    <dxf>
      <font>
        <color auto="1"/>
      </font>
      <numFmt numFmtId="176" formatCode="0.00_ "/>
      <fill>
        <patternFill patternType="solid">
          <bgColor rgb="FF00B050"/>
        </patternFill>
      </fill>
      <border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/>
          <a:lstStyle/>
          <a:p>
            <a:pPr algn="ctr">
              <a:defRPr/>
            </a:pPr>
            <a:r>
              <a:rPr lang="en-US" sz="1800" b="1" i="0" baseline="0">
                <a:solidFill>
                  <a:schemeClr val="tx1"/>
                </a:solidFill>
                <a:latin typeface="宋体"/>
                <a:ea typeface="宋体"/>
                <a:cs typeface="宋体"/>
              </a:rPr>
              <a:t>销售与折扣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Sales_and_Discounts!$C$1</f>
              <strCache>
                <ptCount val="1"/>
                <pt idx="0">
                  <v>4月第四周实销额</v>
                </pt>
              </strCache>
            </strRef>
          </tx>
          <spPr>
            <a:ln>
              <a:prstDash val="solid"/>
            </a:ln>
          </spPr>
          <invertIfNegative val="0"/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Sales_and_Discounts!$A$2:$A$6</f>
              <strCache/>
            </strRef>
          </cat>
          <val>
            <numRef>
              <f>Sales_and_Discounts!$C$2:$C$6</f>
              <numCache/>
            </numRef>
          </val>
        </ser>
        <ser>
          <idx val="1"/>
          <order val="1"/>
          <tx>
            <strRef>
              <f>Sales_and_Discounts!$B$1</f>
              <strCache>
                <ptCount val="1"/>
                <pt idx="0">
                  <v>5月第一周实销额</v>
                </pt>
              </strCache>
            </strRef>
          </tx>
          <spPr>
            <a:ln>
              <a:prstDash val="solid"/>
            </a:ln>
          </spPr>
          <invertIfNegative val="0"/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Sales_and_Discounts!$A$2:$A$6</f>
              <strCache/>
            </strRef>
          </cat>
          <val>
            <numRef>
              <f>Sales_and_Discounts!$B$2:$B$6</f>
              <numCache/>
            </numRef>
          </val>
        </ser>
        <gapWidth val="150"/>
        <axId val="3206825"/>
        <axId val="28861426"/>
      </barChart>
      <lineChart>
        <grouping val="standard"/>
        <varyColors val="0"/>
        <ser>
          <idx val="2"/>
          <order val="2"/>
          <tx>
            <strRef>
              <f>Sales_and_Discounts!$E$1</f>
              <strCache>
                <ptCount val="1"/>
                <pt idx="0">
                  <v>4月第四周实折扣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Sales_and_Discounts!$A$2:$A$6</f>
              <strCache/>
            </strRef>
          </cat>
          <val>
            <numRef>
              <f>Sales_and_Discounts!$E$2:$E$6</f>
              <numCache/>
            </numRef>
          </val>
          <smooth val="0"/>
        </ser>
        <ser>
          <idx val="3"/>
          <order val="3"/>
          <tx>
            <strRef>
              <f>Sales_and_Discounts!$D$1</f>
              <strCache>
                <ptCount val="1"/>
                <pt idx="0">
                  <v>5月第一周实折扣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Sales_and_Discounts!$A$2:$A$6</f>
              <strCache/>
            </strRef>
          </cat>
          <val>
            <numRef>
              <f>Sales_and_Discounts!$D$2:$D$6</f>
              <numCache/>
            </numRef>
          </val>
          <smooth val="0"/>
        </ser>
        <marker val="1"/>
        <axId val="58426243"/>
        <axId val="56074140"/>
      </lineChart>
      <catAx>
        <axId val="320682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28861426"/>
        <crosses val="autoZero"/>
        <auto val="1"/>
        <lblOffset val="100"/>
        <noMultiLvlLbl val="0"/>
      </catAx>
      <valAx>
        <axId val="28861426"/>
        <scaling>
          <orientation val="minMax"/>
        </scaling>
        <delete val="0"/>
        <axPos val="l"/>
        <majorGridlines/>
        <numFmt formatCode="0.00_ 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3206825"/>
        <crosses val="autoZero"/>
        <crossBetween val="between"/>
        <dispUnits/>
      </valAx>
      <catAx>
        <axId val="58426243"/>
        <scaling>
          <orientation val="minMax"/>
        </scaling>
        <delete val="1"/>
        <axPos val="b"/>
        <majorTickMark val="out"/>
        <minorTickMark val="none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56074140"/>
        <crosses val="autoZero"/>
        <auto val="1"/>
        <lblOffset val="100"/>
        <noMultiLvlLbl val="0"/>
      </catAx>
      <valAx>
        <axId val="56074140"/>
        <scaling>
          <orientation val="minMax"/>
        </scaling>
        <delete val="0"/>
        <axPos val="l"/>
        <numFmt formatCode="0.00_ 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58426243"/>
        <crosses val="max"/>
        <crossBetween val="between"/>
        <dispUnits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/>
          <a:lstStyle/>
          <a:p>
            <a:pPr algn="ctr">
              <a:defRPr/>
            </a:pPr>
            <a:r>
              <a:rPr lang="en-US" sz="1800" b="1" i="0" baseline="0">
                <a:solidFill>
                  <a:schemeClr val="tx1"/>
                </a:solidFill>
                <a:latin typeface="宋体"/>
                <a:ea typeface="宋体"/>
                <a:cs typeface="宋体"/>
              </a:rPr>
              <a:t>销售与毛利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Sales_and_Gross_Profit!$C$1</f>
              <strCache>
                <ptCount val="1"/>
                <pt idx="0">
                  <v>4月第四周实销额</v>
                </pt>
              </strCache>
            </strRef>
          </tx>
          <spPr>
            <a:ln>
              <a:prstDash val="solid"/>
            </a:ln>
          </spPr>
          <invertIfNegative val="0"/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Sales_and_Gross_Profit!$A$2:$A$6</f>
              <strCache/>
            </strRef>
          </cat>
          <val>
            <numRef>
              <f>Sales_and_Gross_Profit!$C$2:$C$6</f>
              <numCache/>
            </numRef>
          </val>
        </ser>
        <ser>
          <idx val="1"/>
          <order val="1"/>
          <tx>
            <strRef>
              <f>Sales_and_Gross_Profit!$B$1</f>
              <strCache>
                <ptCount val="1"/>
                <pt idx="0">
                  <v>5月第一周实销额</v>
                </pt>
              </strCache>
            </strRef>
          </tx>
          <spPr>
            <a:ln>
              <a:prstDash val="solid"/>
            </a:ln>
          </spPr>
          <invertIfNegative val="0"/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Sales_and_Gross_Profit!$A$2:$A$6</f>
              <strCache/>
            </strRef>
          </cat>
          <val>
            <numRef>
              <f>Sales_and_Gross_Profit!$B$2:$B$6</f>
              <numCache/>
            </numRef>
          </val>
        </ser>
        <gapWidth val="150"/>
        <axId val="34905213"/>
        <axId val="45711462"/>
      </barChart>
      <lineChart>
        <grouping val="standard"/>
        <varyColors val="0"/>
        <ser>
          <idx val="2"/>
          <order val="2"/>
          <tx>
            <strRef>
              <f>Sales_and_Gross_Profit!$E$1</f>
              <strCache>
                <ptCount val="1"/>
                <pt idx="0">
                  <v>4月第四周毛利率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Sales_and_Gross_Profit!$A$2:$A$6</f>
              <strCache/>
            </strRef>
          </cat>
          <val>
            <numRef>
              <f>Sales_and_Gross_Profit!$E$2:$E$6</f>
              <numCache/>
            </numRef>
          </val>
          <smooth val="0"/>
        </ser>
        <ser>
          <idx val="3"/>
          <order val="3"/>
          <tx>
            <strRef>
              <f>Sales_and_Gross_Profit!$D$1</f>
              <strCache>
                <ptCount val="1"/>
                <pt idx="0">
                  <v>5月第一周毛利率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Sales_and_Gross_Profit!$A$2:$A$6</f>
              <strCache/>
            </strRef>
          </cat>
          <val>
            <numRef>
              <f>Sales_and_Gross_Profit!$D$2:$D$6</f>
              <numCache/>
            </numRef>
          </val>
          <smooth val="0"/>
        </ser>
        <marker val="1"/>
        <axId val="8749975"/>
        <axId val="11640912"/>
      </lineChart>
      <catAx>
        <axId val="34905213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45711462"/>
        <crosses val="autoZero"/>
        <auto val="1"/>
        <lblOffset val="100"/>
        <noMultiLvlLbl val="0"/>
      </catAx>
      <valAx>
        <axId val="45711462"/>
        <scaling>
          <orientation val="minMax"/>
        </scaling>
        <delete val="0"/>
        <axPos val="l"/>
        <majorGridlines/>
        <numFmt formatCode="0.00_ 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34905213"/>
        <crosses val="autoZero"/>
        <crossBetween val="between"/>
        <dispUnits/>
      </valAx>
      <catAx>
        <axId val="8749975"/>
        <scaling>
          <orientation val="minMax"/>
        </scaling>
        <delete val="1"/>
        <axPos val="b"/>
        <majorTickMark val="out"/>
        <minorTickMark val="none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11640912"/>
        <crosses val="autoZero"/>
        <auto val="1"/>
        <lblOffset val="100"/>
        <noMultiLvlLbl val="0"/>
      </catAx>
      <valAx>
        <axId val="11640912"/>
        <scaling>
          <orientation val="minMax"/>
        </scaling>
        <delete val="0"/>
        <axPos val="l"/>
        <numFmt formatCode="0%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8749975"/>
        <crosses val="max"/>
        <crossBetween val="between"/>
        <dispUnits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vert="horz" anchor="ctr"/>
          <a:lstStyle/>
          <a:p>
            <a:pPr algn="ctr">
              <a:defRPr/>
            </a:pPr>
            <a:r>
              <a:rPr lang="en-US" sz="1800" b="1" i="0" baseline="0">
                <a:solidFill>
                  <a:schemeClr val="tx1"/>
                </a:solidFill>
                <a:latin typeface="宋体"/>
                <a:ea typeface="宋体"/>
                <a:cs typeface="宋体"/>
              </a:rPr>
              <a:t>存销比</a:t>
            </a:r>
          </a:p>
        </rich>
      </tx>
      <layout/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'Stock-to-sales_ratio'!$C$1</f>
              <strCache>
                <ptCount val="1"/>
                <pt idx="0">
                  <v>4月第四周实销额</v>
                </pt>
              </strCache>
            </strRef>
          </tx>
          <spPr>
            <a:ln>
              <a:prstDash val="solid"/>
            </a:ln>
          </spPr>
          <invertIfNegative val="0"/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'Stock-to-sales_ratio'!$A$2:$A$6</f>
              <strCache/>
            </strRef>
          </cat>
          <val>
            <numRef>
              <f>'Stock-to-sales_ratio'!$C$2:$C$6</f>
              <numCache/>
            </numRef>
          </val>
        </ser>
        <ser>
          <idx val="1"/>
          <order val="1"/>
          <tx>
            <strRef>
              <f>'Stock-to-sales_ratio'!$B$1</f>
              <strCache>
                <ptCount val="1"/>
                <pt idx="0">
                  <v>5月第一周实销额</v>
                </pt>
              </strCache>
            </strRef>
          </tx>
          <spPr>
            <a:ln>
              <a:prstDash val="solid"/>
            </a:ln>
          </spPr>
          <invertIfNegative val="0"/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'Stock-to-sales_ratio'!$A$2:$A$6</f>
              <strCache/>
            </strRef>
          </cat>
          <val>
            <numRef>
              <f>'Stock-to-sales_ratio'!$B$2:$B$6</f>
              <numCache/>
            </numRef>
          </val>
        </ser>
        <gapWidth val="150"/>
        <axId val="37659345"/>
        <axId val="3389786"/>
      </barChart>
      <lineChart>
        <grouping val="standard"/>
        <varyColors val="0"/>
        <ser>
          <idx val="2"/>
          <order val="2"/>
          <tx>
            <strRef>
              <f>'Stock-to-sales_ratio'!$D$1</f>
              <strCache>
                <ptCount val="1"/>
                <pt idx="0">
                  <v>存销比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numFmt formatCode="General"/>
            <spPr>
              <a:noFill/>
              <a:ln>
                <a:noFill/>
                <a:prstDash val="solid"/>
              </a:ln>
            </spPr>
            <txPr>
              <a:bodyPr rot="0" vert="horz" anchor="ctr"/>
              <a:lstStyle/>
              <a:p>
                <a:pPr algn="ctr">
                  <a:defRPr lang="en-US" sz="1000" b="0" i="0" baseline="0">
                    <a:solidFill>
                      <a:schemeClr val="tx1"/>
                    </a:solidFill>
                    <a:latin typeface="+mn-lt"/>
                    <a:ea typeface="宋体"/>
                    <a:cs typeface="宋体"/>
                  </a:defRPr>
                </a:pPr>
                <a:r>
                  <a:t/>
                </a:r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'Stock-to-sales_ratio'!$A$2:$A$6</f>
              <strCache/>
            </strRef>
          </cat>
          <val>
            <numRef>
              <f>'Stock-to-sales_ratio'!$D$2:$D$6</f>
              <numCache/>
            </numRef>
          </val>
          <smooth val="0"/>
        </ser>
        <marker val="1"/>
        <axId val="30508075"/>
        <axId val="6137220"/>
      </lineChart>
      <catAx>
        <axId val="3765934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3389786"/>
        <crosses val="autoZero"/>
        <auto val="1"/>
        <lblOffset val="100"/>
        <noMultiLvlLbl val="0"/>
      </catAx>
      <valAx>
        <axId val="3389786"/>
        <scaling>
          <orientation val="minMax"/>
        </scaling>
        <delete val="0"/>
        <axPos val="l"/>
        <majorGridlines/>
        <numFmt formatCode="0.00_ 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37659345"/>
        <crosses val="autoZero"/>
        <crossBetween val="between"/>
        <dispUnits/>
      </valAx>
      <catAx>
        <axId val="30508075"/>
        <scaling>
          <orientation val="minMax"/>
        </scaling>
        <delete val="1"/>
        <axPos val="b"/>
        <majorTickMark val="out"/>
        <minorTickMark val="none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6137220"/>
        <crosses val="autoZero"/>
        <auto val="1"/>
        <lblOffset val="100"/>
        <noMultiLvlLbl val="0"/>
      </catAx>
      <valAx>
        <axId val="6137220"/>
        <scaling>
          <orientation val="minMax"/>
        </scaling>
        <delete val="0"/>
        <axPos val="l"/>
        <numFmt formatCode="0_ " sourceLinked="1"/>
        <majorTickMark val="out"/>
        <minorTickMark val="none"/>
        <tickLblPos val="nextTo"/>
        <txPr>
          <a:bodyPr/>
          <a:lstStyle/>
          <a:p>
            <a:pPr>
              <a:defRPr lang="en-US" sz="1000" b="0" i="0" baseline="0">
                <a:solidFill>
                  <a:schemeClr val="tx1"/>
                </a:solidFill>
                <a:latin typeface="+mn-lt"/>
                <a:ea typeface="+mn-cs"/>
                <a:cs typeface="+mn-cs"/>
              </a:defRPr>
            </a:pPr>
            <a:r>
              <a:t/>
            </a:r>
          </a:p>
        </txPr>
        <crossAx val="30508075"/>
        <crosses val="max"/>
        <crossBetween val="between"/>
        <dispUnits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152400</colOff>
      <row>7</row>
      <rowOff>95250</rowOff>
    </from>
    <to>
      <col>8</col>
      <colOff>152400</colOff>
      <row>32</row>
      <rowOff>28575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95250</colOff>
      <row>7</row>
      <rowOff>57150</rowOff>
    </from>
    <to>
      <col>8</col>
      <colOff>28575</colOff>
      <row>32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57150</colOff>
      <row>7</row>
      <rowOff>66675</rowOff>
    </from>
    <to>
      <col>9</col>
      <colOff>76200</colOff>
      <row>27</row>
      <rowOff>66675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"/>
  <sheetViews>
    <sheetView topLeftCell="A1" workbookViewId="0">
      <pane xSplit="2" ySplit="2" topLeftCell="I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9.00390625" defaultRowHeight="13.5"/>
  <cols>
    <col width="8.75390625" customWidth="1" style="173" min="1" max="1"/>
    <col width="12.25390625" customWidth="1" style="173" min="2" max="2"/>
    <col width="6.875" customWidth="1" style="173" min="3" max="22"/>
    <col hidden="1" width="17.25390625" customWidth="1" style="173" min="23" max="23"/>
    <col hidden="1" width="13.00390625" customWidth="1" style="173" min="24" max="24"/>
    <col hidden="1" width="12.25390625" customWidth="1" style="173" min="25" max="25"/>
    <col hidden="1" width="13.00390625" customWidth="1" style="173" min="26" max="26"/>
    <col hidden="1" width="12.25390625" customWidth="1" style="173" min="27" max="27"/>
    <col hidden="1" width="13.00390625" customWidth="1" style="173" min="28" max="32"/>
    <col width="6.00390625" customWidth="1" style="173" min="33" max="34"/>
    <col width="9.00390625" customWidth="1" style="173" min="35" max="16384"/>
  </cols>
  <sheetData>
    <row r="1" ht="13.5" customHeight="1" s="245">
      <c r="A1" s="192" t="n"/>
      <c r="B1" s="193" t="n"/>
      <c r="C1" s="246" t="inlineStr">
        <is>
          <t>Order Summary</t>
        </is>
      </c>
      <c r="D1" s="247" t="n"/>
      <c r="E1" s="247" t="n"/>
      <c r="F1" s="247" t="n"/>
      <c r="G1" s="247" t="n"/>
      <c r="H1" s="247" t="n"/>
      <c r="I1" s="247" t="n"/>
      <c r="J1" s="247" t="n"/>
      <c r="K1" s="247" t="n"/>
      <c r="L1" s="248" t="n"/>
      <c r="M1" s="246" t="inlineStr">
        <is>
          <t>New Style</t>
        </is>
      </c>
      <c r="N1" s="247" t="n"/>
      <c r="O1" s="247" t="n"/>
      <c r="P1" s="247" t="n"/>
      <c r="Q1" s="247" t="n"/>
      <c r="R1" s="247" t="n"/>
      <c r="S1" s="247" t="n"/>
      <c r="T1" s="247" t="n"/>
      <c r="U1" s="247" t="n"/>
      <c r="V1" s="248" t="n"/>
      <c r="W1" s="225" t="inlineStr">
        <is>
          <t>Reserved Items</t>
        </is>
      </c>
      <c r="X1" s="224" t="n"/>
      <c r="Y1" s="224" t="n"/>
      <c r="Z1" s="224" t="n"/>
      <c r="AA1" s="224" t="n"/>
      <c r="AB1" s="224" t="n"/>
      <c r="AC1" s="224" t="n"/>
      <c r="AD1" s="224" t="n"/>
      <c r="AE1" s="224" t="n"/>
      <c r="AF1" s="224" t="n"/>
      <c r="AG1" s="232" t="n"/>
      <c r="AH1" s="233" t="n"/>
    </row>
    <row r="2" ht="13.5" customHeight="1" s="245">
      <c r="A2" s="196" t="inlineStr">
        <is>
          <t>Style</t>
        </is>
      </c>
      <c r="B2" s="196" t="inlineStr">
        <is>
          <t>Series</t>
        </is>
      </c>
      <c r="C2" s="197" t="inlineStr">
        <is>
          <t>Order SKU</t>
        </is>
      </c>
      <c r="D2" s="198" t="inlineStr">
        <is>
          <t>Order Quantity</t>
        </is>
      </c>
      <c r="E2" s="198" t="inlineStr">
        <is>
          <t>Picked SKU</t>
        </is>
      </c>
      <c r="F2" s="198" t="inlineStr">
        <is>
          <t>Picked-up Quantity</t>
        </is>
      </c>
      <c r="G2" s="198" t="inlineStr">
        <is>
          <t>Unpicked SKU</t>
        </is>
      </c>
      <c r="H2" s="198" t="inlineStr">
        <is>
          <t>Unclaimed Quantity</t>
        </is>
      </c>
      <c r="I2" s="198" t="inlineStr">
        <is>
          <t>Warehouse Quantity</t>
        </is>
      </c>
      <c r="J2" s="198" t="inlineStr">
        <is>
          <t>Store Quantity</t>
        </is>
      </c>
      <c r="K2" s="198" t="inlineStr">
        <is>
          <t>Shipping Quantity</t>
        </is>
      </c>
      <c r="L2" s="216" t="inlineStr">
        <is>
          <t>Sales Quantity</t>
        </is>
      </c>
      <c r="M2" s="197" t="inlineStr">
        <is>
          <t>Order SKU</t>
        </is>
      </c>
      <c r="N2" s="198" t="inlineStr">
        <is>
          <t>Order Quantity</t>
        </is>
      </c>
      <c r="O2" s="198" t="inlineStr">
        <is>
          <t>Picked SKU</t>
        </is>
      </c>
      <c r="P2" s="198" t="inlineStr">
        <is>
          <t>Picked-up Quantity</t>
        </is>
      </c>
      <c r="Q2" s="198" t="inlineStr">
        <is>
          <t>Unpicked SKU</t>
        </is>
      </c>
      <c r="R2" s="198" t="inlineStr">
        <is>
          <t>Unclaimed Quantity</t>
        </is>
      </c>
      <c r="S2" s="198" t="inlineStr">
        <is>
          <t>Warehouse Quantity</t>
        </is>
      </c>
      <c r="T2" s="198" t="inlineStr">
        <is>
          <t>Store Quantity</t>
        </is>
      </c>
      <c r="U2" s="198" t="inlineStr">
        <is>
          <t>Shipping Quantity</t>
        </is>
      </c>
      <c r="V2" s="216" t="inlineStr">
        <is>
          <t>Sales Quantity</t>
        </is>
      </c>
      <c r="W2" s="225" t="inlineStr">
        <is>
          <t>Count Item: Product Number\Color Code</t>
        </is>
      </c>
      <c r="X2" s="225" t="inlineStr">
        <is>
          <t>Sum Item: Order Quantity</t>
        </is>
      </c>
      <c r="Y2" s="225" t="inlineStr">
        <is>
          <t>Sum Item: Picked SKU</t>
        </is>
      </c>
      <c r="Z2" s="225" t="inlineStr">
        <is>
          <t>Sum Item: Quantity Picked Up</t>
        </is>
      </c>
      <c r="AA2" s="225" t="inlineStr">
        <is>
          <t>Sum Item: Unpulled SKU</t>
        </is>
      </c>
      <c r="AB2" s="225" t="inlineStr">
        <is>
          <t>Sum Item: Unpulled Quantity</t>
        </is>
      </c>
      <c r="AC2" s="225" t="inlineStr">
        <is>
          <t>Sum Item: Warehouse Quantity</t>
        </is>
      </c>
      <c r="AD2" s="225" t="inlineStr">
        <is>
          <t>Sum Item: Store Quantity</t>
        </is>
      </c>
      <c r="AE2" s="225" t="inlineStr">
        <is>
          <t>Sum Item: Delivery Quantity</t>
        </is>
      </c>
      <c r="AF2" s="225" t="inlineStr">
        <is>
          <t>Sum Item: Sales Quantity</t>
        </is>
      </c>
      <c r="AG2" s="234" t="inlineStr">
        <is>
          <t>Sell-through rate</t>
        </is>
      </c>
      <c r="AH2" s="249" t="inlineStr">
        <is>
          <t>Stock-to-sales ratio</t>
        </is>
      </c>
    </row>
    <row r="3" ht="13.5" customHeight="1" s="245">
      <c r="A3" s="196" t="inlineStr">
        <is>
          <t>Underwear</t>
        </is>
      </c>
      <c r="B3" s="196" t="inlineStr">
        <is>
          <t>Spring and Summer Home</t>
        </is>
      </c>
      <c r="C3" s="199" t="n">
        <v>7</v>
      </c>
      <c r="D3" s="200" t="n">
        <v>542</v>
      </c>
      <c r="E3" s="200" t="n">
        <v>7</v>
      </c>
      <c r="F3" s="200" t="n">
        <v>324</v>
      </c>
      <c r="G3" s="200" t="n"/>
      <c r="H3" s="200" t="n">
        <v>218</v>
      </c>
      <c r="I3" s="200" t="n">
        <v>167</v>
      </c>
      <c r="J3" s="200" t="n">
        <v>352</v>
      </c>
      <c r="K3" s="200" t="n">
        <v>432</v>
      </c>
      <c r="L3" s="217" t="n">
        <v>72</v>
      </c>
      <c r="M3" s="199" t="n">
        <v>2</v>
      </c>
      <c r="N3" s="200" t="n">
        <v>52</v>
      </c>
      <c r="O3" s="200" t="n">
        <v>2</v>
      </c>
      <c r="P3" s="200" t="n">
        <v>52</v>
      </c>
      <c r="Q3" s="200" t="n"/>
      <c r="R3" s="200" t="n"/>
      <c r="S3" s="200" t="n">
        <v>9</v>
      </c>
      <c r="T3" s="200" t="n">
        <v>36</v>
      </c>
      <c r="U3" s="200" t="n">
        <v>51</v>
      </c>
      <c r="V3" s="217" t="n">
        <v>7</v>
      </c>
      <c r="W3" s="225" t="n">
        <v>5</v>
      </c>
      <c r="X3" s="225" t="n">
        <v>490</v>
      </c>
      <c r="Y3" s="225" t="n">
        <v>5</v>
      </c>
      <c r="Z3" s="225" t="n">
        <v>272</v>
      </c>
      <c r="AA3" s="225" t="n"/>
      <c r="AB3" s="225" t="n">
        <v>218</v>
      </c>
      <c r="AC3" s="225" t="n">
        <v>158</v>
      </c>
      <c r="AD3" s="225" t="n">
        <v>316</v>
      </c>
      <c r="AE3" s="225" t="n">
        <v>381</v>
      </c>
      <c r="AF3" s="225" t="n">
        <v>65</v>
      </c>
      <c r="AG3" s="234" t="n">
        <v>0.132841328413284</v>
      </c>
      <c r="AH3" s="249" t="n">
        <v>26.5402777777778</v>
      </c>
    </row>
    <row r="4" ht="13.5" customHeight="1" s="245">
      <c r="A4" s="192" t="n"/>
      <c r="B4" s="201" t="inlineStr">
        <is>
          <t>Combed Cotton Lycra</t>
        </is>
      </c>
      <c r="C4" s="202" t="n">
        <v>4</v>
      </c>
      <c r="D4" s="203" t="n">
        <v>192</v>
      </c>
      <c r="E4" s="203" t="n">
        <v>2</v>
      </c>
      <c r="F4" s="203" t="n">
        <v>96</v>
      </c>
      <c r="G4" s="203" t="n">
        <v>2</v>
      </c>
      <c r="H4" s="203" t="n">
        <v>96</v>
      </c>
      <c r="I4" s="203" t="n">
        <v>48</v>
      </c>
      <c r="J4" s="203" t="n">
        <v>46</v>
      </c>
      <c r="K4" s="203" t="n">
        <v>47</v>
      </c>
      <c r="L4" s="218" t="n">
        <v>1</v>
      </c>
      <c r="M4" s="202" t="n">
        <v>4</v>
      </c>
      <c r="N4" s="203" t="n">
        <v>192</v>
      </c>
      <c r="O4" s="203" t="n">
        <v>2</v>
      </c>
      <c r="P4" s="203" t="n">
        <v>96</v>
      </c>
      <c r="Q4" s="203" t="n">
        <v>2</v>
      </c>
      <c r="R4" s="203" t="n">
        <v>96</v>
      </c>
      <c r="S4" s="203" t="n">
        <v>48</v>
      </c>
      <c r="T4" s="203" t="n">
        <v>46</v>
      </c>
      <c r="U4" s="203" t="n">
        <v>47</v>
      </c>
      <c r="V4" s="218" t="n">
        <v>1</v>
      </c>
      <c r="W4" s="227" t="n"/>
      <c r="X4" s="227" t="n"/>
      <c r="Y4" s="227" t="n"/>
      <c r="Z4" s="227" t="n"/>
      <c r="AA4" s="227" t="n"/>
      <c r="AB4" s="227" t="n"/>
      <c r="AC4" s="227" t="n"/>
      <c r="AD4" s="227" t="n"/>
      <c r="AE4" s="227" t="n"/>
      <c r="AF4" s="227" t="n"/>
      <c r="AG4" s="234" t="n">
        <v>0.00520833333333333</v>
      </c>
      <c r="AH4" s="249" t="n">
        <v>307.166666666667</v>
      </c>
    </row>
    <row r="5" ht="13.5" customHeight="1" s="245">
      <c r="A5" s="192" t="n"/>
      <c r="B5" s="201" t="inlineStr">
        <is>
          <t>High-count mercerized cotton brocade</t>
        </is>
      </c>
      <c r="C5" s="202" t="n">
        <v>6</v>
      </c>
      <c r="D5" s="203" t="n">
        <v>163</v>
      </c>
      <c r="E5" s="203" t="n">
        <v>6</v>
      </c>
      <c r="F5" s="203" t="n">
        <v>74</v>
      </c>
      <c r="G5" s="203" t="n"/>
      <c r="H5" s="203" t="n">
        <v>89</v>
      </c>
      <c r="I5" s="203" t="n">
        <v>173</v>
      </c>
      <c r="J5" s="203" t="n">
        <v>129</v>
      </c>
      <c r="K5" s="203" t="n">
        <v>137</v>
      </c>
      <c r="L5" s="218" t="n">
        <v>8</v>
      </c>
      <c r="M5" s="202" t="n"/>
      <c r="N5" s="203" t="n"/>
      <c r="O5" s="203" t="n"/>
      <c r="P5" s="203" t="n"/>
      <c r="Q5" s="203" t="n"/>
      <c r="R5" s="203" t="n"/>
      <c r="S5" s="203" t="n"/>
      <c r="T5" s="203" t="n"/>
      <c r="U5" s="203" t="n"/>
      <c r="V5" s="218" t="n"/>
      <c r="W5" s="227" t="n">
        <v>6</v>
      </c>
      <c r="X5" s="227" t="n">
        <v>163</v>
      </c>
      <c r="Y5" s="227" t="n">
        <v>6</v>
      </c>
      <c r="Z5" s="227" t="n">
        <v>74</v>
      </c>
      <c r="AA5" s="227" t="n"/>
      <c r="AB5" s="227" t="n">
        <v>89</v>
      </c>
      <c r="AC5" s="227" t="n">
        <v>173</v>
      </c>
      <c r="AD5" s="227" t="n">
        <v>129</v>
      </c>
      <c r="AE5" s="227" t="n">
        <v>137</v>
      </c>
      <c r="AF5" s="227" t="n">
        <v>8</v>
      </c>
      <c r="AG5" s="234" t="n">
        <v>0.049079754601227</v>
      </c>
      <c r="AH5" s="249" t="n">
        <v>125.291666666667</v>
      </c>
    </row>
    <row r="6" ht="13.5" customHeight="1" s="245">
      <c r="A6" s="192" t="n"/>
      <c r="B6" s="201" t="inlineStr">
        <is>
          <t>Cotton Modal</t>
        </is>
      </c>
      <c r="C6" s="202" t="n">
        <v>6</v>
      </c>
      <c r="D6" s="203" t="n">
        <v>2230</v>
      </c>
      <c r="E6" s="203" t="n">
        <v>6</v>
      </c>
      <c r="F6" s="203" t="n">
        <v>2122</v>
      </c>
      <c r="G6" s="203" t="n"/>
      <c r="H6" s="203" t="n">
        <v>108</v>
      </c>
      <c r="I6" s="203" t="n">
        <v>242</v>
      </c>
      <c r="J6" s="203" t="n">
        <v>1595</v>
      </c>
      <c r="K6" s="203" t="n">
        <v>1884</v>
      </c>
      <c r="L6" s="218" t="n">
        <v>264</v>
      </c>
      <c r="M6" s="202" t="n">
        <v>6</v>
      </c>
      <c r="N6" s="203" t="n">
        <v>2230</v>
      </c>
      <c r="O6" s="203" t="n">
        <v>6</v>
      </c>
      <c r="P6" s="203" t="n">
        <v>2122</v>
      </c>
      <c r="Q6" s="203" t="n"/>
      <c r="R6" s="203" t="n">
        <v>108</v>
      </c>
      <c r="S6" s="203" t="n">
        <v>242</v>
      </c>
      <c r="T6" s="203" t="n">
        <v>1595</v>
      </c>
      <c r="U6" s="203" t="n">
        <v>1884</v>
      </c>
      <c r="V6" s="218" t="n">
        <v>264</v>
      </c>
      <c r="W6" s="227" t="n"/>
      <c r="X6" s="227" t="n"/>
      <c r="Y6" s="227" t="n"/>
      <c r="Z6" s="227" t="n"/>
      <c r="AA6" s="227" t="n"/>
      <c r="AB6" s="227" t="n"/>
      <c r="AC6" s="227" t="n"/>
      <c r="AD6" s="227" t="n"/>
      <c r="AE6" s="227" t="n"/>
      <c r="AF6" s="227" t="n"/>
      <c r="AG6" s="234" t="n">
        <v>0.118385650224215</v>
      </c>
      <c r="AH6" s="249" t="n">
        <v>25.7319444444444</v>
      </c>
    </row>
    <row r="7" ht="13.5" customHeight="1" s="245">
      <c r="A7" s="192" t="n"/>
      <c r="B7" s="201" t="inlineStr">
        <is>
          <t>Special Offer Items</t>
        </is>
      </c>
      <c r="C7" s="202" t="n">
        <v>4</v>
      </c>
      <c r="D7" s="203" t="n">
        <v>5300</v>
      </c>
      <c r="E7" s="203" t="n">
        <v>4</v>
      </c>
      <c r="F7" s="203" t="n">
        <v>4462</v>
      </c>
      <c r="G7" s="203" t="n"/>
      <c r="H7" s="203" t="n">
        <v>838</v>
      </c>
      <c r="I7" s="203" t="n">
        <v>1087</v>
      </c>
      <c r="J7" s="203" t="n">
        <v>2391</v>
      </c>
      <c r="K7" s="203" t="n">
        <v>3525</v>
      </c>
      <c r="L7" s="218" t="n">
        <v>954</v>
      </c>
      <c r="M7" s="202" t="n">
        <v>4</v>
      </c>
      <c r="N7" s="203" t="n">
        <v>5300</v>
      </c>
      <c r="O7" s="203" t="n">
        <v>4</v>
      </c>
      <c r="P7" s="203" t="n">
        <v>4462</v>
      </c>
      <c r="Q7" s="203" t="n"/>
      <c r="R7" s="203" t="n">
        <v>838</v>
      </c>
      <c r="S7" s="203" t="n">
        <v>1087</v>
      </c>
      <c r="T7" s="203" t="n">
        <v>2391</v>
      </c>
      <c r="U7" s="203" t="n">
        <v>3525</v>
      </c>
      <c r="V7" s="218" t="n">
        <v>954</v>
      </c>
      <c r="W7" s="227" t="n"/>
      <c r="X7" s="227" t="n"/>
      <c r="Y7" s="227" t="n"/>
      <c r="Z7" s="227" t="n"/>
      <c r="AA7" s="227" t="n"/>
      <c r="AB7" s="227" t="n"/>
      <c r="AC7" s="227" t="n"/>
      <c r="AD7" s="227" t="n"/>
      <c r="AE7" s="227" t="n"/>
      <c r="AF7" s="227" t="n"/>
      <c r="AG7" s="234" t="n">
        <v>0.18</v>
      </c>
      <c r="AH7" s="249" t="n">
        <v>15.0211041229909</v>
      </c>
    </row>
    <row r="8" ht="13.5" customHeight="1" s="245">
      <c r="A8" s="192" t="n"/>
      <c r="B8" s="204" t="inlineStr">
        <is>
          <t>Underwear</t>
        </is>
      </c>
      <c r="C8" s="205" t="n">
        <v>14</v>
      </c>
      <c r="D8" s="206" t="n">
        <v>2488</v>
      </c>
      <c r="E8" s="206" t="n">
        <v>9</v>
      </c>
      <c r="F8" s="206" t="n">
        <v>1298</v>
      </c>
      <c r="G8" s="206" t="n">
        <v>5</v>
      </c>
      <c r="H8" s="206" t="n">
        <v>1190</v>
      </c>
      <c r="I8" s="206" t="n">
        <v>819</v>
      </c>
      <c r="J8" s="206" t="n">
        <v>1540</v>
      </c>
      <c r="K8" s="206" t="n">
        <v>920</v>
      </c>
      <c r="L8" s="219" t="n">
        <v>104</v>
      </c>
      <c r="M8" s="205" t="n">
        <v>6</v>
      </c>
      <c r="N8" s="206" t="n">
        <v>1770</v>
      </c>
      <c r="O8" s="206" t="n">
        <v>3</v>
      </c>
      <c r="P8" s="206" t="n">
        <v>810</v>
      </c>
      <c r="Q8" s="206" t="n">
        <v>3</v>
      </c>
      <c r="R8" s="206" t="n">
        <v>960</v>
      </c>
      <c r="S8" s="206" t="n">
        <v>33</v>
      </c>
      <c r="T8" s="206" t="n">
        <v>727</v>
      </c>
      <c r="U8" s="206" t="n">
        <v>777</v>
      </c>
      <c r="V8" s="219" t="n">
        <v>50</v>
      </c>
      <c r="W8" s="229" t="n">
        <v>8</v>
      </c>
      <c r="X8" s="229" t="n">
        <v>718</v>
      </c>
      <c r="Y8" s="229" t="n">
        <v>6</v>
      </c>
      <c r="Z8" s="229" t="n">
        <v>488</v>
      </c>
      <c r="AA8" s="229" t="n">
        <v>2</v>
      </c>
      <c r="AB8" s="229" t="n">
        <v>230</v>
      </c>
      <c r="AC8" s="229" t="n">
        <v>786</v>
      </c>
      <c r="AD8" s="229" t="n">
        <v>813</v>
      </c>
      <c r="AE8" s="229" t="n">
        <v>143</v>
      </c>
      <c r="AF8" s="229" t="n">
        <v>54</v>
      </c>
      <c r="AG8" s="236" t="n">
        <v>0.0418006430868167</v>
      </c>
      <c r="AH8" s="250" t="n">
        <v>76.57403846153851</v>
      </c>
    </row>
    <row r="9" ht="13.5" customHeight="1" s="245">
      <c r="A9" s="192" t="n"/>
      <c r="B9" s="201" t="inlineStr">
        <is>
          <t>Underwear Accessories</t>
        </is>
      </c>
      <c r="C9" s="202" t="n">
        <v>7</v>
      </c>
      <c r="D9" s="203" t="n">
        <v>390</v>
      </c>
      <c r="E9" s="203" t="n">
        <v>7</v>
      </c>
      <c r="F9" s="203" t="n">
        <v>168</v>
      </c>
      <c r="G9" s="203" t="n"/>
      <c r="H9" s="203" t="n">
        <v>222</v>
      </c>
      <c r="I9" s="203" t="n">
        <v>232</v>
      </c>
      <c r="J9" s="203" t="n">
        <v>63</v>
      </c>
      <c r="K9" s="203" t="n">
        <v>2</v>
      </c>
      <c r="L9" s="218" t="n">
        <v>4</v>
      </c>
      <c r="M9" s="202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18" t="n"/>
      <c r="W9" s="227" t="n">
        <v>7</v>
      </c>
      <c r="X9" s="227" t="n">
        <v>390</v>
      </c>
      <c r="Y9" s="227" t="n">
        <v>7</v>
      </c>
      <c r="Z9" s="227" t="n">
        <v>168</v>
      </c>
      <c r="AA9" s="227" t="n"/>
      <c r="AB9" s="227" t="n">
        <v>222</v>
      </c>
      <c r="AC9" s="227" t="n">
        <v>232</v>
      </c>
      <c r="AD9" s="227" t="n">
        <v>63</v>
      </c>
      <c r="AE9" s="227" t="n">
        <v>2</v>
      </c>
      <c r="AF9" s="227" t="n">
        <v>4</v>
      </c>
      <c r="AG9" s="234" t="n">
        <v>0.0102564102564103</v>
      </c>
      <c r="AH9" s="249" t="n">
        <v>241.691666666667</v>
      </c>
    </row>
    <row r="10" ht="13.5" customHeight="1" s="245">
      <c r="A10" s="207" t="inlineStr">
        <is>
          <t>Underwear Summary</t>
        </is>
      </c>
      <c r="B10" s="208" t="n"/>
      <c r="C10" s="209" t="n">
        <v>48</v>
      </c>
      <c r="D10" s="210" t="n">
        <v>11305</v>
      </c>
      <c r="E10" s="210" t="n">
        <v>41</v>
      </c>
      <c r="F10" s="210" t="n">
        <v>8544</v>
      </c>
      <c r="G10" s="210" t="n">
        <v>7</v>
      </c>
      <c r="H10" s="210" t="n">
        <v>2761</v>
      </c>
      <c r="I10" s="210" t="n">
        <v>2768</v>
      </c>
      <c r="J10" s="210" t="n">
        <v>6116</v>
      </c>
      <c r="K10" s="210" t="n">
        <v>6947</v>
      </c>
      <c r="L10" s="220" t="n">
        <v>1407</v>
      </c>
      <c r="M10" s="209" t="n">
        <v>22</v>
      </c>
      <c r="N10" s="210" t="n">
        <v>9544</v>
      </c>
      <c r="O10" s="210" t="n">
        <v>17</v>
      </c>
      <c r="P10" s="210" t="n">
        <v>7542</v>
      </c>
      <c r="Q10" s="210" t="n">
        <v>5</v>
      </c>
      <c r="R10" s="210" t="n">
        <v>2002</v>
      </c>
      <c r="S10" s="210" t="n">
        <v>1419</v>
      </c>
      <c r="T10" s="210" t="n">
        <v>4795</v>
      </c>
      <c r="U10" s="210" t="n">
        <v>6284</v>
      </c>
      <c r="V10" s="220" t="n">
        <v>1276</v>
      </c>
      <c r="W10" s="230" t="n">
        <v>26</v>
      </c>
      <c r="X10" s="230" t="n">
        <v>1761</v>
      </c>
      <c r="Y10" s="230" t="n">
        <v>24</v>
      </c>
      <c r="Z10" s="230" t="n">
        <v>1002</v>
      </c>
      <c r="AA10" s="230" t="n">
        <v>2</v>
      </c>
      <c r="AB10" s="230" t="n">
        <v>759</v>
      </c>
      <c r="AC10" s="230" t="n">
        <v>1349</v>
      </c>
      <c r="AD10" s="230" t="n">
        <v>1321</v>
      </c>
      <c r="AE10" s="230" t="n">
        <v>663</v>
      </c>
      <c r="AF10" s="230" t="n">
        <v>131</v>
      </c>
      <c r="AG10" s="238" t="n">
        <v>0.124458204334365</v>
      </c>
      <c r="AH10" s="251" t="n">
        <v>23.6490642027955</v>
      </c>
    </row>
    <row r="11" ht="13.5" customHeight="1" s="245">
      <c r="A11" s="196" t="inlineStr">
        <is>
          <t>Indoor Sports</t>
        </is>
      </c>
      <c r="B11" s="196" t="inlineStr">
        <is>
          <t>Sports Bra</t>
        </is>
      </c>
      <c r="C11" s="199" t="n">
        <v>6</v>
      </c>
      <c r="D11" s="200" t="n">
        <v>600</v>
      </c>
      <c r="E11" s="200" t="n">
        <v>3</v>
      </c>
      <c r="F11" s="200" t="n">
        <v>196</v>
      </c>
      <c r="G11" s="200" t="n">
        <v>3</v>
      </c>
      <c r="H11" s="200" t="n">
        <v>404</v>
      </c>
      <c r="I11" s="200" t="n">
        <v>94</v>
      </c>
      <c r="J11" s="200" t="n">
        <v>160</v>
      </c>
      <c r="K11" s="200" t="n">
        <v>185</v>
      </c>
      <c r="L11" s="217" t="n">
        <v>107</v>
      </c>
      <c r="M11" s="199" t="n"/>
      <c r="N11" s="200" t="n"/>
      <c r="O11" s="200" t="n"/>
      <c r="P11" s="200" t="n"/>
      <c r="Q11" s="200" t="n"/>
      <c r="R11" s="200" t="n"/>
      <c r="S11" s="200" t="n"/>
      <c r="T11" s="200" t="n"/>
      <c r="U11" s="200" t="n"/>
      <c r="V11" s="217" t="n"/>
      <c r="W11" s="225" t="n">
        <v>6</v>
      </c>
      <c r="X11" s="225" t="n">
        <v>600</v>
      </c>
      <c r="Y11" s="225" t="n">
        <v>3</v>
      </c>
      <c r="Z11" s="225" t="n">
        <v>196</v>
      </c>
      <c r="AA11" s="225" t="n">
        <v>3</v>
      </c>
      <c r="AB11" s="225" t="n">
        <v>404</v>
      </c>
      <c r="AC11" s="225" t="n">
        <v>94</v>
      </c>
      <c r="AD11" s="225" t="n">
        <v>160</v>
      </c>
      <c r="AE11" s="225" t="n">
        <v>185</v>
      </c>
      <c r="AF11" s="225" t="n">
        <v>107</v>
      </c>
      <c r="AG11" s="234" t="n">
        <v>0.178333333333333</v>
      </c>
      <c r="AH11" s="249" t="n">
        <v>10.908722741433</v>
      </c>
    </row>
    <row r="12" ht="13.5" customHeight="1" s="245">
      <c r="A12" s="192" t="n"/>
      <c r="B12" s="201" t="inlineStr">
        <is>
          <t>Running</t>
        </is>
      </c>
      <c r="C12" s="202" t="n">
        <v>14</v>
      </c>
      <c r="D12" s="203" t="n">
        <v>390</v>
      </c>
      <c r="E12" s="203" t="n">
        <v>6</v>
      </c>
      <c r="F12" s="203" t="n">
        <v>164</v>
      </c>
      <c r="G12" s="203" t="n">
        <v>8</v>
      </c>
      <c r="H12" s="203" t="n">
        <v>226</v>
      </c>
      <c r="I12" s="203" t="n">
        <v>18</v>
      </c>
      <c r="J12" s="203" t="n">
        <v>113</v>
      </c>
      <c r="K12" s="203" t="n">
        <v>137</v>
      </c>
      <c r="L12" s="218" t="n">
        <v>34</v>
      </c>
      <c r="M12" s="202" t="n">
        <v>14</v>
      </c>
      <c r="N12" s="203" t="n">
        <v>390</v>
      </c>
      <c r="O12" s="203" t="n">
        <v>6</v>
      </c>
      <c r="P12" s="203" t="n">
        <v>164</v>
      </c>
      <c r="Q12" s="203" t="n">
        <v>8</v>
      </c>
      <c r="R12" s="203" t="n">
        <v>226</v>
      </c>
      <c r="S12" s="203" t="n">
        <v>18</v>
      </c>
      <c r="T12" s="203" t="n">
        <v>113</v>
      </c>
      <c r="U12" s="203" t="n">
        <v>137</v>
      </c>
      <c r="V12" s="218" t="n">
        <v>34</v>
      </c>
      <c r="W12" s="227" t="n"/>
      <c r="X12" s="227" t="n"/>
      <c r="Y12" s="227" t="n"/>
      <c r="Z12" s="227" t="n"/>
      <c r="AA12" s="227" t="n"/>
      <c r="AB12" s="227" t="n"/>
      <c r="AC12" s="227" t="n"/>
      <c r="AD12" s="227" t="n"/>
      <c r="AE12" s="227" t="n"/>
      <c r="AF12" s="227" t="n"/>
      <c r="AG12" s="234" t="n">
        <v>0.0871794871794872</v>
      </c>
      <c r="AH12" s="249" t="n">
        <v>15.6911764705882</v>
      </c>
    </row>
    <row r="13" ht="13.5" customHeight="1" s="245">
      <c r="A13" s="192" t="n"/>
      <c r="B13" s="201" t="inlineStr">
        <is>
          <t>Comfortable</t>
        </is>
      </c>
      <c r="C13" s="202" t="n">
        <v>15</v>
      </c>
      <c r="D13" s="203" t="n">
        <v>470</v>
      </c>
      <c r="E13" s="203" t="n">
        <v>14</v>
      </c>
      <c r="F13" s="203" t="n">
        <v>439</v>
      </c>
      <c r="G13" s="203" t="n">
        <v>1</v>
      </c>
      <c r="H13" s="203" t="n">
        <v>31</v>
      </c>
      <c r="I13" s="203" t="n">
        <v>130</v>
      </c>
      <c r="J13" s="203" t="n">
        <v>263</v>
      </c>
      <c r="K13" s="203" t="n">
        <v>348</v>
      </c>
      <c r="L13" s="218" t="n">
        <v>75</v>
      </c>
      <c r="M13" s="202" t="n">
        <v>15</v>
      </c>
      <c r="N13" s="203" t="n">
        <v>470</v>
      </c>
      <c r="O13" s="203" t="n">
        <v>14</v>
      </c>
      <c r="P13" s="203" t="n">
        <v>439</v>
      </c>
      <c r="Q13" s="203" t="n">
        <v>1</v>
      </c>
      <c r="R13" s="203" t="n">
        <v>31</v>
      </c>
      <c r="S13" s="203" t="n">
        <v>130</v>
      </c>
      <c r="T13" s="203" t="n">
        <v>263</v>
      </c>
      <c r="U13" s="203" t="n">
        <v>348</v>
      </c>
      <c r="V13" s="218" t="n">
        <v>75</v>
      </c>
      <c r="W13" s="227" t="n"/>
      <c r="X13" s="227" t="n"/>
      <c r="Y13" s="227" t="n"/>
      <c r="Z13" s="227" t="n"/>
      <c r="AA13" s="227" t="n"/>
      <c r="AB13" s="227" t="n"/>
      <c r="AC13" s="227" t="n"/>
      <c r="AD13" s="227" t="n"/>
      <c r="AE13" s="227" t="n"/>
      <c r="AF13" s="227" t="n"/>
      <c r="AG13" s="234" t="n">
        <v>0.159574468085106</v>
      </c>
      <c r="AH13" s="249" t="n">
        <v>20.176</v>
      </c>
    </row>
    <row r="14" ht="13.5" customHeight="1" s="245">
      <c r="A14" s="192" t="n"/>
      <c r="B14" s="201" t="inlineStr">
        <is>
          <t>Bra</t>
        </is>
      </c>
      <c r="C14" s="202" t="n">
        <v>3</v>
      </c>
      <c r="D14" s="203" t="n">
        <v>360</v>
      </c>
      <c r="E14" s="203" t="n"/>
      <c r="F14" s="203" t="n"/>
      <c r="G14" s="203" t="n">
        <v>3</v>
      </c>
      <c r="H14" s="203" t="n">
        <v>360</v>
      </c>
      <c r="I14" s="203" t="n">
        <v>10</v>
      </c>
      <c r="J14" s="203" t="n">
        <v>110</v>
      </c>
      <c r="K14" s="203" t="n">
        <v>13</v>
      </c>
      <c r="L14" s="218" t="n">
        <v>44</v>
      </c>
      <c r="M14" s="202" t="n"/>
      <c r="N14" s="203" t="n"/>
      <c r="O14" s="203" t="n"/>
      <c r="P14" s="203" t="n"/>
      <c r="Q14" s="203" t="n"/>
      <c r="R14" s="203" t="n"/>
      <c r="S14" s="203" t="n"/>
      <c r="T14" s="203" t="n"/>
      <c r="U14" s="203" t="n"/>
      <c r="V14" s="218" t="n"/>
      <c r="W14" s="227" t="n">
        <v>3</v>
      </c>
      <c r="X14" s="227" t="n">
        <v>360</v>
      </c>
      <c r="Y14" s="227" t="n"/>
      <c r="Z14" s="227" t="n"/>
      <c r="AA14" s="227" t="n">
        <v>3</v>
      </c>
      <c r="AB14" s="227" t="n">
        <v>360</v>
      </c>
      <c r="AC14" s="227" t="n">
        <v>10</v>
      </c>
      <c r="AD14" s="227" t="n">
        <v>110</v>
      </c>
      <c r="AE14" s="227" t="n">
        <v>13</v>
      </c>
      <c r="AF14" s="227" t="n">
        <v>44</v>
      </c>
      <c r="AG14" s="234" t="n">
        <v>0.122222222222222</v>
      </c>
      <c r="AH14" s="249" t="n">
        <v>12.0515151515152</v>
      </c>
    </row>
    <row r="15" ht="13.5" customHeight="1" s="245">
      <c r="A15" s="192" t="n"/>
      <c r="B15" s="201" t="inlineStr">
        <is>
          <t>Casual</t>
        </is>
      </c>
      <c r="C15" s="202" t="n">
        <v>26</v>
      </c>
      <c r="D15" s="203" t="n">
        <v>808</v>
      </c>
      <c r="E15" s="203" t="n">
        <v>21</v>
      </c>
      <c r="F15" s="203" t="n">
        <v>616</v>
      </c>
      <c r="G15" s="203" t="n">
        <v>5</v>
      </c>
      <c r="H15" s="203" t="n">
        <v>192</v>
      </c>
      <c r="I15" s="203" t="n">
        <v>222</v>
      </c>
      <c r="J15" s="203" t="n">
        <v>380</v>
      </c>
      <c r="K15" s="203" t="n">
        <v>456</v>
      </c>
      <c r="L15" s="218" t="n">
        <v>36</v>
      </c>
      <c r="M15" s="202" t="n">
        <v>26</v>
      </c>
      <c r="N15" s="203" t="n">
        <v>808</v>
      </c>
      <c r="O15" s="203" t="n">
        <v>21</v>
      </c>
      <c r="P15" s="203" t="n">
        <v>616</v>
      </c>
      <c r="Q15" s="203" t="n">
        <v>5</v>
      </c>
      <c r="R15" s="203" t="n">
        <v>192</v>
      </c>
      <c r="S15" s="203" t="n">
        <v>222</v>
      </c>
      <c r="T15" s="203" t="n">
        <v>380</v>
      </c>
      <c r="U15" s="203" t="n">
        <v>456</v>
      </c>
      <c r="V15" s="218" t="n">
        <v>36</v>
      </c>
      <c r="W15" s="227" t="n"/>
      <c r="X15" s="227" t="n"/>
      <c r="Y15" s="227" t="n"/>
      <c r="Z15" s="227" t="n"/>
      <c r="AA15" s="227" t="n"/>
      <c r="AB15" s="227" t="n"/>
      <c r="AC15" s="227" t="n"/>
      <c r="AD15" s="227" t="n"/>
      <c r="AE15" s="227" t="n"/>
      <c r="AF15" s="227" t="n"/>
      <c r="AG15" s="234" t="n">
        <v>0.0445544554455446</v>
      </c>
      <c r="AH15" s="249" t="n">
        <v>57.3018518518519</v>
      </c>
    </row>
    <row r="16" ht="13.5" customHeight="1" s="245">
      <c r="A16" s="192" t="n"/>
      <c r="B16" s="201" t="inlineStr">
        <is>
          <t>Slim-fit</t>
        </is>
      </c>
      <c r="C16" s="202" t="n">
        <v>14</v>
      </c>
      <c r="D16" s="203" t="n">
        <v>755</v>
      </c>
      <c r="E16" s="203" t="n">
        <v>14</v>
      </c>
      <c r="F16" s="203" t="n">
        <v>739</v>
      </c>
      <c r="G16" s="203" t="n"/>
      <c r="H16" s="203" t="n">
        <v>16</v>
      </c>
      <c r="I16" s="203" t="n">
        <v>250</v>
      </c>
      <c r="J16" s="203" t="n">
        <v>457</v>
      </c>
      <c r="K16" s="203" t="n">
        <v>544</v>
      </c>
      <c r="L16" s="218" t="n">
        <v>96</v>
      </c>
      <c r="M16" s="202" t="n">
        <v>14</v>
      </c>
      <c r="N16" s="203" t="n">
        <v>755</v>
      </c>
      <c r="O16" s="203" t="n">
        <v>14</v>
      </c>
      <c r="P16" s="203" t="n">
        <v>739</v>
      </c>
      <c r="Q16" s="203" t="n"/>
      <c r="R16" s="203" t="n">
        <v>16</v>
      </c>
      <c r="S16" s="203" t="n">
        <v>250</v>
      </c>
      <c r="T16" s="203" t="n">
        <v>457</v>
      </c>
      <c r="U16" s="203" t="n">
        <v>544</v>
      </c>
      <c r="V16" s="218" t="n">
        <v>96</v>
      </c>
      <c r="W16" s="227" t="n"/>
      <c r="X16" s="227" t="n"/>
      <c r="Y16" s="227" t="n"/>
      <c r="Z16" s="227" t="n"/>
      <c r="AA16" s="227" t="n"/>
      <c r="AB16" s="227" t="n"/>
      <c r="AC16" s="227" t="n"/>
      <c r="AD16" s="227" t="n"/>
      <c r="AE16" s="227" t="n"/>
      <c r="AF16" s="227" t="n"/>
      <c r="AG16" s="234" t="n">
        <v>0.127152317880795</v>
      </c>
      <c r="AH16" s="249" t="n">
        <v>27.0454861111111</v>
      </c>
    </row>
    <row r="17" ht="13.5" customHeight="1" s="245">
      <c r="A17" s="192" t="n"/>
      <c r="B17" s="201" t="inlineStr">
        <is>
          <t>Professional</t>
        </is>
      </c>
      <c r="C17" s="202" t="n">
        <v>16</v>
      </c>
      <c r="D17" s="203" t="n">
        <v>2425</v>
      </c>
      <c r="E17" s="203" t="n">
        <v>7</v>
      </c>
      <c r="F17" s="203" t="n">
        <v>1584</v>
      </c>
      <c r="G17" s="203" t="n">
        <v>9</v>
      </c>
      <c r="H17" s="203" t="n">
        <v>841</v>
      </c>
      <c r="I17" s="203" t="n">
        <v>431</v>
      </c>
      <c r="J17" s="203" t="n">
        <v>983</v>
      </c>
      <c r="K17" s="203" t="n">
        <v>1216</v>
      </c>
      <c r="L17" s="218" t="n">
        <v>182</v>
      </c>
      <c r="M17" s="202" t="n">
        <v>16</v>
      </c>
      <c r="N17" s="203" t="n">
        <v>2425</v>
      </c>
      <c r="O17" s="203" t="n">
        <v>7</v>
      </c>
      <c r="P17" s="203" t="n">
        <v>1584</v>
      </c>
      <c r="Q17" s="203" t="n">
        <v>9</v>
      </c>
      <c r="R17" s="203" t="n">
        <v>841</v>
      </c>
      <c r="S17" s="203" t="n">
        <v>431</v>
      </c>
      <c r="T17" s="203" t="n">
        <v>983</v>
      </c>
      <c r="U17" s="203" t="n">
        <v>1216</v>
      </c>
      <c r="V17" s="218" t="n">
        <v>182</v>
      </c>
      <c r="W17" s="227" t="n"/>
      <c r="X17" s="227" t="n"/>
      <c r="Y17" s="227" t="n"/>
      <c r="Z17" s="227" t="n"/>
      <c r="AA17" s="227" t="n"/>
      <c r="AB17" s="227" t="n"/>
      <c r="AC17" s="227" t="n"/>
      <c r="AD17" s="227" t="n"/>
      <c r="AE17" s="227" t="n"/>
      <c r="AF17" s="227" t="n"/>
      <c r="AG17" s="234" t="n">
        <v>0.0750515463917526</v>
      </c>
      <c r="AH17" s="249" t="n">
        <v>28.3538461538462</v>
      </c>
    </row>
    <row r="18" ht="13.5" customHeight="1" s="245">
      <c r="A18" s="192" t="n"/>
      <c r="B18" s="201" t="inlineStr">
        <is>
          <t>Fitness Yoga</t>
        </is>
      </c>
      <c r="C18" s="202" t="n">
        <v>40</v>
      </c>
      <c r="D18" s="203" t="n">
        <v>3123</v>
      </c>
      <c r="E18" s="203" t="n">
        <v>35</v>
      </c>
      <c r="F18" s="203" t="n">
        <v>1569</v>
      </c>
      <c r="G18" s="203" t="n">
        <v>5</v>
      </c>
      <c r="H18" s="203" t="n">
        <v>1554</v>
      </c>
      <c r="I18" s="203" t="n">
        <v>986</v>
      </c>
      <c r="J18" s="203" t="n">
        <v>1750</v>
      </c>
      <c r="K18" s="203" t="n">
        <v>1388</v>
      </c>
      <c r="L18" s="218" t="n">
        <v>579</v>
      </c>
      <c r="M18" s="202" t="n">
        <v>7</v>
      </c>
      <c r="N18" s="203" t="n">
        <v>120</v>
      </c>
      <c r="O18" s="203" t="n">
        <v>3</v>
      </c>
      <c r="P18" s="203" t="n">
        <v>36</v>
      </c>
      <c r="Q18" s="203" t="n">
        <v>4</v>
      </c>
      <c r="R18" s="203" t="n">
        <v>84</v>
      </c>
      <c r="S18" s="203" t="n">
        <v>36</v>
      </c>
      <c r="T18" s="203" t="n"/>
      <c r="U18" s="203" t="n"/>
      <c r="V18" s="218" t="n"/>
      <c r="W18" s="227" t="n">
        <v>33</v>
      </c>
      <c r="X18" s="227" t="n">
        <v>3003</v>
      </c>
      <c r="Y18" s="227" t="n">
        <v>32</v>
      </c>
      <c r="Z18" s="227" t="n">
        <v>1533</v>
      </c>
      <c r="AA18" s="227" t="n">
        <v>1</v>
      </c>
      <c r="AB18" s="227" t="n">
        <v>1470</v>
      </c>
      <c r="AC18" s="227" t="n">
        <v>950</v>
      </c>
      <c r="AD18" s="227" t="n">
        <v>1750</v>
      </c>
      <c r="AE18" s="227" t="n">
        <v>1388</v>
      </c>
      <c r="AF18" s="227" t="n">
        <v>579</v>
      </c>
      <c r="AG18" s="234" t="n">
        <v>0.185398655139289</v>
      </c>
      <c r="AH18" s="249" t="n">
        <v>18.5120898100173</v>
      </c>
    </row>
    <row r="19" ht="13.5" customHeight="1" s="245">
      <c r="A19" s="192" t="n"/>
      <c r="B19" s="201" t="inlineStr">
        <is>
          <t>Fitness Accessories</t>
        </is>
      </c>
      <c r="C19" s="202" t="n">
        <v>42</v>
      </c>
      <c r="D19" s="203" t="n">
        <v>905</v>
      </c>
      <c r="E19" s="203" t="n">
        <v>36</v>
      </c>
      <c r="F19" s="203" t="n">
        <v>688</v>
      </c>
      <c r="G19" s="203" t="n">
        <v>6</v>
      </c>
      <c r="H19" s="203" t="n">
        <v>217</v>
      </c>
      <c r="I19" s="203" t="n">
        <v>965</v>
      </c>
      <c r="J19" s="203" t="n">
        <v>674</v>
      </c>
      <c r="K19" s="203" t="n">
        <v>493</v>
      </c>
      <c r="L19" s="218" t="n">
        <v>239</v>
      </c>
      <c r="M19" s="202" t="n"/>
      <c r="N19" s="203" t="n"/>
      <c r="O19" s="203" t="n"/>
      <c r="P19" s="203" t="n"/>
      <c r="Q19" s="203" t="n"/>
      <c r="R19" s="203" t="n"/>
      <c r="S19" s="203" t="n"/>
      <c r="T19" s="203" t="n"/>
      <c r="U19" s="203" t="n"/>
      <c r="V19" s="218" t="n"/>
      <c r="W19" s="227" t="n">
        <v>42</v>
      </c>
      <c r="X19" s="227" t="n">
        <v>905</v>
      </c>
      <c r="Y19" s="227" t="n">
        <v>36</v>
      </c>
      <c r="Z19" s="227" t="n">
        <v>688</v>
      </c>
      <c r="AA19" s="227" t="n">
        <v>6</v>
      </c>
      <c r="AB19" s="227" t="n">
        <v>217</v>
      </c>
      <c r="AC19" s="227" t="n">
        <v>965</v>
      </c>
      <c r="AD19" s="227" t="n">
        <v>674</v>
      </c>
      <c r="AE19" s="227" t="n">
        <v>493</v>
      </c>
      <c r="AF19" s="227" t="n">
        <v>239</v>
      </c>
      <c r="AG19" s="234" t="n">
        <v>0.264088397790055</v>
      </c>
      <c r="AH19" s="249" t="n">
        <v>25.4066945606695</v>
      </c>
    </row>
    <row r="20" ht="13.5" customHeight="1" s="245">
      <c r="A20" s="207" t="inlineStr">
        <is>
          <t>Indoor Sports Summary</t>
        </is>
      </c>
      <c r="B20" s="208" t="n"/>
      <c r="C20" s="209" t="n">
        <v>176</v>
      </c>
      <c r="D20" s="210" t="n">
        <v>9836</v>
      </c>
      <c r="E20" s="210" t="n">
        <v>136</v>
      </c>
      <c r="F20" s="210" t="n">
        <v>5995</v>
      </c>
      <c r="G20" s="210" t="n">
        <v>40</v>
      </c>
      <c r="H20" s="210" t="n">
        <v>3841</v>
      </c>
      <c r="I20" s="210" t="n">
        <v>3106</v>
      </c>
      <c r="J20" s="210" t="n">
        <v>4890</v>
      </c>
      <c r="K20" s="210" t="n">
        <v>4780</v>
      </c>
      <c r="L20" s="220" t="n">
        <v>1392</v>
      </c>
      <c r="M20" s="209" t="n">
        <v>92</v>
      </c>
      <c r="N20" s="210" t="n">
        <v>4968</v>
      </c>
      <c r="O20" s="210" t="n">
        <v>65</v>
      </c>
      <c r="P20" s="210" t="n">
        <v>3578</v>
      </c>
      <c r="Q20" s="210" t="n">
        <v>27</v>
      </c>
      <c r="R20" s="210" t="n">
        <v>1390</v>
      </c>
      <c r="S20" s="210" t="n">
        <v>1087</v>
      </c>
      <c r="T20" s="210" t="n">
        <v>2196</v>
      </c>
      <c r="U20" s="210" t="n">
        <v>2701</v>
      </c>
      <c r="V20" s="220" t="n">
        <v>423</v>
      </c>
      <c r="W20" s="230" t="n">
        <v>84</v>
      </c>
      <c r="X20" s="230" t="n">
        <v>4868</v>
      </c>
      <c r="Y20" s="230" t="n">
        <v>71</v>
      </c>
      <c r="Z20" s="230" t="n">
        <v>2417</v>
      </c>
      <c r="AA20" s="230" t="n">
        <v>13</v>
      </c>
      <c r="AB20" s="230" t="n">
        <v>2451</v>
      </c>
      <c r="AC20" s="230" t="n">
        <v>2019</v>
      </c>
      <c r="AD20" s="230" t="n">
        <v>2694</v>
      </c>
      <c r="AE20" s="230" t="n">
        <v>2079</v>
      </c>
      <c r="AF20" s="230" t="n">
        <v>969</v>
      </c>
      <c r="AG20" s="238" t="n">
        <v>0.141520943472956</v>
      </c>
      <c r="AH20" s="251" t="n">
        <v>21.8064176245211</v>
      </c>
    </row>
    <row r="21" ht="13.5" customHeight="1" s="245">
      <c r="A21" s="196" t="inlineStr">
        <is>
          <t>Water Sports</t>
        </is>
      </c>
      <c r="B21" s="196" t="inlineStr">
        <is>
          <t>Free Flower Language</t>
        </is>
      </c>
      <c r="C21" s="199" t="n">
        <v>3</v>
      </c>
      <c r="D21" s="200" t="n">
        <v>600</v>
      </c>
      <c r="E21" s="200" t="n">
        <v>2</v>
      </c>
      <c r="F21" s="200" t="n">
        <v>258</v>
      </c>
      <c r="G21" s="200" t="n">
        <v>1</v>
      </c>
      <c r="H21" s="200" t="n">
        <v>342</v>
      </c>
      <c r="I21" s="200" t="n">
        <v>174</v>
      </c>
      <c r="J21" s="200" t="n"/>
      <c r="K21" s="200" t="n"/>
      <c r="L21" s="217" t="n"/>
      <c r="M21" s="199" t="n">
        <v>3</v>
      </c>
      <c r="N21" s="200" t="n">
        <v>600</v>
      </c>
      <c r="O21" s="200" t="n">
        <v>2</v>
      </c>
      <c r="P21" s="200" t="n">
        <v>258</v>
      </c>
      <c r="Q21" s="200" t="n">
        <v>1</v>
      </c>
      <c r="R21" s="200" t="n">
        <v>342</v>
      </c>
      <c r="S21" s="200" t="n">
        <v>174</v>
      </c>
      <c r="T21" s="200" t="n"/>
      <c r="U21" s="200" t="n"/>
      <c r="V21" s="217" t="n"/>
      <c r="W21" s="225" t="n"/>
      <c r="X21" s="225" t="n"/>
      <c r="Y21" s="225" t="n"/>
      <c r="Z21" s="225" t="n"/>
      <c r="AA21" s="225" t="n"/>
      <c r="AB21" s="225" t="n"/>
      <c r="AC21" s="225" t="n"/>
      <c r="AD21" s="225" t="n"/>
      <c r="AE21" s="225" t="n"/>
      <c r="AF21" s="225" t="n"/>
      <c r="AG21" s="234" t="n">
        <v>0</v>
      </c>
      <c r="AH21" s="249" t="inlineStr"/>
    </row>
    <row r="22" ht="13.5" customHeight="1" s="245">
      <c r="A22" s="192" t="n"/>
      <c r="B22" s="201" t="inlineStr">
        <is>
          <t>Blue Sea Holiday</t>
        </is>
      </c>
      <c r="C22" s="202" t="n">
        <v>3</v>
      </c>
      <c r="D22" s="203" t="n">
        <v>800</v>
      </c>
      <c r="E22" s="203" t="n">
        <v>3</v>
      </c>
      <c r="F22" s="203" t="n">
        <v>750</v>
      </c>
      <c r="G22" s="203" t="n"/>
      <c r="H22" s="203" t="n">
        <v>50</v>
      </c>
      <c r="I22" s="203" t="n">
        <v>83</v>
      </c>
      <c r="J22" s="203" t="n">
        <v>592</v>
      </c>
      <c r="K22" s="203" t="n">
        <v>663</v>
      </c>
      <c r="L22" s="218" t="n">
        <v>30</v>
      </c>
      <c r="M22" s="202" t="n">
        <v>3</v>
      </c>
      <c r="N22" s="203" t="n">
        <v>800</v>
      </c>
      <c r="O22" s="203" t="n">
        <v>3</v>
      </c>
      <c r="P22" s="203" t="n">
        <v>750</v>
      </c>
      <c r="Q22" s="203" t="n"/>
      <c r="R22" s="203" t="n">
        <v>50</v>
      </c>
      <c r="S22" s="203" t="n">
        <v>83</v>
      </c>
      <c r="T22" s="203" t="n">
        <v>592</v>
      </c>
      <c r="U22" s="203" t="n">
        <v>663</v>
      </c>
      <c r="V22" s="218" t="n">
        <v>30</v>
      </c>
      <c r="W22" s="227" t="n"/>
      <c r="X22" s="227" t="n"/>
      <c r="Y22" s="227" t="n"/>
      <c r="Z22" s="227" t="n"/>
      <c r="AA22" s="227" t="n"/>
      <c r="AB22" s="227" t="n"/>
      <c r="AC22" s="227" t="n"/>
      <c r="AD22" s="227" t="n"/>
      <c r="AE22" s="227" t="n"/>
      <c r="AF22" s="227" t="n"/>
      <c r="AG22" s="234" t="n">
        <v>0.0375</v>
      </c>
      <c r="AH22" s="249" t="n">
        <v>18.8</v>
      </c>
    </row>
    <row r="23" ht="13.5" customHeight="1" s="245">
      <c r="A23" s="192" t="n"/>
      <c r="B23" s="201" t="inlineStr">
        <is>
          <t>Fruit Color Youth</t>
        </is>
      </c>
      <c r="C23" s="202" t="n">
        <v>4</v>
      </c>
      <c r="D23" s="203" t="n">
        <v>1260</v>
      </c>
      <c r="E23" s="203" t="n">
        <v>2</v>
      </c>
      <c r="F23" s="203" t="n">
        <v>429</v>
      </c>
      <c r="G23" s="203" t="n">
        <v>2</v>
      </c>
      <c r="H23" s="203" t="n">
        <v>831</v>
      </c>
      <c r="I23" s="203" t="n">
        <v>308</v>
      </c>
      <c r="J23" s="203" t="n"/>
      <c r="K23" s="203" t="n">
        <v>3</v>
      </c>
      <c r="L23" s="218" t="n"/>
      <c r="M23" s="202" t="n">
        <v>4</v>
      </c>
      <c r="N23" s="203" t="n">
        <v>1260</v>
      </c>
      <c r="O23" s="203" t="n">
        <v>2</v>
      </c>
      <c r="P23" s="203" t="n">
        <v>429</v>
      </c>
      <c r="Q23" s="203" t="n">
        <v>2</v>
      </c>
      <c r="R23" s="203" t="n">
        <v>831</v>
      </c>
      <c r="S23" s="203" t="n">
        <v>308</v>
      </c>
      <c r="T23" s="203" t="n"/>
      <c r="U23" s="203" t="n">
        <v>3</v>
      </c>
      <c r="V23" s="218" t="n"/>
      <c r="W23" s="227" t="n"/>
      <c r="X23" s="227" t="n"/>
      <c r="Y23" s="227" t="n"/>
      <c r="Z23" s="227" t="n"/>
      <c r="AA23" s="227" t="n"/>
      <c r="AB23" s="227" t="n"/>
      <c r="AC23" s="227" t="n"/>
      <c r="AD23" s="227" t="n"/>
      <c r="AE23" s="227" t="n"/>
      <c r="AF23" s="227" t="n"/>
      <c r="AG23" s="234" t="n">
        <v>0</v>
      </c>
      <c r="AH23" s="249" t="inlineStr"/>
    </row>
    <row r="24" ht="13.5" customHeight="1" s="245">
      <c r="A24" s="192" t="n"/>
      <c r="B24" s="201" t="inlineStr">
        <is>
          <t>Euro-continental Style Series</t>
        </is>
      </c>
      <c r="C24" s="202" t="n">
        <v>4</v>
      </c>
      <c r="D24" s="203" t="n">
        <v>920</v>
      </c>
      <c r="E24" s="203" t="n"/>
      <c r="F24" s="203" t="n"/>
      <c r="G24" s="203" t="n">
        <v>4</v>
      </c>
      <c r="H24" s="203" t="n">
        <v>920</v>
      </c>
      <c r="I24" s="203" t="n"/>
      <c r="J24" s="203" t="n"/>
      <c r="K24" s="203" t="n"/>
      <c r="L24" s="218" t="n"/>
      <c r="M24" s="202" t="n">
        <v>4</v>
      </c>
      <c r="N24" s="203" t="n">
        <v>920</v>
      </c>
      <c r="O24" s="203" t="n"/>
      <c r="P24" s="203" t="n"/>
      <c r="Q24" s="203" t="n">
        <v>4</v>
      </c>
      <c r="R24" s="203" t="n">
        <v>920</v>
      </c>
      <c r="S24" s="203" t="n"/>
      <c r="T24" s="203" t="n"/>
      <c r="U24" s="203" t="n"/>
      <c r="V24" s="218" t="n"/>
      <c r="W24" s="227" t="n"/>
      <c r="X24" s="227" t="n"/>
      <c r="Y24" s="227" t="n"/>
      <c r="Z24" s="227" t="n"/>
      <c r="AA24" s="227" t="n"/>
      <c r="AB24" s="227" t="n"/>
      <c r="AC24" s="227" t="n"/>
      <c r="AD24" s="227" t="n"/>
      <c r="AE24" s="227" t="n"/>
      <c r="AF24" s="227" t="n"/>
      <c r="AG24" s="234" t="n">
        <v>0</v>
      </c>
      <c r="AH24" s="249" t="inlineStr"/>
    </row>
    <row r="25" ht="13.5" customHeight="1" s="245">
      <c r="A25" s="192" t="n"/>
      <c r="B25" s="201" t="inlineStr">
        <is>
          <t>Countryside Style Series</t>
        </is>
      </c>
      <c r="C25" s="202" t="n">
        <v>4</v>
      </c>
      <c r="D25" s="203" t="n">
        <v>1450</v>
      </c>
      <c r="E25" s="203" t="n">
        <v>4</v>
      </c>
      <c r="F25" s="203" t="n">
        <v>1092</v>
      </c>
      <c r="G25" s="203" t="n"/>
      <c r="H25" s="203" t="n">
        <v>358</v>
      </c>
      <c r="I25" s="203" t="n">
        <v>226</v>
      </c>
      <c r="J25" s="203" t="n">
        <v>837</v>
      </c>
      <c r="K25" s="203" t="n">
        <v>870</v>
      </c>
      <c r="L25" s="218" t="n">
        <v>16</v>
      </c>
      <c r="M25" s="202" t="n">
        <v>4</v>
      </c>
      <c r="N25" s="203" t="n">
        <v>1450</v>
      </c>
      <c r="O25" s="203" t="n">
        <v>4</v>
      </c>
      <c r="P25" s="203" t="n">
        <v>1092</v>
      </c>
      <c r="Q25" s="203" t="n"/>
      <c r="R25" s="203" t="n">
        <v>358</v>
      </c>
      <c r="S25" s="203" t="n">
        <v>226</v>
      </c>
      <c r="T25" s="203" t="n">
        <v>837</v>
      </c>
      <c r="U25" s="203" t="n">
        <v>870</v>
      </c>
      <c r="V25" s="218" t="n">
        <v>16</v>
      </c>
      <c r="W25" s="227" t="n"/>
      <c r="X25" s="227" t="n"/>
      <c r="Y25" s="227" t="n"/>
      <c r="Z25" s="227" t="n"/>
      <c r="AA25" s="227" t="n"/>
      <c r="AB25" s="227" t="n"/>
      <c r="AC25" s="227" t="n"/>
      <c r="AD25" s="227" t="n"/>
      <c r="AE25" s="227" t="n"/>
      <c r="AF25" s="227" t="n"/>
      <c r="AG25" s="234" t="n">
        <v>0.0110344827586207</v>
      </c>
      <c r="AH25" s="249" t="n">
        <v>53.95</v>
      </c>
    </row>
    <row r="26" ht="13.5" customHeight="1" s="245">
      <c r="A26" s="192" t="n"/>
      <c r="B26" s="201" t="inlineStr">
        <is>
          <t>Separate Briefs</t>
        </is>
      </c>
      <c r="C26" s="202" t="n">
        <v>2</v>
      </c>
      <c r="D26" s="203" t="n">
        <v>560</v>
      </c>
      <c r="E26" s="203" t="n">
        <v>2</v>
      </c>
      <c r="F26" s="203" t="n">
        <v>511</v>
      </c>
      <c r="G26" s="203" t="n"/>
      <c r="H26" s="203" t="n">
        <v>49</v>
      </c>
      <c r="I26" s="203" t="n">
        <v>16</v>
      </c>
      <c r="J26" s="203" t="n">
        <v>449</v>
      </c>
      <c r="K26" s="203" t="n">
        <v>499</v>
      </c>
      <c r="L26" s="218" t="n">
        <v>27</v>
      </c>
      <c r="M26" s="202" t="n">
        <v>2</v>
      </c>
      <c r="N26" s="203" t="n">
        <v>560</v>
      </c>
      <c r="O26" s="203" t="n">
        <v>2</v>
      </c>
      <c r="P26" s="203" t="n">
        <v>511</v>
      </c>
      <c r="Q26" s="203" t="n"/>
      <c r="R26" s="203" t="n">
        <v>49</v>
      </c>
      <c r="S26" s="203" t="n">
        <v>16</v>
      </c>
      <c r="T26" s="203" t="n">
        <v>449</v>
      </c>
      <c r="U26" s="203" t="n">
        <v>499</v>
      </c>
      <c r="V26" s="218" t="n">
        <v>27</v>
      </c>
      <c r="W26" s="227" t="n"/>
      <c r="X26" s="227" t="n"/>
      <c r="Y26" s="227" t="n"/>
      <c r="Z26" s="227" t="n"/>
      <c r="AA26" s="227" t="n"/>
      <c r="AB26" s="227" t="n"/>
      <c r="AC26" s="227" t="n"/>
      <c r="AD26" s="227" t="n"/>
      <c r="AE26" s="227" t="n"/>
      <c r="AF26" s="227" t="n"/>
      <c r="AG26" s="234" t="n">
        <v>0.0482142857142857</v>
      </c>
      <c r="AH26" s="249" t="n">
        <v>14.5777777777778</v>
      </c>
    </row>
    <row r="27" ht="13.5" customHeight="1" s="245">
      <c r="A27" s="192" t="n"/>
      <c r="B27" s="201" t="inlineStr">
        <is>
          <t>Mature Series</t>
        </is>
      </c>
      <c r="C27" s="202" t="n">
        <v>2</v>
      </c>
      <c r="D27" s="203" t="n">
        <v>440</v>
      </c>
      <c r="E27" s="203" t="n">
        <v>2</v>
      </c>
      <c r="F27" s="203" t="n">
        <v>382</v>
      </c>
      <c r="G27" s="203" t="n"/>
      <c r="H27" s="203" t="n">
        <v>58</v>
      </c>
      <c r="I27" s="203" t="n">
        <v>180</v>
      </c>
      <c r="J27" s="203" t="n">
        <v>131</v>
      </c>
      <c r="K27" s="203" t="n">
        <v>156</v>
      </c>
      <c r="L27" s="218" t="n">
        <v>11</v>
      </c>
      <c r="M27" s="202" t="n">
        <v>2</v>
      </c>
      <c r="N27" s="203" t="n">
        <v>440</v>
      </c>
      <c r="O27" s="203" t="n">
        <v>2</v>
      </c>
      <c r="P27" s="203" t="n">
        <v>382</v>
      </c>
      <c r="Q27" s="203" t="n"/>
      <c r="R27" s="203" t="n">
        <v>58</v>
      </c>
      <c r="S27" s="203" t="n">
        <v>180</v>
      </c>
      <c r="T27" s="203" t="n">
        <v>131</v>
      </c>
      <c r="U27" s="203" t="n">
        <v>156</v>
      </c>
      <c r="V27" s="218" t="n">
        <v>11</v>
      </c>
      <c r="W27" s="227" t="n"/>
      <c r="X27" s="227" t="n"/>
      <c r="Y27" s="227" t="n"/>
      <c r="Z27" s="227" t="n"/>
      <c r="AA27" s="227" t="n"/>
      <c r="AB27" s="227" t="n"/>
      <c r="AC27" s="227" t="n"/>
      <c r="AD27" s="227" t="n"/>
      <c r="AE27" s="227" t="n"/>
      <c r="AF27" s="227" t="n"/>
      <c r="AG27" s="234" t="n">
        <v>0.025</v>
      </c>
      <c r="AH27" s="249" t="n">
        <v>23.4181818181818</v>
      </c>
    </row>
    <row r="28" ht="13.5" customHeight="1" s="245">
      <c r="A28" s="192" t="n"/>
      <c r="B28" s="201" t="inlineStr">
        <is>
          <t>Fashion Sports</t>
        </is>
      </c>
      <c r="C28" s="202" t="n">
        <v>6</v>
      </c>
      <c r="D28" s="203" t="n">
        <v>605</v>
      </c>
      <c r="E28" s="203" t="n">
        <v>3</v>
      </c>
      <c r="F28" s="203" t="n">
        <v>274</v>
      </c>
      <c r="G28" s="203" t="n">
        <v>3</v>
      </c>
      <c r="H28" s="203" t="n">
        <v>331</v>
      </c>
      <c r="I28" s="203" t="n">
        <v>166</v>
      </c>
      <c r="J28" s="203" t="n"/>
      <c r="K28" s="203" t="n"/>
      <c r="L28" s="218" t="n"/>
      <c r="M28" s="202" t="n">
        <v>6</v>
      </c>
      <c r="N28" s="203" t="n">
        <v>605</v>
      </c>
      <c r="O28" s="203" t="n">
        <v>3</v>
      </c>
      <c r="P28" s="203" t="n">
        <v>274</v>
      </c>
      <c r="Q28" s="203" t="n">
        <v>3</v>
      </c>
      <c r="R28" s="203" t="n">
        <v>331</v>
      </c>
      <c r="S28" s="203" t="n">
        <v>166</v>
      </c>
      <c r="T28" s="203" t="n"/>
      <c r="U28" s="203" t="n"/>
      <c r="V28" s="218" t="n"/>
      <c r="W28" s="227" t="n"/>
      <c r="X28" s="227" t="n"/>
      <c r="Y28" s="227" t="n"/>
      <c r="Z28" s="227" t="n"/>
      <c r="AA28" s="227" t="n"/>
      <c r="AB28" s="227" t="n"/>
      <c r="AC28" s="227" t="n"/>
      <c r="AD28" s="227" t="n"/>
      <c r="AE28" s="227" t="n"/>
      <c r="AF28" s="227" t="n"/>
      <c r="AG28" s="234" t="n">
        <v>0</v>
      </c>
      <c r="AH28" s="249" t="inlineStr"/>
    </row>
    <row r="29" ht="13.5" customHeight="1" s="245">
      <c r="A29" s="192" t="n"/>
      <c r="B29" s="201" t="inlineStr">
        <is>
          <t>Children's swim trunks</t>
        </is>
      </c>
      <c r="C29" s="202" t="n">
        <v>5</v>
      </c>
      <c r="D29" s="203" t="n">
        <v>1640</v>
      </c>
      <c r="E29" s="203" t="n">
        <v>2</v>
      </c>
      <c r="F29" s="203" t="n">
        <v>481</v>
      </c>
      <c r="G29" s="203" t="n">
        <v>3</v>
      </c>
      <c r="H29" s="203" t="n">
        <v>1159</v>
      </c>
      <c r="I29" s="203" t="n">
        <v>229</v>
      </c>
      <c r="J29" s="203" t="n">
        <v>973</v>
      </c>
      <c r="K29" s="203" t="n">
        <v>787</v>
      </c>
      <c r="L29" s="218" t="n">
        <v>75</v>
      </c>
      <c r="M29" s="202" t="n">
        <v>3</v>
      </c>
      <c r="N29" s="203" t="n">
        <v>940</v>
      </c>
      <c r="O29" s="203" t="n"/>
      <c r="P29" s="203" t="n"/>
      <c r="Q29" s="203" t="n">
        <v>3</v>
      </c>
      <c r="R29" s="203" t="n">
        <v>940</v>
      </c>
      <c r="S29" s="203" t="n">
        <v>-16</v>
      </c>
      <c r="T29" s="203" t="n">
        <v>16</v>
      </c>
      <c r="U29" s="203" t="n">
        <v>16</v>
      </c>
      <c r="V29" s="218" t="n"/>
      <c r="W29" s="227" t="n">
        <v>2</v>
      </c>
      <c r="X29" s="227" t="n">
        <v>700</v>
      </c>
      <c r="Y29" s="227" t="n">
        <v>2</v>
      </c>
      <c r="Z29" s="227" t="n">
        <v>481</v>
      </c>
      <c r="AA29" s="227" t="n"/>
      <c r="AB29" s="227" t="n">
        <v>219</v>
      </c>
      <c r="AC29" s="227" t="n">
        <v>245</v>
      </c>
      <c r="AD29" s="227" t="n">
        <v>957</v>
      </c>
      <c r="AE29" s="227" t="n">
        <v>771</v>
      </c>
      <c r="AF29" s="227" t="n">
        <v>75</v>
      </c>
      <c r="AG29" s="234" t="n">
        <v>0.0457317073170732</v>
      </c>
      <c r="AH29" s="249" t="n">
        <v>13.6213333333333</v>
      </c>
    </row>
    <row r="30" ht="13.5" customHeight="1" s="245">
      <c r="A30" s="192" t="n"/>
      <c r="B30" s="201" t="inlineStr">
        <is>
          <t>Children's swimsuit</t>
        </is>
      </c>
      <c r="C30" s="202" t="n">
        <v>5</v>
      </c>
      <c r="D30" s="203" t="n">
        <v>1365</v>
      </c>
      <c r="E30" s="203" t="n">
        <v>5</v>
      </c>
      <c r="F30" s="203" t="n">
        <v>850</v>
      </c>
      <c r="G30" s="203" t="n"/>
      <c r="H30" s="203" t="n">
        <v>515</v>
      </c>
      <c r="I30" s="203" t="n">
        <v>236</v>
      </c>
      <c r="J30" s="203" t="n">
        <v>842</v>
      </c>
      <c r="K30" s="203" t="n">
        <v>882</v>
      </c>
      <c r="L30" s="218" t="n">
        <v>88</v>
      </c>
      <c r="M30" s="202" t="n">
        <v>3</v>
      </c>
      <c r="N30" s="203" t="n">
        <v>685</v>
      </c>
      <c r="O30" s="203" t="n">
        <v>3</v>
      </c>
      <c r="P30" s="203" t="n">
        <v>565</v>
      </c>
      <c r="Q30" s="203" t="n"/>
      <c r="R30" s="203" t="n">
        <v>120</v>
      </c>
      <c r="S30" s="203" t="n">
        <v>68</v>
      </c>
      <c r="T30" s="203" t="n">
        <v>430</v>
      </c>
      <c r="U30" s="203" t="n">
        <v>498</v>
      </c>
      <c r="V30" s="218" t="n">
        <v>28</v>
      </c>
      <c r="W30" s="227" t="n">
        <v>2</v>
      </c>
      <c r="X30" s="227" t="n">
        <v>680</v>
      </c>
      <c r="Y30" s="227" t="n">
        <v>2</v>
      </c>
      <c r="Z30" s="227" t="n">
        <v>285</v>
      </c>
      <c r="AA30" s="227" t="n"/>
      <c r="AB30" s="227" t="n">
        <v>395</v>
      </c>
      <c r="AC30" s="227" t="n">
        <v>168</v>
      </c>
      <c r="AD30" s="227" t="n">
        <v>412</v>
      </c>
      <c r="AE30" s="227" t="n">
        <v>384</v>
      </c>
      <c r="AF30" s="227" t="n">
        <v>60</v>
      </c>
      <c r="AG30" s="234" t="n">
        <v>0.0644688644688645</v>
      </c>
      <c r="AH30" s="249" t="n">
        <v>10.6</v>
      </c>
    </row>
    <row r="31" ht="13.5" customHeight="1" s="245">
      <c r="A31" s="192" t="n"/>
      <c r="B31" s="201" t="inlineStr">
        <is>
          <t>Swim Trunks</t>
        </is>
      </c>
      <c r="C31" s="202" t="n">
        <v>12</v>
      </c>
      <c r="D31" s="203" t="n">
        <v>7750</v>
      </c>
      <c r="E31" s="203" t="n">
        <v>12</v>
      </c>
      <c r="F31" s="203" t="n">
        <v>4734</v>
      </c>
      <c r="G31" s="203" t="n"/>
      <c r="H31" s="203" t="n">
        <v>3016</v>
      </c>
      <c r="I31" s="203" t="n">
        <v>1118</v>
      </c>
      <c r="J31" s="203" t="n">
        <v>4752</v>
      </c>
      <c r="K31" s="203" t="n">
        <v>4850</v>
      </c>
      <c r="L31" s="218" t="n">
        <v>796</v>
      </c>
      <c r="M31" s="202" t="n">
        <v>6</v>
      </c>
      <c r="N31" s="203" t="n">
        <v>3650</v>
      </c>
      <c r="O31" s="203" t="n">
        <v>6</v>
      </c>
      <c r="P31" s="203" t="n">
        <v>2000</v>
      </c>
      <c r="Q31" s="203" t="n"/>
      <c r="R31" s="203" t="n">
        <v>1650</v>
      </c>
      <c r="S31" s="203" t="n">
        <v>388</v>
      </c>
      <c r="T31" s="203" t="n">
        <v>1484</v>
      </c>
      <c r="U31" s="203" t="n">
        <v>1659</v>
      </c>
      <c r="V31" s="218" t="n">
        <v>68</v>
      </c>
      <c r="W31" s="227" t="n">
        <v>6</v>
      </c>
      <c r="X31" s="227" t="n">
        <v>4100</v>
      </c>
      <c r="Y31" s="227" t="n">
        <v>6</v>
      </c>
      <c r="Z31" s="227" t="n">
        <v>2734</v>
      </c>
      <c r="AA31" s="227" t="n"/>
      <c r="AB31" s="227" t="n">
        <v>1366</v>
      </c>
      <c r="AC31" s="227" t="n">
        <v>730</v>
      </c>
      <c r="AD31" s="227" t="n">
        <v>3268</v>
      </c>
      <c r="AE31" s="227" t="n">
        <v>3191</v>
      </c>
      <c r="AF31" s="227" t="n">
        <v>728</v>
      </c>
      <c r="AG31" s="234" t="n">
        <v>0.102709677419355</v>
      </c>
      <c r="AH31" s="249" t="n">
        <v>6.69949748743719</v>
      </c>
    </row>
    <row r="32" ht="13.5" customHeight="1" s="245">
      <c r="A32" s="192" t="n"/>
      <c r="B32" s="201" t="inlineStr">
        <is>
          <t>Swim Accessories</t>
        </is>
      </c>
      <c r="C32" s="202" t="n">
        <v>93</v>
      </c>
      <c r="D32" s="203" t="n">
        <v>24650</v>
      </c>
      <c r="E32" s="203" t="n">
        <v>60</v>
      </c>
      <c r="F32" s="203" t="n">
        <v>7523</v>
      </c>
      <c r="G32" s="203" t="n">
        <v>33</v>
      </c>
      <c r="H32" s="203" t="n">
        <v>17127</v>
      </c>
      <c r="I32" s="203" t="n">
        <v>3844</v>
      </c>
      <c r="J32" s="203" t="n">
        <v>7690</v>
      </c>
      <c r="K32" s="203" t="n">
        <v>6616</v>
      </c>
      <c r="L32" s="218" t="n">
        <v>1445</v>
      </c>
      <c r="M32" s="202" t="n">
        <v>18</v>
      </c>
      <c r="N32" s="203" t="n">
        <v>3940</v>
      </c>
      <c r="O32" s="203" t="n"/>
      <c r="P32" s="203" t="n"/>
      <c r="Q32" s="203" t="n">
        <v>18</v>
      </c>
      <c r="R32" s="203" t="n">
        <v>3940</v>
      </c>
      <c r="S32" s="203" t="n"/>
      <c r="T32" s="203" t="n"/>
      <c r="U32" s="203" t="n"/>
      <c r="V32" s="218" t="n"/>
      <c r="W32" s="227" t="n">
        <v>75</v>
      </c>
      <c r="X32" s="227" t="n">
        <v>20710</v>
      </c>
      <c r="Y32" s="227" t="n">
        <v>60</v>
      </c>
      <c r="Z32" s="227" t="n">
        <v>7523</v>
      </c>
      <c r="AA32" s="227" t="n">
        <v>15</v>
      </c>
      <c r="AB32" s="227" t="n">
        <v>13187</v>
      </c>
      <c r="AC32" s="227" t="n">
        <v>3844</v>
      </c>
      <c r="AD32" s="227" t="n">
        <v>7690</v>
      </c>
      <c r="AE32" s="227" t="n">
        <v>6616</v>
      </c>
      <c r="AF32" s="227" t="n">
        <v>1445</v>
      </c>
      <c r="AG32" s="234" t="n">
        <v>0.0586206896551724</v>
      </c>
      <c r="AH32" s="249" t="n">
        <v>7.18560553633218</v>
      </c>
    </row>
    <row r="33" ht="13.5" customHeight="1" s="245">
      <c r="A33" s="192" t="n"/>
      <c r="B33" s="201" t="inlineStr">
        <is>
          <t>Beach</t>
        </is>
      </c>
      <c r="C33" s="202" t="n">
        <v>4</v>
      </c>
      <c r="D33" s="203" t="n">
        <v>600</v>
      </c>
      <c r="E33" s="203" t="n">
        <v>2</v>
      </c>
      <c r="F33" s="203" t="n">
        <v>158</v>
      </c>
      <c r="G33" s="203" t="n">
        <v>2</v>
      </c>
      <c r="H33" s="203" t="n">
        <v>442</v>
      </c>
      <c r="I33" s="203" t="n">
        <v>92</v>
      </c>
      <c r="J33" s="203" t="n"/>
      <c r="K33" s="203" t="n"/>
      <c r="L33" s="218" t="n"/>
      <c r="M33" s="202" t="n">
        <v>4</v>
      </c>
      <c r="N33" s="203" t="n">
        <v>600</v>
      </c>
      <c r="O33" s="203" t="n">
        <v>2</v>
      </c>
      <c r="P33" s="203" t="n">
        <v>158</v>
      </c>
      <c r="Q33" s="203" t="n">
        <v>2</v>
      </c>
      <c r="R33" s="203" t="n">
        <v>442</v>
      </c>
      <c r="S33" s="203" t="n">
        <v>92</v>
      </c>
      <c r="T33" s="203" t="n"/>
      <c r="U33" s="203" t="n"/>
      <c r="V33" s="218" t="n"/>
      <c r="W33" s="227" t="n"/>
      <c r="X33" s="227" t="n"/>
      <c r="Y33" s="227" t="n"/>
      <c r="Z33" s="227" t="n"/>
      <c r="AA33" s="227" t="n"/>
      <c r="AB33" s="227" t="n"/>
      <c r="AC33" s="227" t="n"/>
      <c r="AD33" s="227" t="n"/>
      <c r="AE33" s="227" t="n"/>
      <c r="AF33" s="227" t="n"/>
      <c r="AG33" s="234" t="n">
        <v>0</v>
      </c>
      <c r="AH33" s="249" t="inlineStr"/>
    </row>
    <row r="34" ht="13.5" customHeight="1" s="245">
      <c r="A34" s="192" t="n"/>
      <c r="B34" s="201" t="inlineStr">
        <is>
          <t>Beach Accessories</t>
        </is>
      </c>
      <c r="C34" s="202" t="n">
        <v>8</v>
      </c>
      <c r="D34" s="203" t="n">
        <v>720</v>
      </c>
      <c r="E34" s="203" t="n">
        <v>2</v>
      </c>
      <c r="F34" s="203" t="n">
        <v>60</v>
      </c>
      <c r="G34" s="203" t="n">
        <v>6</v>
      </c>
      <c r="H34" s="203" t="n">
        <v>660</v>
      </c>
      <c r="I34" s="203" t="n">
        <v>48</v>
      </c>
      <c r="J34" s="203" t="n"/>
      <c r="K34" s="203" t="n"/>
      <c r="L34" s="218" t="n"/>
      <c r="M34" s="202" t="n">
        <v>6</v>
      </c>
      <c r="N34" s="203" t="n">
        <v>620</v>
      </c>
      <c r="O34" s="203" t="n">
        <v>2</v>
      </c>
      <c r="P34" s="203" t="n">
        <v>60</v>
      </c>
      <c r="Q34" s="203" t="n">
        <v>4</v>
      </c>
      <c r="R34" s="203" t="n">
        <v>560</v>
      </c>
      <c r="S34" s="203" t="n">
        <v>48</v>
      </c>
      <c r="T34" s="203" t="n"/>
      <c r="U34" s="203" t="n"/>
      <c r="V34" s="218" t="n"/>
      <c r="W34" s="227" t="n">
        <v>2</v>
      </c>
      <c r="X34" s="227" t="n">
        <v>100</v>
      </c>
      <c r="Y34" s="227" t="n"/>
      <c r="Z34" s="227" t="n"/>
      <c r="AA34" s="227" t="n">
        <v>2</v>
      </c>
      <c r="AB34" s="227" t="n">
        <v>100</v>
      </c>
      <c r="AC34" s="227" t="n"/>
      <c r="AD34" s="227" t="n"/>
      <c r="AE34" s="227" t="n"/>
      <c r="AF34" s="227" t="n"/>
      <c r="AG34" s="234" t="n">
        <v>0</v>
      </c>
      <c r="AH34" s="249" t="inlineStr"/>
    </row>
    <row r="35" ht="13.5" customHeight="1" s="245">
      <c r="A35" s="207" t="inlineStr">
        <is>
          <t>Water Sports Summary</t>
        </is>
      </c>
      <c r="B35" s="208" t="n"/>
      <c r="C35" s="209" t="n">
        <v>155</v>
      </c>
      <c r="D35" s="210" t="n">
        <v>43360</v>
      </c>
      <c r="E35" s="210" t="n">
        <v>101</v>
      </c>
      <c r="F35" s="210" t="n">
        <v>17502</v>
      </c>
      <c r="G35" s="210" t="n">
        <v>54</v>
      </c>
      <c r="H35" s="210" t="n">
        <v>25858</v>
      </c>
      <c r="I35" s="210" t="n">
        <v>6720</v>
      </c>
      <c r="J35" s="210" t="n">
        <v>16266</v>
      </c>
      <c r="K35" s="210" t="n">
        <v>15326</v>
      </c>
      <c r="L35" s="220" t="n">
        <v>2488</v>
      </c>
      <c r="M35" s="209" t="n">
        <v>68</v>
      </c>
      <c r="N35" s="210" t="n">
        <v>17070</v>
      </c>
      <c r="O35" s="210" t="n">
        <v>31</v>
      </c>
      <c r="P35" s="210" t="n">
        <v>6479</v>
      </c>
      <c r="Q35" s="210" t="n">
        <v>37</v>
      </c>
      <c r="R35" s="210" t="n">
        <v>10591</v>
      </c>
      <c r="S35" s="210" t="n">
        <v>1733</v>
      </c>
      <c r="T35" s="210" t="n">
        <v>3939</v>
      </c>
      <c r="U35" s="210" t="n">
        <v>4364</v>
      </c>
      <c r="V35" s="220" t="n">
        <v>180</v>
      </c>
      <c r="W35" s="230" t="n">
        <v>87</v>
      </c>
      <c r="X35" s="230" t="n">
        <v>26290</v>
      </c>
      <c r="Y35" s="230" t="n">
        <v>70</v>
      </c>
      <c r="Z35" s="230" t="n">
        <v>11023</v>
      </c>
      <c r="AA35" s="230" t="n">
        <v>17</v>
      </c>
      <c r="AB35" s="230" t="n">
        <v>15267</v>
      </c>
      <c r="AC35" s="230" t="n">
        <v>4987</v>
      </c>
      <c r="AD35" s="230" t="n">
        <v>12327</v>
      </c>
      <c r="AE35" s="230" t="n">
        <v>10962</v>
      </c>
      <c r="AF35" s="230" t="n">
        <v>2308</v>
      </c>
      <c r="AG35" s="234" t="n">
        <v>0.057380073800738</v>
      </c>
      <c r="AH35" s="249" t="n">
        <v>8.19099678456592</v>
      </c>
    </row>
    <row r="36" ht="12" customHeight="1" s="245">
      <c r="A36" s="211" t="inlineStr">
        <is>
          <t>Total</t>
        </is>
      </c>
      <c r="B36" s="212" t="n"/>
      <c r="C36" s="213" t="n">
        <v>379</v>
      </c>
      <c r="D36" s="214" t="n">
        <v>64501</v>
      </c>
      <c r="E36" s="214" t="n">
        <v>278</v>
      </c>
      <c r="F36" s="214" t="n">
        <v>32041</v>
      </c>
      <c r="G36" s="214" t="n">
        <v>101</v>
      </c>
      <c r="H36" s="214" t="n">
        <v>32460</v>
      </c>
      <c r="I36" s="214" t="n">
        <v>12594</v>
      </c>
      <c r="J36" s="214" t="n">
        <v>27272</v>
      </c>
      <c r="K36" s="214" t="n">
        <v>27053</v>
      </c>
      <c r="L36" s="221" t="n">
        <v>5287</v>
      </c>
      <c r="M36" s="213" t="n">
        <v>182</v>
      </c>
      <c r="N36" s="214" t="n">
        <v>31582</v>
      </c>
      <c r="O36" s="214" t="n">
        <v>113</v>
      </c>
      <c r="P36" s="214" t="n">
        <v>17599</v>
      </c>
      <c r="Q36" s="214" t="n">
        <v>69</v>
      </c>
      <c r="R36" s="214" t="n">
        <v>13983</v>
      </c>
      <c r="S36" s="214" t="n">
        <v>4239</v>
      </c>
      <c r="T36" s="214" t="n">
        <v>10930</v>
      </c>
      <c r="U36" s="214" t="n">
        <v>13349</v>
      </c>
      <c r="V36" s="221" t="n">
        <v>1879</v>
      </c>
      <c r="W36" s="231" t="n">
        <v>197</v>
      </c>
      <c r="X36" s="231" t="n">
        <v>32919</v>
      </c>
      <c r="Y36" s="231" t="n">
        <v>165</v>
      </c>
      <c r="Z36" s="231" t="n">
        <v>14442</v>
      </c>
      <c r="AA36" s="231" t="n">
        <v>32</v>
      </c>
      <c r="AB36" s="231" t="n">
        <v>18477</v>
      </c>
      <c r="AC36" s="231" t="n">
        <v>8355</v>
      </c>
      <c r="AD36" s="231" t="n">
        <v>16342</v>
      </c>
      <c r="AE36" s="231" t="n">
        <v>13704</v>
      </c>
      <c r="AF36" s="231" t="n">
        <v>3408</v>
      </c>
      <c r="AG36" s="240" t="n">
        <v>0.0819677214306755</v>
      </c>
      <c r="AH36" s="252" t="n">
        <v>27.613902023832</v>
      </c>
    </row>
  </sheetData>
  <mergeCells count="2">
    <mergeCell ref="M1:V1"/>
    <mergeCell ref="C1:L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topLeftCell="A1" workbookViewId="0">
      <selection activeCell="J29" sqref="J29"/>
    </sheetView>
  </sheetViews>
  <sheetFormatPr baseColWidth="8" defaultColWidth="9.125" defaultRowHeight="14.25" customHeight="1" outlineLevelRow="5"/>
  <cols>
    <col width="7.50390625" customWidth="1" style="173" min="1" max="1"/>
    <col width="13.00390625" customWidth="1" style="173" min="2" max="5"/>
    <col width="9.125" customWidth="1" style="173" min="6" max="16384"/>
  </cols>
  <sheetData>
    <row r="1" ht="14.25" customHeight="1" s="245">
      <c r="A1" s="175" t="inlineStr">
        <is>
          <t>Region</t>
        </is>
      </c>
      <c r="B1" s="163" t="inlineStr">
        <is>
          <t>May First Week Actual Sales Volume</t>
        </is>
      </c>
      <c r="C1" s="163" t="inlineStr">
        <is>
          <t>4th Week of April Actual Sales Volume</t>
        </is>
      </c>
      <c r="D1" s="175" t="inlineStr">
        <is>
          <t>May 1st Week Actual Discount</t>
        </is>
      </c>
      <c r="E1" s="175" t="inlineStr">
        <is>
          <t>4th Week of April Actual Discount</t>
        </is>
      </c>
    </row>
    <row r="2" ht="14.25" customHeight="1" s="245">
      <c r="A2" s="183" t="inlineStr">
        <is>
          <t>Guangzhou Zone 1</t>
        </is>
      </c>
      <c r="B2" s="253" t="n">
        <v>14.35637</v>
      </c>
      <c r="C2" s="253" t="n">
        <v>6.15849</v>
      </c>
      <c r="D2" s="253" t="n">
        <v>0.705576743500271</v>
      </c>
      <c r="E2" s="254" t="n">
        <v>0.723898018195923</v>
      </c>
    </row>
    <row r="3" ht="14.25" customHeight="1" s="245">
      <c r="A3" s="186" t="inlineStr">
        <is>
          <t>Guangzhou District 2</t>
        </is>
      </c>
      <c r="B3" s="255" t="n">
        <v>16.19066</v>
      </c>
      <c r="C3" s="255" t="n">
        <v>11.05545</v>
      </c>
      <c r="D3" s="255" t="n">
        <v>0.679754307594129</v>
      </c>
      <c r="E3" s="256" t="n">
        <v>0.758917171217925</v>
      </c>
    </row>
    <row r="4" ht="14.25" customHeight="1" s="245">
      <c r="A4" s="186" t="inlineStr">
        <is>
          <t>Shenzhen</t>
        </is>
      </c>
      <c r="B4" s="255" t="n">
        <v>17.977312</v>
      </c>
      <c r="C4" s="255" t="n">
        <v>9.70272599999999</v>
      </c>
      <c r="D4" s="255" t="n">
        <v>0.739627497850316</v>
      </c>
      <c r="E4" s="256" t="n">
        <v>0.669038165833477</v>
      </c>
    </row>
    <row r="5" ht="14.25" customHeight="1" s="245">
      <c r="A5" s="186" t="inlineStr">
        <is>
          <t>Nanning</t>
        </is>
      </c>
      <c r="B5" s="255" t="n">
        <v>1.01036</v>
      </c>
      <c r="C5" s="255" t="n">
        <v>1.6683</v>
      </c>
      <c r="D5" s="255" t="n">
        <v>0.729133290033918</v>
      </c>
      <c r="E5" s="256" t="n">
        <v>0.627039013756296</v>
      </c>
    </row>
    <row r="6" ht="14.25" customHeight="1" s="245">
      <c r="A6" s="189" t="inlineStr">
        <is>
          <t>Total</t>
        </is>
      </c>
      <c r="B6" s="257" t="n">
        <v>49.534702</v>
      </c>
      <c r="C6" s="257" t="n">
        <v>28.584966</v>
      </c>
      <c r="D6" s="257" t="n">
        <v>0.709087163777431</v>
      </c>
      <c r="E6" s="258" t="n">
        <v>0.710399051640369</v>
      </c>
    </row>
    <row r="7" ht="14.25" customHeight="1" s="245"/>
    <row r="8" ht="14.25" customHeight="1" s="245"/>
    <row r="9" ht="14.25" customHeight="1" s="245"/>
    <row r="10" ht="14.25" customHeight="1" s="245"/>
    <row r="11" ht="14.25" customHeight="1" s="245"/>
    <row r="12" ht="14.25" customHeight="1" s="245"/>
    <row r="13" ht="14.25" customHeight="1" s="245"/>
    <row r="14" ht="14.25" customHeight="1" s="245"/>
    <row r="15" ht="14.25" customHeight="1" s="245"/>
    <row r="16" ht="14.25" customHeight="1" s="245"/>
    <row r="17" ht="14.25" customHeight="1" s="245"/>
    <row r="18" ht="14.25" customHeight="1" s="245"/>
    <row r="19" ht="14.25" customHeight="1" s="245"/>
    <row r="20" ht="14.25" customHeight="1" s="245"/>
    <row r="21" ht="14.25" customHeight="1" s="245"/>
    <row r="22" ht="14.25" customHeight="1" s="245"/>
    <row r="23" ht="14.25" customHeight="1" s="245"/>
    <row r="24" ht="14.25" customHeight="1" s="245"/>
    <row r="25" ht="14.25" customHeight="1" s="245"/>
    <row r="26" ht="14.25" customHeight="1" s="245"/>
    <row r="27" ht="14.25" customHeight="1" s="245"/>
    <row r="28" ht="14.25" customHeight="1" s="245"/>
    <row r="29" ht="14.25" customHeight="1" s="245"/>
    <row r="30" ht="14.25" customHeight="1" s="245"/>
    <row r="31" ht="14.25" customHeight="1" s="245"/>
    <row r="32" ht="14.25" customHeight="1" s="245"/>
    <row r="33" ht="14.25" customHeight="1" s="245"/>
  </sheetData>
  <pageMargins left="0.7" right="0.7" top="0.75" bottom="0.75" header="0.3" footer="0.3"/>
  <pageSetup orientation="portrait" paperSize="9" horizontalDpi="600" verticalDpi="6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topLeftCell="A7" workbookViewId="0">
      <selection activeCell="L25" sqref="L25"/>
    </sheetView>
  </sheetViews>
  <sheetFormatPr baseColWidth="8" defaultColWidth="9.00390625" defaultRowHeight="13.5" customHeight="1" outlineLevelRow="5"/>
  <cols>
    <col width="7.50390625" customWidth="1" style="173" min="1" max="1"/>
    <col width="13.00390625" customWidth="1" style="173" min="2" max="5"/>
    <col width="9.75390625" customWidth="1" style="173" min="6" max="6"/>
    <col width="11.375" customWidth="1" style="173" min="7" max="7"/>
    <col width="9.00390625" customWidth="1" style="173" min="8" max="16384"/>
  </cols>
  <sheetData>
    <row r="1" ht="13.5" customHeight="1" s="245">
      <c r="A1" s="175" t="inlineStr">
        <is>
          <t>Region</t>
        </is>
      </c>
      <c r="B1" s="163" t="inlineStr">
        <is>
          <t>May First Week Actual Sales Volume</t>
        </is>
      </c>
      <c r="C1" s="163" t="inlineStr">
        <is>
          <t>4th Week of April Actual Sales Volume</t>
        </is>
      </c>
      <c r="D1" s="163" t="inlineStr">
        <is>
          <t>Gross Profit Margin for the First Week of May</t>
        </is>
      </c>
      <c r="E1" s="175" t="inlineStr">
        <is>
          <t>Gross profit margin of the 4th week in April</t>
        </is>
      </c>
      <c r="F1" s="173" t="n"/>
      <c r="G1" s="173" t="n"/>
    </row>
    <row r="2" ht="13.5" customHeight="1" s="245">
      <c r="A2" s="183" t="inlineStr">
        <is>
          <t>Guangzhou Zone 1</t>
        </is>
      </c>
      <c r="B2" s="253" t="n">
        <v>14.35637</v>
      </c>
      <c r="C2" s="253" t="n">
        <v>6.15849</v>
      </c>
      <c r="D2" s="85" t="n">
        <v>0.551967175546462</v>
      </c>
      <c r="E2" s="176" t="n">
        <v>0.566973884832159</v>
      </c>
    </row>
    <row r="3" ht="13.5" customHeight="1" s="245">
      <c r="A3" s="186" t="inlineStr">
        <is>
          <t>Guangzhou District 2</t>
        </is>
      </c>
      <c r="B3" s="255" t="n">
        <v>16.19066</v>
      </c>
      <c r="C3" s="255" t="n">
        <v>11.05545</v>
      </c>
      <c r="D3" s="177" t="n">
        <v>0.520550119636874</v>
      </c>
      <c r="E3" s="178" t="n">
        <v>0.570365385398151</v>
      </c>
    </row>
    <row r="4" ht="13.5" customHeight="1" s="245">
      <c r="A4" s="186" t="inlineStr">
        <is>
          <t>Shenzhen</t>
        </is>
      </c>
      <c r="B4" s="255" t="n">
        <v>17.977312</v>
      </c>
      <c r="C4" s="255" t="n">
        <v>9.70272599999999</v>
      </c>
      <c r="D4" s="177" t="n">
        <v>0.564974730371257</v>
      </c>
      <c r="E4" s="178" t="n">
        <v>0.553266061517144</v>
      </c>
    </row>
    <row r="5" ht="13.5" customHeight="1" s="245">
      <c r="A5" s="186" t="inlineStr">
        <is>
          <t>Nanning</t>
        </is>
      </c>
      <c r="B5" s="255" t="n">
        <v>1.01036</v>
      </c>
      <c r="C5" s="255" t="n">
        <v>1.6683</v>
      </c>
      <c r="D5" s="177" t="n">
        <v>0.532983293083653</v>
      </c>
      <c r="E5" s="178" t="n">
        <v>0.454390697116826</v>
      </c>
    </row>
    <row r="6" ht="13.5" customHeight="1" s="245">
      <c r="A6" s="189" t="inlineStr">
        <is>
          <t>Total</t>
        </is>
      </c>
      <c r="B6" s="257" t="n">
        <v>49.534702</v>
      </c>
      <c r="C6" s="257" t="n">
        <v>28.584966</v>
      </c>
      <c r="D6" s="181" t="n">
        <v>0.54603189093577</v>
      </c>
      <c r="E6" s="182" t="n">
        <v>0.557061988459247</v>
      </c>
    </row>
    <row r="7" ht="13.5" customHeight="1" s="245"/>
    <row r="8" ht="13.5" customHeight="1" s="245"/>
    <row r="9" ht="13.5" customHeight="1" s="245"/>
    <row r="10" ht="13.5" customHeight="1" s="245"/>
    <row r="11" ht="13.5" customHeight="1" s="245"/>
    <row r="12" ht="13.5" customHeight="1" s="245"/>
    <row r="13" ht="13.5" customHeight="1" s="245"/>
    <row r="14" ht="13.5" customHeight="1" s="245"/>
    <row r="15" ht="13.5" customHeight="1" s="245"/>
    <row r="16" ht="13.5" customHeight="1" s="245"/>
    <row r="17" ht="13.5" customHeight="1" s="245"/>
    <row r="18" ht="13.5" customHeight="1" s="245"/>
    <row r="19" ht="13.5" customHeight="1" s="245"/>
    <row r="20" ht="13.5" customHeight="1" s="245"/>
    <row r="21" ht="13.5" customHeight="1" s="245"/>
    <row r="22" ht="13.5" customHeight="1" s="245"/>
    <row r="23" ht="13.5" customHeight="1" s="245"/>
    <row r="24" ht="13.5" customHeight="1" s="245"/>
    <row r="25" ht="13.5" customHeight="1" s="245"/>
    <row r="26" ht="13.5" customHeight="1" s="245"/>
    <row r="27" ht="13.5" customHeight="1" s="245"/>
    <row r="28" ht="13.5" customHeight="1" s="245"/>
    <row r="29" ht="13.5" customHeight="1" s="245"/>
    <row r="30" ht="13.5" customHeight="1" s="245"/>
    <row r="31" ht="13.5" customHeight="1" s="245"/>
    <row r="32" ht="13.5" customHeight="1" s="245"/>
    <row r="33" ht="13.5" customHeight="1" s="245"/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topLeftCell="A1" workbookViewId="0">
      <selection activeCell="C34" sqref="C34"/>
    </sheetView>
  </sheetViews>
  <sheetFormatPr baseColWidth="8" defaultColWidth="9.00390625" defaultRowHeight="15.75" customHeight="1" outlineLevelRow="5"/>
  <cols>
    <col width="7.50390625" customWidth="1" style="173" min="1" max="1"/>
    <col width="13.00390625" customWidth="1" style="173" min="2" max="3"/>
    <col width="6.375" customWidth="1" style="173" min="4" max="4"/>
    <col width="9.00390625" customWidth="1" style="173" min="5" max="16384"/>
  </cols>
  <sheetData>
    <row r="1" ht="15.75" customHeight="1" s="245">
      <c r="A1" s="162" t="inlineStr">
        <is>
          <t>Region</t>
        </is>
      </c>
      <c r="B1" s="163" t="inlineStr">
        <is>
          <t>May First Week Actual Sales Volume</t>
        </is>
      </c>
      <c r="C1" s="163" t="inlineStr">
        <is>
          <t>4th Week of April Actual Sales Volume</t>
        </is>
      </c>
      <c r="D1" s="259" t="inlineStr">
        <is>
          <t>Stock-to-sales ratio</t>
        </is>
      </c>
    </row>
    <row r="2" ht="15.75" customHeight="1" s="245">
      <c r="A2" s="165" t="inlineStr">
        <is>
          <t>Guangzhou Zone 1</t>
        </is>
      </c>
      <c r="B2" s="253" t="n">
        <v>14.35637</v>
      </c>
      <c r="C2" s="253" t="n">
        <v>6.15849</v>
      </c>
      <c r="D2" s="260" t="n">
        <v>17.5506598024279</v>
      </c>
    </row>
    <row r="3" ht="15.75" customHeight="1" s="245">
      <c r="A3" s="167" t="inlineStr">
        <is>
          <t>Guangzhou District 2</t>
        </is>
      </c>
      <c r="B3" s="255" t="n">
        <v>16.19066</v>
      </c>
      <c r="C3" s="255" t="n">
        <v>11.05545</v>
      </c>
      <c r="D3" s="261" t="n">
        <v>15.8840712432405</v>
      </c>
    </row>
    <row r="4" ht="15.75" customHeight="1" s="245">
      <c r="A4" s="167" t="inlineStr">
        <is>
          <t>Shenzhen</t>
        </is>
      </c>
      <c r="B4" s="255" t="n">
        <v>17.977312</v>
      </c>
      <c r="C4" s="255" t="n">
        <v>9.70272599999999</v>
      </c>
      <c r="D4" s="261" t="n">
        <v>15.1878921373</v>
      </c>
    </row>
    <row r="5" ht="15.75" customHeight="1" s="245">
      <c r="A5" s="167" t="inlineStr">
        <is>
          <t>Nanning</t>
        </is>
      </c>
      <c r="B5" s="255" t="n">
        <v>1.01036</v>
      </c>
      <c r="C5" s="255" t="n">
        <v>1.6683</v>
      </c>
      <c r="D5" s="261" t="n">
        <v>33.777450025258</v>
      </c>
    </row>
    <row r="6" ht="15.75" customHeight="1" s="245">
      <c r="A6" s="170" t="inlineStr">
        <is>
          <t>Total</t>
        </is>
      </c>
      <c r="B6" s="262" t="n">
        <v>49.534702</v>
      </c>
      <c r="C6" s="262" t="n">
        <v>28.584966</v>
      </c>
      <c r="D6" s="263" t="n">
        <v>16.4822027499034</v>
      </c>
    </row>
    <row r="7" ht="15.75" customHeight="1" s="245"/>
    <row r="8" ht="15.75" customHeight="1" s="245"/>
    <row r="9" ht="15.75" customHeight="1" s="245"/>
    <row r="10" ht="15.75" customHeight="1" s="245"/>
    <row r="11" ht="15.75" customHeight="1" s="245"/>
    <row r="12" ht="15.75" customHeight="1" s="245"/>
    <row r="13" ht="15.75" customHeight="1" s="245"/>
    <row r="14" ht="15.75" customHeight="1" s="245"/>
    <row r="15" ht="15.75" customHeight="1" s="245"/>
    <row r="16" ht="15.75" customHeight="1" s="245"/>
    <row r="17" ht="15.75" customHeight="1" s="245"/>
    <row r="18" ht="15.75" customHeight="1" s="245"/>
    <row r="19" ht="15.75" customHeight="1" s="245"/>
    <row r="20" ht="15.75" customHeight="1" s="245"/>
    <row r="21" ht="15.75" customHeight="1" s="245"/>
    <row r="22" ht="15.75" customHeight="1" s="245"/>
    <row r="23" ht="15.75" customHeight="1" s="245"/>
    <row r="24" ht="15.75" customHeight="1" s="245"/>
    <row r="25" ht="15.75" customHeight="1" s="245"/>
    <row r="26" ht="15.75" customHeight="1" s="245"/>
    <row r="27" ht="15.75" customHeight="1" s="245"/>
    <row r="28" ht="15.75" customHeight="1" s="245"/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11"/>
  <sheetViews>
    <sheetView topLeftCell="A1" workbookViewId="0">
      <pane xSplit="2" ySplit="3" topLeftCell="K4" activePane="bottomRight" state="frozen"/>
      <selection pane="topRight" activeCell="A1" sqref="A1"/>
      <selection pane="bottomLeft" activeCell="A1" sqref="A1"/>
      <selection pane="bottomRight" activeCell="BP14" sqref="BP14"/>
    </sheetView>
  </sheetViews>
  <sheetFormatPr baseColWidth="8" defaultColWidth="11.25390625" defaultRowHeight="13.5"/>
  <cols>
    <col width="11.375" customWidth="1" style="173" min="1" max="1"/>
    <col width="25.50390625" customWidth="1" style="173" min="2" max="2"/>
    <col hidden="1" outlineLevel="1" width="5.25390625" customWidth="1" style="173" min="3" max="3"/>
    <col hidden="1" outlineLevel="1" width="7.50390625" customWidth="1" style="173" min="4" max="5"/>
    <col hidden="1" outlineLevel="1" width="6.75390625" customWidth="1" style="173" min="6" max="6"/>
    <col hidden="1" outlineLevel="1" width="5.25390625" customWidth="1" style="173" min="7" max="7"/>
    <col hidden="1" outlineLevel="1" width="7.50390625" customWidth="1" style="173" min="8" max="9"/>
    <col hidden="1" outlineLevel="1" width="6.75390625" customWidth="1" style="173" min="10" max="10"/>
    <col collapsed="1" width="8.00390625" customWidth="1" style="173" min="11" max="11"/>
    <col width="8.00390625" customWidth="1" style="96" min="12" max="12"/>
    <col hidden="1" outlineLevel="1" width="5.25390625" customWidth="1" style="173" min="13" max="13"/>
    <col hidden="1" outlineLevel="1" width="6.75390625" customWidth="1" style="173" min="14" max="16"/>
    <col hidden="1" outlineLevel="1" width="5.25390625" customWidth="1" style="173" min="17" max="17"/>
    <col hidden="1" outlineLevel="1" width="6.75390625" customWidth="1" style="173" min="18" max="20"/>
    <col collapsed="1" width="8.00390625" customWidth="1" style="173" min="21" max="21"/>
    <col width="8.00390625" customWidth="1" style="96" min="22" max="22"/>
    <col hidden="1" outlineLevel="1" width="5.25390625" customWidth="1" style="173" min="23" max="23"/>
    <col hidden="1" outlineLevel="1" width="6.75390625" customWidth="1" style="173" min="24" max="26"/>
    <col hidden="1" outlineLevel="1" width="5.25390625" customWidth="1" style="173" min="27" max="27"/>
    <col hidden="1" outlineLevel="1" width="6.75390625" customWidth="1" style="173" min="28" max="30"/>
    <col collapsed="1" width="8.00390625" customWidth="1" style="173" min="31" max="31"/>
    <col width="8.00390625" customWidth="1" style="96" min="32" max="32"/>
    <col hidden="1" outlineLevel="1" width="5.25390625" customWidth="1" style="173" min="33" max="33"/>
    <col hidden="1" outlineLevel="1" width="6.75390625" customWidth="1" style="173" min="34" max="36"/>
    <col hidden="1" outlineLevel="1" width="5.25390625" customWidth="1" style="173" min="37" max="37"/>
    <col hidden="1" outlineLevel="1" width="6.75390625" customWidth="1" style="173" min="38" max="40"/>
    <col collapsed="1" width="8.00390625" customWidth="1" style="173" min="41" max="41"/>
    <col width="8.00390625" customWidth="1" style="96" min="42" max="42"/>
    <col hidden="1" outlineLevel="1" width="5.25390625" customWidth="1" style="173" min="43" max="43"/>
    <col hidden="1" outlineLevel="1" width="6.75390625" customWidth="1" style="173" min="44" max="46"/>
    <col hidden="1" outlineLevel="1" width="5.25390625" customWidth="1" style="173" min="47" max="47"/>
    <col hidden="1" outlineLevel="1" width="6.75390625" customWidth="1" style="173" min="48" max="50"/>
    <col collapsed="1" width="8.00390625" customWidth="1" style="173" min="51" max="51"/>
    <col width="8.00390625" customWidth="1" style="96" min="52" max="52"/>
    <col hidden="1" outlineLevel="1" width="5.25390625" customWidth="1" style="173" min="53" max="53"/>
    <col hidden="1" outlineLevel="1" width="6.75390625" customWidth="1" style="173" min="54" max="56"/>
    <col hidden="1" outlineLevel="1" width="5.25390625" customWidth="1" style="173" min="57" max="57"/>
    <col hidden="1" outlineLevel="1" width="6.75390625" customWidth="1" style="173" min="58" max="60"/>
    <col hidden="1" outlineLevel="1" width="6.75390625" customWidth="1" style="264" min="61" max="61"/>
    <col hidden="1" outlineLevel="1" width="7.50390625" customWidth="1" style="173" min="62" max="63"/>
    <col collapsed="1" width="7.50390625" customWidth="1" style="173" min="64" max="64"/>
    <col width="9.00390625" customWidth="1" style="173" min="65" max="65"/>
    <col width="7.50390625" customWidth="1" style="173" min="66" max="66"/>
    <col width="11.25390625" customWidth="1" style="173" min="67" max="16384"/>
  </cols>
  <sheetData>
    <row r="1" ht="13.5" customHeight="1" s="245">
      <c r="A1" s="61" t="n"/>
      <c r="B1" s="98" t="n"/>
      <c r="C1" s="265" t="inlineStr">
        <is>
          <t>January to Date</t>
        </is>
      </c>
      <c r="D1" s="266" t="n"/>
      <c r="E1" s="266" t="n"/>
      <c r="F1" s="266" t="n"/>
      <c r="G1" s="266" t="n"/>
      <c r="H1" s="266" t="n"/>
      <c r="I1" s="266" t="n"/>
      <c r="J1" s="266" t="n"/>
      <c r="K1" s="266" t="n"/>
      <c r="L1" s="267" t="n"/>
      <c r="M1" s="265" t="inlineStr">
        <is>
          <t>January Sales</t>
        </is>
      </c>
      <c r="N1" s="266" t="n"/>
      <c r="O1" s="266" t="n"/>
      <c r="P1" s="266" t="n"/>
      <c r="Q1" s="266" t="n"/>
      <c r="R1" s="266" t="n"/>
      <c r="S1" s="266" t="n"/>
      <c r="T1" s="266" t="n"/>
      <c r="U1" s="266" t="n"/>
      <c r="V1" s="267" t="n"/>
      <c r="W1" s="265" t="inlineStr">
        <is>
          <t>February Sales</t>
        </is>
      </c>
      <c r="X1" s="266" t="n"/>
      <c r="Y1" s="266" t="n"/>
      <c r="Z1" s="266" t="n"/>
      <c r="AA1" s="266" t="n"/>
      <c r="AB1" s="266" t="n"/>
      <c r="AC1" s="266" t="n"/>
      <c r="AD1" s="266" t="n"/>
      <c r="AE1" s="266" t="n"/>
      <c r="AF1" s="267" t="n"/>
      <c r="AG1" s="265" t="inlineStr">
        <is>
          <t>March Sales</t>
        </is>
      </c>
      <c r="AH1" s="266" t="n"/>
      <c r="AI1" s="266" t="n"/>
      <c r="AJ1" s="266" t="n"/>
      <c r="AK1" s="266" t="n"/>
      <c r="AL1" s="266" t="n"/>
      <c r="AM1" s="266" t="n"/>
      <c r="AN1" s="266" t="n"/>
      <c r="AO1" s="266" t="n"/>
      <c r="AP1" s="267" t="n"/>
      <c r="AQ1" s="99" t="inlineStr">
        <is>
          <t>April Sales</t>
        </is>
      </c>
      <c r="AR1" s="266" t="n"/>
      <c r="AS1" s="266" t="n"/>
      <c r="AT1" s="266" t="n"/>
      <c r="AU1" s="266" t="n"/>
      <c r="AV1" s="266" t="n"/>
      <c r="AW1" s="266" t="n"/>
      <c r="AX1" s="266" t="n"/>
      <c r="AY1" s="266" t="n"/>
      <c r="AZ1" s="266" t="n"/>
      <c r="BA1" s="268" t="inlineStr">
        <is>
          <t>May Sales</t>
        </is>
      </c>
      <c r="BB1" s="269" t="n"/>
      <c r="BC1" s="269" t="n"/>
      <c r="BD1" s="269" t="n"/>
      <c r="BE1" s="269" t="n"/>
      <c r="BF1" s="269" t="n"/>
      <c r="BG1" s="269" t="n"/>
      <c r="BH1" s="269" t="n"/>
      <c r="BI1" s="269" t="n"/>
      <c r="BJ1" s="269" t="n"/>
      <c r="BK1" s="269" t="n"/>
      <c r="BL1" s="269" t="n"/>
      <c r="BM1" s="269" t="n"/>
      <c r="BN1" s="270" t="n"/>
    </row>
    <row r="2" ht="13.5" customHeight="1" s="245">
      <c r="A2" s="61" t="n">
        <v>10000</v>
      </c>
      <c r="B2" s="98" t="n"/>
      <c r="C2" s="101" t="inlineStr">
        <is>
          <t>Last Year Sales</t>
        </is>
      </c>
      <c r="D2" s="271" t="n"/>
      <c r="E2" s="271" t="n"/>
      <c r="F2" s="271" t="n"/>
      <c r="G2" s="268" t="inlineStr">
        <is>
          <t>This Year's Sales</t>
        </is>
      </c>
      <c r="H2" s="269" t="n"/>
      <c r="I2" s="269" t="n"/>
      <c r="J2" s="270" t="n"/>
      <c r="K2" s="272" t="inlineStr">
        <is>
          <t>Discount Comparison</t>
        </is>
      </c>
      <c r="L2" s="273" t="inlineStr">
        <is>
          <t>Sales Comparison</t>
        </is>
      </c>
      <c r="M2" s="101" t="inlineStr">
        <is>
          <t>Last Year Sales</t>
        </is>
      </c>
      <c r="N2" s="271" t="n"/>
      <c r="O2" s="271" t="n"/>
      <c r="P2" s="271" t="n"/>
      <c r="Q2" s="268" t="inlineStr">
        <is>
          <t>This Year's Sales</t>
        </is>
      </c>
      <c r="R2" s="269" t="n"/>
      <c r="S2" s="269" t="n"/>
      <c r="T2" s="270" t="n"/>
      <c r="U2" s="272" t="inlineStr">
        <is>
          <t>Discount Comparison</t>
        </is>
      </c>
      <c r="V2" s="273" t="inlineStr">
        <is>
          <t>Sales Comparison</t>
        </is>
      </c>
      <c r="W2" s="101" t="inlineStr">
        <is>
          <t>Last Year Sales</t>
        </is>
      </c>
      <c r="X2" s="271" t="n"/>
      <c r="Y2" s="271" t="n"/>
      <c r="Z2" s="271" t="n"/>
      <c r="AA2" s="268" t="inlineStr">
        <is>
          <t>This Year's Sales</t>
        </is>
      </c>
      <c r="AB2" s="269" t="n"/>
      <c r="AC2" s="269" t="n"/>
      <c r="AD2" s="270" t="n"/>
      <c r="AE2" s="272" t="inlineStr">
        <is>
          <t>Discount Comparison</t>
        </is>
      </c>
      <c r="AF2" s="273" t="inlineStr">
        <is>
          <t>Sales Comparison</t>
        </is>
      </c>
      <c r="AG2" s="101" t="inlineStr">
        <is>
          <t>Last Year Sales</t>
        </is>
      </c>
      <c r="AH2" s="271" t="n"/>
      <c r="AI2" s="271" t="n"/>
      <c r="AJ2" s="271" t="n"/>
      <c r="AK2" s="268" t="inlineStr">
        <is>
          <t>This Year's Sales</t>
        </is>
      </c>
      <c r="AL2" s="269" t="n"/>
      <c r="AM2" s="269" t="n"/>
      <c r="AN2" s="270" t="n"/>
      <c r="AO2" s="272" t="inlineStr">
        <is>
          <t>Discount Comparison</t>
        </is>
      </c>
      <c r="AP2" s="273" t="inlineStr">
        <is>
          <t>Sales Comparison</t>
        </is>
      </c>
      <c r="AQ2" s="101" t="inlineStr">
        <is>
          <t>Last Year Sales</t>
        </is>
      </c>
      <c r="AR2" s="271" t="n"/>
      <c r="AS2" s="271" t="n"/>
      <c r="AT2" s="271" t="n"/>
      <c r="AU2" s="268" t="inlineStr">
        <is>
          <t>This Year's Sales</t>
        </is>
      </c>
      <c r="AV2" s="269" t="n"/>
      <c r="AW2" s="269" t="n"/>
      <c r="AX2" s="270" t="n"/>
      <c r="AY2" s="272" t="inlineStr">
        <is>
          <t>Discount Comparison</t>
        </is>
      </c>
      <c r="AZ2" s="273" t="inlineStr">
        <is>
          <t>Sales Comparison</t>
        </is>
      </c>
      <c r="BA2" s="274" t="inlineStr">
        <is>
          <t>Last Year Sales</t>
        </is>
      </c>
      <c r="BB2" s="275" t="n"/>
      <c r="BC2" s="275" t="n"/>
      <c r="BD2" s="276" t="n"/>
      <c r="BE2" s="277" t="inlineStr">
        <is>
          <t>This Year's Sales</t>
        </is>
      </c>
      <c r="BI2" s="278" t="n"/>
      <c r="BJ2" s="279" t="inlineStr">
        <is>
          <t>Projected Sales</t>
        </is>
      </c>
      <c r="BK2" s="280" t="inlineStr">
        <is>
          <t>Projected Amount</t>
        </is>
      </c>
      <c r="BL2" s="281" t="inlineStr">
        <is>
          <t>Discount Comparison</t>
        </is>
      </c>
      <c r="BM2" s="146" t="inlineStr">
        <is>
          <t>Sales Comparison</t>
        </is>
      </c>
      <c r="BN2" s="149" t="inlineStr">
        <is>
          <t>Inventory</t>
        </is>
      </c>
    </row>
    <row r="3" ht="13.5" customHeight="1" s="245">
      <c r="A3" s="183" t="inlineStr">
        <is>
          <t>Region</t>
        </is>
      </c>
      <c r="B3" s="183" t="inlineStr">
        <is>
          <t>Store Abbreviation</t>
        </is>
      </c>
      <c r="C3" s="183" t="inlineStr">
        <is>
          <t>Quantity</t>
        </is>
      </c>
      <c r="D3" s="61" t="inlineStr">
        <is>
          <t>Tag Price Amount</t>
        </is>
      </c>
      <c r="E3" s="61" t="inlineStr">
        <is>
          <t>Sales Value</t>
        </is>
      </c>
      <c r="F3" s="100" t="inlineStr">
        <is>
          <t>Discount</t>
        </is>
      </c>
      <c r="G3" s="186" t="inlineStr">
        <is>
          <t>Quantity</t>
        </is>
      </c>
      <c r="H3" s="173" t="inlineStr">
        <is>
          <t>Tag Price Amount</t>
        </is>
      </c>
      <c r="I3" s="173" t="inlineStr">
        <is>
          <t>Sales Value</t>
        </is>
      </c>
      <c r="J3" s="114" t="inlineStr">
        <is>
          <t>Discount</t>
        </is>
      </c>
      <c r="K3" s="282" t="n"/>
      <c r="L3" s="283" t="n"/>
      <c r="M3" s="183" t="inlineStr">
        <is>
          <t>Quantity</t>
        </is>
      </c>
      <c r="N3" s="117" t="inlineStr">
        <is>
          <t>Tag Price Amount</t>
        </is>
      </c>
      <c r="O3" s="117" t="inlineStr">
        <is>
          <t>Sales Value</t>
        </is>
      </c>
      <c r="P3" s="100" t="inlineStr">
        <is>
          <t>Discount</t>
        </is>
      </c>
      <c r="Q3" s="186" t="inlineStr">
        <is>
          <t>Quantity</t>
        </is>
      </c>
      <c r="R3" s="173" t="inlineStr">
        <is>
          <t>Tag Price Amount</t>
        </is>
      </c>
      <c r="S3" s="173" t="inlineStr">
        <is>
          <t>Sales Value</t>
        </is>
      </c>
      <c r="T3" s="114" t="inlineStr">
        <is>
          <t>Discount</t>
        </is>
      </c>
      <c r="U3" s="282" t="n"/>
      <c r="V3" s="283" t="n"/>
      <c r="W3" s="183" t="inlineStr">
        <is>
          <t>Quantity</t>
        </is>
      </c>
      <c r="X3" s="117" t="inlineStr">
        <is>
          <t>Tag Price Amount</t>
        </is>
      </c>
      <c r="Y3" s="117" t="inlineStr">
        <is>
          <t>Sales Value</t>
        </is>
      </c>
      <c r="Z3" s="100" t="inlineStr">
        <is>
          <t>Discount</t>
        </is>
      </c>
      <c r="AA3" s="186" t="inlineStr">
        <is>
          <t>Quantity</t>
        </is>
      </c>
      <c r="AB3" s="173" t="inlineStr">
        <is>
          <t>Tag Price Amount</t>
        </is>
      </c>
      <c r="AC3" s="173" t="inlineStr">
        <is>
          <t>Sales Value</t>
        </is>
      </c>
      <c r="AD3" s="114" t="inlineStr">
        <is>
          <t>Discount</t>
        </is>
      </c>
      <c r="AE3" s="282" t="n"/>
      <c r="AF3" s="283" t="n"/>
      <c r="AG3" s="183" t="inlineStr">
        <is>
          <t>Quantity</t>
        </is>
      </c>
      <c r="AH3" s="117" t="inlineStr">
        <is>
          <t>Tag Price Amount</t>
        </is>
      </c>
      <c r="AI3" s="117" t="inlineStr">
        <is>
          <t>Sales Value</t>
        </is>
      </c>
      <c r="AJ3" s="100" t="inlineStr">
        <is>
          <t>Discount</t>
        </is>
      </c>
      <c r="AK3" s="186" t="inlineStr">
        <is>
          <t>Quantity</t>
        </is>
      </c>
      <c r="AL3" s="173" t="inlineStr">
        <is>
          <t>Tag Price Amount</t>
        </is>
      </c>
      <c r="AM3" s="173" t="inlineStr">
        <is>
          <t>Sales Value</t>
        </is>
      </c>
      <c r="AN3" s="114" t="inlineStr">
        <is>
          <t>Discount</t>
        </is>
      </c>
      <c r="AO3" s="282" t="n"/>
      <c r="AP3" s="283" t="n"/>
      <c r="AQ3" s="183" t="inlineStr">
        <is>
          <t>Quantity</t>
        </is>
      </c>
      <c r="AR3" s="117" t="inlineStr">
        <is>
          <t>Tag Price Amount</t>
        </is>
      </c>
      <c r="AS3" s="117" t="inlineStr">
        <is>
          <t>Sales Value</t>
        </is>
      </c>
      <c r="AT3" s="100" t="inlineStr">
        <is>
          <t>Discount</t>
        </is>
      </c>
      <c r="AU3" s="186" t="inlineStr">
        <is>
          <t>Quantity</t>
        </is>
      </c>
      <c r="AV3" s="173" t="inlineStr">
        <is>
          <t>Tag Price Amount</t>
        </is>
      </c>
      <c r="AW3" s="173" t="inlineStr">
        <is>
          <t>Sales Value</t>
        </is>
      </c>
      <c r="AX3" s="114" t="inlineStr">
        <is>
          <t>Discount</t>
        </is>
      </c>
      <c r="AY3" s="282" t="n"/>
      <c r="AZ3" s="283" t="n"/>
      <c r="BA3" s="183" t="inlineStr">
        <is>
          <t>Quantity</t>
        </is>
      </c>
      <c r="BB3" s="117" t="inlineStr">
        <is>
          <t>Tag Price Amount</t>
        </is>
      </c>
      <c r="BC3" s="117" t="inlineStr">
        <is>
          <t>Sales Value</t>
        </is>
      </c>
      <c r="BD3" s="100" t="inlineStr">
        <is>
          <t>Discount</t>
        </is>
      </c>
      <c r="BE3" s="130" t="inlineStr">
        <is>
          <t>Quantity</t>
        </is>
      </c>
      <c r="BF3" s="131" t="inlineStr">
        <is>
          <t>Tag Price Amount</t>
        </is>
      </c>
      <c r="BG3" s="131" t="inlineStr">
        <is>
          <t>Sales Value</t>
        </is>
      </c>
      <c r="BH3" s="132" t="inlineStr">
        <is>
          <t>Discount</t>
        </is>
      </c>
      <c r="BI3" s="284" t="inlineStr">
        <is>
          <t>Stock-to-sales ratio</t>
        </is>
      </c>
      <c r="BJ3" s="282" t="n"/>
      <c r="BK3" s="282" t="n"/>
      <c r="BL3" s="282" t="n"/>
      <c r="BM3" s="282" t="n"/>
      <c r="BN3" s="282" t="n"/>
    </row>
    <row r="4" ht="13.5" customHeight="1" s="245">
      <c r="A4" s="183" t="inlineStr">
        <is>
          <t>Guangzhou Zone 1</t>
        </is>
      </c>
      <c r="B4" s="183" t="inlineStr">
        <is>
          <t>(Guang) Foshan Shunde Shunlian Plaza Sports Lingerie Store</t>
        </is>
      </c>
      <c r="C4" s="183" t="n">
        <v>399</v>
      </c>
      <c r="D4" s="61" t="n">
        <v>8.306699999999999</v>
      </c>
      <c r="E4" s="61" t="n">
        <v>5.991</v>
      </c>
      <c r="F4" s="285">
        <f>E4/D4</f>
        <v/>
      </c>
      <c r="G4" s="183" t="n">
        <v>578</v>
      </c>
      <c r="H4" s="285" t="n">
        <v>13.66</v>
      </c>
      <c r="I4" s="285" t="n">
        <v>11.0887</v>
      </c>
      <c r="J4" s="285">
        <f>I4/H4</f>
        <v/>
      </c>
      <c r="K4" s="286">
        <f>_xlfn.IFERROR(J4-F4,"")</f>
        <v/>
      </c>
      <c r="L4" s="119">
        <f>_xlfn.IFERROR(I4/E4-1,"")</f>
        <v/>
      </c>
      <c r="M4" s="183" t="n">
        <v>145</v>
      </c>
      <c r="N4" s="285" t="n">
        <v>4.0833</v>
      </c>
      <c r="O4" s="285" t="n">
        <v>2.296</v>
      </c>
      <c r="P4" s="285">
        <f>O4/N4</f>
        <v/>
      </c>
      <c r="Q4" s="183" t="n">
        <v>280</v>
      </c>
      <c r="R4" s="285" t="n">
        <v>7.4233</v>
      </c>
      <c r="S4" s="285" t="n">
        <v>6.3635</v>
      </c>
      <c r="T4" s="285">
        <f>S4/R4</f>
        <v/>
      </c>
      <c r="U4" s="286">
        <f>_xlfn.IFERROR(T4-P4,"")</f>
        <v/>
      </c>
      <c r="V4" s="119">
        <f>_xlfn.IFERROR(S4/O4-1,"")</f>
        <v/>
      </c>
      <c r="W4" s="183" t="n">
        <v>108</v>
      </c>
      <c r="X4" s="285" t="n">
        <v>1.8918</v>
      </c>
      <c r="Y4" s="285" t="n">
        <v>1.6879</v>
      </c>
      <c r="Z4" s="285">
        <f>Y4/X4</f>
        <v/>
      </c>
      <c r="AA4" s="183" t="n">
        <v>80</v>
      </c>
      <c r="AB4" s="285" t="n">
        <v>2.5697</v>
      </c>
      <c r="AC4" s="285" t="n">
        <v>1.6563</v>
      </c>
      <c r="AD4" s="285">
        <f>AC4/AB4</f>
        <v/>
      </c>
      <c r="AE4" s="286">
        <f>_xlfn.IFERROR(AD4-Z4,"")</f>
        <v/>
      </c>
      <c r="AF4" s="119">
        <f>_xlfn.IFERROR(AC4/Y4-1,"")</f>
        <v/>
      </c>
      <c r="AG4" s="183" t="n">
        <v>49</v>
      </c>
      <c r="AH4" s="285" t="n">
        <v>0.7747000000000001</v>
      </c>
      <c r="AI4" s="285" t="n">
        <v>0.5793</v>
      </c>
      <c r="AJ4" s="285">
        <f>AI4/AH4</f>
        <v/>
      </c>
      <c r="AK4" s="183" t="n">
        <v>133</v>
      </c>
      <c r="AL4" s="285" t="n">
        <v>2.9451</v>
      </c>
      <c r="AM4" s="285" t="n">
        <v>1.9153</v>
      </c>
      <c r="AN4" s="285">
        <f>AM4/AL4</f>
        <v/>
      </c>
      <c r="AO4" s="286">
        <f>_xlfn.IFERROR(AN4-AJ4,"")</f>
        <v/>
      </c>
      <c r="AP4" s="119">
        <f>_xlfn.IFERROR(AM4/AI4-1,"")</f>
        <v/>
      </c>
      <c r="AQ4" s="183" t="n">
        <v>64</v>
      </c>
      <c r="AR4" s="285" t="n">
        <v>1.0409</v>
      </c>
      <c r="AS4" s="285" t="n">
        <v>0.9118000000000001</v>
      </c>
      <c r="AT4" s="285">
        <f>_xlfn.IFERROR(AS4/AR4,"")</f>
        <v/>
      </c>
      <c r="AU4" s="183" t="n">
        <v>85</v>
      </c>
      <c r="AV4" s="285" t="n">
        <v>0.7219</v>
      </c>
      <c r="AW4" s="285" t="n">
        <v>1.1536</v>
      </c>
      <c r="AX4" s="285">
        <f>AW4/AV4</f>
        <v/>
      </c>
      <c r="AY4" s="286">
        <f>_xlfn.IFERROR(AX4-AT4,"")</f>
        <v/>
      </c>
      <c r="AZ4" s="119">
        <f>_xlfn.IFERROR(AW4/AS4-1,"")</f>
        <v/>
      </c>
      <c r="BA4" s="183" t="n">
        <v>127</v>
      </c>
      <c r="BB4" s="285" t="n">
        <v>1.8351</v>
      </c>
      <c r="BC4" s="285" t="n">
        <v>1.641</v>
      </c>
      <c r="BD4" s="285">
        <f>BC4/BB4</f>
        <v/>
      </c>
      <c r="BE4" s="186" t="n"/>
      <c r="BF4" s="287" t="n">
        <v>0</v>
      </c>
      <c r="BG4" s="287" t="n">
        <v>0</v>
      </c>
      <c r="BH4" s="287">
        <f>BG4/BF4</f>
        <v/>
      </c>
      <c r="BI4" s="288">
        <f>_xlfn.IFERROR(BN4/((BF4/4)*30),"")</f>
        <v/>
      </c>
      <c r="BJ4" s="289">
        <f>_xlfn.IFERROR(BE4/4*31,"")</f>
        <v/>
      </c>
      <c r="BK4" s="290">
        <f>_xlfn.IFERROR(BG4/4*31,"")</f>
        <v/>
      </c>
      <c r="BL4" s="291">
        <f>_xlfn.IFERROR(BH4-BD4,"")</f>
        <v/>
      </c>
      <c r="BM4" s="150">
        <f>_xlfn.IFERROR(BK4/BC4-1,"")</f>
        <v/>
      </c>
      <c r="BN4" s="291" t="n">
        <v>46.4352</v>
      </c>
    </row>
    <row r="5" ht="13.5" customHeight="1" s="245">
      <c r="A5" s="61" t="n"/>
      <c r="B5" s="186" t="inlineStr">
        <is>
          <t>(Foshan) Shunlian International Outlet Lingerie Store</t>
        </is>
      </c>
      <c r="C5" s="186" t="n">
        <v>1235</v>
      </c>
      <c r="D5" s="61" t="n">
        <v>28.4186</v>
      </c>
      <c r="E5" s="61" t="n">
        <v>12.6009</v>
      </c>
      <c r="F5" s="287">
        <f>E5/D5</f>
        <v/>
      </c>
      <c r="G5" s="186" t="n">
        <v>1395</v>
      </c>
      <c r="H5" s="287" t="n">
        <v>27.7247</v>
      </c>
      <c r="I5" s="287" t="n">
        <v>10.570199</v>
      </c>
      <c r="J5" s="287">
        <f>I5/H5</f>
        <v/>
      </c>
      <c r="K5" s="286">
        <f>_xlfn.IFERROR(J5-F5,"")</f>
        <v/>
      </c>
      <c r="L5" s="119">
        <f>_xlfn.IFERROR(I5/E5-1,"")</f>
        <v/>
      </c>
      <c r="M5" s="186" t="n">
        <v>410</v>
      </c>
      <c r="N5" s="287" t="n">
        <v>12.6948</v>
      </c>
      <c r="O5" s="287" t="n">
        <v>5.986</v>
      </c>
      <c r="P5" s="287">
        <f>O5/N5</f>
        <v/>
      </c>
      <c r="Q5" s="186" t="n">
        <v>428</v>
      </c>
      <c r="R5" s="287" t="n">
        <v>11.4341</v>
      </c>
      <c r="S5" s="287" t="n">
        <v>4.6991</v>
      </c>
      <c r="T5" s="287">
        <f>S5/R5</f>
        <v/>
      </c>
      <c r="U5" s="286">
        <f>_xlfn.IFERROR(T5-P5,"")</f>
        <v/>
      </c>
      <c r="V5" s="119">
        <f>_xlfn.IFERROR(S5/O5-1,"")</f>
        <v/>
      </c>
      <c r="W5" s="186" t="n">
        <v>173</v>
      </c>
      <c r="X5" s="287" t="n">
        <v>3.9287</v>
      </c>
      <c r="Y5" s="287" t="n">
        <v>1.9455</v>
      </c>
      <c r="Z5" s="287">
        <f>Y5/X5</f>
        <v/>
      </c>
      <c r="AA5" s="186" t="n">
        <v>210</v>
      </c>
      <c r="AB5" s="287" t="n">
        <v>6.3452</v>
      </c>
      <c r="AC5" s="287" t="n">
        <v>2.527</v>
      </c>
      <c r="AD5" s="287">
        <f>AC5/AB5</f>
        <v/>
      </c>
      <c r="AE5" s="286">
        <f>_xlfn.IFERROR(AD5-Z5,"")</f>
        <v/>
      </c>
      <c r="AF5" s="119">
        <f>_xlfn.IFERROR(AC5/Y5-1,"")</f>
        <v/>
      </c>
      <c r="AG5" s="186" t="n">
        <v>378</v>
      </c>
      <c r="AH5" s="287" t="n">
        <v>6.8958</v>
      </c>
      <c r="AI5" s="287" t="n">
        <v>2.6654</v>
      </c>
      <c r="AJ5" s="287">
        <f>AI5/AH5</f>
        <v/>
      </c>
      <c r="AK5" s="186" t="n">
        <v>193</v>
      </c>
      <c r="AL5" s="287" t="n">
        <v>4.3155</v>
      </c>
      <c r="AM5" s="287" t="n">
        <v>1.6112</v>
      </c>
      <c r="AN5" s="287">
        <f>AM5/AL5</f>
        <v/>
      </c>
      <c r="AO5" s="286">
        <f>_xlfn.IFERROR(AN5-AJ5,"")</f>
        <v/>
      </c>
      <c r="AP5" s="119">
        <f>_xlfn.IFERROR(AM5/AI5-1,"")</f>
        <v/>
      </c>
      <c r="AQ5" s="186" t="n">
        <v>191</v>
      </c>
      <c r="AR5" s="287" t="n">
        <v>3.352</v>
      </c>
      <c r="AS5" s="287" t="n">
        <v>1.4315</v>
      </c>
      <c r="AT5" s="285">
        <f>_xlfn.IFERROR(AS5/AR5,"")</f>
        <v/>
      </c>
      <c r="AU5" s="186" t="n">
        <v>564</v>
      </c>
      <c r="AV5" s="287" t="n">
        <v>5.6299</v>
      </c>
      <c r="AW5" s="287" t="n">
        <v>1.732899</v>
      </c>
      <c r="AX5" s="287">
        <f>AW5/AV5</f>
        <v/>
      </c>
      <c r="AY5" s="286">
        <f>_xlfn.IFERROR(AX5-AT5,"")</f>
        <v/>
      </c>
      <c r="AZ5" s="119">
        <f>_xlfn.IFERROR(AW5/AS5-1,"")</f>
        <v/>
      </c>
      <c r="BA5" s="186" t="n">
        <v>465</v>
      </c>
      <c r="BB5" s="287" t="n">
        <v>7.789</v>
      </c>
      <c r="BC5" s="287" t="n">
        <v>3.3762</v>
      </c>
      <c r="BD5" s="287">
        <f>BC5/BB5</f>
        <v/>
      </c>
      <c r="BE5" s="186" t="n"/>
      <c r="BF5" s="287" t="n">
        <v>0</v>
      </c>
      <c r="BG5" s="287" t="n">
        <v>0</v>
      </c>
      <c r="BH5" s="287">
        <f>BG5/BF5</f>
        <v/>
      </c>
      <c r="BI5" s="288">
        <f>_xlfn.IFERROR(BN5/((BF5/4)*30),"")</f>
        <v/>
      </c>
      <c r="BJ5" s="289">
        <f>_xlfn.IFERROR(BE5/4*31,"")</f>
        <v/>
      </c>
      <c r="BK5" s="290">
        <f>_xlfn.IFERROR(BG5/4*31,"")</f>
        <v/>
      </c>
      <c r="BL5" s="291">
        <f>_xlfn.IFERROR(BH5-BD5,"")</f>
        <v/>
      </c>
      <c r="BM5" s="150">
        <f>_xlfn.IFERROR(BK5/BC5-1,"")</f>
        <v/>
      </c>
      <c r="BN5" s="291" t="n">
        <v>104.2937</v>
      </c>
    </row>
    <row r="6" ht="13.5" customHeight="1" s="245">
      <c r="A6" s="61" t="n"/>
      <c r="B6" s="186" t="inlineStr">
        <is>
          <t>(Fang) Foshan Shunlian International Shopping Center Lingerie Store</t>
        </is>
      </c>
      <c r="C6" s="186" t="n">
        <v>1266</v>
      </c>
      <c r="D6" s="61" t="n">
        <v>28.3605</v>
      </c>
      <c r="E6" s="61" t="n">
        <v>24.9894</v>
      </c>
      <c r="F6" s="287">
        <f>E6/D6</f>
        <v/>
      </c>
      <c r="G6" s="186" t="n">
        <v>2014</v>
      </c>
      <c r="H6" s="287" t="n">
        <v>54.9018</v>
      </c>
      <c r="I6" s="287" t="n">
        <v>36.7795</v>
      </c>
      <c r="J6" s="287">
        <f>I6/H6</f>
        <v/>
      </c>
      <c r="K6" s="286">
        <f>_xlfn.IFERROR(J6-F6,"")</f>
        <v/>
      </c>
      <c r="L6" s="119">
        <f>_xlfn.IFERROR(I6/E6-1,"")</f>
        <v/>
      </c>
      <c r="M6" s="186" t="n">
        <v>456</v>
      </c>
      <c r="N6" s="287" t="n">
        <v>14.2393</v>
      </c>
      <c r="O6" s="287" t="n">
        <v>12.7023</v>
      </c>
      <c r="P6" s="287">
        <f>O6/N6</f>
        <v/>
      </c>
      <c r="Q6" s="186" t="n">
        <v>1008</v>
      </c>
      <c r="R6" s="287" t="n">
        <v>27.6267</v>
      </c>
      <c r="S6" s="287" t="n">
        <v>20.9783</v>
      </c>
      <c r="T6" s="287">
        <f>S6/R6</f>
        <v/>
      </c>
      <c r="U6" s="286">
        <f>_xlfn.IFERROR(T6-P6,"")</f>
        <v/>
      </c>
      <c r="V6" s="119">
        <f>_xlfn.IFERROR(S6/O6-1,"")</f>
        <v/>
      </c>
      <c r="W6" s="186" t="n">
        <v>363</v>
      </c>
      <c r="X6" s="287" t="n">
        <v>6.4433</v>
      </c>
      <c r="Y6" s="287" t="n">
        <v>5.5141</v>
      </c>
      <c r="Z6" s="287">
        <f>Y6/X6</f>
        <v/>
      </c>
      <c r="AA6" s="186" t="n">
        <v>493</v>
      </c>
      <c r="AB6" s="287" t="n">
        <v>15.6935</v>
      </c>
      <c r="AC6" s="287" t="n">
        <v>8.3614</v>
      </c>
      <c r="AD6" s="287">
        <f>AC6/AB6</f>
        <v/>
      </c>
      <c r="AE6" s="286">
        <f>_xlfn.IFERROR(AD6-Z6,"")</f>
        <v/>
      </c>
      <c r="AF6" s="119">
        <f>_xlfn.IFERROR(AC6/Y6-1,"")</f>
        <v/>
      </c>
      <c r="AG6" s="186" t="n">
        <v>95</v>
      </c>
      <c r="AH6" s="287" t="n">
        <v>1.7566</v>
      </c>
      <c r="AI6" s="287" t="n">
        <v>1.1587</v>
      </c>
      <c r="AJ6" s="287">
        <f>AI6/AH6</f>
        <v/>
      </c>
      <c r="AK6" s="186" t="n">
        <v>275</v>
      </c>
      <c r="AL6" s="287" t="n">
        <v>6.6254</v>
      </c>
      <c r="AM6" s="287" t="n">
        <v>3.7433</v>
      </c>
      <c r="AN6" s="287">
        <f>AM6/AL6</f>
        <v/>
      </c>
      <c r="AO6" s="286">
        <f>_xlfn.IFERROR(AN6-AJ6,"")</f>
        <v/>
      </c>
      <c r="AP6" s="119">
        <f>_xlfn.IFERROR(AM6/AI6-1,"")</f>
        <v/>
      </c>
      <c r="AQ6" s="186" t="n">
        <v>248</v>
      </c>
      <c r="AR6" s="287" t="n">
        <v>4.3425</v>
      </c>
      <c r="AS6" s="287" t="n">
        <v>4.0215</v>
      </c>
      <c r="AT6" s="285">
        <f>_xlfn.IFERROR(AS6/AR6,"")</f>
        <v/>
      </c>
      <c r="AU6" s="186" t="n">
        <v>185</v>
      </c>
      <c r="AV6" s="287" t="n">
        <v>3.893</v>
      </c>
      <c r="AW6" s="287" t="n">
        <v>2.7873</v>
      </c>
      <c r="AX6" s="287">
        <f>AW6/AV6</f>
        <v/>
      </c>
      <c r="AY6" s="286">
        <f>_xlfn.IFERROR(AX6-AT6,"")</f>
        <v/>
      </c>
      <c r="AZ6" s="119">
        <f>_xlfn.IFERROR(AW6/AS6-1,"")</f>
        <v/>
      </c>
      <c r="BA6" s="186" t="n">
        <v>422</v>
      </c>
      <c r="BB6" s="287" t="n">
        <v>7.2287</v>
      </c>
      <c r="BC6" s="287" t="n">
        <v>7.141</v>
      </c>
      <c r="BD6" s="287">
        <f>BC6/BB6</f>
        <v/>
      </c>
      <c r="BE6" s="186" t="n">
        <v>53</v>
      </c>
      <c r="BF6" s="287" t="n">
        <v>1.0632</v>
      </c>
      <c r="BG6" s="287" t="n">
        <v>0.9092</v>
      </c>
      <c r="BH6" s="287">
        <f>BG6/BF6</f>
        <v/>
      </c>
      <c r="BI6" s="288">
        <f>_xlfn.IFERROR(BN6/((BF6/4)*30),"")</f>
        <v/>
      </c>
      <c r="BJ6" s="289">
        <f>_xlfn.IFERROR(BE6/4*31,"")</f>
        <v/>
      </c>
      <c r="BK6" s="290">
        <f>_xlfn.IFERROR(BG6/4*31,"")</f>
        <v/>
      </c>
      <c r="BL6" s="291">
        <f>_xlfn.IFERROR(BH6-BD6,"")</f>
        <v/>
      </c>
      <c r="BM6" s="150">
        <f>_xlfn.IFERROR(BK6/BC6-1,"")</f>
        <v/>
      </c>
      <c r="BN6" s="291" t="n">
        <v>119.2085</v>
      </c>
    </row>
    <row r="7" ht="13.5" customHeight="1" s="245">
      <c r="A7" s="61" t="n"/>
      <c r="B7" s="186" t="inlineStr">
        <is>
          <t>(Guang) Guangdong Foshan Sanshui Xinda Xin Lingerie Store</t>
        </is>
      </c>
      <c r="C7" s="186" t="n">
        <v>729</v>
      </c>
      <c r="D7" s="61" t="n">
        <v>14.1835</v>
      </c>
      <c r="E7" s="61" t="n">
        <v>9.710100000000001</v>
      </c>
      <c r="F7" s="287">
        <f>E7/D7</f>
        <v/>
      </c>
      <c r="G7" s="186" t="n">
        <v>522</v>
      </c>
      <c r="H7" s="287" t="n">
        <v>13.5513</v>
      </c>
      <c r="I7" s="287" t="n">
        <v>8.8201</v>
      </c>
      <c r="J7" s="287">
        <f>I7/H7</f>
        <v/>
      </c>
      <c r="K7" s="286">
        <f>_xlfn.IFERROR(J7-F7,"")</f>
        <v/>
      </c>
      <c r="L7" s="119">
        <f>_xlfn.IFERROR(I7/E7-1,"")</f>
        <v/>
      </c>
      <c r="M7" s="186" t="n">
        <v>237</v>
      </c>
      <c r="N7" s="287" t="n">
        <v>5.8484</v>
      </c>
      <c r="O7" s="287" t="n">
        <v>4.3089</v>
      </c>
      <c r="P7" s="287">
        <f>O7/N7</f>
        <v/>
      </c>
      <c r="Q7" s="186" t="n">
        <v>207</v>
      </c>
      <c r="R7" s="287" t="n">
        <v>5.9596</v>
      </c>
      <c r="S7" s="287" t="n">
        <v>3.7792</v>
      </c>
      <c r="T7" s="287">
        <f>S7/R7</f>
        <v/>
      </c>
      <c r="U7" s="286">
        <f>_xlfn.IFERROR(T7-P7,"")</f>
        <v/>
      </c>
      <c r="V7" s="119">
        <f>_xlfn.IFERROR(S7/O7-1,"")</f>
        <v/>
      </c>
      <c r="W7" s="186" t="n">
        <v>191</v>
      </c>
      <c r="X7" s="287" t="n">
        <v>3.9517</v>
      </c>
      <c r="Y7" s="287" t="n">
        <v>2.4578</v>
      </c>
      <c r="Z7" s="287">
        <f>Y7/X7</f>
        <v/>
      </c>
      <c r="AA7" s="186" t="n">
        <v>136</v>
      </c>
      <c r="AB7" s="287" t="n">
        <v>4.2761</v>
      </c>
      <c r="AC7" s="287" t="n">
        <v>2.6683</v>
      </c>
      <c r="AD7" s="287">
        <f>AC7/AB7</f>
        <v/>
      </c>
      <c r="AE7" s="286">
        <f>_xlfn.IFERROR(AD7-Z7,"")</f>
        <v/>
      </c>
      <c r="AF7" s="119">
        <f>_xlfn.IFERROR(AC7/Y7-1,"")</f>
        <v/>
      </c>
      <c r="AG7" s="186" t="n">
        <v>177</v>
      </c>
      <c r="AH7" s="287" t="n">
        <v>2.5379</v>
      </c>
      <c r="AI7" s="287" t="n">
        <v>1.4357</v>
      </c>
      <c r="AJ7" s="287">
        <f>AI7/AH7</f>
        <v/>
      </c>
      <c r="AK7" s="186" t="n">
        <v>63</v>
      </c>
      <c r="AL7" s="287" t="n">
        <v>1.4154</v>
      </c>
      <c r="AM7" s="287" t="n">
        <v>0.9571</v>
      </c>
      <c r="AN7" s="287">
        <f>AM7/AL7</f>
        <v/>
      </c>
      <c r="AO7" s="286">
        <f>_xlfn.IFERROR(AN7-AJ7,"")</f>
        <v/>
      </c>
      <c r="AP7" s="119">
        <f>_xlfn.IFERROR(AM7/AI7-1,"")</f>
        <v/>
      </c>
      <c r="AQ7" s="186" t="n">
        <v>108</v>
      </c>
      <c r="AR7" s="287" t="n">
        <v>1.6363</v>
      </c>
      <c r="AS7" s="287" t="n">
        <v>1.323</v>
      </c>
      <c r="AT7" s="285">
        <f>_xlfn.IFERROR(AS7/AR7,"")</f>
        <v/>
      </c>
      <c r="AU7" s="186" t="n">
        <v>94</v>
      </c>
      <c r="AV7" s="287" t="n">
        <v>1.4488</v>
      </c>
      <c r="AW7" s="287" t="n">
        <v>1.111</v>
      </c>
      <c r="AX7" s="287">
        <f>AW7/AV7</f>
        <v/>
      </c>
      <c r="AY7" s="286">
        <f>_xlfn.IFERROR(AX7-AT7,"")</f>
        <v/>
      </c>
      <c r="AZ7" s="119">
        <f>_xlfn.IFERROR(AW7/AS7-1,"")</f>
        <v/>
      </c>
      <c r="BA7" s="186" t="n">
        <v>130</v>
      </c>
      <c r="BB7" s="287" t="n">
        <v>1.5653</v>
      </c>
      <c r="BC7" s="287" t="n">
        <v>1.2969</v>
      </c>
      <c r="BD7" s="287">
        <f>BC7/BB7</f>
        <v/>
      </c>
      <c r="BE7" s="186" t="n">
        <v>22</v>
      </c>
      <c r="BF7" s="287" t="n">
        <v>0.4514</v>
      </c>
      <c r="BG7" s="287" t="n">
        <v>0.3045</v>
      </c>
      <c r="BH7" s="287">
        <f>BG7/BF7</f>
        <v/>
      </c>
      <c r="BI7" s="288">
        <f>_xlfn.IFERROR(BN7/((BF7/4)*30),"")</f>
        <v/>
      </c>
      <c r="BJ7" s="289">
        <f>_xlfn.IFERROR(BE7/4*31,"")</f>
        <v/>
      </c>
      <c r="BK7" s="290">
        <f>_xlfn.IFERROR(BG7/4*31,"")</f>
        <v/>
      </c>
      <c r="BL7" s="291">
        <f>_xlfn.IFERROR(BH7-BD7,"")</f>
        <v/>
      </c>
      <c r="BM7" s="150">
        <f>_xlfn.IFERROR(BK7/BC7-1,"")</f>
        <v/>
      </c>
      <c r="BN7" s="291" t="n">
        <v>54.7109</v>
      </c>
    </row>
    <row r="8" ht="13.5" customHeight="1" s="245">
      <c r="A8" s="61" t="n"/>
      <c r="B8" s="186" t="inlineStr">
        <is>
          <t>(Guang) Guangdong Foshan Xinghua Department Store Lingerie Shop</t>
        </is>
      </c>
      <c r="C8" s="186" t="n">
        <v>1315</v>
      </c>
      <c r="D8" s="61" t="n">
        <v>29.3427</v>
      </c>
      <c r="E8" s="61" t="n">
        <v>20.3453</v>
      </c>
      <c r="F8" s="287">
        <f>E8/D8</f>
        <v/>
      </c>
      <c r="G8" s="186" t="n">
        <v>1357</v>
      </c>
      <c r="H8" s="287" t="n">
        <v>28.1454</v>
      </c>
      <c r="I8" s="287" t="n">
        <v>20.7462</v>
      </c>
      <c r="J8" s="287">
        <f>I8/H8</f>
        <v/>
      </c>
      <c r="K8" s="286">
        <f>_xlfn.IFERROR(J8-F8,"")</f>
        <v/>
      </c>
      <c r="L8" s="119">
        <f>_xlfn.IFERROR(I8/E8-1,"")</f>
        <v/>
      </c>
      <c r="M8" s="186" t="n">
        <v>477</v>
      </c>
      <c r="N8" s="287" t="n">
        <v>14.4172</v>
      </c>
      <c r="O8" s="287" t="n">
        <v>11.6649</v>
      </c>
      <c r="P8" s="287">
        <f>O8/N8</f>
        <v/>
      </c>
      <c r="Q8" s="186" t="n">
        <v>690</v>
      </c>
      <c r="R8" s="287" t="n">
        <v>15.7637</v>
      </c>
      <c r="S8" s="287" t="n">
        <v>12.9302</v>
      </c>
      <c r="T8" s="287">
        <f>S8/R8</f>
        <v/>
      </c>
      <c r="U8" s="286">
        <f>_xlfn.IFERROR(T8-P8,"")</f>
        <v/>
      </c>
      <c r="V8" s="119">
        <f>_xlfn.IFERROR(S8/O8-1,"")</f>
        <v/>
      </c>
      <c r="W8" s="186" t="n">
        <v>283</v>
      </c>
      <c r="X8" s="287" t="n">
        <v>5.3248</v>
      </c>
      <c r="Y8" s="287" t="n">
        <v>3.5935</v>
      </c>
      <c r="Z8" s="287">
        <f>Y8/X8</f>
        <v/>
      </c>
      <c r="AA8" s="186" t="n">
        <v>272</v>
      </c>
      <c r="AB8" s="287" t="n">
        <v>5.9069</v>
      </c>
      <c r="AC8" s="287" t="n">
        <v>3.788</v>
      </c>
      <c r="AD8" s="287">
        <f>AC8/AB8</f>
        <v/>
      </c>
      <c r="AE8" s="286">
        <f>_xlfn.IFERROR(AD8-Z8,"")</f>
        <v/>
      </c>
      <c r="AF8" s="119">
        <f>_xlfn.IFERROR(AC8/Y8-1,"")</f>
        <v/>
      </c>
      <c r="AG8" s="186" t="n">
        <v>358</v>
      </c>
      <c r="AH8" s="287" t="n">
        <v>6.9357</v>
      </c>
      <c r="AI8" s="287" t="n">
        <v>3.4691</v>
      </c>
      <c r="AJ8" s="287">
        <f>AI8/AH8</f>
        <v/>
      </c>
      <c r="AK8" s="186" t="n">
        <v>201</v>
      </c>
      <c r="AL8" s="287" t="n">
        <v>4.0446</v>
      </c>
      <c r="AM8" s="287" t="n">
        <v>2.4734</v>
      </c>
      <c r="AN8" s="287">
        <f>AM8/AL8</f>
        <v/>
      </c>
      <c r="AO8" s="286">
        <f>_xlfn.IFERROR(AN8-AJ8,"")</f>
        <v/>
      </c>
      <c r="AP8" s="119">
        <f>_xlfn.IFERROR(AM8/AI8-1,"")</f>
        <v/>
      </c>
      <c r="AQ8" s="186" t="n">
        <v>126</v>
      </c>
      <c r="AR8" s="287" t="n">
        <v>1.8411</v>
      </c>
      <c r="AS8" s="287" t="n">
        <v>1.1763</v>
      </c>
      <c r="AT8" s="285">
        <f>_xlfn.IFERROR(AS8/AR8,"")</f>
        <v/>
      </c>
      <c r="AU8" s="186" t="n">
        <v>169</v>
      </c>
      <c r="AV8" s="287" t="n">
        <v>2.0202</v>
      </c>
      <c r="AW8" s="287" t="n">
        <v>1.323</v>
      </c>
      <c r="AX8" s="287">
        <f>AW8/AV8</f>
        <v/>
      </c>
      <c r="AY8" s="286">
        <f>_xlfn.IFERROR(AX8-AT8,"")</f>
        <v/>
      </c>
      <c r="AZ8" s="119">
        <f>_xlfn.IFERROR(AW8/AS8-1,"")</f>
        <v/>
      </c>
      <c r="BA8" s="186" t="n">
        <v>173</v>
      </c>
      <c r="BB8" s="287" t="n">
        <v>2.1446</v>
      </c>
      <c r="BC8" s="287" t="n">
        <v>1.3944</v>
      </c>
      <c r="BD8" s="287">
        <f>BC8/BB8</f>
        <v/>
      </c>
      <c r="BE8" s="186" t="n">
        <v>25</v>
      </c>
      <c r="BF8" s="287" t="n">
        <v>0.41</v>
      </c>
      <c r="BG8" s="287" t="n">
        <v>0.2316</v>
      </c>
      <c r="BH8" s="287">
        <f>BG8/BF8</f>
        <v/>
      </c>
      <c r="BI8" s="288">
        <f>_xlfn.IFERROR(BN8/((BF8/4)*30),"")</f>
        <v/>
      </c>
      <c r="BJ8" s="289">
        <f>_xlfn.IFERROR(BE8/4*31,"")</f>
        <v/>
      </c>
      <c r="BK8" s="290">
        <f>_xlfn.IFERROR(BG8/4*31,"")</f>
        <v/>
      </c>
      <c r="BL8" s="291">
        <f>_xlfn.IFERROR(BH8-BD8,"")</f>
        <v/>
      </c>
      <c r="BM8" s="150">
        <f>_xlfn.IFERROR(BK8/BC8-1,"")</f>
        <v/>
      </c>
      <c r="BN8" s="291" t="n">
        <v>59.4097</v>
      </c>
    </row>
    <row r="9" ht="13.5" customHeight="1" s="245">
      <c r="A9" s="61" t="n"/>
      <c r="B9" s="186" t="inlineStr">
        <is>
          <t>(Guang) Guangdong Foshan Xinghua Water Sports Store</t>
        </is>
      </c>
      <c r="C9" s="186" t="n">
        <v>372</v>
      </c>
      <c r="D9" s="61" t="n">
        <v>8.5867</v>
      </c>
      <c r="E9" s="61" t="n">
        <v>6.8617</v>
      </c>
      <c r="F9" s="287">
        <f>E9/D9</f>
        <v/>
      </c>
      <c r="G9" s="186" t="n">
        <v>289</v>
      </c>
      <c r="H9" s="287" t="n">
        <v>8.129899999999999</v>
      </c>
      <c r="I9" s="287" t="n">
        <v>5.7314</v>
      </c>
      <c r="J9" s="287">
        <f>I9/H9</f>
        <v/>
      </c>
      <c r="K9" s="286">
        <f>_xlfn.IFERROR(J9-F9,"")</f>
        <v/>
      </c>
      <c r="L9" s="119">
        <f>_xlfn.IFERROR(I9/E9-1,"")</f>
        <v/>
      </c>
      <c r="M9" s="186" t="n">
        <v>52</v>
      </c>
      <c r="N9" s="287" t="n">
        <v>1.588</v>
      </c>
      <c r="O9" s="287" t="n">
        <v>1.477</v>
      </c>
      <c r="P9" s="287">
        <f>O9/N9</f>
        <v/>
      </c>
      <c r="Q9" s="186" t="n">
        <v>122</v>
      </c>
      <c r="R9" s="287" t="n">
        <v>3.8255</v>
      </c>
      <c r="S9" s="287" t="n">
        <v>2.4875</v>
      </c>
      <c r="T9" s="287">
        <f>S9/R9</f>
        <v/>
      </c>
      <c r="U9" s="286">
        <f>_xlfn.IFERROR(T9-P9,"")</f>
        <v/>
      </c>
      <c r="V9" s="119">
        <f>_xlfn.IFERROR(S9/O9-1,"")</f>
        <v/>
      </c>
      <c r="W9" s="186" t="n">
        <v>114</v>
      </c>
      <c r="X9" s="287" t="n">
        <v>2.608</v>
      </c>
      <c r="Y9" s="287" t="n">
        <v>2.049</v>
      </c>
      <c r="Z9" s="287">
        <f>Y9/X9</f>
        <v/>
      </c>
      <c r="AA9" s="186" t="n">
        <v>33</v>
      </c>
      <c r="AB9" s="287" t="n">
        <v>0.8804999999999999</v>
      </c>
      <c r="AC9" s="287" t="n">
        <v>0.7543</v>
      </c>
      <c r="AD9" s="287">
        <f>AC9/AB9</f>
        <v/>
      </c>
      <c r="AE9" s="286">
        <f>_xlfn.IFERROR(AD9-Z9,"")</f>
        <v/>
      </c>
      <c r="AF9" s="119">
        <f>_xlfn.IFERROR(AC9/Y9-1,"")</f>
        <v/>
      </c>
      <c r="AG9" s="186" t="n">
        <v>69</v>
      </c>
      <c r="AH9" s="287" t="n">
        <v>1.6172</v>
      </c>
      <c r="AI9" s="287" t="n">
        <v>1.4435</v>
      </c>
      <c r="AJ9" s="287">
        <f>AI9/AH9</f>
        <v/>
      </c>
      <c r="AK9" s="186" t="n">
        <v>55</v>
      </c>
      <c r="AL9" s="287" t="n">
        <v>1.5454</v>
      </c>
      <c r="AM9" s="287" t="n">
        <v>1.048</v>
      </c>
      <c r="AN9" s="287">
        <f>AM9/AL9</f>
        <v/>
      </c>
      <c r="AO9" s="286">
        <f>_xlfn.IFERROR(AN9-AJ9,"")</f>
        <v/>
      </c>
      <c r="AP9" s="119">
        <f>_xlfn.IFERROR(AM9/AI9-1,"")</f>
        <v/>
      </c>
      <c r="AQ9" s="186" t="n">
        <v>111</v>
      </c>
      <c r="AR9" s="287" t="n">
        <v>2.2663</v>
      </c>
      <c r="AS9" s="287" t="n">
        <v>1.6076</v>
      </c>
      <c r="AT9" s="285">
        <f>_xlfn.IFERROR(AS9/AR9,"")</f>
        <v/>
      </c>
      <c r="AU9" s="186" t="n">
        <v>79</v>
      </c>
      <c r="AV9" s="287" t="n">
        <v>1.8785</v>
      </c>
      <c r="AW9" s="287" t="n">
        <v>1.4416</v>
      </c>
      <c r="AX9" s="287">
        <f>AW9/AV9</f>
        <v/>
      </c>
      <c r="AY9" s="286">
        <f>_xlfn.IFERROR(AX9-AT9,"")</f>
        <v/>
      </c>
      <c r="AZ9" s="119">
        <f>_xlfn.IFERROR(AW9/AS9-1,"")</f>
        <v/>
      </c>
      <c r="BA9" s="186" t="n">
        <v>140</v>
      </c>
      <c r="BB9" s="287" t="n">
        <v>3.1476</v>
      </c>
      <c r="BC9" s="287" t="n">
        <v>2.5749</v>
      </c>
      <c r="BD9" s="287">
        <f>BC9/BB9</f>
        <v/>
      </c>
      <c r="BE9" s="186" t="n"/>
      <c r="BF9" s="287" t="n">
        <v>0</v>
      </c>
      <c r="BG9" s="287" t="n">
        <v>0</v>
      </c>
      <c r="BH9" s="287">
        <f>BG9/BF9</f>
        <v/>
      </c>
      <c r="BI9" s="288">
        <f>_xlfn.IFERROR(BN9/((BF9/4)*30),"")</f>
        <v/>
      </c>
      <c r="BJ9" s="289">
        <f>_xlfn.IFERROR(BE9/4*31,"")</f>
        <v/>
      </c>
      <c r="BK9" s="290">
        <f>_xlfn.IFERROR(BG9/4*31,"")</f>
        <v/>
      </c>
      <c r="BL9" s="291">
        <f>_xlfn.IFERROR(BH9-BD9,"")</f>
        <v/>
      </c>
      <c r="BM9" s="150">
        <f>_xlfn.IFERROR(BK9/BC9-1,"")</f>
        <v/>
      </c>
      <c r="BN9" s="291" t="n">
        <v>54.2028</v>
      </c>
    </row>
    <row r="10" ht="13.5" customHeight="1" s="245">
      <c r="A10" s="61" t="n"/>
      <c r="B10" s="186" t="inlineStr">
        <is>
          <t>(Guang) Guangdong Foshan Friendship Yoga Fitness Store</t>
        </is>
      </c>
      <c r="C10" s="186" t="n">
        <v>307</v>
      </c>
      <c r="D10" s="61" t="n">
        <v>7.471</v>
      </c>
      <c r="E10" s="61" t="n">
        <v>4.38075</v>
      </c>
      <c r="F10" s="287">
        <f>E10/D10</f>
        <v/>
      </c>
      <c r="G10" s="186" t="n">
        <v>398</v>
      </c>
      <c r="H10" s="287" t="n">
        <v>13.1809</v>
      </c>
      <c r="I10" s="287" t="n">
        <v>6.09859</v>
      </c>
      <c r="J10" s="287">
        <f>I10/H10</f>
        <v/>
      </c>
      <c r="K10" s="286">
        <f>_xlfn.IFERROR(J10-F10,"")</f>
        <v/>
      </c>
      <c r="L10" s="119">
        <f>_xlfn.IFERROR(I10/E10-1,"")</f>
        <v/>
      </c>
      <c r="M10" s="186" t="n">
        <v>216</v>
      </c>
      <c r="N10" s="287" t="n">
        <v>5.4984</v>
      </c>
      <c r="O10" s="287" t="n">
        <v>2.60618</v>
      </c>
      <c r="P10" s="287">
        <f>O10/N10</f>
        <v/>
      </c>
      <c r="Q10" s="186" t="n">
        <v>286</v>
      </c>
      <c r="R10" s="287" t="n">
        <v>10.7327</v>
      </c>
      <c r="S10" s="287" t="n">
        <v>4.2198</v>
      </c>
      <c r="T10" s="287">
        <f>S10/R10</f>
        <v/>
      </c>
      <c r="U10" s="286">
        <f>_xlfn.IFERROR(T10-P10,"")</f>
        <v/>
      </c>
      <c r="V10" s="119">
        <f>_xlfn.IFERROR(S10/O10-1,"")</f>
        <v/>
      </c>
      <c r="W10" s="186" t="n">
        <v>11</v>
      </c>
      <c r="X10" s="287" t="n">
        <v>0.3218</v>
      </c>
      <c r="Y10" s="287" t="n">
        <v>0.28068</v>
      </c>
      <c r="Z10" s="287">
        <f>Y10/X10</f>
        <v/>
      </c>
      <c r="AA10" s="186" t="n">
        <v>26</v>
      </c>
      <c r="AB10" s="287" t="n">
        <v>0.4072</v>
      </c>
      <c r="AC10" s="287" t="n">
        <v>0.3293</v>
      </c>
      <c r="AD10" s="287">
        <f>AC10/AB10</f>
        <v/>
      </c>
      <c r="AE10" s="286">
        <f>_xlfn.IFERROR(AD10-Z10,"")</f>
        <v/>
      </c>
      <c r="AF10" s="119">
        <f>_xlfn.IFERROR(AC10/Y10-1,"")</f>
        <v/>
      </c>
      <c r="AG10" s="186" t="n">
        <v>32</v>
      </c>
      <c r="AH10" s="287" t="n">
        <v>0.6869</v>
      </c>
      <c r="AI10" s="287" t="n">
        <v>0.6493100000000001</v>
      </c>
      <c r="AJ10" s="287">
        <f>AI10/AH10</f>
        <v/>
      </c>
      <c r="AK10" s="186" t="n">
        <v>26</v>
      </c>
      <c r="AL10" s="287" t="n">
        <v>0.6698</v>
      </c>
      <c r="AM10" s="287" t="n">
        <v>0.54398</v>
      </c>
      <c r="AN10" s="287">
        <f>AM10/AL10</f>
        <v/>
      </c>
      <c r="AO10" s="286">
        <f>_xlfn.IFERROR(AN10-AJ10,"")</f>
        <v/>
      </c>
      <c r="AP10" s="119">
        <f>_xlfn.IFERROR(AM10/AI10-1,"")</f>
        <v/>
      </c>
      <c r="AQ10" s="186" t="n">
        <v>29</v>
      </c>
      <c r="AR10" s="287" t="n">
        <v>0.5925</v>
      </c>
      <c r="AS10" s="287" t="n">
        <v>0.51628</v>
      </c>
      <c r="AT10" s="285">
        <f>_xlfn.IFERROR(AS10/AR10,"")</f>
        <v/>
      </c>
      <c r="AU10" s="186" t="n">
        <v>42</v>
      </c>
      <c r="AV10" s="287" t="n">
        <v>0.9342</v>
      </c>
      <c r="AW10" s="287" t="n">
        <v>0.69877</v>
      </c>
      <c r="AX10" s="287">
        <f>AW10/AV10</f>
        <v/>
      </c>
      <c r="AY10" s="286">
        <f>_xlfn.IFERROR(AX10-AT10,"")</f>
        <v/>
      </c>
      <c r="AZ10" s="119">
        <f>_xlfn.IFERROR(AW10/AS10-1,"")</f>
        <v/>
      </c>
      <c r="BA10" s="186" t="n">
        <v>34</v>
      </c>
      <c r="BB10" s="287" t="n">
        <v>0.6716</v>
      </c>
      <c r="BC10" s="287" t="n">
        <v>0.58212</v>
      </c>
      <c r="BD10" s="287">
        <f>BC10/BB10</f>
        <v/>
      </c>
      <c r="BE10" s="186" t="n">
        <v>18</v>
      </c>
      <c r="BF10" s="287" t="n">
        <v>0.437</v>
      </c>
      <c r="BG10" s="287" t="n">
        <v>0.30674</v>
      </c>
      <c r="BH10" s="287">
        <f>BG10/BF10</f>
        <v/>
      </c>
      <c r="BI10" s="288">
        <f>_xlfn.IFERROR(BN10/((BF10/4)*30),"")</f>
        <v/>
      </c>
      <c r="BJ10" s="289">
        <f>_xlfn.IFERROR(BE10/4*31,"")</f>
        <v/>
      </c>
      <c r="BK10" s="290">
        <f>_xlfn.IFERROR(BG10/4*31,"")</f>
        <v/>
      </c>
      <c r="BL10" s="291">
        <f>_xlfn.IFERROR(BH10-BD10,"")</f>
        <v/>
      </c>
      <c r="BM10" s="150">
        <f>_xlfn.IFERROR(BK10/BC10-1,"")</f>
        <v/>
      </c>
      <c r="BN10" s="291" t="n">
        <v>50.7354</v>
      </c>
    </row>
    <row r="11" ht="13.5" customHeight="1" s="245">
      <c r="A11" s="61" t="n"/>
      <c r="B11" s="186" t="inlineStr">
        <is>
          <t>(Guang) Guangdong Zhaoqing Guangbai Sports Lingerie Store</t>
        </is>
      </c>
      <c r="C11" s="186" t="n">
        <v>619</v>
      </c>
      <c r="D11" s="61" t="n">
        <v>14.2127</v>
      </c>
      <c r="E11" s="61" t="n">
        <v>9.38725</v>
      </c>
      <c r="F11" s="287">
        <f>E11/D11</f>
        <v/>
      </c>
      <c r="G11" s="186" t="n">
        <v>496</v>
      </c>
      <c r="H11" s="287" t="n">
        <v>12.6855</v>
      </c>
      <c r="I11" s="287" t="n">
        <v>8.2744</v>
      </c>
      <c r="J11" s="287">
        <f>I11/H11</f>
        <v/>
      </c>
      <c r="K11" s="286">
        <f>_xlfn.IFERROR(J11-F11,"")</f>
        <v/>
      </c>
      <c r="L11" s="119">
        <f>_xlfn.IFERROR(I11/E11-1,"")</f>
        <v/>
      </c>
      <c r="M11" s="186" t="n">
        <v>160</v>
      </c>
      <c r="N11" s="287" t="n">
        <v>5.5033</v>
      </c>
      <c r="O11" s="287" t="n">
        <v>3.6893</v>
      </c>
      <c r="P11" s="287">
        <f>O11/N11</f>
        <v/>
      </c>
      <c r="Q11" s="186" t="n">
        <v>190</v>
      </c>
      <c r="R11" s="287" t="n">
        <v>5.6154</v>
      </c>
      <c r="S11" s="287" t="n">
        <v>3.4088</v>
      </c>
      <c r="T11" s="287">
        <f>S11/R11</f>
        <v/>
      </c>
      <c r="U11" s="286">
        <f>_xlfn.IFERROR(T11-P11,"")</f>
        <v/>
      </c>
      <c r="V11" s="119">
        <f>_xlfn.IFERROR(S11/O11-1,"")</f>
        <v/>
      </c>
      <c r="W11" s="186" t="n">
        <v>143</v>
      </c>
      <c r="X11" s="287" t="n">
        <v>3.3413</v>
      </c>
      <c r="Y11" s="287" t="n">
        <v>2.3252</v>
      </c>
      <c r="Z11" s="287">
        <f>Y11/X11</f>
        <v/>
      </c>
      <c r="AA11" s="186" t="n">
        <v>126</v>
      </c>
      <c r="AB11" s="287" t="n">
        <v>3.2382</v>
      </c>
      <c r="AC11" s="287" t="n">
        <v>2.0703</v>
      </c>
      <c r="AD11" s="287">
        <f>AC11/AB11</f>
        <v/>
      </c>
      <c r="AE11" s="286">
        <f>_xlfn.IFERROR(AD11-Z11,"")</f>
        <v/>
      </c>
      <c r="AF11" s="119">
        <f>_xlfn.IFERROR(AC11/Y11-1,"")</f>
        <v/>
      </c>
      <c r="AG11" s="186" t="n">
        <v>161</v>
      </c>
      <c r="AH11" s="287" t="n">
        <v>2.8914</v>
      </c>
      <c r="AI11" s="287" t="n">
        <v>1.74895</v>
      </c>
      <c r="AJ11" s="287">
        <f>AI11/AH11</f>
        <v/>
      </c>
      <c r="AK11" s="186" t="n">
        <v>66</v>
      </c>
      <c r="AL11" s="287" t="n">
        <v>1.6221</v>
      </c>
      <c r="AM11" s="287" t="n">
        <v>1.0057</v>
      </c>
      <c r="AN11" s="287">
        <f>AM11/AL11</f>
        <v/>
      </c>
      <c r="AO11" s="286">
        <f>_xlfn.IFERROR(AN11-AJ11,"")</f>
        <v/>
      </c>
      <c r="AP11" s="119">
        <f>_xlfn.IFERROR(AM11/AI11-1,"")</f>
        <v/>
      </c>
      <c r="AQ11" s="186" t="n">
        <v>136</v>
      </c>
      <c r="AR11" s="287" t="n">
        <v>2.2475</v>
      </c>
      <c r="AS11" s="287" t="n">
        <v>1.4815</v>
      </c>
      <c r="AT11" s="285">
        <f>_xlfn.IFERROR(AS11/AR11,"")</f>
        <v/>
      </c>
      <c r="AU11" s="186" t="n">
        <v>69</v>
      </c>
      <c r="AV11" s="287" t="n">
        <v>1.5083</v>
      </c>
      <c r="AW11" s="287" t="n">
        <v>1.0741</v>
      </c>
      <c r="AX11" s="287">
        <f>AW11/AV11</f>
        <v/>
      </c>
      <c r="AY11" s="286">
        <f>_xlfn.IFERROR(AX11-AT11,"")</f>
        <v/>
      </c>
      <c r="AZ11" s="119">
        <f>_xlfn.IFERROR(AW11/AS11-1,"")</f>
        <v/>
      </c>
      <c r="BA11" s="186" t="n">
        <v>134</v>
      </c>
      <c r="BB11" s="287" t="n">
        <v>2.1054</v>
      </c>
      <c r="BC11" s="287" t="n">
        <v>1.4281</v>
      </c>
      <c r="BD11" s="287">
        <f>BC11/BB11</f>
        <v/>
      </c>
      <c r="BE11" s="186" t="n">
        <v>45</v>
      </c>
      <c r="BF11" s="287" t="n">
        <v>0.7015</v>
      </c>
      <c r="BG11" s="287" t="n">
        <v>0.7155</v>
      </c>
      <c r="BH11" s="287">
        <f>BG11/BF11</f>
        <v/>
      </c>
      <c r="BI11" s="288">
        <f>_xlfn.IFERROR(BN11/((BF11/4)*30),"")</f>
        <v/>
      </c>
      <c r="BJ11" s="289">
        <f>_xlfn.IFERROR(BE11/4*31,"")</f>
        <v/>
      </c>
      <c r="BK11" s="290">
        <f>_xlfn.IFERROR(BG11/4*31,"")</f>
        <v/>
      </c>
      <c r="BL11" s="291">
        <f>_xlfn.IFERROR(BH11-BD11,"")</f>
        <v/>
      </c>
      <c r="BM11" s="150">
        <f>_xlfn.IFERROR(BK11/BC11-1,"")</f>
        <v/>
      </c>
      <c r="BN11" s="291" t="n">
        <v>82.6063</v>
      </c>
    </row>
    <row r="12" ht="13.5" customHeight="1" s="245">
      <c r="A12" s="61" t="n"/>
      <c r="B12" s="186" t="inlineStr">
        <is>
          <t>(Guang) Guangdong Zhuhai Tax-Free Sports Lingerie Store</t>
        </is>
      </c>
      <c r="C12" s="186" t="n"/>
      <c r="D12" s="61" t="n">
        <v>0</v>
      </c>
      <c r="E12" s="61" t="n">
        <v>0</v>
      </c>
      <c r="F12" s="287">
        <f>E12/D12</f>
        <v/>
      </c>
      <c r="G12" s="186" t="n">
        <v>1058</v>
      </c>
      <c r="H12" s="287" t="n">
        <v>29.9765</v>
      </c>
      <c r="I12" s="287" t="n">
        <v>20.4081</v>
      </c>
      <c r="J12" s="287">
        <f>I12/H12</f>
        <v/>
      </c>
      <c r="K12" s="286">
        <f>_xlfn.IFERROR(J12-F12,"")</f>
        <v/>
      </c>
      <c r="L12" s="119">
        <f>_xlfn.IFERROR(I12/E12-1,"")</f>
        <v/>
      </c>
      <c r="M12" s="186" t="n"/>
      <c r="N12" s="287" t="n">
        <v>0</v>
      </c>
      <c r="O12" s="287" t="n">
        <v>0</v>
      </c>
      <c r="P12" s="287">
        <f>O12/N12</f>
        <v/>
      </c>
      <c r="Q12" s="186" t="n">
        <v>251</v>
      </c>
      <c r="R12" s="287" t="n">
        <v>9.0952</v>
      </c>
      <c r="S12" s="287" t="n">
        <v>7.6984</v>
      </c>
      <c r="T12" s="287">
        <f>S12/R12</f>
        <v/>
      </c>
      <c r="U12" s="286">
        <f>_xlfn.IFERROR(T12-P12,"")</f>
        <v/>
      </c>
      <c r="V12" s="119">
        <f>_xlfn.IFERROR(S12/O12-1,"")</f>
        <v/>
      </c>
      <c r="W12" s="186" t="n"/>
      <c r="X12" s="287" t="n">
        <v>0</v>
      </c>
      <c r="Y12" s="287" t="n">
        <v>0</v>
      </c>
      <c r="Z12" s="287">
        <f>Y12/X12</f>
        <v/>
      </c>
      <c r="AA12" s="186" t="n">
        <v>112</v>
      </c>
      <c r="AB12" s="287" t="n">
        <v>3.9561</v>
      </c>
      <c r="AC12" s="287" t="n">
        <v>3.3741</v>
      </c>
      <c r="AD12" s="287">
        <f>AC12/AB12</f>
        <v/>
      </c>
      <c r="AE12" s="286">
        <f>_xlfn.IFERROR(AD12-Z12,"")</f>
        <v/>
      </c>
      <c r="AF12" s="119">
        <f>_xlfn.IFERROR(AC12/Y12-1,"")</f>
        <v/>
      </c>
      <c r="AG12" s="186" t="n"/>
      <c r="AH12" s="287" t="n">
        <v>0</v>
      </c>
      <c r="AI12" s="287" t="n">
        <v>0</v>
      </c>
      <c r="AJ12" s="287">
        <f>AI12/AH12</f>
        <v/>
      </c>
      <c r="AK12" s="186" t="n">
        <v>576</v>
      </c>
      <c r="AL12" s="287" t="n">
        <v>14.1762</v>
      </c>
      <c r="AM12" s="287" t="n">
        <v>6.8952</v>
      </c>
      <c r="AN12" s="287">
        <f>AM12/AL12</f>
        <v/>
      </c>
      <c r="AO12" s="286">
        <f>_xlfn.IFERROR(AN12-AJ12,"")</f>
        <v/>
      </c>
      <c r="AP12" s="119">
        <f>_xlfn.IFERROR(AM12/AI12-1,"")</f>
        <v/>
      </c>
      <c r="AQ12" s="186" t="n"/>
      <c r="AR12" s="287" t="n">
        <v>0</v>
      </c>
      <c r="AS12" s="287" t="n">
        <v>0</v>
      </c>
      <c r="AT12" s="285">
        <f>_xlfn.IFERROR(AS12/AR12,"")</f>
        <v/>
      </c>
      <c r="AU12" s="186" t="n">
        <v>96</v>
      </c>
      <c r="AV12" s="287" t="n">
        <v>2.2132</v>
      </c>
      <c r="AW12" s="287" t="n">
        <v>1.9647</v>
      </c>
      <c r="AX12" s="287">
        <f>AW12/AV12</f>
        <v/>
      </c>
      <c r="AY12" s="286">
        <f>_xlfn.IFERROR(AX12-AT12,"")</f>
        <v/>
      </c>
      <c r="AZ12" s="119">
        <f>_xlfn.IFERROR(AW12/AS12-1,"")</f>
        <v/>
      </c>
      <c r="BA12" s="186" t="n">
        <v>100</v>
      </c>
      <c r="BB12" s="287" t="n">
        <v>2.6762</v>
      </c>
      <c r="BC12" s="287" t="n">
        <v>2.482</v>
      </c>
      <c r="BD12" s="287">
        <f>BC12/BB12</f>
        <v/>
      </c>
      <c r="BE12" s="186" t="n">
        <v>23</v>
      </c>
      <c r="BF12" s="287" t="n">
        <v>0.5358000000000001</v>
      </c>
      <c r="BG12" s="287" t="n">
        <v>0.4757</v>
      </c>
      <c r="BH12" s="287">
        <f>BG12/BF12</f>
        <v/>
      </c>
      <c r="BI12" s="288">
        <f>_xlfn.IFERROR(BN12/((BF12/4)*30),"")</f>
        <v/>
      </c>
      <c r="BJ12" s="289">
        <f>_xlfn.IFERROR(BE12/4*31,"")</f>
        <v/>
      </c>
      <c r="BK12" s="290">
        <f>_xlfn.IFERROR(BG12/4*31,"")</f>
        <v/>
      </c>
      <c r="BL12" s="291">
        <f>_xlfn.IFERROR(BH12-BD12,"")</f>
        <v/>
      </c>
      <c r="BM12" s="150">
        <f>_xlfn.IFERROR(BK12/BC12-1,"")</f>
        <v/>
      </c>
      <c r="BN12" s="291" t="n">
        <v>109.8254</v>
      </c>
    </row>
    <row r="13" ht="13.5" customHeight="1" s="245">
      <c r="A13" s="61" t="n"/>
      <c r="B13" s="186" t="inlineStr">
        <is>
          <t>(Wan) Guangdong Zhuhai Wanjia Lingerie Store</t>
        </is>
      </c>
      <c r="C13" s="186" t="n"/>
      <c r="D13" s="61" t="n">
        <v>0</v>
      </c>
      <c r="E13" s="61" t="n">
        <v>0</v>
      </c>
      <c r="F13" s="287">
        <f>E13/D13</f>
        <v/>
      </c>
      <c r="G13" s="186" t="n">
        <v>1009</v>
      </c>
      <c r="H13" s="287" t="n">
        <v>19.5963</v>
      </c>
      <c r="I13" s="287" t="n">
        <v>15.09035</v>
      </c>
      <c r="J13" s="287">
        <f>I13/H13</f>
        <v/>
      </c>
      <c r="K13" s="286">
        <f>_xlfn.IFERROR(J13-F13,"")</f>
        <v/>
      </c>
      <c r="L13" s="119">
        <f>_xlfn.IFERROR(I13/E13-1,"")</f>
        <v/>
      </c>
      <c r="M13" s="186" t="n"/>
      <c r="N13" s="287" t="n">
        <v>0</v>
      </c>
      <c r="O13" s="287" t="n">
        <v>0</v>
      </c>
      <c r="P13" s="287">
        <f>O13/N13</f>
        <v/>
      </c>
      <c r="Q13" s="186" t="n">
        <v>291</v>
      </c>
      <c r="R13" s="287" t="n">
        <v>6.2339</v>
      </c>
      <c r="S13" s="287" t="n">
        <v>6.48035</v>
      </c>
      <c r="T13" s="287">
        <f>S13/R13</f>
        <v/>
      </c>
      <c r="U13" s="286">
        <f>_xlfn.IFERROR(T13-P13,"")</f>
        <v/>
      </c>
      <c r="V13" s="119">
        <f>_xlfn.IFERROR(S13/O13-1,"")</f>
        <v/>
      </c>
      <c r="W13" s="186" t="n"/>
      <c r="X13" s="287" t="n">
        <v>0</v>
      </c>
      <c r="Y13" s="287" t="n">
        <v>0</v>
      </c>
      <c r="Z13" s="287">
        <f>Y13/X13</f>
        <v/>
      </c>
      <c r="AA13" s="186" t="n">
        <v>101</v>
      </c>
      <c r="AB13" s="287" t="n">
        <v>2.5061</v>
      </c>
      <c r="AC13" s="287" t="n">
        <v>2.2258</v>
      </c>
      <c r="AD13" s="287">
        <f>AC13/AB13</f>
        <v/>
      </c>
      <c r="AE13" s="286">
        <f>_xlfn.IFERROR(AD13-Z13,"")</f>
        <v/>
      </c>
      <c r="AF13" s="119">
        <f>_xlfn.IFERROR(AC13/Y13-1,"")</f>
        <v/>
      </c>
      <c r="AG13" s="186" t="n"/>
      <c r="AH13" s="287" t="n">
        <v>0</v>
      </c>
      <c r="AI13" s="287" t="n">
        <v>0</v>
      </c>
      <c r="AJ13" s="287">
        <f>AI13/AH13</f>
        <v/>
      </c>
      <c r="AK13" s="186" t="n">
        <v>167</v>
      </c>
      <c r="AL13" s="287" t="n">
        <v>3.2314</v>
      </c>
      <c r="AM13" s="287" t="n">
        <v>1.9632</v>
      </c>
      <c r="AN13" s="287">
        <f>AM13/AL13</f>
        <v/>
      </c>
      <c r="AO13" s="286">
        <f>_xlfn.IFERROR(AN13-AJ13,"")</f>
        <v/>
      </c>
      <c r="AP13" s="119">
        <f>_xlfn.IFERROR(AM13/AI13-1,"")</f>
        <v/>
      </c>
      <c r="AQ13" s="186" t="n"/>
      <c r="AR13" s="287" t="n">
        <v>0</v>
      </c>
      <c r="AS13" s="287" t="n">
        <v>0</v>
      </c>
      <c r="AT13" s="285">
        <f>_xlfn.IFERROR(AS13/AR13,"")</f>
        <v/>
      </c>
      <c r="AU13" s="186" t="n">
        <v>410</v>
      </c>
      <c r="AV13" s="287" t="n">
        <v>7.0427</v>
      </c>
      <c r="AW13" s="287" t="n">
        <v>3.9012</v>
      </c>
      <c r="AX13" s="287">
        <f>AW13/AV13</f>
        <v/>
      </c>
      <c r="AY13" s="286">
        <f>_xlfn.IFERROR(AX13-AT13,"")</f>
        <v/>
      </c>
      <c r="AZ13" s="119">
        <f>_xlfn.IFERROR(AW13/AS13-1,"")</f>
        <v/>
      </c>
      <c r="BA13" s="186" t="n"/>
      <c r="BB13" s="287" t="n">
        <v>0</v>
      </c>
      <c r="BC13" s="287" t="n">
        <v>0</v>
      </c>
      <c r="BD13" s="287">
        <f>BC13/BB13</f>
        <v/>
      </c>
      <c r="BE13" s="186" t="n">
        <v>40</v>
      </c>
      <c r="BF13" s="287" t="n">
        <v>0.5822000000000001</v>
      </c>
      <c r="BG13" s="287" t="n">
        <v>0.5198</v>
      </c>
      <c r="BH13" s="287">
        <f>BG13/BF13</f>
        <v/>
      </c>
      <c r="BI13" s="288">
        <f>_xlfn.IFERROR(BN13/((BF13/4)*30),"")</f>
        <v/>
      </c>
      <c r="BJ13" s="289">
        <f>_xlfn.IFERROR(BE13/4*31,"")</f>
        <v/>
      </c>
      <c r="BK13" s="290">
        <f>_xlfn.IFERROR(BG13/4*31,"")</f>
        <v/>
      </c>
      <c r="BL13" s="291">
        <f>_xlfn.IFERROR(BH13-BD13,"")</f>
        <v/>
      </c>
      <c r="BM13" s="150">
        <f>_xlfn.IFERROR(BK13/BC13-1,"")</f>
        <v/>
      </c>
      <c r="BN13" s="291" t="n">
        <v>63.0138</v>
      </c>
    </row>
    <row r="14" ht="13.5" customHeight="1" s="245">
      <c r="A14" s="61" t="n"/>
      <c r="B14" s="186" t="inlineStr">
        <is>
          <t>(Guang) Shantou Parkson Department Store Sports Lingerie Shop</t>
        </is>
      </c>
      <c r="C14" s="186" t="n">
        <v>730</v>
      </c>
      <c r="D14" s="61" t="n">
        <v>16.7817</v>
      </c>
      <c r="E14" s="61" t="n">
        <v>13.1193</v>
      </c>
      <c r="F14" s="287">
        <f>E14/D14</f>
        <v/>
      </c>
      <c r="G14" s="186" t="n">
        <v>662</v>
      </c>
      <c r="H14" s="287" t="n">
        <v>16.5169</v>
      </c>
      <c r="I14" s="287" t="n">
        <v>13.3456</v>
      </c>
      <c r="J14" s="287">
        <f>I14/H14</f>
        <v/>
      </c>
      <c r="K14" s="286">
        <f>_xlfn.IFERROR(J14-F14,"")</f>
        <v/>
      </c>
      <c r="L14" s="119">
        <f>_xlfn.IFERROR(I14/E14-1,"")</f>
        <v/>
      </c>
      <c r="M14" s="186" t="n">
        <v>221</v>
      </c>
      <c r="N14" s="287" t="n">
        <v>6.3703</v>
      </c>
      <c r="O14" s="287" t="n">
        <v>4.3638</v>
      </c>
      <c r="P14" s="287">
        <f>O14/N14</f>
        <v/>
      </c>
      <c r="Q14" s="186" t="n">
        <v>245</v>
      </c>
      <c r="R14" s="287" t="n">
        <v>6.5025</v>
      </c>
      <c r="S14" s="287" t="n">
        <v>5.5026</v>
      </c>
      <c r="T14" s="287">
        <f>S14/R14</f>
        <v/>
      </c>
      <c r="U14" s="286">
        <f>_xlfn.IFERROR(T14-P14,"")</f>
        <v/>
      </c>
      <c r="V14" s="119">
        <f>_xlfn.IFERROR(S14/O14-1,"")</f>
        <v/>
      </c>
      <c r="W14" s="186" t="n">
        <v>137</v>
      </c>
      <c r="X14" s="287" t="n">
        <v>3.6246</v>
      </c>
      <c r="Y14" s="287" t="n">
        <v>2.5362</v>
      </c>
      <c r="Z14" s="287">
        <f>Y14/X14</f>
        <v/>
      </c>
      <c r="AA14" s="186" t="n">
        <v>125</v>
      </c>
      <c r="AB14" s="287" t="n">
        <v>4.0693</v>
      </c>
      <c r="AC14" s="287" t="n">
        <v>2.9589</v>
      </c>
      <c r="AD14" s="287">
        <f>AC14/AB14</f>
        <v/>
      </c>
      <c r="AE14" s="286">
        <f>_xlfn.IFERROR(AD14-Z14,"")</f>
        <v/>
      </c>
      <c r="AF14" s="119">
        <f>_xlfn.IFERROR(AC14/Y14-1,"")</f>
        <v/>
      </c>
      <c r="AG14" s="186" t="n">
        <v>175</v>
      </c>
      <c r="AH14" s="287" t="n">
        <v>3.3893</v>
      </c>
      <c r="AI14" s="287" t="n">
        <v>3.1271</v>
      </c>
      <c r="AJ14" s="287">
        <f>AI14/AH14</f>
        <v/>
      </c>
      <c r="AK14" s="186" t="n">
        <v>145</v>
      </c>
      <c r="AL14" s="287" t="n">
        <v>3.0476</v>
      </c>
      <c r="AM14" s="287" t="n">
        <v>2.3224</v>
      </c>
      <c r="AN14" s="287">
        <f>AM14/AL14</f>
        <v/>
      </c>
      <c r="AO14" s="286">
        <f>_xlfn.IFERROR(AN14-AJ14,"")</f>
        <v/>
      </c>
      <c r="AP14" s="119">
        <f>_xlfn.IFERROR(AM14/AI14-1,"")</f>
        <v/>
      </c>
      <c r="AQ14" s="186" t="n">
        <v>141</v>
      </c>
      <c r="AR14" s="287" t="n">
        <v>2.5968</v>
      </c>
      <c r="AS14" s="287" t="n">
        <v>2.2915</v>
      </c>
      <c r="AT14" s="285">
        <f>_xlfn.IFERROR(AS14/AR14,"")</f>
        <v/>
      </c>
      <c r="AU14" s="186" t="n">
        <v>101</v>
      </c>
      <c r="AV14" s="287" t="n">
        <v>1.9473</v>
      </c>
      <c r="AW14" s="287" t="n">
        <v>1.6206</v>
      </c>
      <c r="AX14" s="287">
        <f>AW14/AV14</f>
        <v/>
      </c>
      <c r="AY14" s="286">
        <f>_xlfn.IFERROR(AX14-AT14,"")</f>
        <v/>
      </c>
      <c r="AZ14" s="119">
        <f>_xlfn.IFERROR(AW14/AS14-1,"")</f>
        <v/>
      </c>
      <c r="BA14" s="186" t="n">
        <v>205</v>
      </c>
      <c r="BB14" s="287" t="n">
        <v>3.5526</v>
      </c>
      <c r="BC14" s="287" t="n">
        <v>3.1616</v>
      </c>
      <c r="BD14" s="287">
        <f>BC14/BB14</f>
        <v/>
      </c>
      <c r="BE14" s="186" t="n">
        <v>46</v>
      </c>
      <c r="BF14" s="287" t="n">
        <v>0.9502</v>
      </c>
      <c r="BG14" s="287" t="n">
        <v>0.9411</v>
      </c>
      <c r="BH14" s="287">
        <f>BG14/BF14</f>
        <v/>
      </c>
      <c r="BI14" s="288">
        <f>_xlfn.IFERROR(BN14/((BF14/4)*30),"")</f>
        <v/>
      </c>
      <c r="BJ14" s="289">
        <f>_xlfn.IFERROR(BE14/4*31,"")</f>
        <v/>
      </c>
      <c r="BK14" s="290">
        <f>_xlfn.IFERROR(BG14/4*31,"")</f>
        <v/>
      </c>
      <c r="BL14" s="291">
        <f>_xlfn.IFERROR(BH14-BD14,"")</f>
        <v/>
      </c>
      <c r="BM14" s="150">
        <f>_xlfn.IFERROR(BK14/BC14-1,"")</f>
        <v/>
      </c>
      <c r="BN14" s="291" t="n">
        <v>39.8693</v>
      </c>
    </row>
    <row r="15" ht="13.5" customHeight="1" s="245">
      <c r="A15" s="61" t="n"/>
      <c r="B15" s="186" t="inlineStr">
        <is>
          <t>(Nanhai) Guangchang Lingerie Store</t>
        </is>
      </c>
      <c r="C15" s="186" t="n">
        <v>665</v>
      </c>
      <c r="D15" s="61" t="n">
        <v>15.2413</v>
      </c>
      <c r="E15" s="61" t="n">
        <v>12.9465</v>
      </c>
      <c r="F15" s="287">
        <f>E15/D15</f>
        <v/>
      </c>
      <c r="G15" s="186" t="n">
        <v>690</v>
      </c>
      <c r="H15" s="287" t="n">
        <v>17.4428</v>
      </c>
      <c r="I15" s="287" t="n">
        <v>13.2075</v>
      </c>
      <c r="J15" s="287">
        <f>I15/H15</f>
        <v/>
      </c>
      <c r="K15" s="286">
        <f>_xlfn.IFERROR(J15-F15,"")</f>
        <v/>
      </c>
      <c r="L15" s="119">
        <f>_xlfn.IFERROR(I15/E15-1,"")</f>
        <v/>
      </c>
      <c r="M15" s="186" t="n">
        <v>309</v>
      </c>
      <c r="N15" s="287" t="n">
        <v>7.6624</v>
      </c>
      <c r="O15" s="287" t="n">
        <v>6.9781</v>
      </c>
      <c r="P15" s="287">
        <f>O15/N15</f>
        <v/>
      </c>
      <c r="Q15" s="186" t="n">
        <v>302</v>
      </c>
      <c r="R15" s="287" t="n">
        <v>8.8164</v>
      </c>
      <c r="S15" s="287" t="n">
        <v>7.5416</v>
      </c>
      <c r="T15" s="287">
        <f>S15/R15</f>
        <v/>
      </c>
      <c r="U15" s="286">
        <f>_xlfn.IFERROR(T15-P15,"")</f>
        <v/>
      </c>
      <c r="V15" s="119">
        <f>_xlfn.IFERROR(S15/O15-1,"")</f>
        <v/>
      </c>
      <c r="W15" s="186" t="n">
        <v>117</v>
      </c>
      <c r="X15" s="287" t="n">
        <v>2.7264</v>
      </c>
      <c r="Y15" s="287" t="n">
        <v>2.0456</v>
      </c>
      <c r="Z15" s="287">
        <f>Y15/X15</f>
        <v/>
      </c>
      <c r="AA15" s="186" t="n">
        <v>98</v>
      </c>
      <c r="AB15" s="287" t="n">
        <v>3.4199</v>
      </c>
      <c r="AC15" s="287" t="n">
        <v>2.202</v>
      </c>
      <c r="AD15" s="287">
        <f>AC15/AB15</f>
        <v/>
      </c>
      <c r="AE15" s="286">
        <f>_xlfn.IFERROR(AD15-Z15,"")</f>
        <v/>
      </c>
      <c r="AF15" s="119">
        <f>_xlfn.IFERROR(AC15/Y15-1,"")</f>
        <v/>
      </c>
      <c r="AG15" s="186" t="n">
        <v>165</v>
      </c>
      <c r="AH15" s="287" t="n">
        <v>3.4117</v>
      </c>
      <c r="AI15" s="287" t="n">
        <v>2.6715</v>
      </c>
      <c r="AJ15" s="287">
        <f>AI15/AH15</f>
        <v/>
      </c>
      <c r="AK15" s="186" t="n">
        <v>174</v>
      </c>
      <c r="AL15" s="287" t="n">
        <v>3.4694</v>
      </c>
      <c r="AM15" s="287" t="n">
        <v>1.9852</v>
      </c>
      <c r="AN15" s="287">
        <f>AM15/AL15</f>
        <v/>
      </c>
      <c r="AO15" s="286">
        <f>_xlfn.IFERROR(AN15-AJ15,"")</f>
        <v/>
      </c>
      <c r="AP15" s="119">
        <f>_xlfn.IFERROR(AM15/AI15-1,"")</f>
        <v/>
      </c>
      <c r="AQ15" s="186" t="n">
        <v>59</v>
      </c>
      <c r="AR15" s="287" t="n">
        <v>1.2551</v>
      </c>
      <c r="AS15" s="287" t="n">
        <v>1.0898</v>
      </c>
      <c r="AT15" s="285">
        <f>_xlfn.IFERROR(AS15/AR15,"")</f>
        <v/>
      </c>
      <c r="AU15" s="186" t="n">
        <v>105</v>
      </c>
      <c r="AV15" s="287" t="n">
        <v>1.5649</v>
      </c>
      <c r="AW15" s="287" t="n">
        <v>1.3609</v>
      </c>
      <c r="AX15" s="287">
        <f>AW15/AV15</f>
        <v/>
      </c>
      <c r="AY15" s="286">
        <f>_xlfn.IFERROR(AX15-AT15,"")</f>
        <v/>
      </c>
      <c r="AZ15" s="119">
        <f>_xlfn.IFERROR(AW15/AS15-1,"")</f>
        <v/>
      </c>
      <c r="BA15" s="186" t="n">
        <v>156</v>
      </c>
      <c r="BB15" s="287" t="n">
        <v>2.8394</v>
      </c>
      <c r="BC15" s="287" t="n">
        <v>2.4905</v>
      </c>
      <c r="BD15" s="287">
        <f>BC15/BB15</f>
        <v/>
      </c>
      <c r="BE15" s="186" t="n">
        <v>11</v>
      </c>
      <c r="BF15" s="287" t="n">
        <v>0.1722</v>
      </c>
      <c r="BG15" s="287" t="n">
        <v>0.1178</v>
      </c>
      <c r="BH15" s="287">
        <f>BG15/BF15</f>
        <v/>
      </c>
      <c r="BI15" s="288">
        <f>_xlfn.IFERROR(BN15/((BF15/4)*30),"")</f>
        <v/>
      </c>
      <c r="BJ15" s="289">
        <f>_xlfn.IFERROR(BE15/4*31,"")</f>
        <v/>
      </c>
      <c r="BK15" s="290">
        <f>_xlfn.IFERROR(BG15/4*31,"")</f>
        <v/>
      </c>
      <c r="BL15" s="291">
        <f>_xlfn.IFERROR(BH15-BD15,"")</f>
        <v/>
      </c>
      <c r="BM15" s="150">
        <f>_xlfn.IFERROR(BK15/BC15-1,"")</f>
        <v/>
      </c>
      <c r="BN15" s="291" t="n">
        <v>68.0652</v>
      </c>
    </row>
    <row r="16" ht="13.5" customHeight="1" s="245">
      <c r="A16" s="61" t="n"/>
      <c r="B16" s="186" t="inlineStr">
        <is>
          <t>Guangdong Panyu Yifa Department Store Lingerie Shop</t>
        </is>
      </c>
      <c r="C16" s="186" t="n">
        <v>1806</v>
      </c>
      <c r="D16" s="61" t="n">
        <v>42.878</v>
      </c>
      <c r="E16" s="61" t="n">
        <v>30.0304</v>
      </c>
      <c r="F16" s="287">
        <f>E16/D16</f>
        <v/>
      </c>
      <c r="G16" s="186" t="n">
        <v>958</v>
      </c>
      <c r="H16" s="287" t="n">
        <v>22.9875</v>
      </c>
      <c r="I16" s="287" t="n">
        <v>14.9678</v>
      </c>
      <c r="J16" s="287">
        <f>I16/H16</f>
        <v/>
      </c>
      <c r="K16" s="286">
        <f>_xlfn.IFERROR(J16-F16,"")</f>
        <v/>
      </c>
      <c r="L16" s="119">
        <f>_xlfn.IFERROR(I16/E16-1,"")</f>
        <v/>
      </c>
      <c r="M16" s="186" t="n">
        <v>566</v>
      </c>
      <c r="N16" s="287" t="n">
        <v>18.5231</v>
      </c>
      <c r="O16" s="287" t="n">
        <v>13.6549</v>
      </c>
      <c r="P16" s="287">
        <f>O16/N16</f>
        <v/>
      </c>
      <c r="Q16" s="186" t="n">
        <v>387</v>
      </c>
      <c r="R16" s="287" t="n">
        <v>10.5499</v>
      </c>
      <c r="S16" s="287" t="n">
        <v>7.0429</v>
      </c>
      <c r="T16" s="287">
        <f>S16/R16</f>
        <v/>
      </c>
      <c r="U16" s="286">
        <f>_xlfn.IFERROR(T16-P16,"")</f>
        <v/>
      </c>
      <c r="V16" s="119">
        <f>_xlfn.IFERROR(S16/O16-1,"")</f>
        <v/>
      </c>
      <c r="W16" s="186" t="n">
        <v>411</v>
      </c>
      <c r="X16" s="287" t="n">
        <v>8.766999999999999</v>
      </c>
      <c r="Y16" s="287" t="n">
        <v>6.4842</v>
      </c>
      <c r="Z16" s="287">
        <f>Y16/X16</f>
        <v/>
      </c>
      <c r="AA16" s="186" t="n">
        <v>124</v>
      </c>
      <c r="AB16" s="287" t="n">
        <v>3.5701</v>
      </c>
      <c r="AC16" s="287" t="n">
        <v>2.3274</v>
      </c>
      <c r="AD16" s="287">
        <f>AC16/AB16</f>
        <v/>
      </c>
      <c r="AE16" s="286">
        <f>_xlfn.IFERROR(AD16-Z16,"")</f>
        <v/>
      </c>
      <c r="AF16" s="119">
        <f>_xlfn.IFERROR(AC16/Y16-1,"")</f>
        <v/>
      </c>
      <c r="AG16" s="186" t="n">
        <v>574</v>
      </c>
      <c r="AH16" s="287" t="n">
        <v>11.4223</v>
      </c>
      <c r="AI16" s="287" t="n">
        <v>6.569</v>
      </c>
      <c r="AJ16" s="287">
        <f>AI16/AH16</f>
        <v/>
      </c>
      <c r="AK16" s="186" t="n">
        <v>234</v>
      </c>
      <c r="AL16" s="287" t="n">
        <v>5.1353</v>
      </c>
      <c r="AM16" s="287" t="n">
        <v>2.9853</v>
      </c>
      <c r="AN16" s="287">
        <f>AM16/AL16</f>
        <v/>
      </c>
      <c r="AO16" s="286">
        <f>_xlfn.IFERROR(AN16-AJ16,"")</f>
        <v/>
      </c>
      <c r="AP16" s="119">
        <f>_xlfn.IFERROR(AM16/AI16-1,"")</f>
        <v/>
      </c>
      <c r="AQ16" s="186" t="n">
        <v>238</v>
      </c>
      <c r="AR16" s="287" t="n">
        <v>3.9273</v>
      </c>
      <c r="AS16" s="287" t="n">
        <v>3.14</v>
      </c>
      <c r="AT16" s="285">
        <f>_xlfn.IFERROR(AS16/AR16,"")</f>
        <v/>
      </c>
      <c r="AU16" s="186" t="n">
        <v>153</v>
      </c>
      <c r="AV16" s="287" t="n">
        <v>2.6571</v>
      </c>
      <c r="AW16" s="287" t="n">
        <v>1.9275</v>
      </c>
      <c r="AX16" s="287">
        <f>AW16/AV16</f>
        <v/>
      </c>
      <c r="AY16" s="286">
        <f>_xlfn.IFERROR(AX16-AT16,"")</f>
        <v/>
      </c>
      <c r="AZ16" s="119">
        <f>_xlfn.IFERROR(AW16/AS16-1,"")</f>
        <v/>
      </c>
      <c r="BA16" s="186" t="n">
        <v>519</v>
      </c>
      <c r="BB16" s="287" t="n">
        <v>9.161099999999999</v>
      </c>
      <c r="BC16" s="287" t="n">
        <v>5.84398</v>
      </c>
      <c r="BD16" s="287">
        <f>BC16/BB16</f>
        <v/>
      </c>
      <c r="BE16" s="186" t="n">
        <v>60</v>
      </c>
      <c r="BF16" s="287" t="n">
        <v>1.0751</v>
      </c>
      <c r="BG16" s="287" t="n">
        <v>0.6847</v>
      </c>
      <c r="BH16" s="287">
        <f>BG16/BF16</f>
        <v/>
      </c>
      <c r="BI16" s="288">
        <f>_xlfn.IFERROR(BN16/((BF16/4)*30),"")</f>
        <v/>
      </c>
      <c r="BJ16" s="289">
        <f>_xlfn.IFERROR(BE16/4*31,"")</f>
        <v/>
      </c>
      <c r="BK16" s="290">
        <f>_xlfn.IFERROR(BG16/4*31,"")</f>
        <v/>
      </c>
      <c r="BL16" s="291">
        <f>_xlfn.IFERROR(BH16-BD16,"")</f>
        <v/>
      </c>
      <c r="BM16" s="150">
        <f>_xlfn.IFERROR(BK16/BC16-1,"")</f>
        <v/>
      </c>
      <c r="BN16" s="291" t="n">
        <v>48.9264</v>
      </c>
    </row>
    <row r="17" ht="13.5" customHeight="1" s="245">
      <c r="A17" s="61" t="n"/>
      <c r="B17" s="186" t="inlineStr">
        <is>
          <t>Guangdong Foshan Jusco Water Sports Store</t>
        </is>
      </c>
      <c r="C17" s="186" t="n"/>
      <c r="D17" s="61" t="n">
        <v>0</v>
      </c>
      <c r="E17" s="61" t="n">
        <v>0</v>
      </c>
      <c r="F17" s="287">
        <f>E17/D17</f>
        <v/>
      </c>
      <c r="G17" s="186" t="n">
        <v>31</v>
      </c>
      <c r="H17" s="287" t="n">
        <v>0.5989</v>
      </c>
      <c r="I17" s="287" t="n">
        <v>0.2216</v>
      </c>
      <c r="J17" s="287">
        <f>I17/H17</f>
        <v/>
      </c>
      <c r="K17" s="286">
        <f>_xlfn.IFERROR(J17-F17,"")</f>
        <v/>
      </c>
      <c r="L17" s="119">
        <f>_xlfn.IFERROR(I17/E17-1,"")</f>
        <v/>
      </c>
      <c r="M17" s="186" t="n"/>
      <c r="N17" s="287" t="n">
        <v>0</v>
      </c>
      <c r="O17" s="287" t="n">
        <v>0</v>
      </c>
      <c r="P17" s="287">
        <f>O17/N17</f>
        <v/>
      </c>
      <c r="Q17" s="186" t="n"/>
      <c r="R17" s="287" t="n">
        <v>0</v>
      </c>
      <c r="S17" s="287" t="n">
        <v>0</v>
      </c>
      <c r="T17" s="287">
        <f>S17/R17</f>
        <v/>
      </c>
      <c r="U17" s="286">
        <f>_xlfn.IFERROR(T17-P17,"")</f>
        <v/>
      </c>
      <c r="V17" s="119">
        <f>_xlfn.IFERROR(S17/O17-1,"")</f>
        <v/>
      </c>
      <c r="W17" s="186" t="n"/>
      <c r="X17" s="287" t="n">
        <v>0</v>
      </c>
      <c r="Y17" s="287" t="n">
        <v>0</v>
      </c>
      <c r="Z17" s="287">
        <f>Y17/X17</f>
        <v/>
      </c>
      <c r="AA17" s="186" t="n"/>
      <c r="AB17" s="287" t="n">
        <v>0</v>
      </c>
      <c r="AC17" s="287" t="n">
        <v>0</v>
      </c>
      <c r="AD17" s="287">
        <f>AC17/AB17</f>
        <v/>
      </c>
      <c r="AE17" s="286">
        <f>_xlfn.IFERROR(AD17-Z17,"")</f>
        <v/>
      </c>
      <c r="AF17" s="119">
        <f>_xlfn.IFERROR(AC17/Y17-1,"")</f>
        <v/>
      </c>
      <c r="AG17" s="186" t="n"/>
      <c r="AH17" s="287" t="n">
        <v>0</v>
      </c>
      <c r="AI17" s="287" t="n">
        <v>0</v>
      </c>
      <c r="AJ17" s="287">
        <f>AI17/AH17</f>
        <v/>
      </c>
      <c r="AK17" s="186" t="n"/>
      <c r="AL17" s="287" t="n">
        <v>0</v>
      </c>
      <c r="AM17" s="287" t="n">
        <v>0</v>
      </c>
      <c r="AN17" s="287">
        <f>AM17/AL17</f>
        <v/>
      </c>
      <c r="AO17" s="286">
        <f>_xlfn.IFERROR(AN17-AJ17,"")</f>
        <v/>
      </c>
      <c r="AP17" s="119">
        <f>_xlfn.IFERROR(AM17/AI17-1,"")</f>
        <v/>
      </c>
      <c r="AQ17" s="186" t="n"/>
      <c r="AR17" s="287" t="n">
        <v>0</v>
      </c>
      <c r="AS17" s="287" t="n">
        <v>0</v>
      </c>
      <c r="AT17" s="285">
        <f>_xlfn.IFERROR(AS17/AR17,"")</f>
        <v/>
      </c>
      <c r="AU17" s="186" t="n">
        <v>31</v>
      </c>
      <c r="AV17" s="287" t="n">
        <v>0.5989</v>
      </c>
      <c r="AW17" s="287" t="n">
        <v>0.2216</v>
      </c>
      <c r="AX17" s="287">
        <f>AW17/AV17</f>
        <v/>
      </c>
      <c r="AY17" s="286">
        <f>_xlfn.IFERROR(AX17-AT17,"")</f>
        <v/>
      </c>
      <c r="AZ17" s="119">
        <f>_xlfn.IFERROR(AW17/AS17-1,"")</f>
        <v/>
      </c>
      <c r="BA17" s="186" t="n">
        <v>9</v>
      </c>
      <c r="BB17" s="287" t="n">
        <v>0.1806</v>
      </c>
      <c r="BC17" s="287" t="n">
        <v>0.0907</v>
      </c>
      <c r="BD17" s="287">
        <f>BC17/BB17</f>
        <v/>
      </c>
      <c r="BE17" s="186" t="n"/>
      <c r="BF17" s="287" t="n">
        <v>0</v>
      </c>
      <c r="BG17" s="287" t="n">
        <v>0</v>
      </c>
      <c r="BH17" s="287">
        <f>BG17/BF17</f>
        <v/>
      </c>
      <c r="BI17" s="288">
        <f>_xlfn.IFERROR(BN17/((BF17/4)*30),"")</f>
        <v/>
      </c>
      <c r="BJ17" s="289">
        <f>_xlfn.IFERROR(BE17/4*31,"")</f>
        <v/>
      </c>
      <c r="BK17" s="290">
        <f>_xlfn.IFERROR(BG17/4*31,"")</f>
        <v/>
      </c>
      <c r="BL17" s="291">
        <f>_xlfn.IFERROR(BH17-BD17,"")</f>
        <v/>
      </c>
      <c r="BM17" s="150">
        <f>_xlfn.IFERROR(BK17/BC17-1,"")</f>
        <v/>
      </c>
      <c r="BN17" s="291" t="n">
        <v>15.6619</v>
      </c>
    </row>
    <row r="18" ht="13.5" customHeight="1" s="245">
      <c r="A18" s="61" t="n"/>
      <c r="B18" s="186" t="inlineStr">
        <is>
          <t>Guangdong Foshan Shunde Daliang Jizhidian Water Sports Store</t>
        </is>
      </c>
      <c r="C18" s="186" t="n"/>
      <c r="D18" s="61" t="n">
        <v>0</v>
      </c>
      <c r="E18" s="61" t="n">
        <v>0</v>
      </c>
      <c r="F18" s="287">
        <f>E18/D18</f>
        <v/>
      </c>
      <c r="G18" s="186" t="n">
        <v>4</v>
      </c>
      <c r="H18" s="287" t="n">
        <v>0.0472</v>
      </c>
      <c r="I18" s="287" t="n">
        <v>0.0321</v>
      </c>
      <c r="J18" s="287">
        <f>I18/H18</f>
        <v/>
      </c>
      <c r="K18" s="286">
        <f>_xlfn.IFERROR(J18-F18,"")</f>
        <v/>
      </c>
      <c r="L18" s="119">
        <f>_xlfn.IFERROR(I18/E18-1,"")</f>
        <v/>
      </c>
      <c r="M18" s="186" t="n"/>
      <c r="N18" s="287" t="n">
        <v>0</v>
      </c>
      <c r="O18" s="287" t="n">
        <v>0</v>
      </c>
      <c r="P18" s="287">
        <f>O18/N18</f>
        <v/>
      </c>
      <c r="Q18" s="186" t="n"/>
      <c r="R18" s="287" t="n">
        <v>0</v>
      </c>
      <c r="S18" s="287" t="n">
        <v>0</v>
      </c>
      <c r="T18" s="287">
        <f>S18/R18</f>
        <v/>
      </c>
      <c r="U18" s="286">
        <f>_xlfn.IFERROR(T18-P18,"")</f>
        <v/>
      </c>
      <c r="V18" s="119">
        <f>_xlfn.IFERROR(S18/O18-1,"")</f>
        <v/>
      </c>
      <c r="W18" s="186" t="n"/>
      <c r="X18" s="287" t="n">
        <v>0</v>
      </c>
      <c r="Y18" s="287" t="n">
        <v>0</v>
      </c>
      <c r="Z18" s="287">
        <f>Y18/X18</f>
        <v/>
      </c>
      <c r="AA18" s="186" t="n"/>
      <c r="AB18" s="287" t="n">
        <v>0</v>
      </c>
      <c r="AC18" s="287" t="n">
        <v>0</v>
      </c>
      <c r="AD18" s="287">
        <f>AC18/AB18</f>
        <v/>
      </c>
      <c r="AE18" s="286">
        <f>_xlfn.IFERROR(AD18-Z18,"")</f>
        <v/>
      </c>
      <c r="AF18" s="119">
        <f>_xlfn.IFERROR(AC18/Y18-1,"")</f>
        <v/>
      </c>
      <c r="AG18" s="186" t="n"/>
      <c r="AH18" s="287" t="n">
        <v>0</v>
      </c>
      <c r="AI18" s="287" t="n">
        <v>0</v>
      </c>
      <c r="AJ18" s="287">
        <f>AI18/AH18</f>
        <v/>
      </c>
      <c r="AK18" s="186" t="n"/>
      <c r="AL18" s="287" t="n">
        <v>0</v>
      </c>
      <c r="AM18" s="287" t="n">
        <v>0</v>
      </c>
      <c r="AN18" s="287">
        <f>AM18/AL18</f>
        <v/>
      </c>
      <c r="AO18" s="286">
        <f>_xlfn.IFERROR(AN18-AJ18,"")</f>
        <v/>
      </c>
      <c r="AP18" s="119">
        <f>_xlfn.IFERROR(AM18/AI18-1,"")</f>
        <v/>
      </c>
      <c r="AQ18" s="186" t="n"/>
      <c r="AR18" s="287" t="n">
        <v>0</v>
      </c>
      <c r="AS18" s="287" t="n">
        <v>0</v>
      </c>
      <c r="AT18" s="285">
        <f>_xlfn.IFERROR(AS18/AR18,"")</f>
        <v/>
      </c>
      <c r="AU18" s="186" t="n">
        <v>4</v>
      </c>
      <c r="AV18" s="287" t="n">
        <v>0.0472</v>
      </c>
      <c r="AW18" s="287" t="n">
        <v>0.0321</v>
      </c>
      <c r="AX18" s="287">
        <f>AW18/AV18</f>
        <v/>
      </c>
      <c r="AY18" s="286">
        <f>_xlfn.IFERROR(AX18-AT18,"")</f>
        <v/>
      </c>
      <c r="AZ18" s="119">
        <f>_xlfn.IFERROR(AW18/AS18-1,"")</f>
        <v/>
      </c>
      <c r="BA18" s="186" t="n"/>
      <c r="BB18" s="287" t="n">
        <v>0</v>
      </c>
      <c r="BC18" s="287" t="n">
        <v>0</v>
      </c>
      <c r="BD18" s="287">
        <f>BC18/BB18</f>
        <v/>
      </c>
      <c r="BE18" s="186" t="n"/>
      <c r="BF18" s="287" t="n">
        <v>0</v>
      </c>
      <c r="BG18" s="287" t="n">
        <v>0</v>
      </c>
      <c r="BH18" s="287">
        <f>BG18/BF18</f>
        <v/>
      </c>
      <c r="BI18" s="288">
        <f>_xlfn.IFERROR(BN18/((BF18/4)*30),"")</f>
        <v/>
      </c>
      <c r="BJ18" s="289">
        <f>_xlfn.IFERROR(BE18/4*31,"")</f>
        <v/>
      </c>
      <c r="BK18" s="290">
        <f>_xlfn.IFERROR(BG18/4*31,"")</f>
        <v/>
      </c>
      <c r="BL18" s="291">
        <f>_xlfn.IFERROR(BH18-BD18,"")</f>
        <v/>
      </c>
      <c r="BM18" s="150">
        <f>_xlfn.IFERROR(BK18/BC18-1,"")</f>
        <v/>
      </c>
      <c r="BN18" s="291" t="n">
        <v>17.3634</v>
      </c>
    </row>
    <row r="19" ht="13.5" customHeight="1" s="245">
      <c r="A19" s="61" t="n"/>
      <c r="B19" s="186" t="inlineStr">
        <is>
          <t>Guangzhou Beijing Road Xin Daxin Lingerie Store</t>
        </is>
      </c>
      <c r="C19" s="186" t="n">
        <v>862</v>
      </c>
      <c r="D19" s="61" t="n">
        <v>21.7733</v>
      </c>
      <c r="E19" s="61" t="n">
        <v>12.8012</v>
      </c>
      <c r="F19" s="287">
        <f>E19/D19</f>
        <v/>
      </c>
      <c r="G19" s="186" t="n">
        <v>890</v>
      </c>
      <c r="H19" s="287" t="n">
        <v>24.7415</v>
      </c>
      <c r="I19" s="287" t="n">
        <v>12.2715</v>
      </c>
      <c r="J19" s="287">
        <f>I19/H19</f>
        <v/>
      </c>
      <c r="K19" s="286">
        <f>_xlfn.IFERROR(J19-F19,"")</f>
        <v/>
      </c>
      <c r="L19" s="119">
        <f>_xlfn.IFERROR(I19/E19-1,"")</f>
        <v/>
      </c>
      <c r="M19" s="186" t="n">
        <v>446</v>
      </c>
      <c r="N19" s="287" t="n">
        <v>13.2731</v>
      </c>
      <c r="O19" s="287" t="n">
        <v>7.692</v>
      </c>
      <c r="P19" s="287">
        <f>O19/N19</f>
        <v/>
      </c>
      <c r="Q19" s="186" t="n">
        <v>448</v>
      </c>
      <c r="R19" s="287" t="n">
        <v>13.1714</v>
      </c>
      <c r="S19" s="287" t="n">
        <v>6.0208</v>
      </c>
      <c r="T19" s="287">
        <f>S19/R19</f>
        <v/>
      </c>
      <c r="U19" s="286">
        <f>_xlfn.IFERROR(T19-P19,"")</f>
        <v/>
      </c>
      <c r="V19" s="119">
        <f>_xlfn.IFERROR(S19/O19-1,"")</f>
        <v/>
      </c>
      <c r="W19" s="186" t="n">
        <v>189</v>
      </c>
      <c r="X19" s="287" t="n">
        <v>4.34</v>
      </c>
      <c r="Y19" s="287" t="n">
        <v>2.5046</v>
      </c>
      <c r="Z19" s="287">
        <f>Y19/X19</f>
        <v/>
      </c>
      <c r="AA19" s="186" t="n">
        <v>198</v>
      </c>
      <c r="AB19" s="287" t="n">
        <v>6.0825</v>
      </c>
      <c r="AC19" s="287" t="n">
        <v>3.0404</v>
      </c>
      <c r="AD19" s="287">
        <f>AC19/AB19</f>
        <v/>
      </c>
      <c r="AE19" s="286">
        <f>_xlfn.IFERROR(AD19-Z19,"")</f>
        <v/>
      </c>
      <c r="AF19" s="119">
        <f>_xlfn.IFERROR(AC19/Y19-1,"")</f>
        <v/>
      </c>
      <c r="AG19" s="186" t="n">
        <v>149</v>
      </c>
      <c r="AH19" s="287" t="n">
        <v>2.7104</v>
      </c>
      <c r="AI19" s="287" t="n">
        <v>1.6289</v>
      </c>
      <c r="AJ19" s="287">
        <f>AI19/AH19</f>
        <v/>
      </c>
      <c r="AK19" s="186" t="n">
        <v>167</v>
      </c>
      <c r="AL19" s="287" t="n">
        <v>4.2929</v>
      </c>
      <c r="AM19" s="287" t="n">
        <v>2.4314</v>
      </c>
      <c r="AN19" s="287">
        <f>AM19/AL19</f>
        <v/>
      </c>
      <c r="AO19" s="286">
        <f>_xlfn.IFERROR(AN19-AJ19,"")</f>
        <v/>
      </c>
      <c r="AP19" s="119">
        <f>_xlfn.IFERROR(AM19/AI19-1,"")</f>
        <v/>
      </c>
      <c r="AQ19" s="186" t="n">
        <v>62</v>
      </c>
      <c r="AR19" s="287" t="n">
        <v>1.2111</v>
      </c>
      <c r="AS19" s="287" t="n">
        <v>0.8155</v>
      </c>
      <c r="AT19" s="285">
        <f>_xlfn.IFERROR(AS19/AR19,"")</f>
        <v/>
      </c>
      <c r="AU19" s="186" t="n">
        <v>77</v>
      </c>
      <c r="AV19" s="287" t="n">
        <v>1.1947</v>
      </c>
      <c r="AW19" s="287" t="n">
        <v>0.7789</v>
      </c>
      <c r="AX19" s="287">
        <f>AW19/AV19</f>
        <v/>
      </c>
      <c r="AY19" s="286">
        <f>_xlfn.IFERROR(AX19-AT19,"")</f>
        <v/>
      </c>
      <c r="AZ19" s="119">
        <f>_xlfn.IFERROR(AW19/AS19-1,"")</f>
        <v/>
      </c>
      <c r="BA19" s="186" t="n">
        <v>113</v>
      </c>
      <c r="BB19" s="287" t="n">
        <v>1.7726</v>
      </c>
      <c r="BC19" s="287" t="n">
        <v>1.00571</v>
      </c>
      <c r="BD19" s="287">
        <f>BC19/BB19</f>
        <v/>
      </c>
      <c r="BE19" s="186" t="n"/>
      <c r="BF19" s="287" t="n">
        <v>0</v>
      </c>
      <c r="BG19" s="287" t="n">
        <v>0</v>
      </c>
      <c r="BH19" s="287">
        <f>BG19/BF19</f>
        <v/>
      </c>
      <c r="BI19" s="288">
        <f>_xlfn.IFERROR(BN19/((BF19/4)*30),"")</f>
        <v/>
      </c>
      <c r="BJ19" s="289">
        <f>_xlfn.IFERROR(BE19/4*31,"")</f>
        <v/>
      </c>
      <c r="BK19" s="290">
        <f>_xlfn.IFERROR(BG19/4*31,"")</f>
        <v/>
      </c>
      <c r="BL19" s="291">
        <f>_xlfn.IFERROR(BH19-BD19,"")</f>
        <v/>
      </c>
      <c r="BM19" s="150">
        <f>_xlfn.IFERROR(BK19/BC19-1,"")</f>
        <v/>
      </c>
      <c r="BN19" s="291" t="n">
        <v>37.0708</v>
      </c>
    </row>
    <row r="20" ht="13.5" customHeight="1" s="245">
      <c r="A20" s="61" t="n"/>
      <c r="B20" s="186" t="inlineStr">
        <is>
          <t>Guangzhou Dongfang Baotai Jizhi Island Water Sports Store</t>
        </is>
      </c>
      <c r="C20" s="186" t="n"/>
      <c r="D20" s="61" t="n">
        <v>0</v>
      </c>
      <c r="E20" s="61" t="n">
        <v>0</v>
      </c>
      <c r="F20" s="287">
        <f>E20/D20</f>
        <v/>
      </c>
      <c r="G20" s="186" t="n">
        <v>154</v>
      </c>
      <c r="H20" s="287" t="n">
        <v>2.8577</v>
      </c>
      <c r="I20" s="287" t="n">
        <v>1.3311</v>
      </c>
      <c r="J20" s="287">
        <f>I20/H20</f>
        <v/>
      </c>
      <c r="K20" s="286">
        <f>_xlfn.IFERROR(J20-F20,"")</f>
        <v/>
      </c>
      <c r="L20" s="119">
        <f>_xlfn.IFERROR(I20/E20-1,"")</f>
        <v/>
      </c>
      <c r="M20" s="186" t="n"/>
      <c r="N20" s="287" t="n">
        <v>0</v>
      </c>
      <c r="O20" s="287" t="n">
        <v>0</v>
      </c>
      <c r="P20" s="287">
        <f>O20/N20</f>
        <v/>
      </c>
      <c r="Q20" s="186" t="n"/>
      <c r="R20" s="287" t="n">
        <v>0</v>
      </c>
      <c r="S20" s="287" t="n">
        <v>0</v>
      </c>
      <c r="T20" s="287">
        <f>S20/R20</f>
        <v/>
      </c>
      <c r="U20" s="286">
        <f>_xlfn.IFERROR(T20-P20,"")</f>
        <v/>
      </c>
      <c r="V20" s="119">
        <f>_xlfn.IFERROR(S20/O20-1,"")</f>
        <v/>
      </c>
      <c r="W20" s="186" t="n"/>
      <c r="X20" s="287" t="n">
        <v>0</v>
      </c>
      <c r="Y20" s="287" t="n">
        <v>0</v>
      </c>
      <c r="Z20" s="287">
        <f>Y20/X20</f>
        <v/>
      </c>
      <c r="AA20" s="186" t="n"/>
      <c r="AB20" s="287" t="n">
        <v>0</v>
      </c>
      <c r="AC20" s="287" t="n">
        <v>0</v>
      </c>
      <c r="AD20" s="287">
        <f>AC20/AB20</f>
        <v/>
      </c>
      <c r="AE20" s="286">
        <f>_xlfn.IFERROR(AD20-Z20,"")</f>
        <v/>
      </c>
      <c r="AF20" s="119">
        <f>_xlfn.IFERROR(AC20/Y20-1,"")</f>
        <v/>
      </c>
      <c r="AG20" s="186" t="n"/>
      <c r="AH20" s="287" t="n">
        <v>0</v>
      </c>
      <c r="AI20" s="287" t="n">
        <v>0</v>
      </c>
      <c r="AJ20" s="287">
        <f>AI20/AH20</f>
        <v/>
      </c>
      <c r="AK20" s="186" t="n"/>
      <c r="AL20" s="287" t="n">
        <v>0</v>
      </c>
      <c r="AM20" s="287" t="n">
        <v>0</v>
      </c>
      <c r="AN20" s="287">
        <f>AM20/AL20</f>
        <v/>
      </c>
      <c r="AO20" s="286">
        <f>_xlfn.IFERROR(AN20-AJ20,"")</f>
        <v/>
      </c>
      <c r="AP20" s="119">
        <f>_xlfn.IFERROR(AM20/AI20-1,"")</f>
        <v/>
      </c>
      <c r="AQ20" s="186" t="n"/>
      <c r="AR20" s="287" t="n">
        <v>0</v>
      </c>
      <c r="AS20" s="287" t="n">
        <v>0</v>
      </c>
      <c r="AT20" s="285">
        <f>_xlfn.IFERROR(AS20/AR20,"")</f>
        <v/>
      </c>
      <c r="AU20" s="186" t="n">
        <v>154</v>
      </c>
      <c r="AV20" s="287" t="n">
        <v>2.8577</v>
      </c>
      <c r="AW20" s="287" t="n">
        <v>1.3311</v>
      </c>
      <c r="AX20" s="287">
        <f>AW20/AV20</f>
        <v/>
      </c>
      <c r="AY20" s="286">
        <f>_xlfn.IFERROR(AX20-AT20,"")</f>
        <v/>
      </c>
      <c r="AZ20" s="119">
        <f>_xlfn.IFERROR(AW20/AS20-1,"")</f>
        <v/>
      </c>
      <c r="BA20" s="186" t="n">
        <v>5</v>
      </c>
      <c r="BB20" s="287" t="n">
        <v>0.0871</v>
      </c>
      <c r="BC20" s="287" t="n">
        <v>0.0411</v>
      </c>
      <c r="BD20" s="287">
        <f>BC20/BB20</f>
        <v/>
      </c>
      <c r="BE20" s="186" t="n"/>
      <c r="BF20" s="287" t="n">
        <v>0</v>
      </c>
      <c r="BG20" s="287" t="n">
        <v>0</v>
      </c>
      <c r="BH20" s="287">
        <f>BG20/BF20</f>
        <v/>
      </c>
      <c r="BI20" s="288">
        <f>_xlfn.IFERROR(BN20/((BF20/4)*30),"")</f>
        <v/>
      </c>
      <c r="BJ20" s="289">
        <f>_xlfn.IFERROR(BE20/4*31,"")</f>
        <v/>
      </c>
      <c r="BK20" s="290">
        <f>_xlfn.IFERROR(BG20/4*31,"")</f>
        <v/>
      </c>
      <c r="BL20" s="291">
        <f>_xlfn.IFERROR(BH20-BD20,"")</f>
        <v/>
      </c>
      <c r="BM20" s="150">
        <f>_xlfn.IFERROR(BK20/BC20-1,"")</f>
        <v/>
      </c>
      <c r="BN20" s="291" t="n">
        <v>17.103</v>
      </c>
    </row>
    <row r="21" ht="13.5" customHeight="1" s="245">
      <c r="A21" s="61" t="n"/>
      <c r="B21" s="186" t="inlineStr">
        <is>
          <t>Guangzhou Dongshan Department Store Lingerie Shop</t>
        </is>
      </c>
      <c r="C21" s="186" t="n">
        <v>2750</v>
      </c>
      <c r="D21" s="61" t="n">
        <v>70.4147</v>
      </c>
      <c r="E21" s="61" t="n">
        <v>33.76815</v>
      </c>
      <c r="F21" s="287">
        <f>E21/D21</f>
        <v/>
      </c>
      <c r="G21" s="186" t="n">
        <v>3461</v>
      </c>
      <c r="H21" s="287" t="n">
        <v>93.40900000000001</v>
      </c>
      <c r="I21" s="287" t="n">
        <v>44.53251</v>
      </c>
      <c r="J21" s="287">
        <f>I21/H21</f>
        <v/>
      </c>
      <c r="K21" s="286">
        <f>_xlfn.IFERROR(J21-F21,"")</f>
        <v/>
      </c>
      <c r="L21" s="119">
        <f>_xlfn.IFERROR(I21/E21-1,"")</f>
        <v/>
      </c>
      <c r="M21" s="186" t="n">
        <v>1043</v>
      </c>
      <c r="N21" s="287" t="n">
        <v>29.5312</v>
      </c>
      <c r="O21" s="287" t="n">
        <v>14.9193</v>
      </c>
      <c r="P21" s="287">
        <f>O21/N21</f>
        <v/>
      </c>
      <c r="Q21" s="186" t="n">
        <v>1782</v>
      </c>
      <c r="R21" s="287" t="n">
        <v>47.4909</v>
      </c>
      <c r="S21" s="287" t="n">
        <v>21.58873</v>
      </c>
      <c r="T21" s="287">
        <f>S21/R21</f>
        <v/>
      </c>
      <c r="U21" s="286">
        <f>_xlfn.IFERROR(T21-P21,"")</f>
        <v/>
      </c>
      <c r="V21" s="119">
        <f>_xlfn.IFERROR(S21/O21-1,"")</f>
        <v/>
      </c>
      <c r="W21" s="186" t="n">
        <v>627</v>
      </c>
      <c r="X21" s="287" t="n">
        <v>13.9502</v>
      </c>
      <c r="Y21" s="287" t="n">
        <v>6.28838</v>
      </c>
      <c r="Z21" s="287">
        <f>Y21/X21</f>
        <v/>
      </c>
      <c r="AA21" s="186" t="n">
        <v>752</v>
      </c>
      <c r="AB21" s="287" t="n">
        <v>22.5764</v>
      </c>
      <c r="AC21" s="287" t="n">
        <v>10.48937</v>
      </c>
      <c r="AD21" s="287">
        <f>AC21/AB21</f>
        <v/>
      </c>
      <c r="AE21" s="286">
        <f>_xlfn.IFERROR(AD21-Z21,"")</f>
        <v/>
      </c>
      <c r="AF21" s="119">
        <f>_xlfn.IFERROR(AC21/Y21-1,"")</f>
        <v/>
      </c>
      <c r="AG21" s="186" t="n">
        <v>558</v>
      </c>
      <c r="AH21" s="287" t="n">
        <v>15.5999</v>
      </c>
      <c r="AI21" s="287" t="n">
        <v>6.79406</v>
      </c>
      <c r="AJ21" s="287">
        <f>AI21/AH21</f>
        <v/>
      </c>
      <c r="AK21" s="186" t="n">
        <v>589</v>
      </c>
      <c r="AL21" s="287" t="n">
        <v>16.8243</v>
      </c>
      <c r="AM21" s="287" t="n">
        <v>8.15197</v>
      </c>
      <c r="AN21" s="287">
        <f>AM21/AL21</f>
        <v/>
      </c>
      <c r="AO21" s="286">
        <f>_xlfn.IFERROR(AN21-AJ21,"")</f>
        <v/>
      </c>
      <c r="AP21" s="119">
        <f>_xlfn.IFERROR(AM21/AI21-1,"")</f>
        <v/>
      </c>
      <c r="AQ21" s="186" t="n">
        <v>421</v>
      </c>
      <c r="AR21" s="287" t="n">
        <v>9.3104</v>
      </c>
      <c r="AS21" s="287" t="n">
        <v>4.80494</v>
      </c>
      <c r="AT21" s="285">
        <f>_xlfn.IFERROR(AS21/AR21,"")</f>
        <v/>
      </c>
      <c r="AU21" s="186" t="n">
        <v>338</v>
      </c>
      <c r="AV21" s="287" t="n">
        <v>6.5174</v>
      </c>
      <c r="AW21" s="287" t="n">
        <v>4.30244</v>
      </c>
      <c r="AX21" s="287">
        <f>AW21/AV21</f>
        <v/>
      </c>
      <c r="AY21" s="286">
        <f>_xlfn.IFERROR(AX21-AT21,"")</f>
        <v/>
      </c>
      <c r="AZ21" s="119">
        <f>_xlfn.IFERROR(AW21/AS21-1,"")</f>
        <v/>
      </c>
      <c r="BA21" s="186" t="n">
        <v>748</v>
      </c>
      <c r="BB21" s="287" t="n">
        <v>14.8873</v>
      </c>
      <c r="BC21" s="287" t="n">
        <v>7.60806</v>
      </c>
      <c r="BD21" s="287">
        <f>BC21/BB21</f>
        <v/>
      </c>
      <c r="BE21" s="186" t="n"/>
      <c r="BF21" s="287" t="n">
        <v>0</v>
      </c>
      <c r="BG21" s="287" t="n">
        <v>0</v>
      </c>
      <c r="BH21" s="287">
        <f>BG21/BF21</f>
        <v/>
      </c>
      <c r="BI21" s="288">
        <f>_xlfn.IFERROR(BN21/((BF21/4)*30),"")</f>
        <v/>
      </c>
      <c r="BJ21" s="289">
        <f>_xlfn.IFERROR(BE21/4*31,"")</f>
        <v/>
      </c>
      <c r="BK21" s="290">
        <f>_xlfn.IFERROR(BG21/4*31,"")</f>
        <v/>
      </c>
      <c r="BL21" s="291">
        <f>_xlfn.IFERROR(BH21-BD21,"")</f>
        <v/>
      </c>
      <c r="BM21" s="150">
        <f>_xlfn.IFERROR(BK21/BC21-1,"")</f>
        <v/>
      </c>
      <c r="BN21" s="291" t="n">
        <v>112.0131</v>
      </c>
    </row>
    <row r="22" ht="13.5" customHeight="1" s="245">
      <c r="A22" s="61" t="n"/>
      <c r="B22" s="186" t="inlineStr">
        <is>
          <t>Guangzhou Dongshan Plaza Xin Daxin Lingerie Store</t>
        </is>
      </c>
      <c r="C22" s="186" t="n">
        <v>919</v>
      </c>
      <c r="D22" s="61" t="n">
        <v>17.624</v>
      </c>
      <c r="E22" s="61" t="n">
        <v>10.33286</v>
      </c>
      <c r="F22" s="287">
        <f>E22/D22</f>
        <v/>
      </c>
      <c r="G22" s="186" t="n">
        <v>778</v>
      </c>
      <c r="H22" s="287" t="n">
        <v>17.0007</v>
      </c>
      <c r="I22" s="287" t="n">
        <v>9.230869999999999</v>
      </c>
      <c r="J22" s="287">
        <f>I22/H22</f>
        <v/>
      </c>
      <c r="K22" s="286">
        <f>_xlfn.IFERROR(J22-F22,"")</f>
        <v/>
      </c>
      <c r="L22" s="119">
        <f>_xlfn.IFERROR(I22/E22-1,"")</f>
        <v/>
      </c>
      <c r="M22" s="186" t="n">
        <v>460</v>
      </c>
      <c r="N22" s="287" t="n">
        <v>10.1279</v>
      </c>
      <c r="O22" s="287" t="n">
        <v>5.67556</v>
      </c>
      <c r="P22" s="287">
        <f>O22/N22</f>
        <v/>
      </c>
      <c r="Q22" s="186" t="n">
        <v>343</v>
      </c>
      <c r="R22" s="287" t="n">
        <v>8.0237</v>
      </c>
      <c r="S22" s="287" t="n">
        <v>4.15149</v>
      </c>
      <c r="T22" s="287">
        <f>S22/R22</f>
        <v/>
      </c>
      <c r="U22" s="286">
        <f>_xlfn.IFERROR(T22-P22,"")</f>
        <v/>
      </c>
      <c r="V22" s="119">
        <f>_xlfn.IFERROR(S22/O22-1,"")</f>
        <v/>
      </c>
      <c r="W22" s="186" t="n">
        <v>176</v>
      </c>
      <c r="X22" s="287" t="n">
        <v>3.1279</v>
      </c>
      <c r="Y22" s="287" t="n">
        <v>1.98904</v>
      </c>
      <c r="Z22" s="287">
        <f>Y22/X22</f>
        <v/>
      </c>
      <c r="AA22" s="186" t="n">
        <v>201</v>
      </c>
      <c r="AB22" s="287" t="n">
        <v>4.5928</v>
      </c>
      <c r="AC22" s="287" t="n">
        <v>2.44329</v>
      </c>
      <c r="AD22" s="287">
        <f>AC22/AB22</f>
        <v/>
      </c>
      <c r="AE22" s="286">
        <f>_xlfn.IFERROR(AD22-Z22,"")</f>
        <v/>
      </c>
      <c r="AF22" s="119">
        <f>_xlfn.IFERROR(AC22/Y22-1,"")</f>
        <v/>
      </c>
      <c r="AG22" s="186" t="n">
        <v>166</v>
      </c>
      <c r="AH22" s="287" t="n">
        <v>2.7914</v>
      </c>
      <c r="AI22" s="287" t="n">
        <v>1.5463</v>
      </c>
      <c r="AJ22" s="287">
        <f>AI22/AH22</f>
        <v/>
      </c>
      <c r="AK22" s="186" t="n">
        <v>133</v>
      </c>
      <c r="AL22" s="287" t="n">
        <v>2.7572</v>
      </c>
      <c r="AM22" s="287" t="n">
        <v>1.5743</v>
      </c>
      <c r="AN22" s="287">
        <f>AM22/AL22</f>
        <v/>
      </c>
      <c r="AO22" s="286">
        <f>_xlfn.IFERROR(AN22-AJ22,"")</f>
        <v/>
      </c>
      <c r="AP22" s="119">
        <f>_xlfn.IFERROR(AM22/AI22-1,"")</f>
        <v/>
      </c>
      <c r="AQ22" s="186" t="n">
        <v>102</v>
      </c>
      <c r="AR22" s="287" t="n">
        <v>1.3969</v>
      </c>
      <c r="AS22" s="287" t="n">
        <v>0.98222</v>
      </c>
      <c r="AT22" s="285">
        <f>_xlfn.IFERROR(AS22/AR22,"")</f>
        <v/>
      </c>
      <c r="AU22" s="186" t="n">
        <v>87</v>
      </c>
      <c r="AV22" s="287" t="n">
        <v>1.4099</v>
      </c>
      <c r="AW22" s="287" t="n">
        <v>0.91471</v>
      </c>
      <c r="AX22" s="287">
        <f>AW22/AV22</f>
        <v/>
      </c>
      <c r="AY22" s="286">
        <f>_xlfn.IFERROR(AX22-AT22,"")</f>
        <v/>
      </c>
      <c r="AZ22" s="119">
        <f>_xlfn.IFERROR(AW22/AS22-1,"")</f>
        <v/>
      </c>
      <c r="BA22" s="186" t="n">
        <v>231</v>
      </c>
      <c r="BB22" s="287" t="n">
        <v>3.2945</v>
      </c>
      <c r="BC22" s="287" t="n">
        <v>2.0152</v>
      </c>
      <c r="BD22" s="287">
        <f>BC22/BB22</f>
        <v/>
      </c>
      <c r="BE22" s="186" t="n">
        <v>14</v>
      </c>
      <c r="BF22" s="287" t="n">
        <v>0.2171</v>
      </c>
      <c r="BG22" s="287" t="n">
        <v>0.14708</v>
      </c>
      <c r="BH22" s="287">
        <f>BG22/BF22</f>
        <v/>
      </c>
      <c r="BI22" s="288">
        <f>_xlfn.IFERROR(BN22/((BF22/4)*30),"")</f>
        <v/>
      </c>
      <c r="BJ22" s="289">
        <f>_xlfn.IFERROR(BE22/4*31,"")</f>
        <v/>
      </c>
      <c r="BK22" s="290">
        <f>_xlfn.IFERROR(BG22/4*31,"")</f>
        <v/>
      </c>
      <c r="BL22" s="291">
        <f>_xlfn.IFERROR(BH22-BD22,"")</f>
        <v/>
      </c>
      <c r="BM22" s="150">
        <f>_xlfn.IFERROR(BK22/BC22-1,"")</f>
        <v/>
      </c>
      <c r="BN22" s="291" t="n">
        <v>47.1151</v>
      </c>
    </row>
    <row r="23" ht="13.5" customHeight="1" s="245">
      <c r="A23" s="61" t="n"/>
      <c r="B23" s="186" t="inlineStr">
        <is>
          <t>Guangzhou Panyu Friendship Mansion Lingerie Store</t>
        </is>
      </c>
      <c r="C23" s="186" t="n">
        <v>868</v>
      </c>
      <c r="D23" s="61" t="n">
        <v>20.0903</v>
      </c>
      <c r="E23" s="61" t="n">
        <v>14.3855</v>
      </c>
      <c r="F23" s="287">
        <f>E23/D23</f>
        <v/>
      </c>
      <c r="G23" s="186" t="n">
        <v>1680</v>
      </c>
      <c r="H23" s="287" t="n">
        <v>48.649</v>
      </c>
      <c r="I23" s="287" t="n">
        <v>29.1273</v>
      </c>
      <c r="J23" s="287">
        <f>I23/H23</f>
        <v/>
      </c>
      <c r="K23" s="286">
        <f>_xlfn.IFERROR(J23-F23,"")</f>
        <v/>
      </c>
      <c r="L23" s="119">
        <f>_xlfn.IFERROR(I23/E23-1,"")</f>
        <v/>
      </c>
      <c r="M23" s="186" t="n">
        <v>251</v>
      </c>
      <c r="N23" s="287" t="n">
        <v>7.9738</v>
      </c>
      <c r="O23" s="287" t="n">
        <v>6.03</v>
      </c>
      <c r="P23" s="287">
        <f>O23/N23</f>
        <v/>
      </c>
      <c r="Q23" s="186" t="n">
        <v>787</v>
      </c>
      <c r="R23" s="287" t="n">
        <v>23.8702</v>
      </c>
      <c r="S23" s="287" t="n">
        <v>13.9301</v>
      </c>
      <c r="T23" s="287">
        <f>S23/R23</f>
        <v/>
      </c>
      <c r="U23" s="286">
        <f>_xlfn.IFERROR(T23-P23,"")</f>
        <v/>
      </c>
      <c r="V23" s="119">
        <f>_xlfn.IFERROR(S23/O23-1,"")</f>
        <v/>
      </c>
      <c r="W23" s="186" t="n">
        <v>199</v>
      </c>
      <c r="X23" s="287" t="n">
        <v>4.2238</v>
      </c>
      <c r="Y23" s="287" t="n">
        <v>3.0976</v>
      </c>
      <c r="Z23" s="287">
        <f>Y23/X23</f>
        <v/>
      </c>
      <c r="AA23" s="186" t="n">
        <v>245</v>
      </c>
      <c r="AB23" s="287" t="n">
        <v>8.559799999999999</v>
      </c>
      <c r="AC23" s="287" t="n">
        <v>5.3645</v>
      </c>
      <c r="AD23" s="287">
        <f>AC23/AB23</f>
        <v/>
      </c>
      <c r="AE23" s="286">
        <f>_xlfn.IFERROR(AD23-Z23,"")</f>
        <v/>
      </c>
      <c r="AF23" s="119">
        <f>_xlfn.IFERROR(AC23/Y23-1,"")</f>
        <v/>
      </c>
      <c r="AG23" s="186" t="n">
        <v>273</v>
      </c>
      <c r="AH23" s="287" t="n">
        <v>5.1704</v>
      </c>
      <c r="AI23" s="287" t="n">
        <v>3.0991</v>
      </c>
      <c r="AJ23" s="287">
        <f>AI23/AH23</f>
        <v/>
      </c>
      <c r="AK23" s="186" t="n">
        <v>348</v>
      </c>
      <c r="AL23" s="287" t="n">
        <v>9.8422</v>
      </c>
      <c r="AM23" s="287" t="n">
        <v>5.477</v>
      </c>
      <c r="AN23" s="287">
        <f>AM23/AL23</f>
        <v/>
      </c>
      <c r="AO23" s="286">
        <f>_xlfn.IFERROR(AN23-AJ23,"")</f>
        <v/>
      </c>
      <c r="AP23" s="119">
        <f>_xlfn.IFERROR(AM23/AI23-1,"")</f>
        <v/>
      </c>
      <c r="AQ23" s="186" t="n">
        <v>129</v>
      </c>
      <c r="AR23" s="287" t="n">
        <v>2.3249</v>
      </c>
      <c r="AS23" s="287" t="n">
        <v>1.8338</v>
      </c>
      <c r="AT23" s="285">
        <f>_xlfn.IFERROR(AS23/AR23,"")</f>
        <v/>
      </c>
      <c r="AU23" s="186" t="n">
        <v>211</v>
      </c>
      <c r="AV23" s="287" t="n">
        <v>4.3556</v>
      </c>
      <c r="AW23" s="287" t="n">
        <v>3.0377</v>
      </c>
      <c r="AX23" s="287">
        <f>AW23/AV23</f>
        <v/>
      </c>
      <c r="AY23" s="286">
        <f>_xlfn.IFERROR(AX23-AT23,"")</f>
        <v/>
      </c>
      <c r="AZ23" s="119">
        <f>_xlfn.IFERROR(AW23/AS23-1,"")</f>
        <v/>
      </c>
      <c r="BA23" s="186" t="n">
        <v>261</v>
      </c>
      <c r="BB23" s="287" t="n">
        <v>5.3352</v>
      </c>
      <c r="BC23" s="287" t="n">
        <v>3.7652</v>
      </c>
      <c r="BD23" s="287">
        <f>BC23/BB23</f>
        <v/>
      </c>
      <c r="BE23" s="186" t="n">
        <v>89</v>
      </c>
      <c r="BF23" s="287" t="n">
        <v>2.0212</v>
      </c>
      <c r="BG23" s="287" t="n">
        <v>1.318</v>
      </c>
      <c r="BH23" s="287">
        <f>BG23/BF23</f>
        <v/>
      </c>
      <c r="BI23" s="288">
        <f>_xlfn.IFERROR(BN23/((BF23/4)*30),"")</f>
        <v/>
      </c>
      <c r="BJ23" s="289">
        <f>_xlfn.IFERROR(BE23/4*31,"")</f>
        <v/>
      </c>
      <c r="BK23" s="290">
        <f>_xlfn.IFERROR(BG23/4*31,"")</f>
        <v/>
      </c>
      <c r="BL23" s="291">
        <f>_xlfn.IFERROR(BH23-BD23,"")</f>
        <v/>
      </c>
      <c r="BM23" s="150">
        <f>_xlfn.IFERROR(BK23/BC23-1,"")</f>
        <v/>
      </c>
      <c r="BN23" s="291" t="n">
        <v>91.89870000000001</v>
      </c>
    </row>
    <row r="24" ht="13.5" customHeight="1" s="245">
      <c r="A24" s="61" t="n"/>
      <c r="B24" s="186" t="inlineStr">
        <is>
          <t>Guangzhou Guangbai Department Store Lingerie Shop</t>
        </is>
      </c>
      <c r="C24" s="186" t="n">
        <v>1218</v>
      </c>
      <c r="D24" s="61" t="n">
        <v>25.2199</v>
      </c>
      <c r="E24" s="61" t="n">
        <v>15.82523</v>
      </c>
      <c r="F24" s="287">
        <f>E24/D24</f>
        <v/>
      </c>
      <c r="G24" s="186" t="n">
        <v>1395</v>
      </c>
      <c r="H24" s="287" t="n">
        <v>33.2813</v>
      </c>
      <c r="I24" s="287" t="n">
        <v>18.75832</v>
      </c>
      <c r="J24" s="287">
        <f>I24/H24</f>
        <v/>
      </c>
      <c r="K24" s="286">
        <f>_xlfn.IFERROR(J24-F24,"")</f>
        <v/>
      </c>
      <c r="L24" s="119">
        <f>_xlfn.IFERROR(I24/E24-1,"")</f>
        <v/>
      </c>
      <c r="M24" s="186" t="n">
        <v>456</v>
      </c>
      <c r="N24" s="287" t="n">
        <v>12.1121</v>
      </c>
      <c r="O24" s="287" t="n">
        <v>7.4975</v>
      </c>
      <c r="P24" s="287">
        <f>O24/N24</f>
        <v/>
      </c>
      <c r="Q24" s="186" t="n">
        <v>451</v>
      </c>
      <c r="R24" s="287" t="n">
        <v>10.185</v>
      </c>
      <c r="S24" s="287" t="n">
        <v>6.07734</v>
      </c>
      <c r="T24" s="287">
        <f>S24/R24</f>
        <v/>
      </c>
      <c r="U24" s="286">
        <f>_xlfn.IFERROR(T24-P24,"")</f>
        <v/>
      </c>
      <c r="V24" s="119">
        <f>_xlfn.IFERROR(S24/O24-1,"")</f>
        <v/>
      </c>
      <c r="W24" s="186" t="n">
        <v>340</v>
      </c>
      <c r="X24" s="287" t="n">
        <v>6.4198</v>
      </c>
      <c r="Y24" s="287" t="n">
        <v>4.11498</v>
      </c>
      <c r="Z24" s="287">
        <f>Y24/X24</f>
        <v/>
      </c>
      <c r="AA24" s="186" t="n">
        <v>747</v>
      </c>
      <c r="AB24" s="287" t="n">
        <v>19.3609</v>
      </c>
      <c r="AC24" s="287" t="n">
        <v>10.4137</v>
      </c>
      <c r="AD24" s="287">
        <f>AC24/AB24</f>
        <v/>
      </c>
      <c r="AE24" s="286">
        <f>_xlfn.IFERROR(AD24-Z24,"")</f>
        <v/>
      </c>
      <c r="AF24" s="119">
        <f>_xlfn.IFERROR(AC24/Y24-1,"")</f>
        <v/>
      </c>
      <c r="AG24" s="186" t="n">
        <v>222</v>
      </c>
      <c r="AH24" s="287" t="n">
        <v>3.9851</v>
      </c>
      <c r="AI24" s="287" t="n">
        <v>2.34344</v>
      </c>
      <c r="AJ24" s="287">
        <f>AI24/AH24</f>
        <v/>
      </c>
      <c r="AK24" s="186" t="n">
        <v>92</v>
      </c>
      <c r="AL24" s="287" t="n">
        <v>1.8161</v>
      </c>
      <c r="AM24" s="287" t="n">
        <v>1.1159</v>
      </c>
      <c r="AN24" s="287">
        <f>AM24/AL24</f>
        <v/>
      </c>
      <c r="AO24" s="286">
        <f>_xlfn.IFERROR(AN24-AJ24,"")</f>
        <v/>
      </c>
      <c r="AP24" s="119">
        <f>_xlfn.IFERROR(AM24/AI24-1,"")</f>
        <v/>
      </c>
      <c r="AQ24" s="186" t="n">
        <v>158</v>
      </c>
      <c r="AR24" s="287" t="n">
        <v>2.0676</v>
      </c>
      <c r="AS24" s="287" t="n">
        <v>1.41845</v>
      </c>
      <c r="AT24" s="285">
        <f>_xlfn.IFERROR(AS24/AR24,"")</f>
        <v/>
      </c>
      <c r="AU24" s="186" t="n">
        <v>72</v>
      </c>
      <c r="AV24" s="287" t="n">
        <v>1.4211</v>
      </c>
      <c r="AW24" s="287" t="n">
        <v>0.84288</v>
      </c>
      <c r="AX24" s="287">
        <f>AW24/AV24</f>
        <v/>
      </c>
      <c r="AY24" s="286">
        <f>_xlfn.IFERROR(AX24-AT24,"")</f>
        <v/>
      </c>
      <c r="AZ24" s="119">
        <f>_xlfn.IFERROR(AW24/AS24-1,"")</f>
        <v/>
      </c>
      <c r="BA24" s="186" t="n">
        <v>210</v>
      </c>
      <c r="BB24" s="287" t="n">
        <v>2.9309</v>
      </c>
      <c r="BC24" s="287" t="n">
        <v>1.76139</v>
      </c>
      <c r="BD24" s="287">
        <f>BC24/BB24</f>
        <v/>
      </c>
      <c r="BE24" s="186" t="n">
        <v>33</v>
      </c>
      <c r="BF24" s="287" t="n">
        <v>0.4982</v>
      </c>
      <c r="BG24" s="287" t="n">
        <v>0.3085</v>
      </c>
      <c r="BH24" s="287">
        <f>BG24/BF24</f>
        <v/>
      </c>
      <c r="BI24" s="288">
        <f>_xlfn.IFERROR(BN24/((BF24/4)*30),"")</f>
        <v/>
      </c>
      <c r="BJ24" s="289">
        <f>_xlfn.IFERROR(BE24/4*31,"")</f>
        <v/>
      </c>
      <c r="BK24" s="290">
        <f>_xlfn.IFERROR(BG24/4*31,"")</f>
        <v/>
      </c>
      <c r="BL24" s="291">
        <f>_xlfn.IFERROR(BH24-BD24,"")</f>
        <v/>
      </c>
      <c r="BM24" s="150">
        <f>_xlfn.IFERROR(BK24/BC24-1,"")</f>
        <v/>
      </c>
      <c r="BN24" s="291" t="n">
        <v>30.3527</v>
      </c>
    </row>
    <row r="25" ht="13.5" customHeight="1" s="245">
      <c r="A25" s="61" t="n"/>
      <c r="B25" s="186" t="inlineStr">
        <is>
          <t>Guangzhou Huadiwan Dongshan Department Store Lingerie Shop</t>
        </is>
      </c>
      <c r="C25" s="186" t="n">
        <v>1077</v>
      </c>
      <c r="D25" s="61" t="n">
        <v>20.0418</v>
      </c>
      <c r="E25" s="61" t="n">
        <v>10.50118</v>
      </c>
      <c r="F25" s="287">
        <f>E25/D25</f>
        <v/>
      </c>
      <c r="G25" s="186" t="n">
        <v>1121</v>
      </c>
      <c r="H25" s="287" t="n">
        <v>24.2025</v>
      </c>
      <c r="I25" s="287" t="n">
        <v>12.213128</v>
      </c>
      <c r="J25" s="287">
        <f>I25/H25</f>
        <v/>
      </c>
      <c r="K25" s="286">
        <f>_xlfn.IFERROR(J25-F25,"")</f>
        <v/>
      </c>
      <c r="L25" s="119">
        <f>_xlfn.IFERROR(I25/E25-1,"")</f>
        <v/>
      </c>
      <c r="M25" s="186" t="n">
        <v>378</v>
      </c>
      <c r="N25" s="287" t="n">
        <v>9.013999999999999</v>
      </c>
      <c r="O25" s="287" t="n">
        <v>4.6933</v>
      </c>
      <c r="P25" s="287">
        <f>O25/N25</f>
        <v/>
      </c>
      <c r="Q25" s="186" t="n">
        <v>497</v>
      </c>
      <c r="R25" s="287" t="n">
        <v>11.0074</v>
      </c>
      <c r="S25" s="287" t="n">
        <v>5.29231</v>
      </c>
      <c r="T25" s="287">
        <f>S25/R25</f>
        <v/>
      </c>
      <c r="U25" s="286">
        <f>_xlfn.IFERROR(T25-P25,"")</f>
        <v/>
      </c>
      <c r="V25" s="119">
        <f>_xlfn.IFERROR(S25/O25-1,"")</f>
        <v/>
      </c>
      <c r="W25" s="186" t="n">
        <v>364</v>
      </c>
      <c r="X25" s="287" t="n">
        <v>5.4706</v>
      </c>
      <c r="Y25" s="287" t="n">
        <v>2.73728</v>
      </c>
      <c r="Z25" s="287">
        <f>Y25/X25</f>
        <v/>
      </c>
      <c r="AA25" s="186" t="n">
        <v>262</v>
      </c>
      <c r="AB25" s="287" t="n">
        <v>6.7485</v>
      </c>
      <c r="AC25" s="287" t="n">
        <v>3.144168</v>
      </c>
      <c r="AD25" s="287">
        <f>AC25/AB25</f>
        <v/>
      </c>
      <c r="AE25" s="286">
        <f>_xlfn.IFERROR(AD25-Z25,"")</f>
        <v/>
      </c>
      <c r="AF25" s="119">
        <f>_xlfn.IFERROR(AC25/Y25-1,"")</f>
        <v/>
      </c>
      <c r="AG25" s="186" t="n">
        <v>135</v>
      </c>
      <c r="AH25" s="287" t="n">
        <v>2.16</v>
      </c>
      <c r="AI25" s="287" t="n">
        <v>1.21953</v>
      </c>
      <c r="AJ25" s="287">
        <f>AI25/AH25</f>
        <v/>
      </c>
      <c r="AK25" s="186" t="n">
        <v>176</v>
      </c>
      <c r="AL25" s="287" t="n">
        <v>3.516</v>
      </c>
      <c r="AM25" s="287" t="n">
        <v>1.86575</v>
      </c>
      <c r="AN25" s="287">
        <f>AM25/AL25</f>
        <v/>
      </c>
      <c r="AO25" s="286">
        <f>_xlfn.IFERROR(AN25-AJ25,"")</f>
        <v/>
      </c>
      <c r="AP25" s="119">
        <f>_xlfn.IFERROR(AM25/AI25-1,"")</f>
        <v/>
      </c>
      <c r="AQ25" s="186" t="n">
        <v>145</v>
      </c>
      <c r="AR25" s="287" t="n">
        <v>2.5186</v>
      </c>
      <c r="AS25" s="287" t="n">
        <v>1.44145</v>
      </c>
      <c r="AT25" s="285">
        <f>_xlfn.IFERROR(AS25/AR25,"")</f>
        <v/>
      </c>
      <c r="AU25" s="186" t="n">
        <v>186</v>
      </c>
      <c r="AV25" s="287" t="n">
        <v>2.9306</v>
      </c>
      <c r="AW25" s="287" t="n">
        <v>1.9109</v>
      </c>
      <c r="AX25" s="287">
        <f>AW25/AV25</f>
        <v/>
      </c>
      <c r="AY25" s="286">
        <f>_xlfn.IFERROR(AX25-AT25,"")</f>
        <v/>
      </c>
      <c r="AZ25" s="119">
        <f>_xlfn.IFERROR(AW25/AS25-1,"")</f>
        <v/>
      </c>
      <c r="BA25" s="186" t="n">
        <v>209</v>
      </c>
      <c r="BB25" s="287" t="n">
        <v>3.8136</v>
      </c>
      <c r="BC25" s="287" t="n">
        <v>2.02202</v>
      </c>
      <c r="BD25" s="287">
        <f>BC25/BB25</f>
        <v/>
      </c>
      <c r="BE25" s="186" t="n"/>
      <c r="BF25" s="287" t="n">
        <v>0</v>
      </c>
      <c r="BG25" s="287" t="n">
        <v>0</v>
      </c>
      <c r="BH25" s="287">
        <f>BG25/BF25</f>
        <v/>
      </c>
      <c r="BI25" s="288">
        <f>_xlfn.IFERROR(BN25/((BF25/4)*30),"")</f>
        <v/>
      </c>
      <c r="BJ25" s="289">
        <f>_xlfn.IFERROR(BE25/4*31,"")</f>
        <v/>
      </c>
      <c r="BK25" s="290">
        <f>_xlfn.IFERROR(BG25/4*31,"")</f>
        <v/>
      </c>
      <c r="BL25" s="291">
        <f>_xlfn.IFERROR(BH25-BD25,"")</f>
        <v/>
      </c>
      <c r="BM25" s="150">
        <f>_xlfn.IFERROR(BK25/BC25-1,"")</f>
        <v/>
      </c>
      <c r="BN25" s="291" t="n">
        <v>36.1547</v>
      </c>
    </row>
    <row r="26" ht="13.5" customHeight="1" s="245">
      <c r="A26" s="61" t="n"/>
      <c r="B26" s="186" t="inlineStr">
        <is>
          <t>Guangzhou Huadu Guangbai Sports Lingerie Store</t>
        </is>
      </c>
      <c r="C26" s="186" t="n"/>
      <c r="D26" s="61" t="n">
        <v>0</v>
      </c>
      <c r="E26" s="61" t="n">
        <v>0</v>
      </c>
      <c r="F26" s="287">
        <f>E26/D26</f>
        <v/>
      </c>
      <c r="G26" s="186" t="n">
        <v>402</v>
      </c>
      <c r="H26" s="287" t="n">
        <v>9.126899999999999</v>
      </c>
      <c r="I26" s="287" t="n">
        <v>6.2596</v>
      </c>
      <c r="J26" s="287">
        <f>I26/H26</f>
        <v/>
      </c>
      <c r="K26" s="286">
        <f>_xlfn.IFERROR(J26-F26,"")</f>
        <v/>
      </c>
      <c r="L26" s="119">
        <f>_xlfn.IFERROR(I26/E26-1,"")</f>
        <v/>
      </c>
      <c r="M26" s="186" t="n"/>
      <c r="N26" s="287" t="n">
        <v>0</v>
      </c>
      <c r="O26" s="287" t="n">
        <v>0</v>
      </c>
      <c r="P26" s="287">
        <f>O26/N26</f>
        <v/>
      </c>
      <c r="Q26" s="186" t="n">
        <v>163</v>
      </c>
      <c r="R26" s="287" t="n">
        <v>4.0775</v>
      </c>
      <c r="S26" s="287" t="n">
        <v>2.7172</v>
      </c>
      <c r="T26" s="287">
        <f>S26/R26</f>
        <v/>
      </c>
      <c r="U26" s="286">
        <f>_xlfn.IFERROR(T26-P26,"")</f>
        <v/>
      </c>
      <c r="V26" s="119">
        <f>_xlfn.IFERROR(S26/O26-1,"")</f>
        <v/>
      </c>
      <c r="W26" s="186" t="n"/>
      <c r="X26" s="287" t="n">
        <v>0</v>
      </c>
      <c r="Y26" s="287" t="n">
        <v>0</v>
      </c>
      <c r="Z26" s="287">
        <f>Y26/X26</f>
        <v/>
      </c>
      <c r="AA26" s="186" t="n">
        <v>102</v>
      </c>
      <c r="AB26" s="287" t="n">
        <v>2.5565</v>
      </c>
      <c r="AC26" s="287" t="n">
        <v>1.8909</v>
      </c>
      <c r="AD26" s="287">
        <f>AC26/AB26</f>
        <v/>
      </c>
      <c r="AE26" s="286">
        <f>_xlfn.IFERROR(AD26-Z26,"")</f>
        <v/>
      </c>
      <c r="AF26" s="119">
        <f>_xlfn.IFERROR(AC26/Y26-1,"")</f>
        <v/>
      </c>
      <c r="AG26" s="186" t="n"/>
      <c r="AH26" s="287" t="n">
        <v>0</v>
      </c>
      <c r="AI26" s="287" t="n">
        <v>0</v>
      </c>
      <c r="AJ26" s="287">
        <f>AI26/AH26</f>
        <v/>
      </c>
      <c r="AK26" s="186" t="n">
        <v>63</v>
      </c>
      <c r="AL26" s="287" t="n">
        <v>1.3489</v>
      </c>
      <c r="AM26" s="287" t="n">
        <v>0.8165</v>
      </c>
      <c r="AN26" s="287">
        <f>AM26/AL26</f>
        <v/>
      </c>
      <c r="AO26" s="286">
        <f>_xlfn.IFERROR(AN26-AJ26,"")</f>
        <v/>
      </c>
      <c r="AP26" s="119">
        <f>_xlfn.IFERROR(AM26/AI26-1,"")</f>
        <v/>
      </c>
      <c r="AQ26" s="186" t="n"/>
      <c r="AR26" s="287" t="n">
        <v>0</v>
      </c>
      <c r="AS26" s="287" t="n">
        <v>0</v>
      </c>
      <c r="AT26" s="285">
        <f>_xlfn.IFERROR(AS26/AR26,"")</f>
        <v/>
      </c>
      <c r="AU26" s="186" t="n">
        <v>63</v>
      </c>
      <c r="AV26" s="287" t="n">
        <v>1.0219</v>
      </c>
      <c r="AW26" s="287" t="n">
        <v>0.7308</v>
      </c>
      <c r="AX26" s="287">
        <f>AW26/AV26</f>
        <v/>
      </c>
      <c r="AY26" s="286">
        <f>_xlfn.IFERROR(AX26-AT26,"")</f>
        <v/>
      </c>
      <c r="AZ26" s="119">
        <f>_xlfn.IFERROR(AW26/AS26-1,"")</f>
        <v/>
      </c>
      <c r="BA26" s="186" t="n"/>
      <c r="BB26" s="287" t="n">
        <v>0</v>
      </c>
      <c r="BC26" s="287" t="n">
        <v>0</v>
      </c>
      <c r="BD26" s="287">
        <f>BC26/BB26</f>
        <v/>
      </c>
      <c r="BE26" s="186" t="n">
        <v>11</v>
      </c>
      <c r="BF26" s="287" t="n">
        <v>0.1221</v>
      </c>
      <c r="BG26" s="287" t="n">
        <v>0.1042</v>
      </c>
      <c r="BH26" s="287">
        <f>BG26/BF26</f>
        <v/>
      </c>
      <c r="BI26" s="288">
        <f>_xlfn.IFERROR(BN26/((BF26/4)*30),"")</f>
        <v/>
      </c>
      <c r="BJ26" s="289">
        <f>_xlfn.IFERROR(BE26/4*31,"")</f>
        <v/>
      </c>
      <c r="BK26" s="290">
        <f>_xlfn.IFERROR(BG26/4*31,"")</f>
        <v/>
      </c>
      <c r="BL26" s="291">
        <f>_xlfn.IFERROR(BH26-BD26,"")</f>
        <v/>
      </c>
      <c r="BM26" s="150">
        <f>_xlfn.IFERROR(BK26/BC26-1,"")</f>
        <v/>
      </c>
      <c r="BN26" s="291" t="n">
        <v>30.7986</v>
      </c>
    </row>
    <row r="27" ht="13.5" customHeight="1" s="245">
      <c r="A27" s="61" t="n"/>
      <c r="B27" s="186" t="inlineStr">
        <is>
          <t>Guangzhou Taojin Friendship Water Sports Season Store</t>
        </is>
      </c>
      <c r="C27" s="186" t="n"/>
      <c r="D27" s="61" t="n">
        <v>0</v>
      </c>
      <c r="E27" s="61" t="n">
        <v>0</v>
      </c>
      <c r="F27" s="287">
        <f>E27/D27</f>
        <v/>
      </c>
      <c r="G27" s="186" t="n">
        <v>2</v>
      </c>
      <c r="H27" s="287" t="n">
        <v>0.0246</v>
      </c>
      <c r="I27" s="287" t="n">
        <v>0.0173</v>
      </c>
      <c r="J27" s="287">
        <f>I27/H27</f>
        <v/>
      </c>
      <c r="K27" s="286">
        <f>_xlfn.IFERROR(J27-F27,"")</f>
        <v/>
      </c>
      <c r="L27" s="119">
        <f>_xlfn.IFERROR(I27/E27-1,"")</f>
        <v/>
      </c>
      <c r="M27" s="186" t="n"/>
      <c r="N27" s="287" t="n">
        <v>0</v>
      </c>
      <c r="O27" s="287" t="n">
        <v>0</v>
      </c>
      <c r="P27" s="287">
        <f>O27/N27</f>
        <v/>
      </c>
      <c r="Q27" s="186" t="n"/>
      <c r="R27" s="287" t="n">
        <v>0</v>
      </c>
      <c r="S27" s="287" t="n">
        <v>0</v>
      </c>
      <c r="T27" s="287">
        <f>S27/R27</f>
        <v/>
      </c>
      <c r="U27" s="286">
        <f>_xlfn.IFERROR(T27-P27,"")</f>
        <v/>
      </c>
      <c r="V27" s="119">
        <f>_xlfn.IFERROR(S27/O27-1,"")</f>
        <v/>
      </c>
      <c r="W27" s="186" t="n"/>
      <c r="X27" s="287" t="n">
        <v>0</v>
      </c>
      <c r="Y27" s="287" t="n">
        <v>0</v>
      </c>
      <c r="Z27" s="287">
        <f>Y27/X27</f>
        <v/>
      </c>
      <c r="AA27" s="186" t="n"/>
      <c r="AB27" s="287" t="n">
        <v>0</v>
      </c>
      <c r="AC27" s="287" t="n">
        <v>0</v>
      </c>
      <c r="AD27" s="287">
        <f>AC27/AB27</f>
        <v/>
      </c>
      <c r="AE27" s="286">
        <f>_xlfn.IFERROR(AD27-Z27,"")</f>
        <v/>
      </c>
      <c r="AF27" s="119">
        <f>_xlfn.IFERROR(AC27/Y27-1,"")</f>
        <v/>
      </c>
      <c r="AG27" s="186" t="n"/>
      <c r="AH27" s="287" t="n">
        <v>0</v>
      </c>
      <c r="AI27" s="287" t="n">
        <v>0</v>
      </c>
      <c r="AJ27" s="287">
        <f>AI27/AH27</f>
        <v/>
      </c>
      <c r="AK27" s="186" t="n"/>
      <c r="AL27" s="287" t="n">
        <v>0</v>
      </c>
      <c r="AM27" s="287" t="n">
        <v>0</v>
      </c>
      <c r="AN27" s="287">
        <f>AM27/AL27</f>
        <v/>
      </c>
      <c r="AO27" s="286">
        <f>_xlfn.IFERROR(AN27-AJ27,"")</f>
        <v/>
      </c>
      <c r="AP27" s="119">
        <f>_xlfn.IFERROR(AM27/AI27-1,"")</f>
        <v/>
      </c>
      <c r="AQ27" s="186" t="n"/>
      <c r="AR27" s="287" t="n">
        <v>0</v>
      </c>
      <c r="AS27" s="287" t="n">
        <v>0</v>
      </c>
      <c r="AT27" s="285">
        <f>_xlfn.IFERROR(AS27/AR27,"")</f>
        <v/>
      </c>
      <c r="AU27" s="186" t="n">
        <v>2</v>
      </c>
      <c r="AV27" s="287" t="n">
        <v>0.0246</v>
      </c>
      <c r="AW27" s="287" t="n">
        <v>0.0173</v>
      </c>
      <c r="AX27" s="287">
        <f>AW27/AV27</f>
        <v/>
      </c>
      <c r="AY27" s="286">
        <f>_xlfn.IFERROR(AX27-AT27,"")</f>
        <v/>
      </c>
      <c r="AZ27" s="119">
        <f>_xlfn.IFERROR(AW27/AS27-1,"")</f>
        <v/>
      </c>
      <c r="BA27" s="186" t="n"/>
      <c r="BB27" s="287" t="n">
        <v>0</v>
      </c>
      <c r="BC27" s="287" t="n">
        <v>0</v>
      </c>
      <c r="BD27" s="287">
        <f>BC27/BB27</f>
        <v/>
      </c>
      <c r="BE27" s="186" t="n"/>
      <c r="BF27" s="287" t="n">
        <v>0</v>
      </c>
      <c r="BG27" s="287" t="n">
        <v>0</v>
      </c>
      <c r="BH27" s="287">
        <f>BG27/BF27</f>
        <v/>
      </c>
      <c r="BI27" s="288">
        <f>_xlfn.IFERROR(BN27/((BF27/4)*30),"")</f>
        <v/>
      </c>
      <c r="BJ27" s="289">
        <f>_xlfn.IFERROR(BE27/4*31,"")</f>
        <v/>
      </c>
      <c r="BK27" s="290">
        <f>_xlfn.IFERROR(BG27/4*31,"")</f>
        <v/>
      </c>
      <c r="BL27" s="291">
        <f>_xlfn.IFERROR(BH27-BD27,"")</f>
        <v/>
      </c>
      <c r="BM27" s="150">
        <f>_xlfn.IFERROR(BK27/BC27-1,"")</f>
        <v/>
      </c>
      <c r="BN27" s="291" t="n">
        <v>31.8552</v>
      </c>
    </row>
    <row r="28" ht="13.5" customHeight="1" s="245">
      <c r="A28" s="61" t="n"/>
      <c r="B28" s="186" t="inlineStr">
        <is>
          <t>Guangzhou Tianhe Park Wanjia Sports Lingerie Store</t>
        </is>
      </c>
      <c r="C28" s="186" t="n">
        <v>897</v>
      </c>
      <c r="D28" s="61" t="n">
        <v>18.7444</v>
      </c>
      <c r="E28" s="61" t="n">
        <v>16.56012</v>
      </c>
      <c r="F28" s="287">
        <f>E28/D28</f>
        <v/>
      </c>
      <c r="G28" s="186" t="n">
        <v>1010</v>
      </c>
      <c r="H28" s="287" t="n">
        <v>25.5053</v>
      </c>
      <c r="I28" s="287" t="n">
        <v>18.972599</v>
      </c>
      <c r="J28" s="287">
        <f>I28/H28</f>
        <v/>
      </c>
      <c r="K28" s="286">
        <f>_xlfn.IFERROR(J28-F28,"")</f>
        <v/>
      </c>
      <c r="L28" s="119">
        <f>_xlfn.IFERROR(I28/E28-1,"")</f>
        <v/>
      </c>
      <c r="M28" s="186" t="n">
        <v>286</v>
      </c>
      <c r="N28" s="287" t="n">
        <v>8.325100000000001</v>
      </c>
      <c r="O28" s="287" t="n">
        <v>8.1784</v>
      </c>
      <c r="P28" s="287">
        <f>O28/N28</f>
        <v/>
      </c>
      <c r="Q28" s="186" t="n">
        <v>435</v>
      </c>
      <c r="R28" s="287" t="n">
        <v>12.0333</v>
      </c>
      <c r="S28" s="287" t="n">
        <v>11.0441</v>
      </c>
      <c r="T28" s="287">
        <f>S28/R28</f>
        <v/>
      </c>
      <c r="U28" s="286">
        <f>_xlfn.IFERROR(T28-P28,"")</f>
        <v/>
      </c>
      <c r="V28" s="119">
        <f>_xlfn.IFERROR(S28/O28-1,"")</f>
        <v/>
      </c>
      <c r="W28" s="186" t="n">
        <v>228</v>
      </c>
      <c r="X28" s="287" t="n">
        <v>4.8043</v>
      </c>
      <c r="Y28" s="287" t="n">
        <v>4.6424</v>
      </c>
      <c r="Z28" s="287">
        <f>Y28/X28</f>
        <v/>
      </c>
      <c r="AA28" s="186" t="n">
        <v>178</v>
      </c>
      <c r="AB28" s="287" t="n">
        <v>4.745</v>
      </c>
      <c r="AC28" s="287" t="n">
        <v>3.107399</v>
      </c>
      <c r="AD28" s="287">
        <f>AC28/AB28</f>
        <v/>
      </c>
      <c r="AE28" s="286">
        <f>_xlfn.IFERROR(AD28-Z28,"")</f>
        <v/>
      </c>
      <c r="AF28" s="119">
        <f>_xlfn.IFERROR(AC28/Y28-1,"")</f>
        <v/>
      </c>
      <c r="AG28" s="186" t="n">
        <v>144</v>
      </c>
      <c r="AH28" s="287" t="n">
        <v>2.0035</v>
      </c>
      <c r="AI28" s="287" t="n">
        <v>1.29865</v>
      </c>
      <c r="AJ28" s="287">
        <f>AI28/AH28</f>
        <v/>
      </c>
      <c r="AK28" s="186" t="n">
        <v>218</v>
      </c>
      <c r="AL28" s="287" t="n">
        <v>6.4857</v>
      </c>
      <c r="AM28" s="287" t="n">
        <v>2.7512</v>
      </c>
      <c r="AN28" s="287">
        <f>AM28/AL28</f>
        <v/>
      </c>
      <c r="AO28" s="286">
        <f>_xlfn.IFERROR(AN28-AJ28,"")</f>
        <v/>
      </c>
      <c r="AP28" s="119">
        <f>_xlfn.IFERROR(AM28/AI28-1,"")</f>
        <v/>
      </c>
      <c r="AQ28" s="186" t="n">
        <v>225</v>
      </c>
      <c r="AR28" s="287" t="n">
        <v>3.4166</v>
      </c>
      <c r="AS28" s="287" t="n">
        <v>2.27717</v>
      </c>
      <c r="AT28" s="285">
        <f>_xlfn.IFERROR(AS28/AR28,"")</f>
        <v/>
      </c>
      <c r="AU28" s="186" t="n">
        <v>146</v>
      </c>
      <c r="AV28" s="287" t="n">
        <v>1.8623</v>
      </c>
      <c r="AW28" s="287" t="n">
        <v>1.7073</v>
      </c>
      <c r="AX28" s="287">
        <f>AW28/AV28</f>
        <v/>
      </c>
      <c r="AY28" s="286">
        <f>_xlfn.IFERROR(AX28-AT28,"")</f>
        <v/>
      </c>
      <c r="AZ28" s="119">
        <f>_xlfn.IFERROR(AW28/AS28-1,"")</f>
        <v/>
      </c>
      <c r="BA28" s="186" t="n">
        <v>172</v>
      </c>
      <c r="BB28" s="287" t="n">
        <v>2.6424</v>
      </c>
      <c r="BC28" s="287" t="n">
        <v>2.1401</v>
      </c>
      <c r="BD28" s="287">
        <f>BC28/BB28</f>
        <v/>
      </c>
      <c r="BE28" s="186" t="n">
        <v>33</v>
      </c>
      <c r="BF28" s="287" t="n">
        <v>0.379</v>
      </c>
      <c r="BG28" s="287" t="n">
        <v>0.3626</v>
      </c>
      <c r="BH28" s="287">
        <f>BG28/BF28</f>
        <v/>
      </c>
      <c r="BI28" s="288">
        <f>_xlfn.IFERROR(BN28/((BF28/4)*30),"")</f>
        <v/>
      </c>
      <c r="BJ28" s="289">
        <f>_xlfn.IFERROR(BE28/4*31,"")</f>
        <v/>
      </c>
      <c r="BK28" s="290">
        <f>_xlfn.IFERROR(BG28/4*31,"")</f>
        <v/>
      </c>
      <c r="BL28" s="291">
        <f>_xlfn.IFERROR(BH28-BD28,"")</f>
        <v/>
      </c>
      <c r="BM28" s="150">
        <f>_xlfn.IFERROR(BK28/BC28-1,"")</f>
        <v/>
      </c>
      <c r="BN28" s="291" t="n">
        <v>30.3813</v>
      </c>
    </row>
    <row r="29" ht="13.5" customHeight="1" s="245">
      <c r="A29" s="61" t="n"/>
      <c r="B29" s="186" t="inlineStr">
        <is>
          <t>Guangzhou Tianhe Jusco Water Sports Store</t>
        </is>
      </c>
      <c r="C29" s="186" t="n"/>
      <c r="D29" s="61" t="n">
        <v>0</v>
      </c>
      <c r="E29" s="61" t="n">
        <v>0</v>
      </c>
      <c r="F29" s="287">
        <f>E29/D29</f>
        <v/>
      </c>
      <c r="G29" s="186" t="n">
        <v>60</v>
      </c>
      <c r="H29" s="287" t="n">
        <v>0.9201</v>
      </c>
      <c r="I29" s="287" t="n">
        <v>0.53585</v>
      </c>
      <c r="J29" s="287">
        <f>I29/H29</f>
        <v/>
      </c>
      <c r="K29" s="286">
        <f>_xlfn.IFERROR(J29-F29,"")</f>
        <v/>
      </c>
      <c r="L29" s="119">
        <f>_xlfn.IFERROR(I29/E29-1,"")</f>
        <v/>
      </c>
      <c r="M29" s="186" t="n"/>
      <c r="N29" s="287" t="n">
        <v>0</v>
      </c>
      <c r="O29" s="287" t="n">
        <v>0</v>
      </c>
      <c r="P29" s="287">
        <f>O29/N29</f>
        <v/>
      </c>
      <c r="Q29" s="186" t="n"/>
      <c r="R29" s="287" t="n">
        <v>0</v>
      </c>
      <c r="S29" s="287" t="n">
        <v>0</v>
      </c>
      <c r="T29" s="287">
        <f>S29/R29</f>
        <v/>
      </c>
      <c r="U29" s="286">
        <f>_xlfn.IFERROR(T29-P29,"")</f>
        <v/>
      </c>
      <c r="V29" s="119">
        <f>_xlfn.IFERROR(S29/O29-1,"")</f>
        <v/>
      </c>
      <c r="W29" s="186" t="n"/>
      <c r="X29" s="287" t="n">
        <v>0</v>
      </c>
      <c r="Y29" s="287" t="n">
        <v>0</v>
      </c>
      <c r="Z29" s="287">
        <f>Y29/X29</f>
        <v/>
      </c>
      <c r="AA29" s="186" t="n"/>
      <c r="AB29" s="287" t="n">
        <v>0</v>
      </c>
      <c r="AC29" s="287" t="n">
        <v>0</v>
      </c>
      <c r="AD29" s="287">
        <f>AC29/AB29</f>
        <v/>
      </c>
      <c r="AE29" s="286">
        <f>_xlfn.IFERROR(AD29-Z29,"")</f>
        <v/>
      </c>
      <c r="AF29" s="119">
        <f>_xlfn.IFERROR(AC29/Y29-1,"")</f>
        <v/>
      </c>
      <c r="AG29" s="186" t="n"/>
      <c r="AH29" s="287" t="n">
        <v>0</v>
      </c>
      <c r="AI29" s="287" t="n">
        <v>0</v>
      </c>
      <c r="AJ29" s="287">
        <f>AI29/AH29</f>
        <v/>
      </c>
      <c r="AK29" s="186" t="n"/>
      <c r="AL29" s="287" t="n">
        <v>0</v>
      </c>
      <c r="AM29" s="287" t="n">
        <v>0</v>
      </c>
      <c r="AN29" s="287">
        <f>AM29/AL29</f>
        <v/>
      </c>
      <c r="AO29" s="286">
        <f>_xlfn.IFERROR(AN29-AJ29,"")</f>
        <v/>
      </c>
      <c r="AP29" s="119">
        <f>_xlfn.IFERROR(AM29/AI29-1,"")</f>
        <v/>
      </c>
      <c r="AQ29" s="186" t="n"/>
      <c r="AR29" s="287" t="n">
        <v>0</v>
      </c>
      <c r="AS29" s="287" t="n">
        <v>0</v>
      </c>
      <c r="AT29" s="285">
        <f>_xlfn.IFERROR(AS29/AR29,"")</f>
        <v/>
      </c>
      <c r="AU29" s="186" t="n">
        <v>60</v>
      </c>
      <c r="AV29" s="287" t="n">
        <v>0.9201</v>
      </c>
      <c r="AW29" s="287" t="n">
        <v>0.53585</v>
      </c>
      <c r="AX29" s="287">
        <f>AW29/AV29</f>
        <v/>
      </c>
      <c r="AY29" s="286">
        <f>_xlfn.IFERROR(AX29-AT29,"")</f>
        <v/>
      </c>
      <c r="AZ29" s="119">
        <f>_xlfn.IFERROR(AW29/AS29-1,"")</f>
        <v/>
      </c>
      <c r="BA29" s="186" t="n"/>
      <c r="BB29" s="287" t="n">
        <v>0</v>
      </c>
      <c r="BC29" s="287" t="n">
        <v>0</v>
      </c>
      <c r="BD29" s="287">
        <f>BC29/BB29</f>
        <v/>
      </c>
      <c r="BE29" s="186" t="n"/>
      <c r="BF29" s="287" t="n">
        <v>0</v>
      </c>
      <c r="BG29" s="287" t="n">
        <v>0</v>
      </c>
      <c r="BH29" s="287">
        <f>BG29/BF29</f>
        <v/>
      </c>
      <c r="BI29" s="288">
        <f>_xlfn.IFERROR(BN29/((BF29/4)*30),"")</f>
        <v/>
      </c>
      <c r="BJ29" s="289">
        <f>_xlfn.IFERROR(BE29/4*31,"")</f>
        <v/>
      </c>
      <c r="BK29" s="290">
        <f>_xlfn.IFERROR(BG29/4*31,"")</f>
        <v/>
      </c>
      <c r="BL29" s="291">
        <f>_xlfn.IFERROR(BH29-BD29,"")</f>
        <v/>
      </c>
      <c r="BM29" s="150">
        <f>_xlfn.IFERROR(BK29/BC29-1,"")</f>
        <v/>
      </c>
      <c r="BN29" s="291" t="n">
        <v>17.8926</v>
      </c>
    </row>
    <row r="30" ht="13.5" customHeight="1" s="245">
      <c r="A30" s="61" t="n"/>
      <c r="B30" s="186" t="inlineStr">
        <is>
          <t>Guangzhou Xintang Wanjia Sports Lingerie Store</t>
        </is>
      </c>
      <c r="C30" s="186" t="n">
        <v>576</v>
      </c>
      <c r="D30" s="61" t="n">
        <v>12.1304</v>
      </c>
      <c r="E30" s="61" t="n">
        <v>11.51592</v>
      </c>
      <c r="F30" s="287">
        <f>E30/D30</f>
        <v/>
      </c>
      <c r="G30" s="186" t="n">
        <v>616</v>
      </c>
      <c r="H30" s="287" t="n">
        <v>10.646</v>
      </c>
      <c r="I30" s="287" t="n">
        <v>10.1681</v>
      </c>
      <c r="J30" s="287">
        <f>I30/H30</f>
        <v/>
      </c>
      <c r="K30" s="286">
        <f>_xlfn.IFERROR(J30-F30,"")</f>
        <v/>
      </c>
      <c r="L30" s="119">
        <f>_xlfn.IFERROR(I30/E30-1,"")</f>
        <v/>
      </c>
      <c r="M30" s="186" t="n">
        <v>260</v>
      </c>
      <c r="N30" s="287" t="n">
        <v>6.5453</v>
      </c>
      <c r="O30" s="287" t="n">
        <v>6.362</v>
      </c>
      <c r="P30" s="287">
        <f>O30/N30</f>
        <v/>
      </c>
      <c r="Q30" s="186" t="n">
        <v>344</v>
      </c>
      <c r="R30" s="287" t="n">
        <v>6.1515</v>
      </c>
      <c r="S30" s="287" t="n">
        <v>6.6104</v>
      </c>
      <c r="T30" s="287">
        <f>S30/R30</f>
        <v/>
      </c>
      <c r="U30" s="286">
        <f>_xlfn.IFERROR(T30-P30,"")</f>
        <v/>
      </c>
      <c r="V30" s="119">
        <f>_xlfn.IFERROR(S30/O30-1,"")</f>
        <v/>
      </c>
      <c r="W30" s="186" t="n">
        <v>153</v>
      </c>
      <c r="X30" s="287" t="n">
        <v>3.1006</v>
      </c>
      <c r="Y30" s="287" t="n">
        <v>3.1306</v>
      </c>
      <c r="Z30" s="287">
        <f>Y30/X30</f>
        <v/>
      </c>
      <c r="AA30" s="186" t="n">
        <v>52</v>
      </c>
      <c r="AB30" s="287" t="n">
        <v>1.2764</v>
      </c>
      <c r="AC30" s="287" t="n">
        <v>0.9077</v>
      </c>
      <c r="AD30" s="287">
        <f>AC30/AB30</f>
        <v/>
      </c>
      <c r="AE30" s="286">
        <f>_xlfn.IFERROR(AD30-Z30,"")</f>
        <v/>
      </c>
      <c r="AF30" s="119">
        <f>_xlfn.IFERROR(AC30/Y30-1,"")</f>
        <v/>
      </c>
      <c r="AG30" s="186" t="n">
        <v>76</v>
      </c>
      <c r="AH30" s="287" t="n">
        <v>1.2451</v>
      </c>
      <c r="AI30" s="287" t="n">
        <v>0.9467</v>
      </c>
      <c r="AJ30" s="287">
        <f>AI30/AH30</f>
        <v/>
      </c>
      <c r="AK30" s="186" t="n">
        <v>68</v>
      </c>
      <c r="AL30" s="287" t="n">
        <v>1.1304</v>
      </c>
      <c r="AM30" s="287" t="n">
        <v>0.7306</v>
      </c>
      <c r="AN30" s="287">
        <f>AM30/AL30</f>
        <v/>
      </c>
      <c r="AO30" s="286">
        <f>_xlfn.IFERROR(AN30-AJ30,"")</f>
        <v/>
      </c>
      <c r="AP30" s="119">
        <f>_xlfn.IFERROR(AM30/AI30-1,"")</f>
        <v/>
      </c>
      <c r="AQ30" s="186" t="n">
        <v>81</v>
      </c>
      <c r="AR30" s="287" t="n">
        <v>1.1484</v>
      </c>
      <c r="AS30" s="287" t="n">
        <v>1.00642</v>
      </c>
      <c r="AT30" s="285">
        <f>_xlfn.IFERROR(AS30/AR30,"")</f>
        <v/>
      </c>
      <c r="AU30" s="186" t="n">
        <v>100</v>
      </c>
      <c r="AV30" s="287" t="n">
        <v>1.3674</v>
      </c>
      <c r="AW30" s="287" t="n">
        <v>1.1991</v>
      </c>
      <c r="AX30" s="287">
        <f>AW30/AV30</f>
        <v/>
      </c>
      <c r="AY30" s="286">
        <f>_xlfn.IFERROR(AX30-AT30,"")</f>
        <v/>
      </c>
      <c r="AZ30" s="119">
        <f>_xlfn.IFERROR(AW30/AS30-1,"")</f>
        <v/>
      </c>
      <c r="BA30" s="186" t="n">
        <v>112</v>
      </c>
      <c r="BB30" s="287" t="n">
        <v>1.5692</v>
      </c>
      <c r="BC30" s="287" t="n">
        <v>1.245</v>
      </c>
      <c r="BD30" s="287">
        <f>BC30/BB30</f>
        <v/>
      </c>
      <c r="BE30" s="186" t="n">
        <v>52</v>
      </c>
      <c r="BF30" s="287" t="n">
        <v>0.7203000000000001</v>
      </c>
      <c r="BG30" s="287" t="n">
        <v>0.7203000000000001</v>
      </c>
      <c r="BH30" s="287">
        <f>BG30/BF30</f>
        <v/>
      </c>
      <c r="BI30" s="288">
        <f>_xlfn.IFERROR(BN30/((BF30/4)*30),"")</f>
        <v/>
      </c>
      <c r="BJ30" s="289">
        <f>_xlfn.IFERROR(BE30/4*31,"")</f>
        <v/>
      </c>
      <c r="BK30" s="290">
        <f>_xlfn.IFERROR(BG30/4*31,"")</f>
        <v/>
      </c>
      <c r="BL30" s="291">
        <f>_xlfn.IFERROR(BH30-BD30,"")</f>
        <v/>
      </c>
      <c r="BM30" s="150">
        <f>_xlfn.IFERROR(BK30/BC30-1,"")</f>
        <v/>
      </c>
      <c r="BN30" s="291" t="n">
        <v>25.6457</v>
      </c>
    </row>
    <row r="31" ht="13.5" customHeight="1" s="245">
      <c r="A31" s="61" t="n"/>
      <c r="B31" s="186" t="inlineStr">
        <is>
          <t>Guangzhou Zhonghuan Jizhidao Sports Apparel Store</t>
        </is>
      </c>
      <c r="C31" s="186" t="n"/>
      <c r="D31" s="61" t="n">
        <v>0</v>
      </c>
      <c r="E31" s="61" t="n">
        <v>0</v>
      </c>
      <c r="F31" s="287">
        <f>E31/D31</f>
        <v/>
      </c>
      <c r="G31" s="186" t="n">
        <v>387</v>
      </c>
      <c r="H31" s="287" t="n">
        <v>7.5223</v>
      </c>
      <c r="I31" s="287" t="n">
        <v>4.59765</v>
      </c>
      <c r="J31" s="287">
        <f>I31/H31</f>
        <v/>
      </c>
      <c r="K31" s="286">
        <f>_xlfn.IFERROR(J31-F31,"")</f>
        <v/>
      </c>
      <c r="L31" s="119">
        <f>_xlfn.IFERROR(I31/E31-1,"")</f>
        <v/>
      </c>
      <c r="M31" s="186" t="n"/>
      <c r="N31" s="287" t="n">
        <v>0</v>
      </c>
      <c r="O31" s="287" t="n">
        <v>0</v>
      </c>
      <c r="P31" s="287">
        <f>O31/N31</f>
        <v/>
      </c>
      <c r="Q31" s="186" t="n">
        <v>151</v>
      </c>
      <c r="R31" s="287" t="n">
        <v>2.9855</v>
      </c>
      <c r="S31" s="287" t="n">
        <v>1.81885</v>
      </c>
      <c r="T31" s="287">
        <f>S31/R31</f>
        <v/>
      </c>
      <c r="U31" s="286">
        <f>_xlfn.IFERROR(T31-P31,"")</f>
        <v/>
      </c>
      <c r="V31" s="119">
        <f>_xlfn.IFERROR(S31/O31-1,"")</f>
        <v/>
      </c>
      <c r="W31" s="186" t="n"/>
      <c r="X31" s="287" t="n">
        <v>0</v>
      </c>
      <c r="Y31" s="287" t="n">
        <v>0</v>
      </c>
      <c r="Z31" s="287">
        <f>Y31/X31</f>
        <v/>
      </c>
      <c r="AA31" s="186" t="n">
        <v>109</v>
      </c>
      <c r="AB31" s="287" t="n">
        <v>2.575</v>
      </c>
      <c r="AC31" s="287" t="n">
        <v>1.5474</v>
      </c>
      <c r="AD31" s="287">
        <f>AC31/AB31</f>
        <v/>
      </c>
      <c r="AE31" s="286">
        <f>_xlfn.IFERROR(AD31-Z31,"")</f>
        <v/>
      </c>
      <c r="AF31" s="119">
        <f>_xlfn.IFERROR(AC31/Y31-1,"")</f>
        <v/>
      </c>
      <c r="AG31" s="186" t="n"/>
      <c r="AH31" s="287" t="n">
        <v>0</v>
      </c>
      <c r="AI31" s="287" t="n">
        <v>0</v>
      </c>
      <c r="AJ31" s="287">
        <f>AI31/AH31</f>
        <v/>
      </c>
      <c r="AK31" s="186" t="n">
        <v>63</v>
      </c>
      <c r="AL31" s="287" t="n">
        <v>1.1175</v>
      </c>
      <c r="AM31" s="287" t="n">
        <v>0.622</v>
      </c>
      <c r="AN31" s="287">
        <f>AM31/AL31</f>
        <v/>
      </c>
      <c r="AO31" s="286">
        <f>_xlfn.IFERROR(AN31-AJ31,"")</f>
        <v/>
      </c>
      <c r="AP31" s="119">
        <f>_xlfn.IFERROR(AM31/AI31-1,"")</f>
        <v/>
      </c>
      <c r="AQ31" s="186" t="n"/>
      <c r="AR31" s="287" t="n">
        <v>0</v>
      </c>
      <c r="AS31" s="287" t="n">
        <v>0</v>
      </c>
      <c r="AT31" s="285">
        <f>_xlfn.IFERROR(AS31/AR31,"")</f>
        <v/>
      </c>
      <c r="AU31" s="186" t="n">
        <v>64</v>
      </c>
      <c r="AV31" s="287" t="n">
        <v>0.8443000000000001</v>
      </c>
      <c r="AW31" s="287" t="n">
        <v>0.6094000000000001</v>
      </c>
      <c r="AX31" s="287">
        <f>AW31/AV31</f>
        <v/>
      </c>
      <c r="AY31" s="286">
        <f>_xlfn.IFERROR(AX31-AT31,"")</f>
        <v/>
      </c>
      <c r="AZ31" s="119">
        <f>_xlfn.IFERROR(AW31/AS31-1,"")</f>
        <v/>
      </c>
      <c r="BA31" s="186" t="n"/>
      <c r="BB31" s="287" t="n">
        <v>0</v>
      </c>
      <c r="BC31" s="287" t="n">
        <v>0</v>
      </c>
      <c r="BD31" s="287">
        <f>BC31/BB31</f>
        <v/>
      </c>
      <c r="BE31" s="186" t="n"/>
      <c r="BF31" s="287" t="n">
        <v>0</v>
      </c>
      <c r="BG31" s="287" t="n">
        <v>0</v>
      </c>
      <c r="BH31" s="287">
        <f>BG31/BF31</f>
        <v/>
      </c>
      <c r="BI31" s="288">
        <f>_xlfn.IFERROR(BN31/((BF31/4)*30),"")</f>
        <v/>
      </c>
      <c r="BJ31" s="289">
        <f>_xlfn.IFERROR(BE31/4*31,"")</f>
        <v/>
      </c>
      <c r="BK31" s="290">
        <f>_xlfn.IFERROR(BG31/4*31,"")</f>
        <v/>
      </c>
      <c r="BL31" s="291">
        <f>_xlfn.IFERROR(BH31-BD31,"")</f>
        <v/>
      </c>
      <c r="BM31" s="150">
        <f>_xlfn.IFERROR(BK31/BC31-1,"")</f>
        <v/>
      </c>
      <c r="BN31" s="291" t="n">
        <v>28.9399</v>
      </c>
    </row>
    <row r="32" ht="13.5" customHeight="1" s="245">
      <c r="A32" s="183" t="inlineStr">
        <is>
          <t>Guangzhou Zone 1 Summary</t>
        </is>
      </c>
      <c r="B32" s="109" t="n"/>
      <c r="C32" s="183" t="n">
        <v>18610</v>
      </c>
      <c r="D32" s="61" t="n">
        <v>419.8222</v>
      </c>
      <c r="E32" s="61" t="n">
        <v>276.05276</v>
      </c>
      <c r="F32" s="285">
        <f>E32/D32</f>
        <v/>
      </c>
      <c r="G32" s="183" t="n">
        <v>23417</v>
      </c>
      <c r="H32" s="285" t="n">
        <v>577.0325</v>
      </c>
      <c r="I32" s="285" t="n">
        <v>353.397966</v>
      </c>
      <c r="J32" s="285">
        <f>I32/H32</f>
        <v/>
      </c>
      <c r="K32" s="292">
        <f>_xlfn.IFERROR(J32-F32,"")</f>
        <v/>
      </c>
      <c r="L32" s="121">
        <f>_xlfn.IFERROR(I32/E32-1,"")</f>
        <v/>
      </c>
      <c r="M32" s="117" t="n">
        <v>6829</v>
      </c>
      <c r="N32" s="285" t="n">
        <v>193.331</v>
      </c>
      <c r="O32" s="285" t="n">
        <v>130.77544</v>
      </c>
      <c r="P32" s="285">
        <f>O32/N32</f>
        <v/>
      </c>
      <c r="Q32" s="183" t="n">
        <v>10088</v>
      </c>
      <c r="R32" s="285" t="n">
        <v>268.5753</v>
      </c>
      <c r="S32" s="285" t="n">
        <v>172.38357</v>
      </c>
      <c r="T32" s="285">
        <f>S32/R32</f>
        <v/>
      </c>
      <c r="U32" s="292">
        <f>_xlfn.IFERROR(T32-P32,"")</f>
        <v/>
      </c>
      <c r="V32" s="121">
        <f>_xlfn.IFERROR(S32/O32-1,"")</f>
        <v/>
      </c>
      <c r="W32" s="117" t="n">
        <v>4327</v>
      </c>
      <c r="X32" s="285" t="n">
        <v>88.36660000000001</v>
      </c>
      <c r="Y32" s="285" t="n">
        <v>59.42456</v>
      </c>
      <c r="Z32" s="285">
        <f>Y32/X32</f>
        <v/>
      </c>
      <c r="AA32" s="183" t="n">
        <v>4782</v>
      </c>
      <c r="AB32" s="285" t="n">
        <v>135.9126</v>
      </c>
      <c r="AC32" s="285" t="n">
        <v>77.591927</v>
      </c>
      <c r="AD32" s="285">
        <f>AC32/AB32</f>
        <v/>
      </c>
      <c r="AE32" s="292">
        <f>_xlfn.IFERROR(AD32-Z32,"")</f>
        <v/>
      </c>
      <c r="AF32" s="121">
        <f>_xlfn.IFERROR(AC32/Y32-1,"")</f>
        <v/>
      </c>
      <c r="AG32" s="117" t="n">
        <v>3956</v>
      </c>
      <c r="AH32" s="285" t="n">
        <v>77.9853</v>
      </c>
      <c r="AI32" s="285" t="n">
        <v>44.39424</v>
      </c>
      <c r="AJ32" s="285">
        <f>AI32/AH32</f>
        <v/>
      </c>
      <c r="AK32" s="183" t="n">
        <v>4225</v>
      </c>
      <c r="AL32" s="285" t="n">
        <v>101.3744</v>
      </c>
      <c r="AM32" s="285" t="n">
        <v>54.9859</v>
      </c>
      <c r="AN32" s="285">
        <f>AM32/AL32</f>
        <v/>
      </c>
      <c r="AO32" s="292">
        <f>_xlfn.IFERROR(AN32-AJ32,"")</f>
        <v/>
      </c>
      <c r="AP32" s="121">
        <f>_xlfn.IFERROR(AM32/AI32-1,"")</f>
        <v/>
      </c>
      <c r="AQ32" s="117" t="n">
        <v>2774</v>
      </c>
      <c r="AR32" s="285" t="n">
        <v>48.4928</v>
      </c>
      <c r="AS32" s="285" t="n">
        <v>33.57073</v>
      </c>
      <c r="AT32" s="285">
        <f>_xlfn.IFERROR(AS32/AR32,"")</f>
        <v/>
      </c>
      <c r="AU32" s="183" t="n">
        <v>3747</v>
      </c>
      <c r="AV32" s="285" t="n">
        <v>60.8337</v>
      </c>
      <c r="AW32" s="285" t="n">
        <v>40.269249</v>
      </c>
      <c r="AX32" s="285">
        <f>AW32/AV32</f>
        <v/>
      </c>
      <c r="AY32" s="292">
        <f>_xlfn.IFERROR(AX32-AT32,"")</f>
        <v/>
      </c>
      <c r="AZ32" s="121">
        <f>_xlfn.IFERROR(AW32/AS32-1,"")</f>
        <v/>
      </c>
      <c r="BA32" s="117" t="n">
        <v>4675</v>
      </c>
      <c r="BB32" s="285" t="n">
        <v>81.23</v>
      </c>
      <c r="BC32" s="285" t="n">
        <v>55.10718</v>
      </c>
      <c r="BD32" s="285">
        <f>BC32/BB32</f>
        <v/>
      </c>
      <c r="BE32" s="142" t="n">
        <v>575</v>
      </c>
      <c r="BF32" s="293" t="n">
        <v>10.3365</v>
      </c>
      <c r="BG32" s="293" t="n">
        <v>8.16732</v>
      </c>
      <c r="BH32" s="293">
        <f>BG32/BF32</f>
        <v/>
      </c>
      <c r="BI32" s="288">
        <f>_xlfn.IFERROR(BN32/((BF32/4)*30),"")</f>
        <v/>
      </c>
      <c r="BJ32" s="294">
        <f>_xlfn.IFERROR(BE32/4*31,"")</f>
        <v/>
      </c>
      <c r="BK32" s="295">
        <f>_xlfn.IFERROR(BG32/4*31,"")</f>
        <v/>
      </c>
      <c r="BL32" s="291">
        <f>_xlfn.IFERROR(BH32-BD32,"")</f>
        <v/>
      </c>
      <c r="BM32" s="150">
        <f>_xlfn.IFERROR(BK32/BC32-1,"")</f>
        <v/>
      </c>
      <c r="BN32" s="291">
        <f>SUM(BN4:BN31)</f>
        <v/>
      </c>
    </row>
    <row r="33" ht="13.5" customHeight="1" s="245">
      <c r="A33" s="183" t="inlineStr">
        <is>
          <t>Guangzhou District 2</t>
        </is>
      </c>
      <c r="B33" s="183" t="inlineStr">
        <is>
          <t>(Guang) Dongguan Wancheng Tianhe Department Store Sports Lingerie Store</t>
        </is>
      </c>
      <c r="C33" s="183" t="n">
        <v>441</v>
      </c>
      <c r="D33" s="61" t="n">
        <v>11.5617</v>
      </c>
      <c r="E33" s="61" t="n">
        <v>10.7771</v>
      </c>
      <c r="F33" s="285">
        <f>E33/D33</f>
        <v/>
      </c>
      <c r="G33" s="183" t="n">
        <v>445</v>
      </c>
      <c r="H33" s="285" t="n">
        <v>9.517799999999999</v>
      </c>
      <c r="I33" s="285" t="n">
        <v>6.5449</v>
      </c>
      <c r="J33" s="285">
        <f>I33/H33</f>
        <v/>
      </c>
      <c r="K33" s="286">
        <f>_xlfn.IFERROR(J33-F33,"")</f>
        <v/>
      </c>
      <c r="L33" s="119">
        <f>_xlfn.IFERROR(I33/E33-1,"")</f>
        <v/>
      </c>
      <c r="M33" s="183" t="n">
        <v>273</v>
      </c>
      <c r="N33" s="285" t="n">
        <v>8.2578</v>
      </c>
      <c r="O33" s="285" t="n">
        <v>7.8923</v>
      </c>
      <c r="P33" s="285">
        <f>O33/N33</f>
        <v/>
      </c>
      <c r="Q33" s="183" t="n">
        <v>204</v>
      </c>
      <c r="R33" s="285" t="n">
        <v>5.2656</v>
      </c>
      <c r="S33" s="285" t="n">
        <v>4.1621</v>
      </c>
      <c r="T33" s="285">
        <f>S33/R33</f>
        <v/>
      </c>
      <c r="U33" s="286">
        <f>_xlfn.IFERROR(T33-P33,"")</f>
        <v/>
      </c>
      <c r="V33" s="119">
        <f>_xlfn.IFERROR(S33/O33-1,"")</f>
        <v/>
      </c>
      <c r="W33" s="183" t="n">
        <v>66</v>
      </c>
      <c r="X33" s="285" t="n">
        <v>1.5912</v>
      </c>
      <c r="Y33" s="285" t="n">
        <v>1.3885</v>
      </c>
      <c r="Z33" s="285">
        <f>Y33/X33</f>
        <v/>
      </c>
      <c r="AA33" s="183" t="n">
        <v>63</v>
      </c>
      <c r="AB33" s="285" t="n">
        <v>1.591</v>
      </c>
      <c r="AC33" s="285" t="n">
        <v>0.8007</v>
      </c>
      <c r="AD33" s="285">
        <f>AC33/AB33</f>
        <v/>
      </c>
      <c r="AE33" s="286">
        <f>_xlfn.IFERROR(AD33-Z33,"")</f>
        <v/>
      </c>
      <c r="AF33" s="119">
        <f>_xlfn.IFERROR(AC33/Y33-1,"")</f>
        <v/>
      </c>
      <c r="AG33" s="183" t="n">
        <v>31</v>
      </c>
      <c r="AH33" s="285" t="n">
        <v>0.679</v>
      </c>
      <c r="AI33" s="285" t="n">
        <v>0.5796</v>
      </c>
      <c r="AJ33" s="285">
        <f>AI33/AH33</f>
        <v/>
      </c>
      <c r="AK33" s="183" t="n">
        <v>106</v>
      </c>
      <c r="AL33" s="285" t="n">
        <v>1.6259</v>
      </c>
      <c r="AM33" s="285" t="n">
        <v>1.0051</v>
      </c>
      <c r="AN33" s="285">
        <f>AM33/AL33</f>
        <v/>
      </c>
      <c r="AO33" s="286">
        <f>_xlfn.IFERROR(AN33-AJ33,"")</f>
        <v/>
      </c>
      <c r="AP33" s="119">
        <f>_xlfn.IFERROR(AM33/AI33-1,"")</f>
        <v/>
      </c>
      <c r="AQ33" s="183" t="n">
        <v>63</v>
      </c>
      <c r="AR33" s="285" t="n">
        <v>0.9029</v>
      </c>
      <c r="AS33" s="285" t="n">
        <v>0.7979000000000001</v>
      </c>
      <c r="AT33" s="285">
        <f>_xlfn.IFERROR(AS33/AR33,"")</f>
        <v/>
      </c>
      <c r="AU33" s="183" t="n">
        <v>72</v>
      </c>
      <c r="AV33" s="285" t="n">
        <v>1.0353</v>
      </c>
      <c r="AW33" s="285" t="n">
        <v>0.577</v>
      </c>
      <c r="AX33" s="285">
        <f>AW33/AV33</f>
        <v/>
      </c>
      <c r="AY33" s="286">
        <f>_xlfn.IFERROR(AX33-AT33,"")</f>
        <v/>
      </c>
      <c r="AZ33" s="119">
        <f>_xlfn.IFERROR(AW33/AS33-1,"")</f>
        <v/>
      </c>
      <c r="BA33" s="183" t="n">
        <v>49</v>
      </c>
      <c r="BB33" s="285" t="n">
        <v>0.761</v>
      </c>
      <c r="BC33" s="285" t="n">
        <v>0.664</v>
      </c>
      <c r="BD33" s="285">
        <f>BC33/BB33</f>
        <v/>
      </c>
      <c r="BE33" s="186" t="n"/>
      <c r="BF33" s="287" t="n">
        <v>0</v>
      </c>
      <c r="BG33" s="287" t="n">
        <v>0</v>
      </c>
      <c r="BH33" s="287">
        <f>BG33/BF33</f>
        <v/>
      </c>
      <c r="BI33" s="288">
        <f>_xlfn.IFERROR(BN33/((BF33/4)*30),"")</f>
        <v/>
      </c>
      <c r="BJ33" s="289">
        <f>_xlfn.IFERROR(BE33/4*31,"")</f>
        <v/>
      </c>
      <c r="BK33" s="290">
        <f>_xlfn.IFERROR(BG33/4*31,"")</f>
        <v/>
      </c>
      <c r="BL33" s="291">
        <f>_xlfn.IFERROR(BH33-BD33,"")</f>
        <v/>
      </c>
      <c r="BM33" s="150">
        <f>_xlfn.IFERROR(BK33/BC33-1,"")</f>
        <v/>
      </c>
      <c r="BN33" s="291" t="n">
        <v>9.082800000000001</v>
      </c>
    </row>
    <row r="34" ht="13.5" customHeight="1" s="245">
      <c r="A34" s="61" t="n"/>
      <c r="B34" s="186" t="inlineStr">
        <is>
          <t>(Guang) Dongguan Chang'an Tianhong Lingerie Store</t>
        </is>
      </c>
      <c r="C34" s="186" t="n">
        <v>329</v>
      </c>
      <c r="D34" s="61" t="n">
        <v>6.8086</v>
      </c>
      <c r="E34" s="61" t="n">
        <v>4.07152</v>
      </c>
      <c r="F34" s="287">
        <f>E34/D34</f>
        <v/>
      </c>
      <c r="G34" s="186" t="n">
        <v>318</v>
      </c>
      <c r="H34" s="287" t="n">
        <v>7.7626</v>
      </c>
      <c r="I34" s="287" t="n">
        <v>3.64405</v>
      </c>
      <c r="J34" s="287">
        <f>I34/H34</f>
        <v/>
      </c>
      <c r="K34" s="286">
        <f>_xlfn.IFERROR(J34-F34,"")</f>
        <v/>
      </c>
      <c r="L34" s="119">
        <f>_xlfn.IFERROR(I34/E34-1,"")</f>
        <v/>
      </c>
      <c r="M34" s="186" t="n">
        <v>162</v>
      </c>
      <c r="N34" s="287" t="n">
        <v>4.1454</v>
      </c>
      <c r="O34" s="287" t="n">
        <v>2.46528</v>
      </c>
      <c r="P34" s="287">
        <f>O34/N34</f>
        <v/>
      </c>
      <c r="Q34" s="186" t="n">
        <v>133</v>
      </c>
      <c r="R34" s="287" t="n">
        <v>4.5912</v>
      </c>
      <c r="S34" s="287" t="n">
        <v>2.15803</v>
      </c>
      <c r="T34" s="287">
        <f>S34/R34</f>
        <v/>
      </c>
      <c r="U34" s="286">
        <f>_xlfn.IFERROR(T34-P34,"")</f>
        <v/>
      </c>
      <c r="V34" s="119">
        <f>_xlfn.IFERROR(S34/O34-1,"")</f>
        <v/>
      </c>
      <c r="W34" s="186" t="n">
        <v>49</v>
      </c>
      <c r="X34" s="287" t="n">
        <v>0.9116</v>
      </c>
      <c r="Y34" s="287" t="n">
        <v>0.48559</v>
      </c>
      <c r="Z34" s="287">
        <f>Y34/X34</f>
        <v/>
      </c>
      <c r="AA34" s="186" t="n">
        <v>40</v>
      </c>
      <c r="AB34" s="287" t="n">
        <v>1.1018</v>
      </c>
      <c r="AC34" s="287" t="n">
        <v>0.48561</v>
      </c>
      <c r="AD34" s="287">
        <f>AC34/AB34</f>
        <v/>
      </c>
      <c r="AE34" s="286">
        <f>_xlfn.IFERROR(AD34-Z34,"")</f>
        <v/>
      </c>
      <c r="AF34" s="119">
        <f>_xlfn.IFERROR(AC34/Y34-1,"")</f>
        <v/>
      </c>
      <c r="AG34" s="186" t="n">
        <v>20</v>
      </c>
      <c r="AH34" s="287" t="n">
        <v>0.3378</v>
      </c>
      <c r="AI34" s="287" t="n">
        <v>0.22101</v>
      </c>
      <c r="AJ34" s="287">
        <f>AI34/AH34</f>
        <v/>
      </c>
      <c r="AK34" s="186" t="n">
        <v>79</v>
      </c>
      <c r="AL34" s="287" t="n">
        <v>1.1683</v>
      </c>
      <c r="AM34" s="287" t="n">
        <v>0.58265</v>
      </c>
      <c r="AN34" s="287">
        <f>AM34/AL34</f>
        <v/>
      </c>
      <c r="AO34" s="286">
        <f>_xlfn.IFERROR(AN34-AJ34,"")</f>
        <v/>
      </c>
      <c r="AP34" s="119">
        <f>_xlfn.IFERROR(AM34/AI34-1,"")</f>
        <v/>
      </c>
      <c r="AQ34" s="186" t="n">
        <v>41</v>
      </c>
      <c r="AR34" s="287" t="n">
        <v>0.6484</v>
      </c>
      <c r="AS34" s="287" t="n">
        <v>0.35667</v>
      </c>
      <c r="AT34" s="285">
        <f>_xlfn.IFERROR(AS34/AR34,"")</f>
        <v/>
      </c>
      <c r="AU34" s="186" t="n">
        <v>66</v>
      </c>
      <c r="AV34" s="287" t="n">
        <v>0.9013</v>
      </c>
      <c r="AW34" s="287" t="n">
        <v>0.41776</v>
      </c>
      <c r="AX34" s="287">
        <f>AW34/AV34</f>
        <v/>
      </c>
      <c r="AY34" s="286">
        <f>_xlfn.IFERROR(AX34-AT34,"")</f>
        <v/>
      </c>
      <c r="AZ34" s="119">
        <f>_xlfn.IFERROR(AW34/AS34-1,"")</f>
        <v/>
      </c>
      <c r="BA34" s="186" t="n">
        <v>57</v>
      </c>
      <c r="BB34" s="287" t="n">
        <v>0.7654</v>
      </c>
      <c r="BC34" s="287" t="n">
        <v>0.54297</v>
      </c>
      <c r="BD34" s="287">
        <f>BC34/BB34</f>
        <v/>
      </c>
      <c r="BE34" s="186" t="n"/>
      <c r="BF34" s="287" t="n">
        <v>0</v>
      </c>
      <c r="BG34" s="287" t="n">
        <v>0</v>
      </c>
      <c r="BH34" s="287">
        <f>BG34/BF34</f>
        <v/>
      </c>
      <c r="BI34" s="288">
        <f>_xlfn.IFERROR(BN34/((BF34/4)*30),"")</f>
        <v/>
      </c>
      <c r="BJ34" s="289">
        <f>_xlfn.IFERROR(BE34/4*31,"")</f>
        <v/>
      </c>
      <c r="BK34" s="290">
        <f>_xlfn.IFERROR(BG34/4*31,"")</f>
        <v/>
      </c>
      <c r="BL34" s="291">
        <f>_xlfn.IFERROR(BH34-BD34,"")</f>
        <v/>
      </c>
      <c r="BM34" s="150">
        <f>_xlfn.IFERROR(BK34/BC34-1,"")</f>
        <v/>
      </c>
      <c r="BN34" s="291" t="n">
        <v>26.8418</v>
      </c>
    </row>
    <row r="35" ht="13.5" customHeight="1" s="245">
      <c r="A35" s="61" t="n"/>
      <c r="B35" s="186" t="inlineStr">
        <is>
          <t>(Guang) Guangdong Dongguan Houjie Mingfeng Plaza Lingerie Store</t>
        </is>
      </c>
      <c r="C35" s="186" t="n">
        <v>550</v>
      </c>
      <c r="D35" s="61" t="n">
        <v>11.897</v>
      </c>
      <c r="E35" s="61" t="n">
        <v>11.70678</v>
      </c>
      <c r="F35" s="287">
        <f>E35/D35</f>
        <v/>
      </c>
      <c r="G35" s="186" t="n">
        <v>415</v>
      </c>
      <c r="H35" s="287" t="n">
        <v>10.3293</v>
      </c>
      <c r="I35" s="287" t="n">
        <v>8.80841</v>
      </c>
      <c r="J35" s="287">
        <f>I35/H35</f>
        <v/>
      </c>
      <c r="K35" s="286">
        <f>_xlfn.IFERROR(J35-F35,"")</f>
        <v/>
      </c>
      <c r="L35" s="119">
        <f>_xlfn.IFERROR(I35/E35-1,"")</f>
        <v/>
      </c>
      <c r="M35" s="186" t="n">
        <v>201</v>
      </c>
      <c r="N35" s="287" t="n">
        <v>6.0831</v>
      </c>
      <c r="O35" s="287" t="n">
        <v>6.04511</v>
      </c>
      <c r="P35" s="287">
        <f>O35/N35</f>
        <v/>
      </c>
      <c r="Q35" s="186" t="n">
        <v>191</v>
      </c>
      <c r="R35" s="287" t="n">
        <v>5.7949</v>
      </c>
      <c r="S35" s="287" t="n">
        <v>5.31381</v>
      </c>
      <c r="T35" s="287">
        <f>S35/R35</f>
        <v/>
      </c>
      <c r="U35" s="286">
        <f>_xlfn.IFERROR(T35-P35,"")</f>
        <v/>
      </c>
      <c r="V35" s="119">
        <f>_xlfn.IFERROR(S35/O35-1,"")</f>
        <v/>
      </c>
      <c r="W35" s="186" t="n">
        <v>43</v>
      </c>
      <c r="X35" s="287" t="n">
        <v>0.7421</v>
      </c>
      <c r="Y35" s="287" t="n">
        <v>0.465486</v>
      </c>
      <c r="Z35" s="287">
        <f>Y35/X35</f>
        <v/>
      </c>
      <c r="AA35" s="186" t="n">
        <v>34</v>
      </c>
      <c r="AB35" s="287" t="n">
        <v>1.2404</v>
      </c>
      <c r="AC35" s="287" t="n">
        <v>0.78276</v>
      </c>
      <c r="AD35" s="287">
        <f>AC35/AB35</f>
        <v/>
      </c>
      <c r="AE35" s="286">
        <f>_xlfn.IFERROR(AD35-Z35,"")</f>
        <v/>
      </c>
      <c r="AF35" s="119">
        <f>_xlfn.IFERROR(AC35/Y35-1,"")</f>
        <v/>
      </c>
      <c r="AG35" s="186" t="n">
        <v>94</v>
      </c>
      <c r="AH35" s="287" t="n">
        <v>1.6173</v>
      </c>
      <c r="AI35" s="287" t="n">
        <v>1.781144</v>
      </c>
      <c r="AJ35" s="287">
        <f>AI35/AH35</f>
        <v/>
      </c>
      <c r="AK35" s="186" t="n">
        <v>85</v>
      </c>
      <c r="AL35" s="287" t="n">
        <v>1.6756</v>
      </c>
      <c r="AM35" s="287" t="n">
        <v>1.35488</v>
      </c>
      <c r="AN35" s="287">
        <f>AM35/AL35</f>
        <v/>
      </c>
      <c r="AO35" s="286">
        <f>_xlfn.IFERROR(AN35-AJ35,"")</f>
        <v/>
      </c>
      <c r="AP35" s="119">
        <f>_xlfn.IFERROR(AM35/AI35-1,"")</f>
        <v/>
      </c>
      <c r="AQ35" s="186" t="n">
        <v>172</v>
      </c>
      <c r="AR35" s="287" t="n">
        <v>2.8885</v>
      </c>
      <c r="AS35" s="287" t="n">
        <v>2.84904</v>
      </c>
      <c r="AT35" s="285">
        <f>_xlfn.IFERROR(AS35/AR35,"")</f>
        <v/>
      </c>
      <c r="AU35" s="186" t="n">
        <v>105</v>
      </c>
      <c r="AV35" s="287" t="n">
        <v>1.6184</v>
      </c>
      <c r="AW35" s="287" t="n">
        <v>1.35696</v>
      </c>
      <c r="AX35" s="287">
        <f>AW35/AV35</f>
        <v/>
      </c>
      <c r="AY35" s="286">
        <f>_xlfn.IFERROR(AX35-AT35,"")</f>
        <v/>
      </c>
      <c r="AZ35" s="119">
        <f>_xlfn.IFERROR(AW35/AS35-1,"")</f>
        <v/>
      </c>
      <c r="BA35" s="186" t="n">
        <v>158</v>
      </c>
      <c r="BB35" s="287" t="n">
        <v>2.5772</v>
      </c>
      <c r="BC35" s="287" t="n">
        <v>1.99329</v>
      </c>
      <c r="BD35" s="287">
        <f>BC35/BB35</f>
        <v/>
      </c>
      <c r="BE35" s="186" t="n"/>
      <c r="BF35" s="287" t="n">
        <v>0</v>
      </c>
      <c r="BG35" s="287" t="n">
        <v>0</v>
      </c>
      <c r="BH35" s="287">
        <f>BG35/BF35</f>
        <v/>
      </c>
      <c r="BI35" s="288">
        <f>_xlfn.IFERROR(BN35/((BF35/4)*30),"")</f>
        <v/>
      </c>
      <c r="BJ35" s="289">
        <f>_xlfn.IFERROR(BE35/4*31,"")</f>
        <v/>
      </c>
      <c r="BK35" s="290">
        <f>_xlfn.IFERROR(BG35/4*31,"")</f>
        <v/>
      </c>
      <c r="BL35" s="291">
        <f>_xlfn.IFERROR(BH35-BD35,"")</f>
        <v/>
      </c>
      <c r="BM35" s="150">
        <f>_xlfn.IFERROR(BK35/BC35-1,"")</f>
        <v/>
      </c>
      <c r="BN35" s="291" t="n">
        <v>50.5817</v>
      </c>
    </row>
    <row r="36" ht="13.5" customHeight="1" s="245">
      <c r="A36" s="61" t="n"/>
      <c r="B36" s="186" t="inlineStr">
        <is>
          <t>(Guang) Dongguan Houjie Tianhong Lingerie Store</t>
        </is>
      </c>
      <c r="C36" s="186" t="n">
        <v>171</v>
      </c>
      <c r="D36" s="61" t="n">
        <v>3.9095</v>
      </c>
      <c r="E36" s="61" t="n">
        <v>3.08538</v>
      </c>
      <c r="F36" s="287">
        <f>E36/D36</f>
        <v/>
      </c>
      <c r="G36" s="186" t="n">
        <v>105</v>
      </c>
      <c r="H36" s="287" t="n">
        <v>2.0359</v>
      </c>
      <c r="I36" s="287" t="n">
        <v>1.33302</v>
      </c>
      <c r="J36" s="287">
        <f>I36/H36</f>
        <v/>
      </c>
      <c r="K36" s="286">
        <f>_xlfn.IFERROR(J36-F36,"")</f>
        <v/>
      </c>
      <c r="L36" s="119">
        <f>_xlfn.IFERROR(I36/E36-1,"")</f>
        <v/>
      </c>
      <c r="M36" s="186" t="n">
        <v>97</v>
      </c>
      <c r="N36" s="287" t="n">
        <v>2.7851</v>
      </c>
      <c r="O36" s="287" t="n">
        <v>2.45407</v>
      </c>
      <c r="P36" s="287">
        <f>O36/N36</f>
        <v/>
      </c>
      <c r="Q36" s="186" t="n">
        <v>17</v>
      </c>
      <c r="R36" s="287" t="n">
        <v>0.489</v>
      </c>
      <c r="S36" s="287" t="n">
        <v>0.4363</v>
      </c>
      <c r="T36" s="287">
        <f>S36/R36</f>
        <v/>
      </c>
      <c r="U36" s="286">
        <f>_xlfn.IFERROR(T36-P36,"")</f>
        <v/>
      </c>
      <c r="V36" s="119">
        <f>_xlfn.IFERROR(S36/O36-1,"")</f>
        <v/>
      </c>
      <c r="W36" s="186" t="n">
        <v>22</v>
      </c>
      <c r="X36" s="287" t="n">
        <v>0.3551</v>
      </c>
      <c r="Y36" s="287" t="n">
        <v>0.18386</v>
      </c>
      <c r="Z36" s="287">
        <f>Y36/X36</f>
        <v/>
      </c>
      <c r="AA36" s="186" t="n">
        <v>23</v>
      </c>
      <c r="AB36" s="287" t="n">
        <v>0.5391</v>
      </c>
      <c r="AC36" s="287" t="n">
        <v>0.49993</v>
      </c>
      <c r="AD36" s="287">
        <f>AC36/AB36</f>
        <v/>
      </c>
      <c r="AE36" s="286">
        <f>_xlfn.IFERROR(AD36-Z36,"")</f>
        <v/>
      </c>
      <c r="AF36" s="119">
        <f>_xlfn.IFERROR(AC36/Y36-1,"")</f>
        <v/>
      </c>
      <c r="AG36" s="186" t="n">
        <v>29</v>
      </c>
      <c r="AH36" s="287" t="n">
        <v>0.4157</v>
      </c>
      <c r="AI36" s="287" t="n">
        <v>0.16361</v>
      </c>
      <c r="AJ36" s="287">
        <f>AI36/AH36</f>
        <v/>
      </c>
      <c r="AK36" s="186" t="n">
        <v>25</v>
      </c>
      <c r="AL36" s="287" t="n">
        <v>0.414</v>
      </c>
      <c r="AM36" s="287" t="n">
        <v>0.17411</v>
      </c>
      <c r="AN36" s="287">
        <f>AM36/AL36</f>
        <v/>
      </c>
      <c r="AO36" s="286">
        <f>_xlfn.IFERROR(AN36-AJ36,"")</f>
        <v/>
      </c>
      <c r="AP36" s="119">
        <f>_xlfn.IFERROR(AM36/AI36-1,"")</f>
        <v/>
      </c>
      <c r="AQ36" s="186" t="n">
        <v>16</v>
      </c>
      <c r="AR36" s="287" t="n">
        <v>0.2359</v>
      </c>
      <c r="AS36" s="287" t="n">
        <v>0.1881</v>
      </c>
      <c r="AT36" s="285">
        <f>_xlfn.IFERROR(AS36/AR36,"")</f>
        <v/>
      </c>
      <c r="AU36" s="186" t="n">
        <v>40</v>
      </c>
      <c r="AV36" s="287" t="n">
        <v>0.5938</v>
      </c>
      <c r="AW36" s="287" t="n">
        <v>0.22268</v>
      </c>
      <c r="AX36" s="287">
        <f>AW36/AV36</f>
        <v/>
      </c>
      <c r="AY36" s="286">
        <f>_xlfn.IFERROR(AX36-AT36,"")</f>
        <v/>
      </c>
      <c r="AZ36" s="119">
        <f>_xlfn.IFERROR(AW36/AS36-1,"")</f>
        <v/>
      </c>
      <c r="BA36" s="186" t="n">
        <v>31</v>
      </c>
      <c r="BB36" s="287" t="n">
        <v>0.6277</v>
      </c>
      <c r="BC36" s="287" t="n">
        <v>0.53894</v>
      </c>
      <c r="BD36" s="287">
        <f>BC36/BB36</f>
        <v/>
      </c>
      <c r="BE36" s="186" t="n"/>
      <c r="BF36" s="287" t="n">
        <v>0</v>
      </c>
      <c r="BG36" s="287" t="n">
        <v>0</v>
      </c>
      <c r="BH36" s="287">
        <f>BG36/BF36</f>
        <v/>
      </c>
      <c r="BI36" s="288">
        <f>_xlfn.IFERROR(BN36/((BF36/4)*30),"")</f>
        <v/>
      </c>
      <c r="BJ36" s="289">
        <f>_xlfn.IFERROR(BE36/4*31,"")</f>
        <v/>
      </c>
      <c r="BK36" s="290">
        <f>_xlfn.IFERROR(BG36/4*31,"")</f>
        <v/>
      </c>
      <c r="BL36" s="291">
        <f>_xlfn.IFERROR(BH36-BD36,"")</f>
        <v/>
      </c>
      <c r="BM36" s="150">
        <f>_xlfn.IFERROR(BK36/BC36-1,"")</f>
        <v/>
      </c>
      <c r="BN36" s="291" t="n">
        <v>37.4866</v>
      </c>
    </row>
    <row r="37" ht="13.5" customHeight="1" s="245">
      <c r="A37" s="61" t="n"/>
      <c r="B37" s="186" t="inlineStr">
        <is>
          <t>(Guang) Dongguan Humen Tianhong Sport Lingerie Store</t>
        </is>
      </c>
      <c r="C37" s="186" t="n">
        <v>282</v>
      </c>
      <c r="D37" s="61" t="n">
        <v>6.397</v>
      </c>
      <c r="E37" s="61" t="n">
        <v>3.92935</v>
      </c>
      <c r="F37" s="287">
        <f>E37/D37</f>
        <v/>
      </c>
      <c r="G37" s="186" t="n">
        <v>248</v>
      </c>
      <c r="H37" s="287" t="n">
        <v>5.8532</v>
      </c>
      <c r="I37" s="287" t="n">
        <v>4.07796</v>
      </c>
      <c r="J37" s="287">
        <f>I37/H37</f>
        <v/>
      </c>
      <c r="K37" s="286">
        <f>_xlfn.IFERROR(J37-F37,"")</f>
        <v/>
      </c>
      <c r="L37" s="119">
        <f>_xlfn.IFERROR(I37/E37-1,"")</f>
        <v/>
      </c>
      <c r="M37" s="186" t="n">
        <v>159</v>
      </c>
      <c r="N37" s="287" t="n">
        <v>4.2156</v>
      </c>
      <c r="O37" s="287" t="n">
        <v>2.4166</v>
      </c>
      <c r="P37" s="287">
        <f>O37/N37</f>
        <v/>
      </c>
      <c r="Q37" s="186" t="n">
        <v>105</v>
      </c>
      <c r="R37" s="287" t="n">
        <v>3.0866</v>
      </c>
      <c r="S37" s="287" t="n">
        <v>2.13858</v>
      </c>
      <c r="T37" s="287">
        <f>S37/R37</f>
        <v/>
      </c>
      <c r="U37" s="286">
        <f>_xlfn.IFERROR(T37-P37,"")</f>
        <v/>
      </c>
      <c r="V37" s="119">
        <f>_xlfn.IFERROR(S37/O37-1,"")</f>
        <v/>
      </c>
      <c r="W37" s="186" t="n">
        <v>59</v>
      </c>
      <c r="X37" s="287" t="n">
        <v>1.1606</v>
      </c>
      <c r="Y37" s="287" t="n">
        <v>0.7206</v>
      </c>
      <c r="Z37" s="287">
        <f>Y37/X37</f>
        <v/>
      </c>
      <c r="AA37" s="186" t="n">
        <v>44</v>
      </c>
      <c r="AB37" s="287" t="n">
        <v>1.3702</v>
      </c>
      <c r="AC37" s="287" t="n">
        <v>0.76272</v>
      </c>
      <c r="AD37" s="287">
        <f>AC37/AB37</f>
        <v/>
      </c>
      <c r="AE37" s="286">
        <f>_xlfn.IFERROR(AD37-Z37,"")</f>
        <v/>
      </c>
      <c r="AF37" s="119">
        <f>_xlfn.IFERROR(AC37/Y37-1,"")</f>
        <v/>
      </c>
      <c r="AG37" s="186" t="n">
        <v>26</v>
      </c>
      <c r="AH37" s="287" t="n">
        <v>0.4507</v>
      </c>
      <c r="AI37" s="287" t="n">
        <v>0.38705</v>
      </c>
      <c r="AJ37" s="287">
        <f>AI37/AH37</f>
        <v/>
      </c>
      <c r="AK37" s="186" t="n">
        <v>30</v>
      </c>
      <c r="AL37" s="287" t="n">
        <v>0.5403</v>
      </c>
      <c r="AM37" s="287" t="n">
        <v>0.34591</v>
      </c>
      <c r="AN37" s="287">
        <f>AM37/AL37</f>
        <v/>
      </c>
      <c r="AO37" s="286">
        <f>_xlfn.IFERROR(AN37-AJ37,"")</f>
        <v/>
      </c>
      <c r="AP37" s="119">
        <f>_xlfn.IFERROR(AM37/AI37-1,"")</f>
        <v/>
      </c>
      <c r="AQ37" s="186" t="n">
        <v>38</v>
      </c>
      <c r="AR37" s="287" t="n">
        <v>0.5701000000000001</v>
      </c>
      <c r="AS37" s="287" t="n">
        <v>0.4051</v>
      </c>
      <c r="AT37" s="285">
        <f>_xlfn.IFERROR(AS37/AR37,"")</f>
        <v/>
      </c>
      <c r="AU37" s="186" t="n">
        <v>45</v>
      </c>
      <c r="AV37" s="287" t="n">
        <v>0.5931999999999999</v>
      </c>
      <c r="AW37" s="287" t="n">
        <v>0.56785</v>
      </c>
      <c r="AX37" s="287">
        <f>AW37/AV37</f>
        <v/>
      </c>
      <c r="AY37" s="286">
        <f>_xlfn.IFERROR(AX37-AT37,"")</f>
        <v/>
      </c>
      <c r="AZ37" s="119">
        <f>_xlfn.IFERROR(AW37/AS37-1,"")</f>
        <v/>
      </c>
      <c r="BA37" s="186" t="n">
        <v>115</v>
      </c>
      <c r="BB37" s="287" t="n">
        <v>2.1361</v>
      </c>
      <c r="BC37" s="287" t="n">
        <v>1.9465</v>
      </c>
      <c r="BD37" s="287">
        <f>BC37/BB37</f>
        <v/>
      </c>
      <c r="BE37" s="186" t="n">
        <v>24</v>
      </c>
      <c r="BF37" s="287" t="n">
        <v>0.2629</v>
      </c>
      <c r="BG37" s="287" t="n">
        <v>0.2629</v>
      </c>
      <c r="BH37" s="287">
        <f>BG37/BF37</f>
        <v/>
      </c>
      <c r="BI37" s="288">
        <f>_xlfn.IFERROR(BN37/((BF37/4)*30),"")</f>
        <v/>
      </c>
      <c r="BJ37" s="289">
        <f>_xlfn.IFERROR(BE37/4*31,"")</f>
        <v/>
      </c>
      <c r="BK37" s="290">
        <f>_xlfn.IFERROR(BG37/4*31,"")</f>
        <v/>
      </c>
      <c r="BL37" s="291">
        <f>_xlfn.IFERROR(BH37-BD37,"")</f>
        <v/>
      </c>
      <c r="BM37" s="150">
        <f>_xlfn.IFERROR(BK37/BC37-1,"")</f>
        <v/>
      </c>
      <c r="BN37" s="291" t="n">
        <v>52.2501</v>
      </c>
    </row>
    <row r="38" ht="13.5" customHeight="1" s="245">
      <c r="A38" s="61" t="n"/>
      <c r="B38" s="186" t="inlineStr">
        <is>
          <t>(Guang) Dongguan Huiyang Tianhong Sport Lingerie Store</t>
        </is>
      </c>
      <c r="C38" s="186" t="n">
        <v>256</v>
      </c>
      <c r="D38" s="61" t="n">
        <v>5.9015</v>
      </c>
      <c r="E38" s="61" t="n">
        <v>3.63784</v>
      </c>
      <c r="F38" s="287">
        <f>E38/D38</f>
        <v/>
      </c>
      <c r="G38" s="186" t="n">
        <v>378</v>
      </c>
      <c r="H38" s="287" t="n">
        <v>9.0197</v>
      </c>
      <c r="I38" s="287" t="n">
        <v>5.21081</v>
      </c>
      <c r="J38" s="287">
        <f>I38/H38</f>
        <v/>
      </c>
      <c r="K38" s="286">
        <f>_xlfn.IFERROR(J38-F38,"")</f>
        <v/>
      </c>
      <c r="L38" s="119">
        <f>_xlfn.IFERROR(I38/E38-1,"")</f>
        <v/>
      </c>
      <c r="M38" s="186" t="n">
        <v>108</v>
      </c>
      <c r="N38" s="287" t="n">
        <v>2.7213</v>
      </c>
      <c r="O38" s="287" t="n">
        <v>1.71133</v>
      </c>
      <c r="P38" s="287">
        <f>O38/N38</f>
        <v/>
      </c>
      <c r="Q38" s="186" t="n">
        <v>178</v>
      </c>
      <c r="R38" s="287" t="n">
        <v>5.0991</v>
      </c>
      <c r="S38" s="287" t="n">
        <v>2.6681</v>
      </c>
      <c r="T38" s="287">
        <f>S38/R38</f>
        <v/>
      </c>
      <c r="U38" s="286">
        <f>_xlfn.IFERROR(T38-P38,"")</f>
        <v/>
      </c>
      <c r="V38" s="119">
        <f>_xlfn.IFERROR(S38/O38-1,"")</f>
        <v/>
      </c>
      <c r="W38" s="186" t="n">
        <v>62</v>
      </c>
      <c r="X38" s="287" t="n">
        <v>1.6827</v>
      </c>
      <c r="Y38" s="287" t="n">
        <v>1.08046</v>
      </c>
      <c r="Z38" s="287">
        <f>Y38/X38</f>
        <v/>
      </c>
      <c r="AA38" s="186" t="n">
        <v>63</v>
      </c>
      <c r="AB38" s="287" t="n">
        <v>1.7385</v>
      </c>
      <c r="AC38" s="287" t="n">
        <v>1.05101</v>
      </c>
      <c r="AD38" s="287">
        <f>AC38/AB38</f>
        <v/>
      </c>
      <c r="AE38" s="286">
        <f>_xlfn.IFERROR(AD38-Z38,"")</f>
        <v/>
      </c>
      <c r="AF38" s="119">
        <f>_xlfn.IFERROR(AC38/Y38-1,"")</f>
        <v/>
      </c>
      <c r="AG38" s="186" t="n">
        <v>42</v>
      </c>
      <c r="AH38" s="287" t="n">
        <v>0.743</v>
      </c>
      <c r="AI38" s="287" t="n">
        <v>0.42875</v>
      </c>
      <c r="AJ38" s="287">
        <f>AI38/AH38</f>
        <v/>
      </c>
      <c r="AK38" s="186" t="n">
        <v>82</v>
      </c>
      <c r="AL38" s="287" t="n">
        <v>1.5535</v>
      </c>
      <c r="AM38" s="287" t="n">
        <v>0.9944499999999999</v>
      </c>
      <c r="AN38" s="287">
        <f>AM38/AL38</f>
        <v/>
      </c>
      <c r="AO38" s="286">
        <f>_xlfn.IFERROR(AN38-AJ38,"")</f>
        <v/>
      </c>
      <c r="AP38" s="119">
        <f>_xlfn.IFERROR(AM38/AI38-1,"")</f>
        <v/>
      </c>
      <c r="AQ38" s="186" t="n">
        <v>43</v>
      </c>
      <c r="AR38" s="287" t="n">
        <v>0.7386</v>
      </c>
      <c r="AS38" s="287" t="n">
        <v>0.40617</v>
      </c>
      <c r="AT38" s="285">
        <f>_xlfn.IFERROR(AS38/AR38,"")</f>
        <v/>
      </c>
      <c r="AU38" s="186" t="n">
        <v>55</v>
      </c>
      <c r="AV38" s="287" t="n">
        <v>0.6286</v>
      </c>
      <c r="AW38" s="287" t="n">
        <v>0.49725</v>
      </c>
      <c r="AX38" s="287">
        <f>AW38/AV38</f>
        <v/>
      </c>
      <c r="AY38" s="286">
        <f>_xlfn.IFERROR(AX38-AT38,"")</f>
        <v/>
      </c>
      <c r="AZ38" s="119">
        <f>_xlfn.IFERROR(AW38/AS38-1,"")</f>
        <v/>
      </c>
      <c r="BA38" s="186" t="n">
        <v>58</v>
      </c>
      <c r="BB38" s="287" t="n">
        <v>0.8075</v>
      </c>
      <c r="BC38" s="287" t="n">
        <v>0.473658</v>
      </c>
      <c r="BD38" s="287">
        <f>BC38/BB38</f>
        <v/>
      </c>
      <c r="BE38" s="186" t="n"/>
      <c r="BF38" s="287" t="n">
        <v>0</v>
      </c>
      <c r="BG38" s="287" t="n">
        <v>0</v>
      </c>
      <c r="BH38" s="287">
        <f>BG38/BF38</f>
        <v/>
      </c>
      <c r="BI38" s="288">
        <f>_xlfn.IFERROR(BN38/((BF38/4)*30),"")</f>
        <v/>
      </c>
      <c r="BJ38" s="289">
        <f>_xlfn.IFERROR(BE38/4*31,"")</f>
        <v/>
      </c>
      <c r="BK38" s="290">
        <f>_xlfn.IFERROR(BG38/4*31,"")</f>
        <v/>
      </c>
      <c r="BL38" s="291">
        <f>_xlfn.IFERROR(BH38-BD38,"")</f>
        <v/>
      </c>
      <c r="BM38" s="150">
        <f>_xlfn.IFERROR(BK38/BC38-1,"")</f>
        <v/>
      </c>
      <c r="BN38" s="291" t="n">
        <v>50.8178</v>
      </c>
    </row>
    <row r="39" ht="13.5" customHeight="1" s="245">
      <c r="A39" s="61" t="n"/>
      <c r="B39" s="186" t="inlineStr">
        <is>
          <t>(Guang) Guangdong Dongguan Shilong Tianhe Lingerie Department Store</t>
        </is>
      </c>
      <c r="C39" s="186" t="n">
        <v>322</v>
      </c>
      <c r="D39" s="61" t="n">
        <v>7.8374</v>
      </c>
      <c r="E39" s="61" t="n">
        <v>6.067085</v>
      </c>
      <c r="F39" s="287">
        <f>E39/D39</f>
        <v/>
      </c>
      <c r="G39" s="186" t="n">
        <v>248</v>
      </c>
      <c r="H39" s="287" t="n">
        <v>6.9353</v>
      </c>
      <c r="I39" s="287" t="n">
        <v>3.985922</v>
      </c>
      <c r="J39" s="287">
        <f>I39/H39</f>
        <v/>
      </c>
      <c r="K39" s="286">
        <f>_xlfn.IFERROR(J39-F39,"")</f>
        <v/>
      </c>
      <c r="L39" s="119">
        <f>_xlfn.IFERROR(I39/E39-1,"")</f>
        <v/>
      </c>
      <c r="M39" s="186" t="n">
        <v>180</v>
      </c>
      <c r="N39" s="287" t="n">
        <v>4.9778</v>
      </c>
      <c r="O39" s="287" t="n">
        <v>3.86783</v>
      </c>
      <c r="P39" s="287">
        <f>O39/N39</f>
        <v/>
      </c>
      <c r="Q39" s="186" t="n">
        <v>116</v>
      </c>
      <c r="R39" s="287" t="n">
        <v>3.6091</v>
      </c>
      <c r="S39" s="287" t="n">
        <v>2.058995</v>
      </c>
      <c r="T39" s="287">
        <f>S39/R39</f>
        <v/>
      </c>
      <c r="U39" s="286">
        <f>_xlfn.IFERROR(T39-P39,"")</f>
        <v/>
      </c>
      <c r="V39" s="119">
        <f>_xlfn.IFERROR(S39/O39-1,"")</f>
        <v/>
      </c>
      <c r="W39" s="186" t="n">
        <v>60</v>
      </c>
      <c r="X39" s="287" t="n">
        <v>1.2847</v>
      </c>
      <c r="Y39" s="287" t="n">
        <v>0.94718</v>
      </c>
      <c r="Z39" s="287">
        <f>Y39/X39</f>
        <v/>
      </c>
      <c r="AA39" s="186" t="n">
        <v>71</v>
      </c>
      <c r="AB39" s="287" t="n">
        <v>2.2499</v>
      </c>
      <c r="AC39" s="287" t="n">
        <v>1.244822</v>
      </c>
      <c r="AD39" s="287">
        <f>AC39/AB39</f>
        <v/>
      </c>
      <c r="AE39" s="286">
        <f>_xlfn.IFERROR(AD39-Z39,"")</f>
        <v/>
      </c>
      <c r="AF39" s="119">
        <f>_xlfn.IFERROR(AC39/Y39-1,"")</f>
        <v/>
      </c>
      <c r="AG39" s="186" t="n">
        <v>44</v>
      </c>
      <c r="AH39" s="287" t="n">
        <v>0.8875</v>
      </c>
      <c r="AI39" s="287" t="n">
        <v>0.7002699999999999</v>
      </c>
      <c r="AJ39" s="287">
        <f>AI39/AH39</f>
        <v/>
      </c>
      <c r="AK39" s="186" t="n">
        <v>41</v>
      </c>
      <c r="AL39" s="287" t="n">
        <v>0.7358</v>
      </c>
      <c r="AM39" s="287" t="n">
        <v>0.45015</v>
      </c>
      <c r="AN39" s="287">
        <f>AM39/AL39</f>
        <v/>
      </c>
      <c r="AO39" s="286">
        <f>_xlfn.IFERROR(AN39-AJ39,"")</f>
        <v/>
      </c>
      <c r="AP39" s="119">
        <f>_xlfn.IFERROR(AM39/AI39-1,"")</f>
        <v/>
      </c>
      <c r="AQ39" s="186" t="n">
        <v>33</v>
      </c>
      <c r="AR39" s="287" t="n">
        <v>0.628</v>
      </c>
      <c r="AS39" s="287" t="n">
        <v>0.50499</v>
      </c>
      <c r="AT39" s="285">
        <f>_xlfn.IFERROR(AS39/AR39,"")</f>
        <v/>
      </c>
      <c r="AU39" s="186" t="n">
        <v>20</v>
      </c>
      <c r="AV39" s="287" t="n">
        <v>0.3405</v>
      </c>
      <c r="AW39" s="287" t="n">
        <v>0.231955</v>
      </c>
      <c r="AX39" s="287">
        <f>AW39/AV39</f>
        <v/>
      </c>
      <c r="AY39" s="286">
        <f>_xlfn.IFERROR(AX39-AT39,"")</f>
        <v/>
      </c>
      <c r="AZ39" s="119">
        <f>_xlfn.IFERROR(AW39/AS39-1,"")</f>
        <v/>
      </c>
      <c r="BA39" s="186" t="n">
        <v>53</v>
      </c>
      <c r="BB39" s="287" t="n">
        <v>0.8834</v>
      </c>
      <c r="BC39" s="287" t="n">
        <v>0.703902</v>
      </c>
      <c r="BD39" s="287">
        <f>BC39/BB39</f>
        <v/>
      </c>
      <c r="BE39" s="186" t="n"/>
      <c r="BF39" s="287" t="n">
        <v>0</v>
      </c>
      <c r="BG39" s="287" t="n">
        <v>0</v>
      </c>
      <c r="BH39" s="287">
        <f>BG39/BF39</f>
        <v/>
      </c>
      <c r="BI39" s="288">
        <f>_xlfn.IFERROR(BN39/((BF39/4)*30),"")</f>
        <v/>
      </c>
      <c r="BJ39" s="289">
        <f>_xlfn.IFERROR(BE39/4*31,"")</f>
        <v/>
      </c>
      <c r="BK39" s="290">
        <f>_xlfn.IFERROR(BG39/4*31,"")</f>
        <v/>
      </c>
      <c r="BL39" s="291">
        <f>_xlfn.IFERROR(BH39-BD39,"")</f>
        <v/>
      </c>
      <c r="BM39" s="150">
        <f>_xlfn.IFERROR(BK39/BC39-1,"")</f>
        <v/>
      </c>
      <c r="BN39" s="291" t="n">
        <v>49.5208</v>
      </c>
    </row>
    <row r="40" ht="13.5" customHeight="1" s="245">
      <c r="A40" s="61" t="n"/>
      <c r="B40" s="186" t="inlineStr">
        <is>
          <t>(Guang) Guangdong Huizhou Guangbai Lingerie Store</t>
        </is>
      </c>
      <c r="C40" s="186" t="n">
        <v>393</v>
      </c>
      <c r="D40" s="61" t="n">
        <v>7.1259</v>
      </c>
      <c r="E40" s="61" t="n">
        <v>3.6307</v>
      </c>
      <c r="F40" s="287">
        <f>E40/D40</f>
        <v/>
      </c>
      <c r="G40" s="186" t="n">
        <v>257</v>
      </c>
      <c r="H40" s="287" t="n">
        <v>4.9099</v>
      </c>
      <c r="I40" s="287" t="n">
        <v>2.1454</v>
      </c>
      <c r="J40" s="287">
        <f>I40/H40</f>
        <v/>
      </c>
      <c r="K40" s="286">
        <f>_xlfn.IFERROR(J40-F40,"")</f>
        <v/>
      </c>
      <c r="L40" s="119">
        <f>_xlfn.IFERROR(I40/E40-1,"")</f>
        <v/>
      </c>
      <c r="M40" s="186" t="n">
        <v>116</v>
      </c>
      <c r="N40" s="287" t="n">
        <v>2.7799</v>
      </c>
      <c r="O40" s="287" t="n">
        <v>1.401</v>
      </c>
      <c r="P40" s="287">
        <f>O40/N40</f>
        <v/>
      </c>
      <c r="Q40" s="186" t="n">
        <v>123</v>
      </c>
      <c r="R40" s="287" t="n">
        <v>2.6517</v>
      </c>
      <c r="S40" s="287" t="n">
        <v>1.2038</v>
      </c>
      <c r="T40" s="287">
        <f>S40/R40</f>
        <v/>
      </c>
      <c r="U40" s="286">
        <f>_xlfn.IFERROR(T40-P40,"")</f>
        <v/>
      </c>
      <c r="V40" s="119">
        <f>_xlfn.IFERROR(S40/O40-1,"")</f>
        <v/>
      </c>
      <c r="W40" s="186" t="n">
        <v>129</v>
      </c>
      <c r="X40" s="287" t="n">
        <v>2.339</v>
      </c>
      <c r="Y40" s="287" t="n">
        <v>1.1986</v>
      </c>
      <c r="Z40" s="287">
        <f>Y40/X40</f>
        <v/>
      </c>
      <c r="AA40" s="186" t="n">
        <v>56</v>
      </c>
      <c r="AB40" s="287" t="n">
        <v>1.0907</v>
      </c>
      <c r="AC40" s="287" t="n">
        <v>0.4576</v>
      </c>
      <c r="AD40" s="287">
        <f>AC40/AB40</f>
        <v/>
      </c>
      <c r="AE40" s="286">
        <f>_xlfn.IFERROR(AD40-Z40,"")</f>
        <v/>
      </c>
      <c r="AF40" s="119">
        <f>_xlfn.IFERROR(AC40/Y40-1,"")</f>
        <v/>
      </c>
      <c r="AG40" s="186" t="n">
        <v>59</v>
      </c>
      <c r="AH40" s="287" t="n">
        <v>0.8794999999999999</v>
      </c>
      <c r="AI40" s="287" t="n">
        <v>0.4661</v>
      </c>
      <c r="AJ40" s="287">
        <f>AI40/AH40</f>
        <v/>
      </c>
      <c r="AK40" s="186" t="n">
        <v>48</v>
      </c>
      <c r="AL40" s="287" t="n">
        <v>0.7623</v>
      </c>
      <c r="AM40" s="287" t="n">
        <v>0.3123</v>
      </c>
      <c r="AN40" s="287">
        <f>AM40/AL40</f>
        <v/>
      </c>
      <c r="AO40" s="286">
        <f>_xlfn.IFERROR(AN40-AJ40,"")</f>
        <v/>
      </c>
      <c r="AP40" s="119">
        <f>_xlfn.IFERROR(AM40/AI40-1,"")</f>
        <v/>
      </c>
      <c r="AQ40" s="186" t="n">
        <v>75</v>
      </c>
      <c r="AR40" s="287" t="n">
        <v>0.9468</v>
      </c>
      <c r="AS40" s="287" t="n">
        <v>0.4745</v>
      </c>
      <c r="AT40" s="285">
        <f>_xlfn.IFERROR(AS40/AR40,"")</f>
        <v/>
      </c>
      <c r="AU40" s="186" t="n">
        <v>30</v>
      </c>
      <c r="AV40" s="287" t="n">
        <v>0.4052</v>
      </c>
      <c r="AW40" s="287" t="n">
        <v>0.1717</v>
      </c>
      <c r="AX40" s="287">
        <f>AW40/AV40</f>
        <v/>
      </c>
      <c r="AY40" s="286">
        <f>_xlfn.IFERROR(AX40-AT40,"")</f>
        <v/>
      </c>
      <c r="AZ40" s="119">
        <f>_xlfn.IFERROR(AW40/AS40-1,"")</f>
        <v/>
      </c>
      <c r="BA40" s="186" t="n">
        <v>78</v>
      </c>
      <c r="BB40" s="287" t="n">
        <v>1.0056</v>
      </c>
      <c r="BC40" s="287" t="n">
        <v>0.4755</v>
      </c>
      <c r="BD40" s="287">
        <f>BC40/BB40</f>
        <v/>
      </c>
      <c r="BE40" s="186" t="n"/>
      <c r="BF40" s="287" t="n">
        <v>0</v>
      </c>
      <c r="BG40" s="287" t="n">
        <v>0</v>
      </c>
      <c r="BH40" s="287">
        <f>BG40/BF40</f>
        <v/>
      </c>
      <c r="BI40" s="288">
        <f>_xlfn.IFERROR(BN40/((BF40/4)*30),"")</f>
        <v/>
      </c>
      <c r="BJ40" s="289">
        <f>_xlfn.IFERROR(BE40/4*31,"")</f>
        <v/>
      </c>
      <c r="BK40" s="290">
        <f>_xlfn.IFERROR(BG40/4*31,"")</f>
        <v/>
      </c>
      <c r="BL40" s="291">
        <f>_xlfn.IFERROR(BH40-BD40,"")</f>
        <v/>
      </c>
      <c r="BM40" s="150">
        <f>_xlfn.IFERROR(BK40/BC40-1,"")</f>
        <v/>
      </c>
      <c r="BN40" s="291" t="n">
        <v>35.1549</v>
      </c>
    </row>
    <row r="41" ht="13.5" customHeight="1" s="245">
      <c r="A41" s="61" t="n"/>
      <c r="B41" s="186" t="inlineStr">
        <is>
          <t>(Guang) Guangdong Zhongshan Yangchun Yihua Sport Lingerie Store</t>
        </is>
      </c>
      <c r="C41" s="186" t="n">
        <v>67</v>
      </c>
      <c r="D41" s="61" t="n">
        <v>1.23</v>
      </c>
      <c r="E41" s="61" t="n">
        <v>0.9127</v>
      </c>
      <c r="F41" s="287">
        <f>E41/D41</f>
        <v/>
      </c>
      <c r="G41" s="186" t="n">
        <v>254</v>
      </c>
      <c r="H41" s="287" t="n">
        <v>4.8173</v>
      </c>
      <c r="I41" s="287" t="n">
        <v>2.8055</v>
      </c>
      <c r="J41" s="287">
        <f>I41/H41</f>
        <v/>
      </c>
      <c r="K41" s="286">
        <f>_xlfn.IFERROR(J41-F41,"")</f>
        <v/>
      </c>
      <c r="L41" s="119">
        <f>_xlfn.IFERROR(I41/E41-1,"")</f>
        <v/>
      </c>
      <c r="M41" s="186" t="n">
        <v>17</v>
      </c>
      <c r="N41" s="287" t="n">
        <v>0.2683</v>
      </c>
      <c r="O41" s="287" t="n">
        <v>0.215</v>
      </c>
      <c r="P41" s="287">
        <f>O41/N41</f>
        <v/>
      </c>
      <c r="Q41" s="186" t="n">
        <v>116</v>
      </c>
      <c r="R41" s="287" t="n">
        <v>2.0989</v>
      </c>
      <c r="S41" s="287" t="n">
        <v>1.1651</v>
      </c>
      <c r="T41" s="287">
        <f>S41/R41</f>
        <v/>
      </c>
      <c r="U41" s="286">
        <f>_xlfn.IFERROR(T41-P41,"")</f>
        <v/>
      </c>
      <c r="V41" s="119">
        <f>_xlfn.IFERROR(S41/O41-1,"")</f>
        <v/>
      </c>
      <c r="W41" s="186" t="n">
        <v>28</v>
      </c>
      <c r="X41" s="287" t="n">
        <v>0.6322</v>
      </c>
      <c r="Y41" s="287" t="n">
        <v>0.4734</v>
      </c>
      <c r="Z41" s="287">
        <f>Y41/X41</f>
        <v/>
      </c>
      <c r="AA41" s="186" t="n">
        <v>39</v>
      </c>
      <c r="AB41" s="287" t="n">
        <v>1.0582</v>
      </c>
      <c r="AC41" s="287" t="n">
        <v>0.6025</v>
      </c>
      <c r="AD41" s="287">
        <f>AC41/AB41</f>
        <v/>
      </c>
      <c r="AE41" s="286">
        <f>_xlfn.IFERROR(AD41-Z41,"")</f>
        <v/>
      </c>
      <c r="AF41" s="119">
        <f>_xlfn.IFERROR(AC41/Y41-1,"")</f>
        <v/>
      </c>
      <c r="AG41" s="186" t="n">
        <v>7</v>
      </c>
      <c r="AH41" s="287" t="n">
        <v>0.0709</v>
      </c>
      <c r="AI41" s="287" t="n">
        <v>0.056</v>
      </c>
      <c r="AJ41" s="287">
        <f>AI41/AH41</f>
        <v/>
      </c>
      <c r="AK41" s="186" t="n">
        <v>80</v>
      </c>
      <c r="AL41" s="287" t="n">
        <v>1.4145</v>
      </c>
      <c r="AM41" s="287" t="n">
        <v>0.8280999999999999</v>
      </c>
      <c r="AN41" s="287">
        <f>AM41/AL41</f>
        <v/>
      </c>
      <c r="AO41" s="286">
        <f>_xlfn.IFERROR(AN41-AJ41,"")</f>
        <v/>
      </c>
      <c r="AP41" s="119">
        <f>_xlfn.IFERROR(AM41/AI41-1,"")</f>
        <v/>
      </c>
      <c r="AQ41" s="186" t="n">
        <v>10</v>
      </c>
      <c r="AR41" s="287" t="n">
        <v>0.1465</v>
      </c>
      <c r="AS41" s="287" t="n">
        <v>0.08500000000000001</v>
      </c>
      <c r="AT41" s="285">
        <f>_xlfn.IFERROR(AS41/AR41,"")</f>
        <v/>
      </c>
      <c r="AU41" s="186" t="n">
        <v>19</v>
      </c>
      <c r="AV41" s="287" t="n">
        <v>0.2457</v>
      </c>
      <c r="AW41" s="287" t="n">
        <v>0.2098</v>
      </c>
      <c r="AX41" s="287">
        <f>AW41/AV41</f>
        <v/>
      </c>
      <c r="AY41" s="286">
        <f>_xlfn.IFERROR(AX41-AT41,"")</f>
        <v/>
      </c>
      <c r="AZ41" s="119">
        <f>_xlfn.IFERROR(AW41/AS41-1,"")</f>
        <v/>
      </c>
      <c r="BA41" s="186" t="n">
        <v>32</v>
      </c>
      <c r="BB41" s="287" t="n">
        <v>0.5009</v>
      </c>
      <c r="BC41" s="287" t="n">
        <v>0.421</v>
      </c>
      <c r="BD41" s="287">
        <f>BC41/BB41</f>
        <v/>
      </c>
      <c r="BE41" s="186" t="n"/>
      <c r="BF41" s="287" t="n">
        <v>0</v>
      </c>
      <c r="BG41" s="287" t="n">
        <v>0</v>
      </c>
      <c r="BH41" s="287">
        <f>BG41/BF41</f>
        <v/>
      </c>
      <c r="BI41" s="288">
        <f>_xlfn.IFERROR(BN41/((BF41/4)*30),"")</f>
        <v/>
      </c>
      <c r="BJ41" s="289">
        <f>_xlfn.IFERROR(BE41/4*31,"")</f>
        <v/>
      </c>
      <c r="BK41" s="290">
        <f>_xlfn.IFERROR(BG41/4*31,"")</f>
        <v/>
      </c>
      <c r="BL41" s="291">
        <f>_xlfn.IFERROR(BH41-BD41,"")</f>
        <v/>
      </c>
      <c r="BM41" s="150">
        <f>_xlfn.IFERROR(BK41/BC41-1,"")</f>
        <v/>
      </c>
      <c r="BN41" s="291" t="n">
        <v>35.9862</v>
      </c>
    </row>
    <row r="42" ht="13.5" customHeight="1" s="245">
      <c r="A42" s="61" t="n"/>
      <c r="B42" s="186" t="inlineStr">
        <is>
          <t>(Guangzhou) Dongguan Junshang Sports Lingerie Store</t>
        </is>
      </c>
      <c r="C42" s="186" t="n">
        <v>148</v>
      </c>
      <c r="D42" s="61" t="n">
        <v>3.1425</v>
      </c>
      <c r="E42" s="61" t="n">
        <v>2.77954</v>
      </c>
      <c r="F42" s="287">
        <f>E42/D42</f>
        <v/>
      </c>
      <c r="G42" s="186" t="n">
        <v>697</v>
      </c>
      <c r="H42" s="287" t="n">
        <v>20.1265</v>
      </c>
      <c r="I42" s="287" t="n">
        <v>10.91954</v>
      </c>
      <c r="J42" s="287">
        <f>I42/H42</f>
        <v/>
      </c>
      <c r="K42" s="286">
        <f>_xlfn.IFERROR(J42-F42,"")</f>
        <v/>
      </c>
      <c r="L42" s="119">
        <f>_xlfn.IFERROR(I42/E42-1,"")</f>
        <v/>
      </c>
      <c r="M42" s="186" t="n">
        <v>35</v>
      </c>
      <c r="N42" s="287" t="n">
        <v>0.7986</v>
      </c>
      <c r="O42" s="287" t="n">
        <v>0.76577</v>
      </c>
      <c r="P42" s="287">
        <f>O42/N42</f>
        <v/>
      </c>
      <c r="Q42" s="186" t="n">
        <v>383</v>
      </c>
      <c r="R42" s="287" t="n">
        <v>11.8673</v>
      </c>
      <c r="S42" s="287" t="n">
        <v>5.44859</v>
      </c>
      <c r="T42" s="287">
        <f>S42/R42</f>
        <v/>
      </c>
      <c r="U42" s="286">
        <f>_xlfn.IFERROR(T42-P42,"")</f>
        <v/>
      </c>
      <c r="V42" s="119">
        <f>_xlfn.IFERROR(S42/O42-1,"")</f>
        <v/>
      </c>
      <c r="W42" s="186" t="n">
        <v>68</v>
      </c>
      <c r="X42" s="287" t="n">
        <v>1.4816</v>
      </c>
      <c r="Y42" s="287" t="n">
        <v>1.28101</v>
      </c>
      <c r="Z42" s="287">
        <f>Y42/X42</f>
        <v/>
      </c>
      <c r="AA42" s="186" t="n">
        <v>65</v>
      </c>
      <c r="AB42" s="287" t="n">
        <v>2.5611</v>
      </c>
      <c r="AC42" s="287" t="n">
        <v>1.60791</v>
      </c>
      <c r="AD42" s="287">
        <f>AC42/AB42</f>
        <v/>
      </c>
      <c r="AE42" s="286">
        <f>_xlfn.IFERROR(AD42-Z42,"")</f>
        <v/>
      </c>
      <c r="AF42" s="119">
        <f>_xlfn.IFERROR(AC42/Y42-1,"")</f>
        <v/>
      </c>
      <c r="AG42" s="186" t="n"/>
      <c r="AH42" s="287" t="n">
        <v>0</v>
      </c>
      <c r="AI42" s="287" t="n">
        <v>0</v>
      </c>
      <c r="AJ42" s="287">
        <f>AI42/AH42</f>
        <v/>
      </c>
      <c r="AK42" s="186" t="n">
        <v>74</v>
      </c>
      <c r="AL42" s="287" t="n">
        <v>2.4259</v>
      </c>
      <c r="AM42" s="287" t="n">
        <v>1.67115</v>
      </c>
      <c r="AN42" s="287">
        <f>AM42/AL42</f>
        <v/>
      </c>
      <c r="AO42" s="286">
        <f>_xlfn.IFERROR(AN42-AJ42,"")</f>
        <v/>
      </c>
      <c r="AP42" s="119">
        <f>_xlfn.IFERROR(AM42/AI42-1,"")</f>
        <v/>
      </c>
      <c r="AQ42" s="186" t="n">
        <v>12</v>
      </c>
      <c r="AR42" s="287" t="n">
        <v>0.2132</v>
      </c>
      <c r="AS42" s="287" t="n">
        <v>0.18096</v>
      </c>
      <c r="AT42" s="285">
        <f>_xlfn.IFERROR(AS42/AR42,"")</f>
        <v/>
      </c>
      <c r="AU42" s="186" t="n">
        <v>108</v>
      </c>
      <c r="AV42" s="287" t="n">
        <v>1.8826</v>
      </c>
      <c r="AW42" s="287" t="n">
        <v>1.37429</v>
      </c>
      <c r="AX42" s="287">
        <f>AW42/AV42</f>
        <v/>
      </c>
      <c r="AY42" s="286">
        <f>_xlfn.IFERROR(AX42-AT42,"")</f>
        <v/>
      </c>
      <c r="AZ42" s="119">
        <f>_xlfn.IFERROR(AW42/AS42-1,"")</f>
        <v/>
      </c>
      <c r="BA42" s="186" t="n">
        <v>33</v>
      </c>
      <c r="BB42" s="287" t="n">
        <v>0.6491</v>
      </c>
      <c r="BC42" s="287" t="n">
        <v>0.5518</v>
      </c>
      <c r="BD42" s="287">
        <f>BC42/BB42</f>
        <v/>
      </c>
      <c r="BE42" s="186" t="n">
        <v>67</v>
      </c>
      <c r="BF42" s="287" t="n">
        <v>1.3896</v>
      </c>
      <c r="BG42" s="287" t="n">
        <v>0.8176</v>
      </c>
      <c r="BH42" s="287">
        <f>BG42/BF42</f>
        <v/>
      </c>
      <c r="BI42" s="288">
        <f>_xlfn.IFERROR(BN42/((BF42/4)*30),"")</f>
        <v/>
      </c>
      <c r="BJ42" s="289">
        <f>_xlfn.IFERROR(BE42/4*31,"")</f>
        <v/>
      </c>
      <c r="BK42" s="290">
        <f>_xlfn.IFERROR(BG42/4*31,"")</f>
        <v/>
      </c>
      <c r="BL42" s="291">
        <f>_xlfn.IFERROR(BH42-BD42,"")</f>
        <v/>
      </c>
      <c r="BM42" s="150">
        <f>_xlfn.IFERROR(BK42/BC42-1,"")</f>
        <v/>
      </c>
      <c r="BN42" s="291" t="n">
        <v>105.9069</v>
      </c>
    </row>
    <row r="43" ht="13.5" customHeight="1" s="245">
      <c r="A43" s="61" t="n"/>
      <c r="B43" s="186" t="inlineStr">
        <is>
          <t>(Guangzhou) Jiangmen Yihua Lingerie Store</t>
        </is>
      </c>
      <c r="C43" s="186" t="n">
        <v>1060</v>
      </c>
      <c r="D43" s="61" t="n">
        <v>23.2361</v>
      </c>
      <c r="E43" s="61" t="n">
        <v>14.12469</v>
      </c>
      <c r="F43" s="287">
        <f>E43/D43</f>
        <v/>
      </c>
      <c r="G43" s="186" t="n">
        <v>971</v>
      </c>
      <c r="H43" s="287" t="n">
        <v>25.319</v>
      </c>
      <c r="I43" s="287" t="n">
        <v>14.77625</v>
      </c>
      <c r="J43" s="287">
        <f>I43/H43</f>
        <v/>
      </c>
      <c r="K43" s="286">
        <f>_xlfn.IFERROR(J43-F43,"")</f>
        <v/>
      </c>
      <c r="L43" s="119">
        <f>_xlfn.IFERROR(I43/E43-1,"")</f>
        <v/>
      </c>
      <c r="M43" s="186" t="n">
        <v>300</v>
      </c>
      <c r="N43" s="287" t="n">
        <v>8.332100000000001</v>
      </c>
      <c r="O43" s="287" t="n">
        <v>5.08769</v>
      </c>
      <c r="P43" s="287">
        <f>O43/N43</f>
        <v/>
      </c>
      <c r="Q43" s="186" t="n">
        <v>262</v>
      </c>
      <c r="R43" s="287" t="n">
        <v>7.7533</v>
      </c>
      <c r="S43" s="287" t="n">
        <v>5.3767</v>
      </c>
      <c r="T43" s="287">
        <f>S43/R43</f>
        <v/>
      </c>
      <c r="U43" s="286">
        <f>_xlfn.IFERROR(T43-P43,"")</f>
        <v/>
      </c>
      <c r="V43" s="119">
        <f>_xlfn.IFERROR(S43/O43-1,"")</f>
        <v/>
      </c>
      <c r="W43" s="186" t="n">
        <v>152</v>
      </c>
      <c r="X43" s="287" t="n">
        <v>3.4056</v>
      </c>
      <c r="Y43" s="287" t="n">
        <v>2.236</v>
      </c>
      <c r="Z43" s="287">
        <f>Y43/X43</f>
        <v/>
      </c>
      <c r="AA43" s="186" t="n">
        <v>112</v>
      </c>
      <c r="AB43" s="287" t="n">
        <v>3.7864</v>
      </c>
      <c r="AC43" s="287" t="n">
        <v>2.5472</v>
      </c>
      <c r="AD43" s="287">
        <f>AC43/AB43</f>
        <v/>
      </c>
      <c r="AE43" s="286">
        <f>_xlfn.IFERROR(AD43-Z43,"")</f>
        <v/>
      </c>
      <c r="AF43" s="119">
        <f>_xlfn.IFERROR(AC43/Y43-1,"")</f>
        <v/>
      </c>
      <c r="AG43" s="186" t="n">
        <v>233</v>
      </c>
      <c r="AH43" s="287" t="n">
        <v>4.8107</v>
      </c>
      <c r="AI43" s="287" t="n">
        <v>3.2016</v>
      </c>
      <c r="AJ43" s="287">
        <f>AI43/AH43</f>
        <v/>
      </c>
      <c r="AK43" s="186" t="n">
        <v>417</v>
      </c>
      <c r="AL43" s="287" t="n">
        <v>10.6323</v>
      </c>
      <c r="AM43" s="287" t="n">
        <v>4.72065</v>
      </c>
      <c r="AN43" s="287">
        <f>AM43/AL43</f>
        <v/>
      </c>
      <c r="AO43" s="286">
        <f>_xlfn.IFERROR(AN43-AJ43,"")</f>
        <v/>
      </c>
      <c r="AP43" s="119">
        <f>_xlfn.IFERROR(AM43/AI43-1,"")</f>
        <v/>
      </c>
      <c r="AQ43" s="186" t="n">
        <v>303</v>
      </c>
      <c r="AR43" s="287" t="n">
        <v>5.1308</v>
      </c>
      <c r="AS43" s="287" t="n">
        <v>2.8521</v>
      </c>
      <c r="AT43" s="285">
        <f>_xlfn.IFERROR(AS43/AR43,"")</f>
        <v/>
      </c>
      <c r="AU43" s="186" t="n">
        <v>155</v>
      </c>
      <c r="AV43" s="287" t="n">
        <v>2.7697</v>
      </c>
      <c r="AW43" s="287" t="n">
        <v>1.8583</v>
      </c>
      <c r="AX43" s="287">
        <f>AW43/AV43</f>
        <v/>
      </c>
      <c r="AY43" s="286">
        <f>_xlfn.IFERROR(AX43-AT43,"")</f>
        <v/>
      </c>
      <c r="AZ43" s="119">
        <f>_xlfn.IFERROR(AW43/AS43-1,"")</f>
        <v/>
      </c>
      <c r="BA43" s="186" t="n">
        <v>241</v>
      </c>
      <c r="BB43" s="287" t="n">
        <v>4.4639</v>
      </c>
      <c r="BC43" s="287" t="n">
        <v>2.9592</v>
      </c>
      <c r="BD43" s="287">
        <f>BC43/BB43</f>
        <v/>
      </c>
      <c r="BE43" s="186" t="n">
        <v>25</v>
      </c>
      <c r="BF43" s="287" t="n">
        <v>0.3773</v>
      </c>
      <c r="BG43" s="287" t="n">
        <v>0.2734</v>
      </c>
      <c r="BH43" s="287">
        <f>BG43/BF43</f>
        <v/>
      </c>
      <c r="BI43" s="288">
        <f>_xlfn.IFERROR(BN43/((BF43/4)*30),"")</f>
        <v/>
      </c>
      <c r="BJ43" s="289">
        <f>_xlfn.IFERROR(BE43/4*31,"")</f>
        <v/>
      </c>
      <c r="BK43" s="290">
        <f>_xlfn.IFERROR(BG43/4*31,"")</f>
        <v/>
      </c>
      <c r="BL43" s="291">
        <f>_xlfn.IFERROR(BH43-BD43,"")</f>
        <v/>
      </c>
      <c r="BM43" s="150">
        <f>_xlfn.IFERROR(BK43/BC43-1,"")</f>
        <v/>
      </c>
      <c r="BN43" s="291" t="n">
        <v>75.4813</v>
      </c>
    </row>
    <row r="44" ht="13.5" customHeight="1" s="245">
      <c r="A44" s="61" t="n"/>
      <c r="B44" s="186" t="inlineStr">
        <is>
          <t>(Guang) Zhongshan Yihua Department Store Lingerie Shop</t>
        </is>
      </c>
      <c r="C44" s="186" t="n">
        <v>1023</v>
      </c>
      <c r="D44" s="61" t="n">
        <v>21.7836</v>
      </c>
      <c r="E44" s="61" t="n">
        <v>14.20856</v>
      </c>
      <c r="F44" s="287">
        <f>E44/D44</f>
        <v/>
      </c>
      <c r="G44" s="186" t="n">
        <v>1102</v>
      </c>
      <c r="H44" s="287" t="n">
        <v>27.5749</v>
      </c>
      <c r="I44" s="287" t="n">
        <v>16.82676</v>
      </c>
      <c r="J44" s="287">
        <f>I44/H44</f>
        <v/>
      </c>
      <c r="K44" s="286">
        <f>_xlfn.IFERROR(J44-F44,"")</f>
        <v/>
      </c>
      <c r="L44" s="119">
        <f>_xlfn.IFERROR(I44/E44-1,"")</f>
        <v/>
      </c>
      <c r="M44" s="186" t="n">
        <v>364</v>
      </c>
      <c r="N44" s="287" t="n">
        <v>9.142799999999999</v>
      </c>
      <c r="O44" s="287" t="n">
        <v>5.92185</v>
      </c>
      <c r="P44" s="287">
        <f>O44/N44</f>
        <v/>
      </c>
      <c r="Q44" s="186" t="n">
        <v>561</v>
      </c>
      <c r="R44" s="287" t="n">
        <v>15.1304</v>
      </c>
      <c r="S44" s="287" t="n">
        <v>9.041449999999999</v>
      </c>
      <c r="T44" s="287">
        <f>S44/R44</f>
        <v/>
      </c>
      <c r="U44" s="286">
        <f>_xlfn.IFERROR(T44-P44,"")</f>
        <v/>
      </c>
      <c r="V44" s="119">
        <f>_xlfn.IFERROR(S44/O44-1,"")</f>
        <v/>
      </c>
      <c r="W44" s="186" t="n">
        <v>240</v>
      </c>
      <c r="X44" s="287" t="n">
        <v>5.0581</v>
      </c>
      <c r="Y44" s="287" t="n">
        <v>3.60891</v>
      </c>
      <c r="Z44" s="287">
        <f>Y44/X44</f>
        <v/>
      </c>
      <c r="AA44" s="186" t="n">
        <v>162</v>
      </c>
      <c r="AB44" s="287" t="n">
        <v>5.0834</v>
      </c>
      <c r="AC44" s="287" t="n">
        <v>3.3679</v>
      </c>
      <c r="AD44" s="287">
        <f>AC44/AB44</f>
        <v/>
      </c>
      <c r="AE44" s="286">
        <f>_xlfn.IFERROR(AD44-Z44,"")</f>
        <v/>
      </c>
      <c r="AF44" s="119">
        <f>_xlfn.IFERROR(AC44/Y44-1,"")</f>
        <v/>
      </c>
      <c r="AG44" s="186" t="n">
        <v>228</v>
      </c>
      <c r="AH44" s="287" t="n">
        <v>4.1518</v>
      </c>
      <c r="AI44" s="287" t="n">
        <v>2.32217</v>
      </c>
      <c r="AJ44" s="287">
        <f>AI44/AH44</f>
        <v/>
      </c>
      <c r="AK44" s="186" t="n">
        <v>247</v>
      </c>
      <c r="AL44" s="287" t="n">
        <v>5.057</v>
      </c>
      <c r="AM44" s="287" t="n">
        <v>2.78081</v>
      </c>
      <c r="AN44" s="287">
        <f>AM44/AL44</f>
        <v/>
      </c>
      <c r="AO44" s="286">
        <f>_xlfn.IFERROR(AN44-AJ44,"")</f>
        <v/>
      </c>
      <c r="AP44" s="119">
        <f>_xlfn.IFERROR(AM44/AI44-1,"")</f>
        <v/>
      </c>
      <c r="AQ44" s="186" t="n">
        <v>172</v>
      </c>
      <c r="AR44" s="287" t="n">
        <v>3.2086</v>
      </c>
      <c r="AS44" s="287" t="n">
        <v>2.14525</v>
      </c>
      <c r="AT44" s="285">
        <f>_xlfn.IFERROR(AS44/AR44,"")</f>
        <v/>
      </c>
      <c r="AU44" s="186" t="n">
        <v>76</v>
      </c>
      <c r="AV44" s="287" t="n">
        <v>1.2738</v>
      </c>
      <c r="AW44" s="287" t="n">
        <v>1.06524</v>
      </c>
      <c r="AX44" s="287">
        <f>AW44/AV44</f>
        <v/>
      </c>
      <c r="AY44" s="286">
        <f>_xlfn.IFERROR(AX44-AT44,"")</f>
        <v/>
      </c>
      <c r="AZ44" s="119">
        <f>_xlfn.IFERROR(AW44/AS44-1,"")</f>
        <v/>
      </c>
      <c r="BA44" s="186" t="n">
        <v>138</v>
      </c>
      <c r="BB44" s="287" t="n">
        <v>2.4537</v>
      </c>
      <c r="BC44" s="287" t="n">
        <v>2.1299</v>
      </c>
      <c r="BD44" s="287">
        <f>BC44/BB44</f>
        <v/>
      </c>
      <c r="BE44" s="186" t="n">
        <v>56</v>
      </c>
      <c r="BF44" s="287" t="n">
        <v>1.0303</v>
      </c>
      <c r="BG44" s="287" t="n">
        <v>0.57136</v>
      </c>
      <c r="BH44" s="287">
        <f>BG44/BF44</f>
        <v/>
      </c>
      <c r="BI44" s="288">
        <f>_xlfn.IFERROR(BN44/((BF44/4)*30),"")</f>
        <v/>
      </c>
      <c r="BJ44" s="289">
        <f>_xlfn.IFERROR(BE44/4*31,"")</f>
        <v/>
      </c>
      <c r="BK44" s="290">
        <f>_xlfn.IFERROR(BG44/4*31,"")</f>
        <v/>
      </c>
      <c r="BL44" s="291">
        <f>_xlfn.IFERROR(BH44-BD44,"")</f>
        <v/>
      </c>
      <c r="BM44" s="150">
        <f>_xlfn.IFERROR(BK44/BC44-1,"")</f>
        <v/>
      </c>
      <c r="BN44" s="291" t="n">
        <v>111.1199</v>
      </c>
    </row>
    <row r="45" ht="13.5" customHeight="1" s="245">
      <c r="A45" s="61" t="n"/>
      <c r="B45" s="186" t="inlineStr">
        <is>
          <t>Guangbai Department Store Online Store</t>
        </is>
      </c>
      <c r="C45" s="186" t="n">
        <v>426</v>
      </c>
      <c r="D45" s="61" t="n">
        <v>9.1242</v>
      </c>
      <c r="E45" s="61" t="n">
        <v>3.679</v>
      </c>
      <c r="F45" s="287">
        <f>E45/D45</f>
        <v/>
      </c>
      <c r="G45" s="186" t="n"/>
      <c r="H45" s="287" t="n">
        <v>0</v>
      </c>
      <c r="I45" s="287" t="n">
        <v>0</v>
      </c>
      <c r="J45" s="287">
        <f>I45/H45</f>
        <v/>
      </c>
      <c r="K45" s="286">
        <f>_xlfn.IFERROR(J45-F45,"")</f>
        <v/>
      </c>
      <c r="L45" s="119">
        <f>_xlfn.IFERROR(I45/E45-1,"")</f>
        <v/>
      </c>
      <c r="M45" s="186" t="n">
        <v>132</v>
      </c>
      <c r="N45" s="287" t="n">
        <v>3.5477</v>
      </c>
      <c r="O45" s="287" t="n">
        <v>1.5362</v>
      </c>
      <c r="P45" s="287">
        <f>O45/N45</f>
        <v/>
      </c>
      <c r="Q45" s="186" t="n"/>
      <c r="R45" s="287" t="n">
        <v>0</v>
      </c>
      <c r="S45" s="287" t="n">
        <v>0</v>
      </c>
      <c r="T45" s="287">
        <f>S45/R45</f>
        <v/>
      </c>
      <c r="U45" s="286">
        <f>_xlfn.IFERROR(T45-P45,"")</f>
        <v/>
      </c>
      <c r="V45" s="119">
        <f>_xlfn.IFERROR(S45/O45-1,"")</f>
        <v/>
      </c>
      <c r="W45" s="186" t="n">
        <v>86</v>
      </c>
      <c r="X45" s="287" t="n">
        <v>2.0936</v>
      </c>
      <c r="Y45" s="287" t="n">
        <v>0.8475</v>
      </c>
      <c r="Z45" s="287">
        <f>Y45/X45</f>
        <v/>
      </c>
      <c r="AA45" s="186" t="n"/>
      <c r="AB45" s="287" t="n">
        <v>0</v>
      </c>
      <c r="AC45" s="287" t="n">
        <v>0</v>
      </c>
      <c r="AD45" s="287">
        <f>AC45/AB45</f>
        <v/>
      </c>
      <c r="AE45" s="286">
        <f>_xlfn.IFERROR(AD45-Z45,"")</f>
        <v/>
      </c>
      <c r="AF45" s="119">
        <f>_xlfn.IFERROR(AC45/Y45-1,"")</f>
        <v/>
      </c>
      <c r="AG45" s="186" t="n">
        <v>208</v>
      </c>
      <c r="AH45" s="287" t="n">
        <v>3.4829</v>
      </c>
      <c r="AI45" s="287" t="n">
        <v>1.2953</v>
      </c>
      <c r="AJ45" s="287">
        <f>AI45/AH45</f>
        <v/>
      </c>
      <c r="AK45" s="186" t="n"/>
      <c r="AL45" s="287" t="n">
        <v>0</v>
      </c>
      <c r="AM45" s="287" t="n">
        <v>0</v>
      </c>
      <c r="AN45" s="287">
        <f>AM45/AL45</f>
        <v/>
      </c>
      <c r="AO45" s="286">
        <f>_xlfn.IFERROR(AN45-AJ45,"")</f>
        <v/>
      </c>
      <c r="AP45" s="119">
        <f>_xlfn.IFERROR(AM45/AI45-1,"")</f>
        <v/>
      </c>
      <c r="AQ45" s="186" t="n"/>
      <c r="AR45" s="287" t="n">
        <v>0</v>
      </c>
      <c r="AS45" s="287" t="n">
        <v>0</v>
      </c>
      <c r="AT45" s="285">
        <f>_xlfn.IFERROR(AS45/AR45,"")</f>
        <v/>
      </c>
      <c r="AU45" s="186" t="n"/>
      <c r="AV45" s="287" t="n">
        <v>0</v>
      </c>
      <c r="AW45" s="287" t="n">
        <v>0</v>
      </c>
      <c r="AX45" s="287">
        <f>AW45/AV45</f>
        <v/>
      </c>
      <c r="AY45" s="286">
        <f>_xlfn.IFERROR(AX45-AT45,"")</f>
        <v/>
      </c>
      <c r="AZ45" s="119">
        <f>_xlfn.IFERROR(AW45/AS45-1,"")</f>
        <v/>
      </c>
      <c r="BA45" s="186" t="n"/>
      <c r="BB45" s="287" t="n">
        <v>0</v>
      </c>
      <c r="BC45" s="287" t="n">
        <v>0</v>
      </c>
      <c r="BD45" s="287">
        <f>BC45/BB45</f>
        <v/>
      </c>
      <c r="BE45" s="186" t="n"/>
      <c r="BF45" s="287" t="n">
        <v>0</v>
      </c>
      <c r="BG45" s="287" t="n">
        <v>0</v>
      </c>
      <c r="BH45" s="287">
        <f>BG45/BF45</f>
        <v/>
      </c>
      <c r="BI45" s="288">
        <f>_xlfn.IFERROR(BN45/((BF45/4)*30),"")</f>
        <v/>
      </c>
      <c r="BJ45" s="289">
        <f>_xlfn.IFERROR(BE45/4*31,"")</f>
        <v/>
      </c>
      <c r="BK45" s="290">
        <f>_xlfn.IFERROR(BG45/4*31,"")</f>
        <v/>
      </c>
      <c r="BL45" s="291">
        <f>_xlfn.IFERROR(BH45-BD45,"")</f>
        <v/>
      </c>
      <c r="BM45" s="150">
        <f>_xlfn.IFERROR(BK45/BC45-1,"")</f>
        <v/>
      </c>
      <c r="BN45" s="291" t="n">
        <v>0.0604</v>
      </c>
    </row>
    <row r="46" ht="13.5" customHeight="1" s="245">
      <c r="A46" s="61" t="n"/>
      <c r="B46" s="186" t="inlineStr">
        <is>
          <t>Guangzhou Guangbai Department Store Sports Water Store</t>
        </is>
      </c>
      <c r="C46" s="186" t="n">
        <v>1200</v>
      </c>
      <c r="D46" s="61" t="n">
        <v>27.8581</v>
      </c>
      <c r="E46" s="61" t="n">
        <v>23.5246</v>
      </c>
      <c r="F46" s="287">
        <f>E46/D46</f>
        <v/>
      </c>
      <c r="G46" s="186" t="n">
        <v>1225</v>
      </c>
      <c r="H46" s="287" t="n">
        <v>32.0776</v>
      </c>
      <c r="I46" s="287" t="n">
        <v>25.2269</v>
      </c>
      <c r="J46" s="287">
        <f>I46/H46</f>
        <v/>
      </c>
      <c r="K46" s="286">
        <f>_xlfn.IFERROR(J46-F46,"")</f>
        <v/>
      </c>
      <c r="L46" s="119">
        <f>_xlfn.IFERROR(I46/E46-1,"")</f>
        <v/>
      </c>
      <c r="M46" s="186" t="n">
        <v>197</v>
      </c>
      <c r="N46" s="287" t="n">
        <v>4.9747</v>
      </c>
      <c r="O46" s="287" t="n">
        <v>4.1729</v>
      </c>
      <c r="P46" s="287">
        <f>O46/N46</f>
        <v/>
      </c>
      <c r="Q46" s="186" t="n">
        <v>309</v>
      </c>
      <c r="R46" s="287" t="n">
        <v>7.6121</v>
      </c>
      <c r="S46" s="287" t="n">
        <v>6.0213</v>
      </c>
      <c r="T46" s="287">
        <f>S46/R46</f>
        <v/>
      </c>
      <c r="U46" s="286">
        <f>_xlfn.IFERROR(T46-P46,"")</f>
        <v/>
      </c>
      <c r="V46" s="119">
        <f>_xlfn.IFERROR(S46/O46-1,"")</f>
        <v/>
      </c>
      <c r="W46" s="186" t="n">
        <v>309</v>
      </c>
      <c r="X46" s="287" t="n">
        <v>7.5831</v>
      </c>
      <c r="Y46" s="287" t="n">
        <v>6.4177</v>
      </c>
      <c r="Z46" s="287">
        <f>Y46/X46</f>
        <v/>
      </c>
      <c r="AA46" s="186" t="n">
        <v>329</v>
      </c>
      <c r="AB46" s="287" t="n">
        <v>9.0075</v>
      </c>
      <c r="AC46" s="287" t="n">
        <v>7.1977</v>
      </c>
      <c r="AD46" s="287">
        <f>AC46/AB46</f>
        <v/>
      </c>
      <c r="AE46" s="286">
        <f>_xlfn.IFERROR(AD46-Z46,"")</f>
        <v/>
      </c>
      <c r="AF46" s="119">
        <f>_xlfn.IFERROR(AC46/Y46-1,"")</f>
        <v/>
      </c>
      <c r="AG46" s="186" t="n">
        <v>289</v>
      </c>
      <c r="AH46" s="287" t="n">
        <v>6.6433</v>
      </c>
      <c r="AI46" s="287" t="n">
        <v>5.9292</v>
      </c>
      <c r="AJ46" s="287">
        <f>AI46/AH46</f>
        <v/>
      </c>
      <c r="AK46" s="186" t="n">
        <v>215</v>
      </c>
      <c r="AL46" s="287" t="n">
        <v>5.8818</v>
      </c>
      <c r="AM46" s="287" t="n">
        <v>4.4595</v>
      </c>
      <c r="AN46" s="287">
        <f>AM46/AL46</f>
        <v/>
      </c>
      <c r="AO46" s="286">
        <f>_xlfn.IFERROR(AN46-AJ46,"")</f>
        <v/>
      </c>
      <c r="AP46" s="119">
        <f>_xlfn.IFERROR(AM46/AI46-1,"")</f>
        <v/>
      </c>
      <c r="AQ46" s="186" t="n">
        <v>325</v>
      </c>
      <c r="AR46" s="287" t="n">
        <v>6.7742</v>
      </c>
      <c r="AS46" s="287" t="n">
        <v>5.5482</v>
      </c>
      <c r="AT46" s="285">
        <f>_xlfn.IFERROR(AS46/AR46,"")</f>
        <v/>
      </c>
      <c r="AU46" s="186" t="n">
        <v>294</v>
      </c>
      <c r="AV46" s="287" t="n">
        <v>7.6272</v>
      </c>
      <c r="AW46" s="287" t="n">
        <v>6.0656</v>
      </c>
      <c r="AX46" s="287">
        <f>AW46/AV46</f>
        <v/>
      </c>
      <c r="AY46" s="286">
        <f>_xlfn.IFERROR(AX46-AT46,"")</f>
        <v/>
      </c>
      <c r="AZ46" s="119">
        <f>_xlfn.IFERROR(AW46/AS46-1,"")</f>
        <v/>
      </c>
      <c r="BA46" s="186" t="n">
        <v>876</v>
      </c>
      <c r="BB46" s="287" t="n">
        <v>18.7557</v>
      </c>
      <c r="BC46" s="287" t="n">
        <v>13.6117</v>
      </c>
      <c r="BD46" s="287">
        <f>BC46/BB46</f>
        <v/>
      </c>
      <c r="BE46" s="186" t="n">
        <v>78</v>
      </c>
      <c r="BF46" s="287" t="n">
        <v>1.949</v>
      </c>
      <c r="BG46" s="287" t="n">
        <v>1.4828</v>
      </c>
      <c r="BH46" s="287">
        <f>BG46/BF46</f>
        <v/>
      </c>
      <c r="BI46" s="288">
        <f>_xlfn.IFERROR(BN46/((BF46/4)*30),"")</f>
        <v/>
      </c>
      <c r="BJ46" s="289">
        <f>_xlfn.IFERROR(BE46/4*31,"")</f>
        <v/>
      </c>
      <c r="BK46" s="290">
        <f>_xlfn.IFERROR(BG46/4*31,"")</f>
        <v/>
      </c>
      <c r="BL46" s="291">
        <f>_xlfn.IFERROR(BH46-BD46,"")</f>
        <v/>
      </c>
      <c r="BM46" s="150">
        <f>_xlfn.IFERROR(BK46/BC46-1,"")</f>
        <v/>
      </c>
      <c r="BN46" s="291" t="n">
        <v>72.2856</v>
      </c>
    </row>
    <row r="47" ht="13.5" customHeight="1" s="245">
      <c r="A47" s="61" t="n"/>
      <c r="B47" s="186" t="inlineStr">
        <is>
          <t>Guangzhou Guangbai Zhongyi Water Sports Store</t>
        </is>
      </c>
      <c r="C47" s="186" t="n">
        <v>855</v>
      </c>
      <c r="D47" s="61" t="n">
        <v>22.8378</v>
      </c>
      <c r="E47" s="61" t="n">
        <v>19.41297</v>
      </c>
      <c r="F47" s="287">
        <f>E47/D47</f>
        <v/>
      </c>
      <c r="G47" s="186" t="n">
        <v>676</v>
      </c>
      <c r="H47" s="287" t="n">
        <v>17.1867</v>
      </c>
      <c r="I47" s="287" t="n">
        <v>14.07379</v>
      </c>
      <c r="J47" s="287">
        <f>I47/H47</f>
        <v/>
      </c>
      <c r="K47" s="286">
        <f>_xlfn.IFERROR(J47-F47,"")</f>
        <v/>
      </c>
      <c r="L47" s="119">
        <f>_xlfn.IFERROR(I47/E47-1,"")</f>
        <v/>
      </c>
      <c r="M47" s="186" t="n">
        <v>117</v>
      </c>
      <c r="N47" s="287" t="n">
        <v>3.4006</v>
      </c>
      <c r="O47" s="287" t="n">
        <v>3.06479</v>
      </c>
      <c r="P47" s="287">
        <f>O47/N47</f>
        <v/>
      </c>
      <c r="Q47" s="186" t="n">
        <v>135</v>
      </c>
      <c r="R47" s="287" t="n">
        <v>3.803</v>
      </c>
      <c r="S47" s="287" t="n">
        <v>3.30122</v>
      </c>
      <c r="T47" s="287">
        <f>S47/R47</f>
        <v/>
      </c>
      <c r="U47" s="286">
        <f>_xlfn.IFERROR(T47-P47,"")</f>
        <v/>
      </c>
      <c r="V47" s="119">
        <f>_xlfn.IFERROR(S47/O47-1,"")</f>
        <v/>
      </c>
      <c r="W47" s="186" t="n">
        <v>231</v>
      </c>
      <c r="X47" s="287" t="n">
        <v>6.1194</v>
      </c>
      <c r="Y47" s="287" t="n">
        <v>5.40139</v>
      </c>
      <c r="Z47" s="287">
        <f>Y47/X47</f>
        <v/>
      </c>
      <c r="AA47" s="186" t="n">
        <v>94</v>
      </c>
      <c r="AB47" s="287" t="n">
        <v>2.7464</v>
      </c>
      <c r="AC47" s="287" t="n">
        <v>2.34087</v>
      </c>
      <c r="AD47" s="287">
        <f>AC47/AB47</f>
        <v/>
      </c>
      <c r="AE47" s="286">
        <f>_xlfn.IFERROR(AD47-Z47,"")</f>
        <v/>
      </c>
      <c r="AF47" s="119">
        <f>_xlfn.IFERROR(AC47/Y47-1,"")</f>
        <v/>
      </c>
      <c r="AG47" s="186" t="n">
        <v>284</v>
      </c>
      <c r="AH47" s="287" t="n">
        <v>7.7232</v>
      </c>
      <c r="AI47" s="287" t="n">
        <v>6.43401</v>
      </c>
      <c r="AJ47" s="287">
        <f>AI47/AH47</f>
        <v/>
      </c>
      <c r="AK47" s="186" t="n">
        <v>234</v>
      </c>
      <c r="AL47" s="287" t="n">
        <v>5.8677</v>
      </c>
      <c r="AM47" s="287" t="n">
        <v>4.48957</v>
      </c>
      <c r="AN47" s="287">
        <f>AM47/AL47</f>
        <v/>
      </c>
      <c r="AO47" s="286">
        <f>_xlfn.IFERROR(AN47-AJ47,"")</f>
        <v/>
      </c>
      <c r="AP47" s="119">
        <f>_xlfn.IFERROR(AM47/AI47-1,"")</f>
        <v/>
      </c>
      <c r="AQ47" s="186" t="n">
        <v>190</v>
      </c>
      <c r="AR47" s="287" t="n">
        <v>4.553</v>
      </c>
      <c r="AS47" s="287" t="n">
        <v>3.67471</v>
      </c>
      <c r="AT47" s="285">
        <f>_xlfn.IFERROR(AS47/AR47,"")</f>
        <v/>
      </c>
      <c r="AU47" s="186" t="n">
        <v>167</v>
      </c>
      <c r="AV47" s="287" t="n">
        <v>3.6182</v>
      </c>
      <c r="AW47" s="287" t="n">
        <v>3.05671</v>
      </c>
      <c r="AX47" s="287">
        <f>AW47/AV47</f>
        <v/>
      </c>
      <c r="AY47" s="286">
        <f>_xlfn.IFERROR(AX47-AT47,"")</f>
        <v/>
      </c>
      <c r="AZ47" s="119">
        <f>_xlfn.IFERROR(AW47/AS47-1,"")</f>
        <v/>
      </c>
      <c r="BA47" s="186" t="n">
        <v>174</v>
      </c>
      <c r="BB47" s="287" t="n">
        <v>4.508</v>
      </c>
      <c r="BC47" s="287" t="n">
        <v>4.05406</v>
      </c>
      <c r="BD47" s="287">
        <f>BC47/BB47</f>
        <v/>
      </c>
      <c r="BE47" s="186" t="n">
        <v>46</v>
      </c>
      <c r="BF47" s="287" t="n">
        <v>1.1514</v>
      </c>
      <c r="BG47" s="287" t="n">
        <v>0.88542</v>
      </c>
      <c r="BH47" s="287">
        <f>BG47/BF47</f>
        <v/>
      </c>
      <c r="BI47" s="288">
        <f>_xlfn.IFERROR(BN47/((BF47/4)*30),"")</f>
        <v/>
      </c>
      <c r="BJ47" s="289">
        <f>_xlfn.IFERROR(BE47/4*31,"")</f>
        <v/>
      </c>
      <c r="BK47" s="290">
        <f>_xlfn.IFERROR(BG47/4*31,"")</f>
        <v/>
      </c>
      <c r="BL47" s="291">
        <f>_xlfn.IFERROR(BH47-BD47,"")</f>
        <v/>
      </c>
      <c r="BM47" s="150">
        <f>_xlfn.IFERROR(BK47/BC47-1,"")</f>
        <v/>
      </c>
      <c r="BN47" s="291" t="n">
        <v>53.5278</v>
      </c>
    </row>
    <row r="48" ht="13.5" customHeight="1" s="245">
      <c r="A48" s="61" t="n"/>
      <c r="B48" s="186" t="inlineStr">
        <is>
          <t>Guangzhou Haiyin Youyicheng Yoga Fitness Store</t>
        </is>
      </c>
      <c r="C48" s="186" t="n">
        <v>1055</v>
      </c>
      <c r="D48" s="61" t="n">
        <v>23.667</v>
      </c>
      <c r="E48" s="61" t="n">
        <v>14.5047</v>
      </c>
      <c r="F48" s="287">
        <f>E48/D48</f>
        <v/>
      </c>
      <c r="G48" s="186" t="n">
        <v>1206</v>
      </c>
      <c r="H48" s="287" t="n">
        <v>28.0046</v>
      </c>
      <c r="I48" s="287" t="n">
        <v>16.235</v>
      </c>
      <c r="J48" s="287">
        <f>I48/H48</f>
        <v/>
      </c>
      <c r="K48" s="286">
        <f>_xlfn.IFERROR(J48-F48,"")</f>
        <v/>
      </c>
      <c r="L48" s="119">
        <f>_xlfn.IFERROR(I48/E48-1,"")</f>
        <v/>
      </c>
      <c r="M48" s="186" t="n">
        <v>210</v>
      </c>
      <c r="N48" s="287" t="n">
        <v>5.8741</v>
      </c>
      <c r="O48" s="287" t="n">
        <v>3.5779</v>
      </c>
      <c r="P48" s="287">
        <f>O48/N48</f>
        <v/>
      </c>
      <c r="Q48" s="186" t="n">
        <v>180</v>
      </c>
      <c r="R48" s="287" t="n">
        <v>4.754</v>
      </c>
      <c r="S48" s="287" t="n">
        <v>2.69</v>
      </c>
      <c r="T48" s="287">
        <f>S48/R48</f>
        <v/>
      </c>
      <c r="U48" s="286">
        <f>_xlfn.IFERROR(T48-P48,"")</f>
        <v/>
      </c>
      <c r="V48" s="119">
        <f>_xlfn.IFERROR(S48/O48-1,"")</f>
        <v/>
      </c>
      <c r="W48" s="186" t="n">
        <v>151</v>
      </c>
      <c r="X48" s="287" t="n">
        <v>3.9754</v>
      </c>
      <c r="Y48" s="287" t="n">
        <v>2.73</v>
      </c>
      <c r="Z48" s="287">
        <f>Y48/X48</f>
        <v/>
      </c>
      <c r="AA48" s="186" t="n">
        <v>235</v>
      </c>
      <c r="AB48" s="287" t="n">
        <v>5.5066</v>
      </c>
      <c r="AC48" s="287" t="n">
        <v>3.1719</v>
      </c>
      <c r="AD48" s="287">
        <f>AC48/AB48</f>
        <v/>
      </c>
      <c r="AE48" s="286">
        <f>_xlfn.IFERROR(AD48-Z48,"")</f>
        <v/>
      </c>
      <c r="AF48" s="119">
        <f>_xlfn.IFERROR(AC48/Y48-1,"")</f>
        <v/>
      </c>
      <c r="AG48" s="186" t="n">
        <v>356</v>
      </c>
      <c r="AH48" s="287" t="n">
        <v>7.0484</v>
      </c>
      <c r="AI48" s="287" t="n">
        <v>4.1378</v>
      </c>
      <c r="AJ48" s="287">
        <f>AI48/AH48</f>
        <v/>
      </c>
      <c r="AK48" s="186" t="n">
        <v>290</v>
      </c>
      <c r="AL48" s="287" t="n">
        <v>6.6214</v>
      </c>
      <c r="AM48" s="287" t="n">
        <v>3.8993</v>
      </c>
      <c r="AN48" s="287">
        <f>AM48/AL48</f>
        <v/>
      </c>
      <c r="AO48" s="286">
        <f>_xlfn.IFERROR(AN48-AJ48,"")</f>
        <v/>
      </c>
      <c r="AP48" s="119">
        <f>_xlfn.IFERROR(AM48/AI48-1,"")</f>
        <v/>
      </c>
      <c r="AQ48" s="186" t="n">
        <v>314</v>
      </c>
      <c r="AR48" s="287" t="n">
        <v>6.368</v>
      </c>
      <c r="AS48" s="287" t="n">
        <v>3.8048</v>
      </c>
      <c r="AT48" s="285">
        <f>_xlfn.IFERROR(AS48/AR48,"")</f>
        <v/>
      </c>
      <c r="AU48" s="186" t="n">
        <v>404</v>
      </c>
      <c r="AV48" s="287" t="n">
        <v>8.974600000000001</v>
      </c>
      <c r="AW48" s="287" t="n">
        <v>5.2121</v>
      </c>
      <c r="AX48" s="287">
        <f>AW48/AV48</f>
        <v/>
      </c>
      <c r="AY48" s="286">
        <f>_xlfn.IFERROR(AX48-AT48,"")</f>
        <v/>
      </c>
      <c r="AZ48" s="119">
        <f>_xlfn.IFERROR(AW48/AS48-1,"")</f>
        <v/>
      </c>
      <c r="BA48" s="186" t="n">
        <v>251</v>
      </c>
      <c r="BB48" s="287" t="n">
        <v>4.939</v>
      </c>
      <c r="BC48" s="287" t="n">
        <v>3.0235</v>
      </c>
      <c r="BD48" s="287">
        <f>BC48/BB48</f>
        <v/>
      </c>
      <c r="BE48" s="186" t="n">
        <v>97</v>
      </c>
      <c r="BF48" s="287" t="n">
        <v>2.148</v>
      </c>
      <c r="BG48" s="287" t="n">
        <v>1.2617</v>
      </c>
      <c r="BH48" s="287">
        <f>BG48/BF48</f>
        <v/>
      </c>
      <c r="BI48" s="288">
        <f>_xlfn.IFERROR(BN48/((BF48/4)*30),"")</f>
        <v/>
      </c>
      <c r="BJ48" s="289">
        <f>_xlfn.IFERROR(BE48/4*31,"")</f>
        <v/>
      </c>
      <c r="BK48" s="290">
        <f>_xlfn.IFERROR(BG48/4*31,"")</f>
        <v/>
      </c>
      <c r="BL48" s="291">
        <f>_xlfn.IFERROR(BH48-BD48,"")</f>
        <v/>
      </c>
      <c r="BM48" s="150">
        <f>_xlfn.IFERROR(BK48/BC48-1,"")</f>
        <v/>
      </c>
      <c r="BN48" s="291" t="n">
        <v>64.0462</v>
      </c>
    </row>
    <row r="49" ht="13.5" customHeight="1" s="245">
      <c r="A49" s="61" t="n"/>
      <c r="B49" s="186" t="inlineStr">
        <is>
          <t>Guangzhou Shidai Friendship Sports Apparel Store</t>
        </is>
      </c>
      <c r="C49" s="186" t="n">
        <v>80</v>
      </c>
      <c r="D49" s="61" t="n">
        <v>4.352</v>
      </c>
      <c r="E49" s="61" t="n">
        <v>1.96015</v>
      </c>
      <c r="F49" s="287">
        <f>E49/D49</f>
        <v/>
      </c>
      <c r="G49" s="186" t="n">
        <v>937</v>
      </c>
      <c r="H49" s="287" t="n">
        <v>22.2471</v>
      </c>
      <c r="I49" s="287" t="n">
        <v>10.39525</v>
      </c>
      <c r="J49" s="287">
        <f>I49/H49</f>
        <v/>
      </c>
      <c r="K49" s="286">
        <f>_xlfn.IFERROR(J49-F49,"")</f>
        <v/>
      </c>
      <c r="L49" s="119">
        <f>_xlfn.IFERROR(I49/E49-1,"")</f>
        <v/>
      </c>
      <c r="M49" s="186" t="n"/>
      <c r="N49" s="287" t="n">
        <v>0</v>
      </c>
      <c r="O49" s="287" t="n">
        <v>0</v>
      </c>
      <c r="P49" s="287">
        <f>O49/N49</f>
        <v/>
      </c>
      <c r="Q49" s="186" t="n">
        <v>189</v>
      </c>
      <c r="R49" s="287" t="n">
        <v>5.0576</v>
      </c>
      <c r="S49" s="287" t="n">
        <v>2.3678</v>
      </c>
      <c r="T49" s="287">
        <f>S49/R49</f>
        <v/>
      </c>
      <c r="U49" s="286">
        <f>_xlfn.IFERROR(T49-P49,"")</f>
        <v/>
      </c>
      <c r="V49" s="119">
        <f>_xlfn.IFERROR(S49/O49-1,"")</f>
        <v/>
      </c>
      <c r="W49" s="186" t="n"/>
      <c r="X49" s="287" t="n">
        <v>0</v>
      </c>
      <c r="Y49" s="287" t="n">
        <v>0</v>
      </c>
      <c r="Z49" s="287">
        <f>Y49/X49</f>
        <v/>
      </c>
      <c r="AA49" s="186" t="n">
        <v>195</v>
      </c>
      <c r="AB49" s="287" t="n">
        <v>5.2175</v>
      </c>
      <c r="AC49" s="287" t="n">
        <v>2.34291</v>
      </c>
      <c r="AD49" s="287">
        <f>AC49/AB49</f>
        <v/>
      </c>
      <c r="AE49" s="286">
        <f>_xlfn.IFERROR(AD49-Z49,"")</f>
        <v/>
      </c>
      <c r="AF49" s="119">
        <f>_xlfn.IFERROR(AC49/Y49-1,"")</f>
        <v/>
      </c>
      <c r="AG49" s="186" t="n"/>
      <c r="AH49" s="287" t="n">
        <v>0</v>
      </c>
      <c r="AI49" s="287" t="n">
        <v>0</v>
      </c>
      <c r="AJ49" s="287">
        <f>AI49/AH49</f>
        <v/>
      </c>
      <c r="AK49" s="186" t="n">
        <v>221</v>
      </c>
      <c r="AL49" s="287" t="n">
        <v>4.8122</v>
      </c>
      <c r="AM49" s="287" t="n">
        <v>2.19874</v>
      </c>
      <c r="AN49" s="287">
        <f>AM49/AL49</f>
        <v/>
      </c>
      <c r="AO49" s="286">
        <f>_xlfn.IFERROR(AN49-AJ49,"")</f>
        <v/>
      </c>
      <c r="AP49" s="119">
        <f>_xlfn.IFERROR(AM49/AI49-1,"")</f>
        <v/>
      </c>
      <c r="AQ49" s="186" t="n"/>
      <c r="AR49" s="287" t="n">
        <v>0</v>
      </c>
      <c r="AS49" s="287" t="n">
        <v>0</v>
      </c>
      <c r="AT49" s="285">
        <f>_xlfn.IFERROR(AS49/AR49,"")</f>
        <v/>
      </c>
      <c r="AU49" s="186" t="n">
        <v>285</v>
      </c>
      <c r="AV49" s="287" t="n">
        <v>6.192</v>
      </c>
      <c r="AW49" s="287" t="n">
        <v>3.0432</v>
      </c>
      <c r="AX49" s="287">
        <f>AW49/AV49</f>
        <v/>
      </c>
      <c r="AY49" s="286">
        <f>_xlfn.IFERROR(AX49-AT49,"")</f>
        <v/>
      </c>
      <c r="AZ49" s="119">
        <f>_xlfn.IFERROR(AW49/AS49-1,"")</f>
        <v/>
      </c>
      <c r="BA49" s="186" t="n">
        <v>80</v>
      </c>
      <c r="BB49" s="287" t="n">
        <v>4.352</v>
      </c>
      <c r="BC49" s="287" t="n">
        <v>1.96015</v>
      </c>
      <c r="BD49" s="287">
        <f>BC49/BB49</f>
        <v/>
      </c>
      <c r="BE49" s="186" t="n">
        <v>47</v>
      </c>
      <c r="BF49" s="287" t="n">
        <v>0.9678</v>
      </c>
      <c r="BG49" s="287" t="n">
        <v>0.4426</v>
      </c>
      <c r="BH49" s="287">
        <f>BG49/BF49</f>
        <v/>
      </c>
      <c r="BI49" s="288">
        <f>_xlfn.IFERROR(BN49/((BF49/4)*30),"")</f>
        <v/>
      </c>
      <c r="BJ49" s="289">
        <f>_xlfn.IFERROR(BE49/4*31,"")</f>
        <v/>
      </c>
      <c r="BK49" s="290">
        <f>_xlfn.IFERROR(BG49/4*31,"")</f>
        <v/>
      </c>
      <c r="BL49" s="291">
        <f>_xlfn.IFERROR(BH49-BD49,"")</f>
        <v/>
      </c>
      <c r="BM49" s="150">
        <f>_xlfn.IFERROR(BK49/BC49-1,"")</f>
        <v/>
      </c>
      <c r="BN49" s="291" t="n">
        <v>67.1365</v>
      </c>
    </row>
    <row r="50" ht="13.5" customHeight="1" s="245">
      <c r="A50" s="61" t="n"/>
      <c r="B50" s="186" t="inlineStr">
        <is>
          <t>Guangzhou Tianhe City G5 Sport Lingerie Store</t>
        </is>
      </c>
      <c r="C50" s="186" t="n">
        <v>673</v>
      </c>
      <c r="D50" s="61" t="n">
        <v>14.5294</v>
      </c>
      <c r="E50" s="61" t="n">
        <v>7.351866</v>
      </c>
      <c r="F50" s="287">
        <f>E50/D50</f>
        <v/>
      </c>
      <c r="G50" s="186" t="n">
        <v>941</v>
      </c>
      <c r="H50" s="287" t="n">
        <v>20.871</v>
      </c>
      <c r="I50" s="287" t="n">
        <v>8.6411</v>
      </c>
      <c r="J50" s="287">
        <f>I50/H50</f>
        <v/>
      </c>
      <c r="K50" s="286">
        <f>_xlfn.IFERROR(J50-F50,"")</f>
        <v/>
      </c>
      <c r="L50" s="119">
        <f>_xlfn.IFERROR(I50/E50-1,"")</f>
        <v/>
      </c>
      <c r="M50" s="186" t="n">
        <v>226</v>
      </c>
      <c r="N50" s="287" t="n">
        <v>6.6681</v>
      </c>
      <c r="O50" s="287" t="n">
        <v>3.5631</v>
      </c>
      <c r="P50" s="287">
        <f>O50/N50</f>
        <v/>
      </c>
      <c r="Q50" s="186" t="n">
        <v>385</v>
      </c>
      <c r="R50" s="287" t="n">
        <v>8.9902</v>
      </c>
      <c r="S50" s="287" t="n">
        <v>3.944</v>
      </c>
      <c r="T50" s="287">
        <f>S50/R50</f>
        <v/>
      </c>
      <c r="U50" s="286">
        <f>_xlfn.IFERROR(T50-P50,"")</f>
        <v/>
      </c>
      <c r="V50" s="119">
        <f>_xlfn.IFERROR(S50/O50-1,"")</f>
        <v/>
      </c>
      <c r="W50" s="186" t="n">
        <v>113</v>
      </c>
      <c r="X50" s="287" t="n">
        <v>2.1866</v>
      </c>
      <c r="Y50" s="287" t="n">
        <v>1.32306</v>
      </c>
      <c r="Z50" s="287">
        <f>Y50/X50</f>
        <v/>
      </c>
      <c r="AA50" s="186" t="n">
        <v>285</v>
      </c>
      <c r="AB50" s="287" t="n">
        <v>6.9865</v>
      </c>
      <c r="AC50" s="287" t="n">
        <v>2.4864</v>
      </c>
      <c r="AD50" s="287">
        <f>AC50/AB50</f>
        <v/>
      </c>
      <c r="AE50" s="286">
        <f>_xlfn.IFERROR(AD50-Z50,"")</f>
        <v/>
      </c>
      <c r="AF50" s="119">
        <f>_xlfn.IFERROR(AC50/Y50-1,"")</f>
        <v/>
      </c>
      <c r="AG50" s="186" t="n">
        <v>85</v>
      </c>
      <c r="AH50" s="287" t="n">
        <v>1.6062</v>
      </c>
      <c r="AI50" s="287" t="n">
        <v>0.809566</v>
      </c>
      <c r="AJ50" s="287">
        <f>AI50/AH50</f>
        <v/>
      </c>
      <c r="AK50" s="186" t="n">
        <v>123</v>
      </c>
      <c r="AL50" s="287" t="n">
        <v>2.6821</v>
      </c>
      <c r="AM50" s="287" t="n">
        <v>1.1726</v>
      </c>
      <c r="AN50" s="287">
        <f>AM50/AL50</f>
        <v/>
      </c>
      <c r="AO50" s="286">
        <f>_xlfn.IFERROR(AN50-AJ50,"")</f>
        <v/>
      </c>
      <c r="AP50" s="119">
        <f>_xlfn.IFERROR(AM50/AI50-1,"")</f>
        <v/>
      </c>
      <c r="AQ50" s="186" t="n">
        <v>173</v>
      </c>
      <c r="AR50" s="287" t="n">
        <v>2.8367</v>
      </c>
      <c r="AS50" s="287" t="n">
        <v>1.23278</v>
      </c>
      <c r="AT50" s="285">
        <f>_xlfn.IFERROR(AS50/AR50,"")</f>
        <v/>
      </c>
      <c r="AU50" s="186" t="n">
        <v>148</v>
      </c>
      <c r="AV50" s="287" t="n">
        <v>2.2122</v>
      </c>
      <c r="AW50" s="287" t="n">
        <v>1.0381</v>
      </c>
      <c r="AX50" s="287">
        <f>AW50/AV50</f>
        <v/>
      </c>
      <c r="AY50" s="286">
        <f>_xlfn.IFERROR(AX50-AT50,"")</f>
        <v/>
      </c>
      <c r="AZ50" s="119">
        <f>_xlfn.IFERROR(AW50/AS50-1,"")</f>
        <v/>
      </c>
      <c r="BA50" s="186" t="n">
        <v>210</v>
      </c>
      <c r="BB50" s="287" t="n">
        <v>3.4665</v>
      </c>
      <c r="BC50" s="287" t="n">
        <v>1.56923</v>
      </c>
      <c r="BD50" s="287">
        <f>BC50/BB50</f>
        <v/>
      </c>
      <c r="BE50" s="186" t="n"/>
      <c r="BF50" s="287" t="n">
        <v>0</v>
      </c>
      <c r="BG50" s="287" t="n">
        <v>0</v>
      </c>
      <c r="BH50" s="287">
        <f>BG50/BF50</f>
        <v/>
      </c>
      <c r="BI50" s="288">
        <f>_xlfn.IFERROR(BN50/((BF50/4)*30),"")</f>
        <v/>
      </c>
      <c r="BJ50" s="289">
        <f>_xlfn.IFERROR(BE50/4*31,"")</f>
        <v/>
      </c>
      <c r="BK50" s="290">
        <f>_xlfn.IFERROR(BG50/4*31,"")</f>
        <v/>
      </c>
      <c r="BL50" s="291">
        <f>_xlfn.IFERROR(BH50-BD50,"")</f>
        <v/>
      </c>
      <c r="BM50" s="150">
        <f>_xlfn.IFERROR(BK50/BC50-1,"")</f>
        <v/>
      </c>
      <c r="BN50" s="291" t="n">
        <v>37.1338</v>
      </c>
    </row>
    <row r="51" ht="13.5" customHeight="1" s="245">
      <c r="A51" s="61" t="n"/>
      <c r="B51" s="186" t="inlineStr">
        <is>
          <t>Guangzhou Tianhe City Department Store Sports Store</t>
        </is>
      </c>
      <c r="C51" s="186" t="n">
        <v>2065</v>
      </c>
      <c r="D51" s="61" t="n">
        <v>56.4167</v>
      </c>
      <c r="E51" s="61" t="n">
        <v>44.947755</v>
      </c>
      <c r="F51" s="287">
        <f>E51/D51</f>
        <v/>
      </c>
      <c r="G51" s="186" t="n">
        <v>1871</v>
      </c>
      <c r="H51" s="287" t="n">
        <v>46.4486</v>
      </c>
      <c r="I51" s="287" t="n">
        <v>37.97169</v>
      </c>
      <c r="J51" s="287">
        <f>I51/H51</f>
        <v/>
      </c>
      <c r="K51" s="286">
        <f>_xlfn.IFERROR(J51-F51,"")</f>
        <v/>
      </c>
      <c r="L51" s="119">
        <f>_xlfn.IFERROR(I51/E51-1,"")</f>
        <v/>
      </c>
      <c r="M51" s="186" t="n">
        <v>363</v>
      </c>
      <c r="N51" s="287" t="n">
        <v>10.6972</v>
      </c>
      <c r="O51" s="287" t="n">
        <v>8.519679999999999</v>
      </c>
      <c r="P51" s="287">
        <f>O51/N51</f>
        <v/>
      </c>
      <c r="Q51" s="186" t="n">
        <v>427</v>
      </c>
      <c r="R51" s="287" t="n">
        <v>10.9264</v>
      </c>
      <c r="S51" s="287" t="n">
        <v>8.719519999999999</v>
      </c>
      <c r="T51" s="287">
        <f>S51/R51</f>
        <v/>
      </c>
      <c r="U51" s="286">
        <f>_xlfn.IFERROR(T51-P51,"")</f>
        <v/>
      </c>
      <c r="V51" s="119">
        <f>_xlfn.IFERROR(S51/O51-1,"")</f>
        <v/>
      </c>
      <c r="W51" s="186" t="n">
        <v>437</v>
      </c>
      <c r="X51" s="287" t="n">
        <v>12.3208</v>
      </c>
      <c r="Y51" s="287" t="n">
        <v>10.70021</v>
      </c>
      <c r="Z51" s="287">
        <f>Y51/X51</f>
        <v/>
      </c>
      <c r="AA51" s="186" t="n">
        <v>450</v>
      </c>
      <c r="AB51" s="287" t="n">
        <v>11.2702</v>
      </c>
      <c r="AC51" s="287" t="n">
        <v>8.683260000000001</v>
      </c>
      <c r="AD51" s="287">
        <f>AC51/AB51</f>
        <v/>
      </c>
      <c r="AE51" s="286">
        <f>_xlfn.IFERROR(AD51-Z51,"")</f>
        <v/>
      </c>
      <c r="AF51" s="119">
        <f>_xlfn.IFERROR(AC51/Y51-1,"")</f>
        <v/>
      </c>
      <c r="AG51" s="186" t="n">
        <v>549</v>
      </c>
      <c r="AH51" s="287" t="n">
        <v>15.7428</v>
      </c>
      <c r="AI51" s="287" t="n">
        <v>13.3411</v>
      </c>
      <c r="AJ51" s="287">
        <f>AI51/AH51</f>
        <v/>
      </c>
      <c r="AK51" s="186" t="n">
        <v>423</v>
      </c>
      <c r="AL51" s="287" t="n">
        <v>10.6677</v>
      </c>
      <c r="AM51" s="287" t="n">
        <v>9.2349</v>
      </c>
      <c r="AN51" s="287">
        <f>AM51/AL51</f>
        <v/>
      </c>
      <c r="AO51" s="286">
        <f>_xlfn.IFERROR(AN51-AJ51,"")</f>
        <v/>
      </c>
      <c r="AP51" s="119">
        <f>_xlfn.IFERROR(AM51/AI51-1,"")</f>
        <v/>
      </c>
      <c r="AQ51" s="186" t="n">
        <v>605</v>
      </c>
      <c r="AR51" s="287" t="n">
        <v>15.0177</v>
      </c>
      <c r="AS51" s="287" t="n">
        <v>10.713565</v>
      </c>
      <c r="AT51" s="285">
        <f>_xlfn.IFERROR(AS51/AR51,"")</f>
        <v/>
      </c>
      <c r="AU51" s="186" t="n">
        <v>470</v>
      </c>
      <c r="AV51" s="287" t="n">
        <v>10.9695</v>
      </c>
      <c r="AW51" s="287" t="n">
        <v>9.36511</v>
      </c>
      <c r="AX51" s="287">
        <f>AW51/AV51</f>
        <v/>
      </c>
      <c r="AY51" s="286">
        <f>_xlfn.IFERROR(AX51-AT51,"")</f>
        <v/>
      </c>
      <c r="AZ51" s="119">
        <f>_xlfn.IFERROR(AW51/AS51-1,"")</f>
        <v/>
      </c>
      <c r="BA51" s="186" t="n">
        <v>809</v>
      </c>
      <c r="BB51" s="287" t="n">
        <v>20.766</v>
      </c>
      <c r="BC51" s="287" t="n">
        <v>16.6324</v>
      </c>
      <c r="BD51" s="287">
        <f>BC51/BB51</f>
        <v/>
      </c>
      <c r="BE51" s="186" t="n">
        <v>101</v>
      </c>
      <c r="BF51" s="287" t="n">
        <v>2.6148</v>
      </c>
      <c r="BG51" s="287" t="n">
        <v>1.9689</v>
      </c>
      <c r="BH51" s="287">
        <f>BG51/BF51</f>
        <v/>
      </c>
      <c r="BI51" s="288">
        <f>_xlfn.IFERROR(BN51/((BF51/4)*30),"")</f>
        <v/>
      </c>
      <c r="BJ51" s="289">
        <f>_xlfn.IFERROR(BE51/4*31,"")</f>
        <v/>
      </c>
      <c r="BK51" s="290">
        <f>_xlfn.IFERROR(BG51/4*31,"")</f>
        <v/>
      </c>
      <c r="BL51" s="291">
        <f>_xlfn.IFERROR(BH51-BD51,"")</f>
        <v/>
      </c>
      <c r="BM51" s="150">
        <f>_xlfn.IFERROR(BK51/BC51-1,"")</f>
        <v/>
      </c>
      <c r="BN51" s="291" t="n">
        <v>71.9796</v>
      </c>
    </row>
    <row r="52" ht="13.5" customHeight="1" s="245">
      <c r="A52" s="61" t="n"/>
      <c r="B52" s="186" t="inlineStr">
        <is>
          <t>Guangzhou Tianhe Mingsheng Lingerie Store</t>
        </is>
      </c>
      <c r="C52" s="186" t="n">
        <v>987</v>
      </c>
      <c r="D52" s="61" t="n">
        <v>20.0441</v>
      </c>
      <c r="E52" s="61" t="n">
        <v>12.4681</v>
      </c>
      <c r="F52" s="287">
        <f>E52/D52</f>
        <v/>
      </c>
      <c r="G52" s="186" t="n">
        <v>1465</v>
      </c>
      <c r="H52" s="287" t="n">
        <v>30.6538</v>
      </c>
      <c r="I52" s="287" t="n">
        <v>14.9785</v>
      </c>
      <c r="J52" s="287">
        <f>I52/H52</f>
        <v/>
      </c>
      <c r="K52" s="286">
        <f>_xlfn.IFERROR(J52-F52,"")</f>
        <v/>
      </c>
      <c r="L52" s="119">
        <f>_xlfn.IFERROR(I52/E52-1,"")</f>
        <v/>
      </c>
      <c r="M52" s="186" t="n">
        <v>423</v>
      </c>
      <c r="N52" s="287" t="n">
        <v>10.4772</v>
      </c>
      <c r="O52" s="287" t="n">
        <v>5.70369</v>
      </c>
      <c r="P52" s="287">
        <f>O52/N52</f>
        <v/>
      </c>
      <c r="Q52" s="186" t="n">
        <v>480</v>
      </c>
      <c r="R52" s="287" t="n">
        <v>12.6023</v>
      </c>
      <c r="S52" s="287" t="n">
        <v>6.5789</v>
      </c>
      <c r="T52" s="287">
        <f>S52/R52</f>
        <v/>
      </c>
      <c r="U52" s="286">
        <f>_xlfn.IFERROR(T52-P52,"")</f>
        <v/>
      </c>
      <c r="V52" s="119">
        <f>_xlfn.IFERROR(S52/O52-1,"")</f>
        <v/>
      </c>
      <c r="W52" s="186" t="n">
        <v>296</v>
      </c>
      <c r="X52" s="287" t="n">
        <v>5.5937</v>
      </c>
      <c r="Y52" s="287" t="n">
        <v>4.12455</v>
      </c>
      <c r="Z52" s="287">
        <f>Y52/X52</f>
        <v/>
      </c>
      <c r="AA52" s="186" t="n">
        <v>219</v>
      </c>
      <c r="AB52" s="287" t="n">
        <v>5.3521</v>
      </c>
      <c r="AC52" s="287" t="n">
        <v>3.0913</v>
      </c>
      <c r="AD52" s="287">
        <f>AC52/AB52</f>
        <v/>
      </c>
      <c r="AE52" s="286">
        <f>_xlfn.IFERROR(AD52-Z52,"")</f>
        <v/>
      </c>
      <c r="AF52" s="119">
        <f>_xlfn.IFERROR(AC52/Y52-1,"")</f>
        <v/>
      </c>
      <c r="AG52" s="186" t="n">
        <v>143</v>
      </c>
      <c r="AH52" s="287" t="n">
        <v>2.2069</v>
      </c>
      <c r="AI52" s="287" t="n">
        <v>1.43805</v>
      </c>
      <c r="AJ52" s="287">
        <f>AI52/AH52</f>
        <v/>
      </c>
      <c r="AK52" s="186" t="n">
        <v>561</v>
      </c>
      <c r="AL52" s="287" t="n">
        <v>9.3436</v>
      </c>
      <c r="AM52" s="287" t="n">
        <v>3.3743</v>
      </c>
      <c r="AN52" s="287">
        <f>AM52/AL52</f>
        <v/>
      </c>
      <c r="AO52" s="286">
        <f>_xlfn.IFERROR(AN52-AJ52,"")</f>
        <v/>
      </c>
      <c r="AP52" s="119">
        <f>_xlfn.IFERROR(AM52/AI52-1,"")</f>
        <v/>
      </c>
      <c r="AQ52" s="186" t="n">
        <v>109</v>
      </c>
      <c r="AR52" s="287" t="n">
        <v>1.4896</v>
      </c>
      <c r="AS52" s="287" t="n">
        <v>1.01061</v>
      </c>
      <c r="AT52" s="285">
        <f>_xlfn.IFERROR(AS52/AR52,"")</f>
        <v/>
      </c>
      <c r="AU52" s="186" t="n">
        <v>183</v>
      </c>
      <c r="AV52" s="287" t="n">
        <v>3.0647</v>
      </c>
      <c r="AW52" s="287" t="n">
        <v>1.722</v>
      </c>
      <c r="AX52" s="287">
        <f>AW52/AV52</f>
        <v/>
      </c>
      <c r="AY52" s="286">
        <f>_xlfn.IFERROR(AX52-AT52,"")</f>
        <v/>
      </c>
      <c r="AZ52" s="119">
        <f>_xlfn.IFERROR(AW52/AS52-1,"")</f>
        <v/>
      </c>
      <c r="BA52" s="186" t="n">
        <v>247</v>
      </c>
      <c r="BB52" s="287" t="n">
        <v>3.2845</v>
      </c>
      <c r="BC52" s="287" t="n">
        <v>1.83065</v>
      </c>
      <c r="BD52" s="287">
        <f>BC52/BB52</f>
        <v/>
      </c>
      <c r="BE52" s="186" t="n">
        <v>22</v>
      </c>
      <c r="BF52" s="287" t="n">
        <v>0.2911</v>
      </c>
      <c r="BG52" s="287" t="n">
        <v>0.212</v>
      </c>
      <c r="BH52" s="287">
        <f>BG52/BF52</f>
        <v/>
      </c>
      <c r="BI52" s="288">
        <f>_xlfn.IFERROR(BN52/((BF52/4)*30),"")</f>
        <v/>
      </c>
      <c r="BJ52" s="289">
        <f>_xlfn.IFERROR(BE52/4*31,"")</f>
        <v/>
      </c>
      <c r="BK52" s="290">
        <f>_xlfn.IFERROR(BG52/4*31,"")</f>
        <v/>
      </c>
      <c r="BL52" s="291">
        <f>_xlfn.IFERROR(BH52-BD52,"")</f>
        <v/>
      </c>
      <c r="BM52" s="150">
        <f>_xlfn.IFERROR(BK52/BC52-1,"")</f>
        <v/>
      </c>
      <c r="BN52" s="291" t="n">
        <v>77.1045</v>
      </c>
    </row>
    <row r="53" ht="13.5" customHeight="1" s="245">
      <c r="A53" s="61" t="n"/>
      <c r="B53" s="186" t="inlineStr">
        <is>
          <t>Tianyin Lingerie Store, Tianhe City, Guangzhou</t>
        </is>
      </c>
      <c r="C53" s="186" t="n">
        <v>547</v>
      </c>
      <c r="D53" s="61" t="n">
        <v>13.9459</v>
      </c>
      <c r="E53" s="61" t="n">
        <v>9.851997000000001</v>
      </c>
      <c r="F53" s="287">
        <f>E53/D53</f>
        <v/>
      </c>
      <c r="G53" s="186" t="n">
        <v>851</v>
      </c>
      <c r="H53" s="287" t="n">
        <v>18.8727</v>
      </c>
      <c r="I53" s="287" t="n">
        <v>9.745469999999999</v>
      </c>
      <c r="J53" s="287">
        <f>I53/H53</f>
        <v/>
      </c>
      <c r="K53" s="286">
        <f>_xlfn.IFERROR(J53-F53,"")</f>
        <v/>
      </c>
      <c r="L53" s="119">
        <f>_xlfn.IFERROR(I53/E53-1,"")</f>
        <v/>
      </c>
      <c r="M53" s="186" t="n">
        <v>327</v>
      </c>
      <c r="N53" s="287" t="n">
        <v>9.5375</v>
      </c>
      <c r="O53" s="287" t="n">
        <v>6.99441</v>
      </c>
      <c r="P53" s="287">
        <f>O53/N53</f>
        <v/>
      </c>
      <c r="Q53" s="186" t="n">
        <v>287</v>
      </c>
      <c r="R53" s="287" t="n">
        <v>8.537000000000001</v>
      </c>
      <c r="S53" s="287" t="n">
        <v>4.5891</v>
      </c>
      <c r="T53" s="287">
        <f>S53/R53</f>
        <v/>
      </c>
      <c r="U53" s="286">
        <f>_xlfn.IFERROR(T53-P53,"")</f>
        <v/>
      </c>
      <c r="V53" s="119">
        <f>_xlfn.IFERROR(S53/O53-1,"")</f>
        <v/>
      </c>
      <c r="W53" s="186" t="n">
        <v>58</v>
      </c>
      <c r="X53" s="287" t="n">
        <v>1.7631</v>
      </c>
      <c r="Y53" s="287" t="n">
        <v>1.07247</v>
      </c>
      <c r="Z53" s="287">
        <f>Y53/X53</f>
        <v/>
      </c>
      <c r="AA53" s="186" t="n">
        <v>126</v>
      </c>
      <c r="AB53" s="287" t="n">
        <v>2.558</v>
      </c>
      <c r="AC53" s="287" t="n">
        <v>1.37005</v>
      </c>
      <c r="AD53" s="287">
        <f>AC53/AB53</f>
        <v/>
      </c>
      <c r="AE53" s="286">
        <f>_xlfn.IFERROR(AD53-Z53,"")</f>
        <v/>
      </c>
      <c r="AF53" s="119">
        <f>_xlfn.IFERROR(AC53/Y53-1,"")</f>
        <v/>
      </c>
      <c r="AG53" s="186" t="n">
        <v>87</v>
      </c>
      <c r="AH53" s="287" t="n">
        <v>1.2704</v>
      </c>
      <c r="AI53" s="287" t="n">
        <v>0.7958</v>
      </c>
      <c r="AJ53" s="287">
        <f>AI53/AH53</f>
        <v/>
      </c>
      <c r="AK53" s="186" t="n">
        <v>188</v>
      </c>
      <c r="AL53" s="287" t="n">
        <v>3.9291</v>
      </c>
      <c r="AM53" s="287" t="n">
        <v>1.62702</v>
      </c>
      <c r="AN53" s="287">
        <f>AM53/AL53</f>
        <v/>
      </c>
      <c r="AO53" s="286">
        <f>_xlfn.IFERROR(AN53-AJ53,"")</f>
        <v/>
      </c>
      <c r="AP53" s="119">
        <f>_xlfn.IFERROR(AM53/AI53-1,"")</f>
        <v/>
      </c>
      <c r="AQ53" s="186" t="n">
        <v>68</v>
      </c>
      <c r="AR53" s="287" t="n">
        <v>1.2198</v>
      </c>
      <c r="AS53" s="287" t="n">
        <v>0.868957</v>
      </c>
      <c r="AT53" s="285">
        <f>_xlfn.IFERROR(AS53/AR53,"")</f>
        <v/>
      </c>
      <c r="AU53" s="186" t="n">
        <v>181</v>
      </c>
      <c r="AV53" s="287" t="n">
        <v>2.8532</v>
      </c>
      <c r="AW53" s="287" t="n">
        <v>1.6784</v>
      </c>
      <c r="AX53" s="287">
        <f>AW53/AV53</f>
        <v/>
      </c>
      <c r="AY53" s="286">
        <f>_xlfn.IFERROR(AX53-AT53,"")</f>
        <v/>
      </c>
      <c r="AZ53" s="119">
        <f>_xlfn.IFERROR(AW53/AS53-1,"")</f>
        <v/>
      </c>
      <c r="BA53" s="186" t="n">
        <v>79</v>
      </c>
      <c r="BB53" s="287" t="n">
        <v>1.4191</v>
      </c>
      <c r="BC53" s="287" t="n">
        <v>0.97744</v>
      </c>
      <c r="BD53" s="287">
        <f>BC53/BB53</f>
        <v/>
      </c>
      <c r="BE53" s="186" t="n">
        <v>69</v>
      </c>
      <c r="BF53" s="287" t="n">
        <v>0.9954</v>
      </c>
      <c r="BG53" s="287" t="n">
        <v>0.4809</v>
      </c>
      <c r="BH53" s="287">
        <f>BG53/BF53</f>
        <v/>
      </c>
      <c r="BI53" s="288">
        <f>_xlfn.IFERROR(BN53/((BF53/4)*30),"")</f>
        <v/>
      </c>
      <c r="BJ53" s="289">
        <f>_xlfn.IFERROR(BE53/4*31,"")</f>
        <v/>
      </c>
      <c r="BK53" s="290">
        <f>_xlfn.IFERROR(BG53/4*31,"")</f>
        <v/>
      </c>
      <c r="BL53" s="291">
        <f>_xlfn.IFERROR(BH53-BD53,"")</f>
        <v/>
      </c>
      <c r="BM53" s="150">
        <f>_xlfn.IFERROR(BK53/BC53-1,"")</f>
        <v/>
      </c>
      <c r="BN53" s="291" t="n">
        <v>46.2001</v>
      </c>
    </row>
    <row r="54" ht="13.5" customHeight="1" s="245">
      <c r="A54" s="61" t="n"/>
      <c r="B54" s="186" t="inlineStr">
        <is>
          <t>Guangzhou Wangfujing Lingerie Store</t>
        </is>
      </c>
      <c r="C54" s="186" t="n">
        <v>2186</v>
      </c>
      <c r="D54" s="61" t="n">
        <v>43.3637</v>
      </c>
      <c r="E54" s="61" t="n">
        <v>30.932162</v>
      </c>
      <c r="F54" s="287">
        <f>E54/D54</f>
        <v/>
      </c>
      <c r="G54" s="186" t="n">
        <v>2022</v>
      </c>
      <c r="H54" s="287" t="n">
        <v>47.2784</v>
      </c>
      <c r="I54" s="287" t="n">
        <v>29.264979</v>
      </c>
      <c r="J54" s="287">
        <f>I54/H54</f>
        <v/>
      </c>
      <c r="K54" s="286">
        <f>_xlfn.IFERROR(J54-F54,"")</f>
        <v/>
      </c>
      <c r="L54" s="119">
        <f>_xlfn.IFERROR(I54/E54-1,"")</f>
        <v/>
      </c>
      <c r="M54" s="186" t="n">
        <v>787</v>
      </c>
      <c r="N54" s="287" t="n">
        <v>18.9836</v>
      </c>
      <c r="O54" s="287" t="n">
        <v>15.806317</v>
      </c>
      <c r="P54" s="287">
        <f>O54/N54</f>
        <v/>
      </c>
      <c r="Q54" s="186" t="n">
        <v>1082</v>
      </c>
      <c r="R54" s="287" t="n">
        <v>25.1555</v>
      </c>
      <c r="S54" s="287" t="n">
        <v>15.293539</v>
      </c>
      <c r="T54" s="287">
        <f>S54/R54</f>
        <v/>
      </c>
      <c r="U54" s="286">
        <f>_xlfn.IFERROR(T54-P54,"")</f>
        <v/>
      </c>
      <c r="V54" s="119">
        <f>_xlfn.IFERROR(S54/O54-1,"")</f>
        <v/>
      </c>
      <c r="W54" s="186" t="n">
        <v>679</v>
      </c>
      <c r="X54" s="287" t="n">
        <v>13.0257</v>
      </c>
      <c r="Y54" s="287" t="n">
        <v>8.00164</v>
      </c>
      <c r="Z54" s="287">
        <f>Y54/X54</f>
        <v/>
      </c>
      <c r="AA54" s="186" t="n">
        <v>304</v>
      </c>
      <c r="AB54" s="287" t="n">
        <v>8.7156</v>
      </c>
      <c r="AC54" s="287" t="n">
        <v>5.201965</v>
      </c>
      <c r="AD54" s="287">
        <f>AC54/AB54</f>
        <v/>
      </c>
      <c r="AE54" s="286">
        <f>_xlfn.IFERROR(AD54-Z54,"")</f>
        <v/>
      </c>
      <c r="AF54" s="119">
        <f>_xlfn.IFERROR(AC54/Y54-1,"")</f>
        <v/>
      </c>
      <c r="AG54" s="186" t="n">
        <v>390</v>
      </c>
      <c r="AH54" s="287" t="n">
        <v>6.0246</v>
      </c>
      <c r="AI54" s="287" t="n">
        <v>3.63919</v>
      </c>
      <c r="AJ54" s="287">
        <f>AI54/AH54</f>
        <v/>
      </c>
      <c r="AK54" s="186" t="n">
        <v>285</v>
      </c>
      <c r="AL54" s="287" t="n">
        <v>6.616</v>
      </c>
      <c r="AM54" s="287" t="n">
        <v>4.0413</v>
      </c>
      <c r="AN54" s="287">
        <f>AM54/AL54</f>
        <v/>
      </c>
      <c r="AO54" s="286">
        <f>_xlfn.IFERROR(AN54-AJ54,"")</f>
        <v/>
      </c>
      <c r="AP54" s="119">
        <f>_xlfn.IFERROR(AM54/AI54-1,"")</f>
        <v/>
      </c>
      <c r="AQ54" s="186" t="n">
        <v>272</v>
      </c>
      <c r="AR54" s="287" t="n">
        <v>4.4056</v>
      </c>
      <c r="AS54" s="287" t="n">
        <v>2.85587</v>
      </c>
      <c r="AT54" s="285">
        <f>_xlfn.IFERROR(AS54/AR54,"")</f>
        <v/>
      </c>
      <c r="AU54" s="186" t="n">
        <v>351</v>
      </c>
      <c r="AV54" s="287" t="n">
        <v>6.7913</v>
      </c>
      <c r="AW54" s="287" t="n">
        <v>4.728175</v>
      </c>
      <c r="AX54" s="287">
        <f>AW54/AV54</f>
        <v/>
      </c>
      <c r="AY54" s="286">
        <f>_xlfn.IFERROR(AX54-AT54,"")</f>
        <v/>
      </c>
      <c r="AZ54" s="119">
        <f>_xlfn.IFERROR(AW54/AS54-1,"")</f>
        <v/>
      </c>
      <c r="BA54" s="186" t="n">
        <v>393</v>
      </c>
      <c r="BB54" s="287" t="n">
        <v>6.1314</v>
      </c>
      <c r="BC54" s="287" t="n">
        <v>3.8144</v>
      </c>
      <c r="BD54" s="287">
        <f>BC54/BB54</f>
        <v/>
      </c>
      <c r="BE54" s="186" t="n"/>
      <c r="BF54" s="287" t="n">
        <v>0</v>
      </c>
      <c r="BG54" s="287" t="n">
        <v>0</v>
      </c>
      <c r="BH54" s="287">
        <f>BG54/BF54</f>
        <v/>
      </c>
      <c r="BI54" s="288">
        <f>_xlfn.IFERROR(BN54/((BF54/4)*30),"")</f>
        <v/>
      </c>
      <c r="BJ54" s="289">
        <f>_xlfn.IFERROR(BE54/4*31,"")</f>
        <v/>
      </c>
      <c r="BK54" s="290">
        <f>_xlfn.IFERROR(BG54/4*31,"")</f>
        <v/>
      </c>
      <c r="BL54" s="291">
        <f>_xlfn.IFERROR(BH54-BD54,"")</f>
        <v/>
      </c>
      <c r="BM54" s="150">
        <f>_xlfn.IFERROR(BK54/BC54-1,"")</f>
        <v/>
      </c>
      <c r="BN54" s="291" t="n">
        <v>78.4371</v>
      </c>
    </row>
    <row r="55" ht="13.5" customHeight="1" s="245">
      <c r="A55" s="61" t="n"/>
      <c r="B55" s="186" t="inlineStr">
        <is>
          <t>Guangzhou Wangfujing Shui Sports Store</t>
        </is>
      </c>
      <c r="C55" s="186" t="n">
        <v>532</v>
      </c>
      <c r="D55" s="61" t="n">
        <v>13.3973</v>
      </c>
      <c r="E55" s="61" t="n">
        <v>10.39299</v>
      </c>
      <c r="F55" s="287">
        <f>E55/D55</f>
        <v/>
      </c>
      <c r="G55" s="186" t="n">
        <v>305</v>
      </c>
      <c r="H55" s="287" t="n">
        <v>9.018800000000001</v>
      </c>
      <c r="I55" s="287" t="n">
        <v>6.43941</v>
      </c>
      <c r="J55" s="287">
        <f>I55/H55</f>
        <v/>
      </c>
      <c r="K55" s="286">
        <f>_xlfn.IFERROR(J55-F55,"")</f>
        <v/>
      </c>
      <c r="L55" s="119">
        <f>_xlfn.IFERROR(I55/E55-1,"")</f>
        <v/>
      </c>
      <c r="M55" s="186" t="n">
        <v>70</v>
      </c>
      <c r="N55" s="287" t="n">
        <v>1.9238</v>
      </c>
      <c r="O55" s="287" t="n">
        <v>1.501604</v>
      </c>
      <c r="P55" s="287">
        <f>O55/N55</f>
        <v/>
      </c>
      <c r="Q55" s="186" t="n">
        <v>75</v>
      </c>
      <c r="R55" s="287" t="n">
        <v>2.1765</v>
      </c>
      <c r="S55" s="287" t="n">
        <v>1.68424</v>
      </c>
      <c r="T55" s="287">
        <f>S55/R55</f>
        <v/>
      </c>
      <c r="U55" s="286">
        <f>_xlfn.IFERROR(T55-P55,"")</f>
        <v/>
      </c>
      <c r="V55" s="119">
        <f>_xlfn.IFERROR(S55/O55-1,"")</f>
        <v/>
      </c>
      <c r="W55" s="186" t="n">
        <v>164</v>
      </c>
      <c r="X55" s="287" t="n">
        <v>4.3284</v>
      </c>
      <c r="Y55" s="287" t="n">
        <v>3.166096</v>
      </c>
      <c r="Z55" s="287">
        <f>Y55/X55</f>
        <v/>
      </c>
      <c r="AA55" s="186" t="n">
        <v>91</v>
      </c>
      <c r="AB55" s="287" t="n">
        <v>3.0607</v>
      </c>
      <c r="AC55" s="287" t="n">
        <v>1.81213</v>
      </c>
      <c r="AD55" s="287">
        <f>AC55/AB55</f>
        <v/>
      </c>
      <c r="AE55" s="286">
        <f>_xlfn.IFERROR(AD55-Z55,"")</f>
        <v/>
      </c>
      <c r="AF55" s="119">
        <f>_xlfn.IFERROR(AC55/Y55-1,"")</f>
        <v/>
      </c>
      <c r="AG55" s="186" t="n">
        <v>140</v>
      </c>
      <c r="AH55" s="287" t="n">
        <v>3.5779</v>
      </c>
      <c r="AI55" s="287" t="n">
        <v>2.960176</v>
      </c>
      <c r="AJ55" s="287">
        <f>AI55/AH55</f>
        <v/>
      </c>
      <c r="AK55" s="186" t="n">
        <v>62</v>
      </c>
      <c r="AL55" s="287" t="n">
        <v>1.829</v>
      </c>
      <c r="AM55" s="287" t="n">
        <v>1.40424</v>
      </c>
      <c r="AN55" s="287">
        <f>AM55/AL55</f>
        <v/>
      </c>
      <c r="AO55" s="286">
        <f>_xlfn.IFERROR(AN55-AJ55,"")</f>
        <v/>
      </c>
      <c r="AP55" s="119">
        <f>_xlfn.IFERROR(AM55/AI55-1,"")</f>
        <v/>
      </c>
      <c r="AQ55" s="186" t="n">
        <v>144</v>
      </c>
      <c r="AR55" s="287" t="n">
        <v>3.3033</v>
      </c>
      <c r="AS55" s="287" t="n">
        <v>2.55137</v>
      </c>
      <c r="AT55" s="285">
        <f>_xlfn.IFERROR(AS55/AR55,"")</f>
        <v/>
      </c>
      <c r="AU55" s="186" t="n">
        <v>77</v>
      </c>
      <c r="AV55" s="287" t="n">
        <v>1.9526</v>
      </c>
      <c r="AW55" s="287" t="n">
        <v>1.5388</v>
      </c>
      <c r="AX55" s="287">
        <f>AW55/AV55</f>
        <v/>
      </c>
      <c r="AY55" s="286">
        <f>_xlfn.IFERROR(AX55-AT55,"")</f>
        <v/>
      </c>
      <c r="AZ55" s="119">
        <f>_xlfn.IFERROR(AW55/AS55-1,"")</f>
        <v/>
      </c>
      <c r="BA55" s="186" t="n">
        <v>153</v>
      </c>
      <c r="BB55" s="287" t="n">
        <v>3.0848</v>
      </c>
      <c r="BC55" s="287" t="n">
        <v>2.428136</v>
      </c>
      <c r="BD55" s="287">
        <f>BC55/BB55</f>
        <v/>
      </c>
      <c r="BE55" s="186" t="n"/>
      <c r="BF55" s="287" t="n">
        <v>0</v>
      </c>
      <c r="BG55" s="287" t="n">
        <v>0</v>
      </c>
      <c r="BH55" s="287">
        <f>BG55/BF55</f>
        <v/>
      </c>
      <c r="BI55" s="288">
        <f>_xlfn.IFERROR(BN55/((BF55/4)*30),"")</f>
        <v/>
      </c>
      <c r="BJ55" s="289">
        <f>_xlfn.IFERROR(BE55/4*31,"")</f>
        <v/>
      </c>
      <c r="BK55" s="290">
        <f>_xlfn.IFERROR(BG55/4*31,"")</f>
        <v/>
      </c>
      <c r="BL55" s="291">
        <f>_xlfn.IFERROR(BH55-BD55,"")</f>
        <v/>
      </c>
      <c r="BM55" s="150">
        <f>_xlfn.IFERROR(BK55/BC55-1,"")</f>
        <v/>
      </c>
      <c r="BN55" s="291" t="n">
        <v>43.1048</v>
      </c>
    </row>
    <row r="56" ht="13.5" customHeight="1" s="245">
      <c r="A56" s="61" t="n"/>
      <c r="B56" s="186" t="inlineStr">
        <is>
          <t>Guangzhou Friendship Store Zhengjia Water Sports Store</t>
        </is>
      </c>
      <c r="C56" s="186" t="n">
        <v>1020</v>
      </c>
      <c r="D56" s="61" t="n">
        <v>22.9174</v>
      </c>
      <c r="E56" s="61" t="n">
        <v>18.90499</v>
      </c>
      <c r="F56" s="287">
        <f>E56/D56</f>
        <v/>
      </c>
      <c r="G56" s="186" t="n">
        <v>833</v>
      </c>
      <c r="H56" s="287" t="n">
        <v>18.7148</v>
      </c>
      <c r="I56" s="287" t="n">
        <v>15.32146</v>
      </c>
      <c r="J56" s="287">
        <f>I56/H56</f>
        <v/>
      </c>
      <c r="K56" s="286">
        <f>_xlfn.IFERROR(J56-F56,"")</f>
        <v/>
      </c>
      <c r="L56" s="119">
        <f>_xlfn.IFERROR(I56/E56-1,"")</f>
        <v/>
      </c>
      <c r="M56" s="186" t="n">
        <v>146</v>
      </c>
      <c r="N56" s="287" t="n">
        <v>3.6627</v>
      </c>
      <c r="O56" s="287" t="n">
        <v>3.02003</v>
      </c>
      <c r="P56" s="287">
        <f>O56/N56</f>
        <v/>
      </c>
      <c r="Q56" s="186" t="n">
        <v>205</v>
      </c>
      <c r="R56" s="287" t="n">
        <v>4.5201</v>
      </c>
      <c r="S56" s="287" t="n">
        <v>3.62203</v>
      </c>
      <c r="T56" s="287">
        <f>S56/R56</f>
        <v/>
      </c>
      <c r="U56" s="286">
        <f>_xlfn.IFERROR(T56-P56,"")</f>
        <v/>
      </c>
      <c r="V56" s="119">
        <f>_xlfn.IFERROR(S56/O56-1,"")</f>
        <v/>
      </c>
      <c r="W56" s="186" t="n">
        <v>238</v>
      </c>
      <c r="X56" s="287" t="n">
        <v>5.6892</v>
      </c>
      <c r="Y56" s="287" t="n">
        <v>4.69563</v>
      </c>
      <c r="Z56" s="287">
        <f>Y56/X56</f>
        <v/>
      </c>
      <c r="AA56" s="186" t="n">
        <v>191</v>
      </c>
      <c r="AB56" s="287" t="n">
        <v>4.4847</v>
      </c>
      <c r="AC56" s="287" t="n">
        <v>3.59021</v>
      </c>
      <c r="AD56" s="287">
        <f>AC56/AB56</f>
        <v/>
      </c>
      <c r="AE56" s="286">
        <f>_xlfn.IFERROR(AD56-Z56,"")</f>
        <v/>
      </c>
      <c r="AF56" s="119">
        <f>_xlfn.IFERROR(AC56/Y56-1,"")</f>
        <v/>
      </c>
      <c r="AG56" s="186" t="n">
        <v>301</v>
      </c>
      <c r="AH56" s="287" t="n">
        <v>6.93</v>
      </c>
      <c r="AI56" s="287" t="n">
        <v>5.98841</v>
      </c>
      <c r="AJ56" s="287">
        <f>AI56/AH56</f>
        <v/>
      </c>
      <c r="AK56" s="186" t="n">
        <v>171</v>
      </c>
      <c r="AL56" s="287" t="n">
        <v>3.6761</v>
      </c>
      <c r="AM56" s="287" t="n">
        <v>2.96946</v>
      </c>
      <c r="AN56" s="287">
        <f>AM56/AL56</f>
        <v/>
      </c>
      <c r="AO56" s="286">
        <f>_xlfn.IFERROR(AN56-AJ56,"")</f>
        <v/>
      </c>
      <c r="AP56" s="119">
        <f>_xlfn.IFERROR(AM56/AI56-1,"")</f>
        <v/>
      </c>
      <c r="AQ56" s="186" t="n">
        <v>306</v>
      </c>
      <c r="AR56" s="287" t="n">
        <v>6.0666</v>
      </c>
      <c r="AS56" s="287" t="n">
        <v>4.73239</v>
      </c>
      <c r="AT56" s="285">
        <f>_xlfn.IFERROR(AS56/AR56,"")</f>
        <v/>
      </c>
      <c r="AU56" s="186" t="n">
        <v>226</v>
      </c>
      <c r="AV56" s="287" t="n">
        <v>4.9544</v>
      </c>
      <c r="AW56" s="287" t="n">
        <v>4.26574</v>
      </c>
      <c r="AX56" s="287">
        <f>AW56/AV56</f>
        <v/>
      </c>
      <c r="AY56" s="286">
        <f>_xlfn.IFERROR(AX56-AT56,"")</f>
        <v/>
      </c>
      <c r="AZ56" s="119">
        <f>_xlfn.IFERROR(AW56/AS56-1,"")</f>
        <v/>
      </c>
      <c r="BA56" s="186" t="n">
        <v>343</v>
      </c>
      <c r="BB56" s="287" t="n">
        <v>6.6827</v>
      </c>
      <c r="BC56" s="287" t="n">
        <v>5.81482</v>
      </c>
      <c r="BD56" s="287">
        <f>BC56/BB56</f>
        <v/>
      </c>
      <c r="BE56" s="186" t="n">
        <v>40</v>
      </c>
      <c r="BF56" s="287" t="n">
        <v>1.0795</v>
      </c>
      <c r="BG56" s="287" t="n">
        <v>0.87402</v>
      </c>
      <c r="BH56" s="287">
        <f>BG56/BF56</f>
        <v/>
      </c>
      <c r="BI56" s="288">
        <f>_xlfn.IFERROR(BN56/((BF56/4)*30),"")</f>
        <v/>
      </c>
      <c r="BJ56" s="289">
        <f>_xlfn.IFERROR(BE56/4*31,"")</f>
        <v/>
      </c>
      <c r="BK56" s="290">
        <f>_xlfn.IFERROR(BG56/4*31,"")</f>
        <v/>
      </c>
      <c r="BL56" s="291">
        <f>_xlfn.IFERROR(BH56-BD56,"")</f>
        <v/>
      </c>
      <c r="BM56" s="150">
        <f>_xlfn.IFERROR(BK56/BC56-1,"")</f>
        <v/>
      </c>
      <c r="BN56" s="291" t="n">
        <v>50.0582</v>
      </c>
    </row>
    <row r="57" ht="13.5" customHeight="1" s="245">
      <c r="A57" s="61" t="n"/>
      <c r="B57" s="186" t="inlineStr">
        <is>
          <t>Guangzhou Friendship Taogin Headquarter Yoga Fitness Store</t>
        </is>
      </c>
      <c r="C57" s="186" t="n">
        <v>521</v>
      </c>
      <c r="D57" s="61" t="n">
        <v>12.5528</v>
      </c>
      <c r="E57" s="61" t="n">
        <v>11.28304</v>
      </c>
      <c r="F57" s="287">
        <f>E57/D57</f>
        <v/>
      </c>
      <c r="G57" s="186" t="n">
        <v>1060</v>
      </c>
      <c r="H57" s="287" t="n">
        <v>29.705</v>
      </c>
      <c r="I57" s="287" t="n">
        <v>19.40383</v>
      </c>
      <c r="J57" s="287">
        <f>I57/H57</f>
        <v/>
      </c>
      <c r="K57" s="286">
        <f>_xlfn.IFERROR(J57-F57,"")</f>
        <v/>
      </c>
      <c r="L57" s="119">
        <f>_xlfn.IFERROR(I57/E57-1,"")</f>
        <v/>
      </c>
      <c r="M57" s="186" t="n">
        <v>105</v>
      </c>
      <c r="N57" s="287" t="n">
        <v>2.313</v>
      </c>
      <c r="O57" s="287" t="n">
        <v>2.0292</v>
      </c>
      <c r="P57" s="287">
        <f>O57/N57</f>
        <v/>
      </c>
      <c r="Q57" s="186" t="n">
        <v>259</v>
      </c>
      <c r="R57" s="287" t="n">
        <v>6.9421</v>
      </c>
      <c r="S57" s="287" t="n">
        <v>4.18182</v>
      </c>
      <c r="T57" s="287">
        <f>S57/R57</f>
        <v/>
      </c>
      <c r="U57" s="286">
        <f>_xlfn.IFERROR(T57-P57,"")</f>
        <v/>
      </c>
      <c r="V57" s="119">
        <f>_xlfn.IFERROR(S57/O57-1,"")</f>
        <v/>
      </c>
      <c r="W57" s="186" t="n">
        <v>87</v>
      </c>
      <c r="X57" s="287" t="n">
        <v>2.1622</v>
      </c>
      <c r="Y57" s="287" t="n">
        <v>2.03147</v>
      </c>
      <c r="Z57" s="287">
        <f>Y57/X57</f>
        <v/>
      </c>
      <c r="AA57" s="186" t="n">
        <v>102</v>
      </c>
      <c r="AB57" s="287" t="n">
        <v>3.081</v>
      </c>
      <c r="AC57" s="287" t="n">
        <v>2.83065</v>
      </c>
      <c r="AD57" s="287">
        <f>AC57/AB57</f>
        <v/>
      </c>
      <c r="AE57" s="286">
        <f>_xlfn.IFERROR(AD57-Z57,"")</f>
        <v/>
      </c>
      <c r="AF57" s="119">
        <f>_xlfn.IFERROR(AC57/Y57-1,"")</f>
        <v/>
      </c>
      <c r="AG57" s="186" t="n">
        <v>143</v>
      </c>
      <c r="AH57" s="287" t="n">
        <v>3.48</v>
      </c>
      <c r="AI57" s="287" t="n">
        <v>3.09085</v>
      </c>
      <c r="AJ57" s="287">
        <f>AI57/AH57</f>
        <v/>
      </c>
      <c r="AK57" s="186" t="n">
        <v>425</v>
      </c>
      <c r="AL57" s="287" t="n">
        <v>12.5388</v>
      </c>
      <c r="AM57" s="287" t="n">
        <v>6.51716</v>
      </c>
      <c r="AN57" s="287">
        <f>AM57/AL57</f>
        <v/>
      </c>
      <c r="AO57" s="286">
        <f>_xlfn.IFERROR(AN57-AJ57,"")</f>
        <v/>
      </c>
      <c r="AP57" s="119">
        <f>_xlfn.IFERROR(AM57/AI57-1,"")</f>
        <v/>
      </c>
      <c r="AQ57" s="186" t="n">
        <v>184</v>
      </c>
      <c r="AR57" s="287" t="n">
        <v>4.537</v>
      </c>
      <c r="AS57" s="287" t="n">
        <v>4.08001</v>
      </c>
      <c r="AT57" s="285">
        <f>_xlfn.IFERROR(AS57/AR57,"")</f>
        <v/>
      </c>
      <c r="AU57" s="186" t="n">
        <v>248</v>
      </c>
      <c r="AV57" s="287" t="n">
        <v>6.6173</v>
      </c>
      <c r="AW57" s="287" t="n">
        <v>5.41537</v>
      </c>
      <c r="AX57" s="287">
        <f>AW57/AV57</f>
        <v/>
      </c>
      <c r="AY57" s="286">
        <f>_xlfn.IFERROR(AX57-AT57,"")</f>
        <v/>
      </c>
      <c r="AZ57" s="119">
        <f>_xlfn.IFERROR(AW57/AS57-1,"")</f>
        <v/>
      </c>
      <c r="BA57" s="186" t="n">
        <v>301</v>
      </c>
      <c r="BB57" s="287" t="n">
        <v>7.0906</v>
      </c>
      <c r="BC57" s="287" t="n">
        <v>5.42321</v>
      </c>
      <c r="BD57" s="287">
        <f>BC57/BB57</f>
        <v/>
      </c>
      <c r="BE57" s="186" t="n">
        <v>26</v>
      </c>
      <c r="BF57" s="287" t="n">
        <v>0.5258</v>
      </c>
      <c r="BG57" s="287" t="n">
        <v>0.45883</v>
      </c>
      <c r="BH57" s="287">
        <f>BG57/BF57</f>
        <v/>
      </c>
      <c r="BI57" s="288">
        <f>_xlfn.IFERROR(BN57/((BF57/4)*30),"")</f>
        <v/>
      </c>
      <c r="BJ57" s="289">
        <f>_xlfn.IFERROR(BE57/4*31,"")</f>
        <v/>
      </c>
      <c r="BK57" s="290">
        <f>_xlfn.IFERROR(BG57/4*31,"")</f>
        <v/>
      </c>
      <c r="BL57" s="291">
        <f>_xlfn.IFERROR(BH57-BD57,"")</f>
        <v/>
      </c>
      <c r="BM57" s="150">
        <f>_xlfn.IFERROR(BK57/BC57-1,"")</f>
        <v/>
      </c>
      <c r="BN57" s="291" t="n">
        <v>81.7878</v>
      </c>
    </row>
    <row r="58" ht="13.5" customHeight="1" s="245">
      <c r="A58" s="61" t="n"/>
      <c r="B58" s="186" t="inlineStr">
        <is>
          <t>GZ China Plaza Jusco Sports Swimwear Store</t>
        </is>
      </c>
      <c r="C58" s="186" t="n"/>
      <c r="D58" s="61" t="n">
        <v>0</v>
      </c>
      <c r="E58" s="61" t="n">
        <v>0</v>
      </c>
      <c r="F58" s="287">
        <f>E58/D58</f>
        <v/>
      </c>
      <c r="G58" s="186" t="n">
        <v>206</v>
      </c>
      <c r="H58" s="287" t="n">
        <v>8.132</v>
      </c>
      <c r="I58" s="287" t="n">
        <v>3.01372</v>
      </c>
      <c r="J58" s="287">
        <f>I58/H58</f>
        <v/>
      </c>
      <c r="K58" s="286">
        <f>_xlfn.IFERROR(J58-F58,"")</f>
        <v/>
      </c>
      <c r="L58" s="119">
        <f>_xlfn.IFERROR(I58/E58-1,"")</f>
        <v/>
      </c>
      <c r="M58" s="186" t="n"/>
      <c r="N58" s="287" t="n">
        <v>0</v>
      </c>
      <c r="O58" s="287" t="n">
        <v>0</v>
      </c>
      <c r="P58" s="287">
        <f>O58/N58</f>
        <v/>
      </c>
      <c r="Q58" s="186" t="n">
        <v>173</v>
      </c>
      <c r="R58" s="287" t="n">
        <v>6.8347</v>
      </c>
      <c r="S58" s="287" t="n">
        <v>2.4089</v>
      </c>
      <c r="T58" s="287">
        <f>S58/R58</f>
        <v/>
      </c>
      <c r="U58" s="286">
        <f>_xlfn.IFERROR(T58-P58,"")</f>
        <v/>
      </c>
      <c r="V58" s="119">
        <f>_xlfn.IFERROR(S58/O58-1,"")</f>
        <v/>
      </c>
      <c r="W58" s="186" t="n"/>
      <c r="X58" s="287" t="n">
        <v>0</v>
      </c>
      <c r="Y58" s="287" t="n">
        <v>0</v>
      </c>
      <c r="Z58" s="287">
        <f>Y58/X58</f>
        <v/>
      </c>
      <c r="AA58" s="186" t="n">
        <v>19</v>
      </c>
      <c r="AB58" s="287" t="n">
        <v>0.8999</v>
      </c>
      <c r="AC58" s="287" t="n">
        <v>0.34192</v>
      </c>
      <c r="AD58" s="287">
        <f>AC58/AB58</f>
        <v/>
      </c>
      <c r="AE58" s="286">
        <f>_xlfn.IFERROR(AD58-Z58,"")</f>
        <v/>
      </c>
      <c r="AF58" s="119">
        <f>_xlfn.IFERROR(AC58/Y58-1,"")</f>
        <v/>
      </c>
      <c r="AG58" s="186" t="n"/>
      <c r="AH58" s="287" t="n">
        <v>0</v>
      </c>
      <c r="AI58" s="287" t="n">
        <v>0</v>
      </c>
      <c r="AJ58" s="287">
        <f>AI58/AH58</f>
        <v/>
      </c>
      <c r="AK58" s="186" t="n"/>
      <c r="AL58" s="287" t="n">
        <v>0</v>
      </c>
      <c r="AM58" s="287" t="n">
        <v>0</v>
      </c>
      <c r="AN58" s="287">
        <f>AM58/AL58</f>
        <v/>
      </c>
      <c r="AO58" s="286">
        <f>_xlfn.IFERROR(AN58-AJ58,"")</f>
        <v/>
      </c>
      <c r="AP58" s="119">
        <f>_xlfn.IFERROR(AM58/AI58-1,"")</f>
        <v/>
      </c>
      <c r="AQ58" s="186" t="n"/>
      <c r="AR58" s="287" t="n">
        <v>0</v>
      </c>
      <c r="AS58" s="287" t="n">
        <v>0</v>
      </c>
      <c r="AT58" s="285">
        <f>_xlfn.IFERROR(AS58/AR58,"")</f>
        <v/>
      </c>
      <c r="AU58" s="186" t="n">
        <v>14</v>
      </c>
      <c r="AV58" s="287" t="n">
        <v>0.3974</v>
      </c>
      <c r="AW58" s="287" t="n">
        <v>0.2629</v>
      </c>
      <c r="AX58" s="287">
        <f>AW58/AV58</f>
        <v/>
      </c>
      <c r="AY58" s="286">
        <f>_xlfn.IFERROR(AX58-AT58,"")</f>
        <v/>
      </c>
      <c r="AZ58" s="119">
        <f>_xlfn.IFERROR(AW58/AS58-1,"")</f>
        <v/>
      </c>
      <c r="BA58" s="186" t="n"/>
      <c r="BB58" s="287" t="n">
        <v>0</v>
      </c>
      <c r="BC58" s="287" t="n">
        <v>0</v>
      </c>
      <c r="BD58" s="287">
        <f>BC58/BB58</f>
        <v/>
      </c>
      <c r="BE58" s="186" t="n"/>
      <c r="BF58" s="287" t="n">
        <v>0</v>
      </c>
      <c r="BG58" s="287" t="n">
        <v>0</v>
      </c>
      <c r="BH58" s="287">
        <f>BG58/BF58</f>
        <v/>
      </c>
      <c r="BI58" s="288">
        <f>_xlfn.IFERROR(BN58/((BF58/4)*30),"")</f>
        <v/>
      </c>
      <c r="BJ58" s="289">
        <f>_xlfn.IFERROR(BE58/4*31,"")</f>
        <v/>
      </c>
      <c r="BK58" s="290">
        <f>_xlfn.IFERROR(BG58/4*31,"")</f>
        <v/>
      </c>
      <c r="BL58" s="291">
        <f>_xlfn.IFERROR(BH58-BD58,"")</f>
        <v/>
      </c>
      <c r="BM58" s="150">
        <f>_xlfn.IFERROR(BK58/BC58-1,"")</f>
        <v/>
      </c>
      <c r="BN58" s="291" t="n">
        <v>19.0578</v>
      </c>
    </row>
    <row r="59" ht="13.5" customHeight="1" s="245">
      <c r="A59" s="61" t="n"/>
      <c r="B59" s="186" t="inlineStr">
        <is>
          <t>Haosa Indoor Sports Comprehensive Store, Zhujiang New Town, Guangzhou</t>
        </is>
      </c>
      <c r="C59" s="186" t="n"/>
      <c r="D59" s="61" t="n">
        <v>0</v>
      </c>
      <c r="E59" s="61" t="n">
        <v>0</v>
      </c>
      <c r="F59" s="287">
        <f>E59/D59</f>
        <v/>
      </c>
      <c r="G59" s="186" t="n">
        <v>496</v>
      </c>
      <c r="H59" s="287" t="n">
        <v>11.3505</v>
      </c>
      <c r="I59" s="287" t="n">
        <v>10.32505</v>
      </c>
      <c r="J59" s="287">
        <f>I59/H59</f>
        <v/>
      </c>
      <c r="K59" s="286">
        <f>_xlfn.IFERROR(J59-F59,"")</f>
        <v/>
      </c>
      <c r="L59" s="119">
        <f>_xlfn.IFERROR(I59/E59-1,"")</f>
        <v/>
      </c>
      <c r="M59" s="186" t="n"/>
      <c r="N59" s="287" t="n">
        <v>0</v>
      </c>
      <c r="O59" s="287" t="n">
        <v>0</v>
      </c>
      <c r="P59" s="287">
        <f>O59/N59</f>
        <v/>
      </c>
      <c r="Q59" s="186" t="n">
        <v>104</v>
      </c>
      <c r="R59" s="287" t="n">
        <v>2.4772</v>
      </c>
      <c r="S59" s="287" t="n">
        <v>2.24474</v>
      </c>
      <c r="T59" s="287">
        <f>S59/R59</f>
        <v/>
      </c>
      <c r="U59" s="286">
        <f>_xlfn.IFERROR(T59-P59,"")</f>
        <v/>
      </c>
      <c r="V59" s="119">
        <f>_xlfn.IFERROR(S59/O59-1,"")</f>
        <v/>
      </c>
      <c r="W59" s="186" t="n"/>
      <c r="X59" s="287" t="n">
        <v>0</v>
      </c>
      <c r="Y59" s="287" t="n">
        <v>0</v>
      </c>
      <c r="Z59" s="287">
        <f>Y59/X59</f>
        <v/>
      </c>
      <c r="AA59" s="186" t="n">
        <v>91</v>
      </c>
      <c r="AB59" s="287" t="n">
        <v>2.1075</v>
      </c>
      <c r="AC59" s="287" t="n">
        <v>1.84866</v>
      </c>
      <c r="AD59" s="287">
        <f>AC59/AB59</f>
        <v/>
      </c>
      <c r="AE59" s="286">
        <f>_xlfn.IFERROR(AD59-Z59,"")</f>
        <v/>
      </c>
      <c r="AF59" s="119">
        <f>_xlfn.IFERROR(AC59/Y59-1,"")</f>
        <v/>
      </c>
      <c r="AG59" s="186" t="n"/>
      <c r="AH59" s="287" t="n">
        <v>0</v>
      </c>
      <c r="AI59" s="287" t="n">
        <v>0</v>
      </c>
      <c r="AJ59" s="287">
        <f>AI59/AH59</f>
        <v/>
      </c>
      <c r="AK59" s="186" t="n">
        <v>134</v>
      </c>
      <c r="AL59" s="287" t="n">
        <v>3.2529</v>
      </c>
      <c r="AM59" s="287" t="n">
        <v>2.93744</v>
      </c>
      <c r="AN59" s="287">
        <f>AM59/AL59</f>
        <v/>
      </c>
      <c r="AO59" s="286">
        <f>_xlfn.IFERROR(AN59-AJ59,"")</f>
        <v/>
      </c>
      <c r="AP59" s="119">
        <f>_xlfn.IFERROR(AM59/AI59-1,"")</f>
        <v/>
      </c>
      <c r="AQ59" s="186" t="n"/>
      <c r="AR59" s="287" t="n">
        <v>0</v>
      </c>
      <c r="AS59" s="287" t="n">
        <v>0</v>
      </c>
      <c r="AT59" s="285">
        <f>_xlfn.IFERROR(AS59/AR59,"")</f>
        <v/>
      </c>
      <c r="AU59" s="186" t="n">
        <v>151</v>
      </c>
      <c r="AV59" s="287" t="n">
        <v>3.1981</v>
      </c>
      <c r="AW59" s="287" t="n">
        <v>3.02431</v>
      </c>
      <c r="AX59" s="287">
        <f>AW59/AV59</f>
        <v/>
      </c>
      <c r="AY59" s="286">
        <f>_xlfn.IFERROR(AX59-AT59,"")</f>
        <v/>
      </c>
      <c r="AZ59" s="119">
        <f>_xlfn.IFERROR(AW59/AS59-1,"")</f>
        <v/>
      </c>
      <c r="BA59" s="186" t="n"/>
      <c r="BB59" s="287" t="n">
        <v>0</v>
      </c>
      <c r="BC59" s="287" t="n">
        <v>0</v>
      </c>
      <c r="BD59" s="287">
        <f>BC59/BB59</f>
        <v/>
      </c>
      <c r="BE59" s="186" t="n">
        <v>16</v>
      </c>
      <c r="BF59" s="287" t="n">
        <v>0.3148</v>
      </c>
      <c r="BG59" s="287" t="n">
        <v>0.2699</v>
      </c>
      <c r="BH59" s="287">
        <f>BG59/BF59</f>
        <v/>
      </c>
      <c r="BI59" s="288">
        <f>_xlfn.IFERROR(BN59/((BF59/4)*30),"")</f>
        <v/>
      </c>
      <c r="BJ59" s="289">
        <f>_xlfn.IFERROR(BE59/4*31,"")</f>
        <v/>
      </c>
      <c r="BK59" s="290">
        <f>_xlfn.IFERROR(BG59/4*31,"")</f>
        <v/>
      </c>
      <c r="BL59" s="291">
        <f>_xlfn.IFERROR(BH59-BD59,"")</f>
        <v/>
      </c>
      <c r="BM59" s="150">
        <f>_xlfn.IFERROR(BK59/BC59-1,"")</f>
        <v/>
      </c>
      <c r="BN59" s="291" t="n">
        <v>87.4709</v>
      </c>
    </row>
    <row r="60" ht="13.5" customHeight="1" s="245">
      <c r="A60" s="61" t="n"/>
      <c r="B60" s="186" t="inlineStr">
        <is>
          <t>Tianhe City Department Store Online Store</t>
        </is>
      </c>
      <c r="C60" s="186" t="n"/>
      <c r="D60" s="61" t="n">
        <v>0</v>
      </c>
      <c r="E60" s="61" t="n">
        <v>0</v>
      </c>
      <c r="F60" s="287">
        <f>E60/D60</f>
        <v/>
      </c>
      <c r="G60" s="186" t="n">
        <v>21</v>
      </c>
      <c r="H60" s="287" t="n">
        <v>0.8279</v>
      </c>
      <c r="I60" s="287" t="n">
        <v>0.289756</v>
      </c>
      <c r="J60" s="287">
        <f>I60/H60</f>
        <v/>
      </c>
      <c r="K60" s="286">
        <f>_xlfn.IFERROR(J60-F60,"")</f>
        <v/>
      </c>
      <c r="L60" s="119">
        <f>_xlfn.IFERROR(I60/E60-1,"")</f>
        <v/>
      </c>
      <c r="M60" s="186" t="n"/>
      <c r="N60" s="287" t="n">
        <v>0</v>
      </c>
      <c r="O60" s="287" t="n">
        <v>0</v>
      </c>
      <c r="P60" s="287">
        <f>O60/N60</f>
        <v/>
      </c>
      <c r="Q60" s="186" t="n"/>
      <c r="R60" s="287" t="n">
        <v>0</v>
      </c>
      <c r="S60" s="287" t="n">
        <v>0</v>
      </c>
      <c r="T60" s="287">
        <f>S60/R60</f>
        <v/>
      </c>
      <c r="U60" s="286">
        <f>_xlfn.IFERROR(T60-P60,"")</f>
        <v/>
      </c>
      <c r="V60" s="119">
        <f>_xlfn.IFERROR(S60/O60-1,"")</f>
        <v/>
      </c>
      <c r="W60" s="186" t="n"/>
      <c r="X60" s="287" t="n">
        <v>0</v>
      </c>
      <c r="Y60" s="287" t="n">
        <v>0</v>
      </c>
      <c r="Z60" s="287">
        <f>Y60/X60</f>
        <v/>
      </c>
      <c r="AA60" s="186" t="n"/>
      <c r="AB60" s="287" t="n">
        <v>0</v>
      </c>
      <c r="AC60" s="287" t="n">
        <v>0</v>
      </c>
      <c r="AD60" s="287">
        <f>AC60/AB60</f>
        <v/>
      </c>
      <c r="AE60" s="286">
        <f>_xlfn.IFERROR(AD60-Z60,"")</f>
        <v/>
      </c>
      <c r="AF60" s="119">
        <f>_xlfn.IFERROR(AC60/Y60-1,"")</f>
        <v/>
      </c>
      <c r="AG60" s="186" t="n"/>
      <c r="AH60" s="287" t="n">
        <v>0</v>
      </c>
      <c r="AI60" s="287" t="n">
        <v>0</v>
      </c>
      <c r="AJ60" s="287">
        <f>AI60/AH60</f>
        <v/>
      </c>
      <c r="AK60" s="186" t="n"/>
      <c r="AL60" s="287" t="n">
        <v>0</v>
      </c>
      <c r="AM60" s="287" t="n">
        <v>0</v>
      </c>
      <c r="AN60" s="287">
        <f>AM60/AL60</f>
        <v/>
      </c>
      <c r="AO60" s="286">
        <f>_xlfn.IFERROR(AN60-AJ60,"")</f>
        <v/>
      </c>
      <c r="AP60" s="119">
        <f>_xlfn.IFERROR(AM60/AI60-1,"")</f>
        <v/>
      </c>
      <c r="AQ60" s="186" t="n"/>
      <c r="AR60" s="287" t="n">
        <v>0</v>
      </c>
      <c r="AS60" s="287" t="n">
        <v>0</v>
      </c>
      <c r="AT60" s="285">
        <f>_xlfn.IFERROR(AS60/AR60,"")</f>
        <v/>
      </c>
      <c r="AU60" s="186" t="n">
        <v>21</v>
      </c>
      <c r="AV60" s="287" t="n">
        <v>0.8279</v>
      </c>
      <c r="AW60" s="287" t="n">
        <v>0.289756</v>
      </c>
      <c r="AX60" s="287">
        <f>AW60/AV60</f>
        <v/>
      </c>
      <c r="AY60" s="286">
        <f>_xlfn.IFERROR(AX60-AT60,"")</f>
        <v/>
      </c>
      <c r="AZ60" s="119">
        <f>_xlfn.IFERROR(AW60/AS60-1,"")</f>
        <v/>
      </c>
      <c r="BA60" s="186" t="n"/>
      <c r="BB60" s="287" t="n">
        <v>0</v>
      </c>
      <c r="BC60" s="287" t="n">
        <v>0</v>
      </c>
      <c r="BD60" s="287">
        <f>BC60/BB60</f>
        <v/>
      </c>
      <c r="BE60" s="186" t="n"/>
      <c r="BF60" s="287" t="n">
        <v>0</v>
      </c>
      <c r="BG60" s="287" t="n">
        <v>0</v>
      </c>
      <c r="BH60" s="287">
        <f>BG60/BF60</f>
        <v/>
      </c>
      <c r="BI60" s="288">
        <f>_xlfn.IFERROR(BN60/((BF60/4)*30),"")</f>
        <v/>
      </c>
      <c r="BJ60" s="289">
        <f>_xlfn.IFERROR(BE60/4*31,"")</f>
        <v/>
      </c>
      <c r="BK60" s="290">
        <f>_xlfn.IFERROR(BG60/4*31,"")</f>
        <v/>
      </c>
      <c r="BL60" s="291">
        <f>_xlfn.IFERROR(BH60-BD60,"")</f>
        <v/>
      </c>
      <c r="BM60" s="150">
        <f>_xlfn.IFERROR(BK60/BC60-1,"")</f>
        <v/>
      </c>
      <c r="BN60" s="291" t="n">
        <v>18.5845</v>
      </c>
    </row>
    <row r="61" ht="13.5" customHeight="1" s="245">
      <c r="A61" s="183" t="inlineStr">
        <is>
          <t>Guangzhou District 2 Summary</t>
        </is>
      </c>
      <c r="B61" s="109" t="n"/>
      <c r="C61" s="183" t="n">
        <v>17189</v>
      </c>
      <c r="D61" s="61" t="n">
        <v>395.8372</v>
      </c>
      <c r="E61" s="61" t="n">
        <v>288.145565</v>
      </c>
      <c r="F61" s="285">
        <f>E61/D61</f>
        <v/>
      </c>
      <c r="G61" s="183" t="n">
        <v>19553</v>
      </c>
      <c r="H61" s="285" t="n">
        <v>475.5909</v>
      </c>
      <c r="I61" s="285" t="n">
        <v>302.404427</v>
      </c>
      <c r="J61" s="285">
        <f>I61/H61</f>
        <v/>
      </c>
      <c r="K61" s="292">
        <f>_xlfn.IFERROR(J61-F61,"")</f>
        <v/>
      </c>
      <c r="L61" s="121">
        <f>_xlfn.IFERROR(I61/E61-1,"")</f>
        <v/>
      </c>
      <c r="M61" s="117" t="n">
        <v>5115</v>
      </c>
      <c r="N61" s="285" t="n">
        <v>136.568</v>
      </c>
      <c r="O61" s="285" t="n">
        <v>99.73365099999999</v>
      </c>
      <c r="P61" s="285">
        <f>O61/N61</f>
        <v/>
      </c>
      <c r="Q61" s="183" t="n">
        <v>6679</v>
      </c>
      <c r="R61" s="285" t="n">
        <v>177.8258</v>
      </c>
      <c r="S61" s="285" t="n">
        <v>108.818664</v>
      </c>
      <c r="T61" s="285">
        <f>S61/R61</f>
        <v/>
      </c>
      <c r="U61" s="292">
        <f>_xlfn.IFERROR(T61-P61,"")</f>
        <v/>
      </c>
      <c r="V61" s="121">
        <f>_xlfn.IFERROR(S61/O61-1,"")</f>
        <v/>
      </c>
      <c r="W61" s="117" t="n">
        <v>3827</v>
      </c>
      <c r="X61" s="285" t="n">
        <v>87.48569999999999</v>
      </c>
      <c r="Y61" s="285" t="n">
        <v>64.581312</v>
      </c>
      <c r="Z61" s="285">
        <f>Y61/X61</f>
        <v/>
      </c>
      <c r="AA61" s="183" t="n">
        <v>3503</v>
      </c>
      <c r="AB61" s="285" t="n">
        <v>94.4049</v>
      </c>
      <c r="AC61" s="285" t="n">
        <v>60.520587</v>
      </c>
      <c r="AD61" s="285">
        <f>AC61/AB61</f>
        <v/>
      </c>
      <c r="AE61" s="292">
        <f>_xlfn.IFERROR(AD61-Z61,"")</f>
        <v/>
      </c>
      <c r="AF61" s="121">
        <f>_xlfn.IFERROR(AC61/Y61-1,"")</f>
        <v/>
      </c>
      <c r="AG61" s="117" t="n">
        <v>3788</v>
      </c>
      <c r="AH61" s="285" t="n">
        <v>80.7805</v>
      </c>
      <c r="AI61" s="285" t="n">
        <v>60.166756</v>
      </c>
      <c r="AJ61" s="285">
        <f>AI61/AH61</f>
        <v/>
      </c>
      <c r="AK61" s="183" t="n">
        <v>4646</v>
      </c>
      <c r="AL61" s="285" t="n">
        <v>105.7238</v>
      </c>
      <c r="AM61" s="285" t="n">
        <v>63.54579</v>
      </c>
      <c r="AN61" s="285">
        <f>AM61/AL61</f>
        <v/>
      </c>
      <c r="AO61" s="292">
        <f>_xlfn.IFERROR(AN61-AJ61,"")</f>
        <v/>
      </c>
      <c r="AP61" s="121">
        <f>_xlfn.IFERROR(AM61/AI61-1,"")</f>
        <v/>
      </c>
      <c r="AQ61" s="117" t="n">
        <v>3668</v>
      </c>
      <c r="AR61" s="285" t="n">
        <v>72.82980000000001</v>
      </c>
      <c r="AS61" s="285" t="n">
        <v>52.319042</v>
      </c>
      <c r="AT61" s="285">
        <f>_xlfn.IFERROR(AS61/AR61,"")</f>
        <v/>
      </c>
      <c r="AU61" s="183" t="n">
        <v>4011</v>
      </c>
      <c r="AV61" s="285" t="n">
        <v>82.53870000000001</v>
      </c>
      <c r="AW61" s="285" t="n">
        <v>59.257056</v>
      </c>
      <c r="AX61" s="285">
        <f>AW61/AV61</f>
        <v/>
      </c>
      <c r="AY61" s="292">
        <f>_xlfn.IFERROR(AX61-AT61,"")</f>
        <v/>
      </c>
      <c r="AZ61" s="121">
        <f>_xlfn.IFERROR(AW61/AS61-1,"")</f>
        <v/>
      </c>
      <c r="BA61" s="117" t="n">
        <v>4959</v>
      </c>
      <c r="BB61" s="285" t="n">
        <v>102.1118</v>
      </c>
      <c r="BC61" s="285" t="n">
        <v>74.540356</v>
      </c>
      <c r="BD61" s="285">
        <f>BC61/BB61</f>
        <v/>
      </c>
      <c r="BE61" s="142" t="n">
        <v>714</v>
      </c>
      <c r="BF61" s="293" t="n">
        <v>15.0977</v>
      </c>
      <c r="BG61" s="293" t="n">
        <v>10.26233</v>
      </c>
      <c r="BH61" s="293">
        <f>BG61/BF61</f>
        <v/>
      </c>
      <c r="BI61" s="288">
        <f>_xlfn.IFERROR(BN61/((BF61/4)*30),"")</f>
        <v/>
      </c>
      <c r="BJ61" s="294">
        <f>_xlfn.IFERROR(BE61/4*31,"")</f>
        <v/>
      </c>
      <c r="BK61" s="295">
        <f>_xlfn.IFERROR(BG61/4*31,"")</f>
        <v/>
      </c>
      <c r="BL61" s="291">
        <f>_xlfn.IFERROR(BH61-BD61,"")</f>
        <v/>
      </c>
      <c r="BM61" s="150">
        <f>_xlfn.IFERROR(BK61/BC61-1,"")</f>
        <v/>
      </c>
      <c r="BN61" s="291">
        <f>SUM(BN33:BN60)</f>
        <v/>
      </c>
    </row>
    <row r="62" ht="13.5" customHeight="1" s="245">
      <c r="A62" s="183" t="inlineStr">
        <is>
          <t>Shenzhen</t>
        </is>
      </c>
      <c r="B62" s="183" t="inlineStr">
        <is>
          <t>(Shen) Shenzhen Poly Tianhong Lingerie Store</t>
        </is>
      </c>
      <c r="C62" s="183" t="n">
        <v>436</v>
      </c>
      <c r="D62" s="61" t="n">
        <v>11.1125</v>
      </c>
      <c r="E62" s="61" t="n">
        <v>6.40576</v>
      </c>
      <c r="F62" s="285">
        <f>E62/D62</f>
        <v/>
      </c>
      <c r="G62" s="183" t="n">
        <v>536</v>
      </c>
      <c r="H62" s="285" t="n">
        <v>15.5412</v>
      </c>
      <c r="I62" s="285" t="n">
        <v>8.27544</v>
      </c>
      <c r="J62" s="285">
        <f>I62/H62</f>
        <v/>
      </c>
      <c r="K62" s="286">
        <f>_xlfn.IFERROR(J62-F62,"")</f>
        <v/>
      </c>
      <c r="L62" s="119">
        <f>_xlfn.IFERROR(I62/E62-1,"")</f>
        <v/>
      </c>
      <c r="M62" s="183" t="n">
        <v>187</v>
      </c>
      <c r="N62" s="285" t="n">
        <v>5.9504</v>
      </c>
      <c r="O62" s="285" t="n">
        <v>3.44027</v>
      </c>
      <c r="P62" s="285">
        <f>O62/N62</f>
        <v/>
      </c>
      <c r="Q62" s="183" t="n">
        <v>264</v>
      </c>
      <c r="R62" s="285" t="n">
        <v>8.8957</v>
      </c>
      <c r="S62" s="285" t="n">
        <v>5.21128</v>
      </c>
      <c r="T62" s="285">
        <f>S62/R62</f>
        <v/>
      </c>
      <c r="U62" s="286">
        <f>_xlfn.IFERROR(T62-P62,"")</f>
        <v/>
      </c>
      <c r="V62" s="119">
        <f>_xlfn.IFERROR(S62/O62-1,"")</f>
        <v/>
      </c>
      <c r="W62" s="183" t="n">
        <v>99</v>
      </c>
      <c r="X62" s="285" t="n">
        <v>2.7371</v>
      </c>
      <c r="Y62" s="285" t="n">
        <v>1.65122</v>
      </c>
      <c r="Z62" s="285">
        <f>Y62/X62</f>
        <v/>
      </c>
      <c r="AA62" s="183" t="n">
        <v>110</v>
      </c>
      <c r="AB62" s="285" t="n">
        <v>3.4596</v>
      </c>
      <c r="AC62" s="285" t="n">
        <v>1.53643</v>
      </c>
      <c r="AD62" s="285">
        <f>AC62/AB62</f>
        <v/>
      </c>
      <c r="AE62" s="286">
        <f>_xlfn.IFERROR(AD62-Z62,"")</f>
        <v/>
      </c>
      <c r="AF62" s="119">
        <f>_xlfn.IFERROR(AC62/Y62-1,"")</f>
        <v/>
      </c>
      <c r="AG62" s="183" t="n">
        <v>55</v>
      </c>
      <c r="AH62" s="285" t="n">
        <v>0.8989</v>
      </c>
      <c r="AI62" s="285" t="n">
        <v>0.5283</v>
      </c>
      <c r="AJ62" s="285">
        <f>AI62/AH62</f>
        <v/>
      </c>
      <c r="AK62" s="183" t="n">
        <v>73</v>
      </c>
      <c r="AL62" s="285" t="n">
        <v>1.4731</v>
      </c>
      <c r="AM62" s="285" t="n">
        <v>0.7079800000000001</v>
      </c>
      <c r="AN62" s="285">
        <f>AM62/AL62</f>
        <v/>
      </c>
      <c r="AO62" s="286">
        <f>_xlfn.IFERROR(AN62-AJ62,"")</f>
        <v/>
      </c>
      <c r="AP62" s="119">
        <f>_xlfn.IFERROR(AM62/AI62-1,"")</f>
        <v/>
      </c>
      <c r="AQ62" s="183" t="n">
        <v>78</v>
      </c>
      <c r="AR62" s="285" t="n">
        <v>1.2468</v>
      </c>
      <c r="AS62" s="285" t="n">
        <v>0.60494</v>
      </c>
      <c r="AT62" s="285">
        <f>_xlfn.IFERROR(AS62/AR62,"")</f>
        <v/>
      </c>
      <c r="AU62" s="183" t="n">
        <v>54</v>
      </c>
      <c r="AV62" s="285" t="n">
        <v>1.1849</v>
      </c>
      <c r="AW62" s="285" t="n">
        <v>0.5646099999999999</v>
      </c>
      <c r="AX62" s="285">
        <f>AW62/AV62</f>
        <v/>
      </c>
      <c r="AY62" s="286">
        <f>_xlfn.IFERROR(AX62-AT62,"")</f>
        <v/>
      </c>
      <c r="AZ62" s="119">
        <f>_xlfn.IFERROR(AW62/AS62-1,"")</f>
        <v/>
      </c>
      <c r="BA62" s="183" t="n">
        <v>131</v>
      </c>
      <c r="BB62" s="285" t="n">
        <v>1.8804</v>
      </c>
      <c r="BC62" s="285" t="n">
        <v>0.99702</v>
      </c>
      <c r="BD62" s="285">
        <f>BC62/BB62</f>
        <v/>
      </c>
      <c r="BE62" s="186" t="n">
        <v>35</v>
      </c>
      <c r="BF62" s="287" t="n">
        <v>0.5279</v>
      </c>
      <c r="BG62" s="287" t="n">
        <v>0.25514</v>
      </c>
      <c r="BH62" s="287">
        <f>BG62/BF62</f>
        <v/>
      </c>
      <c r="BI62" s="288">
        <f>_xlfn.IFERROR(BN62/((BF62/4)*30),"")</f>
        <v/>
      </c>
      <c r="BJ62" s="289">
        <f>_xlfn.IFERROR(BE62/4*31,"")</f>
        <v/>
      </c>
      <c r="BK62" s="290">
        <f>_xlfn.IFERROR(BG62/4*31,"")</f>
        <v/>
      </c>
      <c r="BL62" s="291">
        <f>_xlfn.IFERROR(BH62-BD62,"")</f>
        <v/>
      </c>
      <c r="BM62" s="150">
        <f>_xlfn.IFERROR(BK62/BC62-1,"")</f>
        <v/>
      </c>
      <c r="BN62" s="291" t="n">
        <v>40.7783</v>
      </c>
    </row>
    <row r="63" ht="13.5" customHeight="1" s="245">
      <c r="A63" s="61" t="n"/>
      <c r="B63" s="186" t="inlineStr">
        <is>
          <t>(Shen) Shenzhen Buji Tianhong Lingerie Store</t>
        </is>
      </c>
      <c r="C63" s="186" t="n">
        <v>1669</v>
      </c>
      <c r="D63" s="61" t="n">
        <v>32.9876</v>
      </c>
      <c r="E63" s="61" t="n">
        <v>26.25546</v>
      </c>
      <c r="F63" s="287">
        <f>E63/D63</f>
        <v/>
      </c>
      <c r="G63" s="186" t="n">
        <v>1357</v>
      </c>
      <c r="H63" s="287" t="n">
        <v>30.3559</v>
      </c>
      <c r="I63" s="287" t="n">
        <v>27.65619</v>
      </c>
      <c r="J63" s="287">
        <f>I63/H63</f>
        <v/>
      </c>
      <c r="K63" s="286">
        <f>_xlfn.IFERROR(J63-F63,"")</f>
        <v/>
      </c>
      <c r="L63" s="119">
        <f>_xlfn.IFERROR(I63/E63-1,"")</f>
        <v/>
      </c>
      <c r="M63" s="186" t="n">
        <v>697</v>
      </c>
      <c r="N63" s="287" t="n">
        <v>17.6124</v>
      </c>
      <c r="O63" s="287" t="n">
        <v>15.3598</v>
      </c>
      <c r="P63" s="287">
        <f>O63/N63</f>
        <v/>
      </c>
      <c r="Q63" s="186" t="n">
        <v>800</v>
      </c>
      <c r="R63" s="287" t="n">
        <v>20.877</v>
      </c>
      <c r="S63" s="287" t="n">
        <v>21.15606</v>
      </c>
      <c r="T63" s="287">
        <f>S63/R63</f>
        <v/>
      </c>
      <c r="U63" s="286">
        <f>_xlfn.IFERROR(T63-P63,"")</f>
        <v/>
      </c>
      <c r="V63" s="119">
        <f>_xlfn.IFERROR(S63/O63-1,"")</f>
        <v/>
      </c>
      <c r="W63" s="186" t="n">
        <v>381</v>
      </c>
      <c r="X63" s="287" t="n">
        <v>6.9737</v>
      </c>
      <c r="Y63" s="287" t="n">
        <v>3.80869</v>
      </c>
      <c r="Z63" s="287">
        <f>Y63/X63</f>
        <v/>
      </c>
      <c r="AA63" s="186" t="n">
        <v>133</v>
      </c>
      <c r="AB63" s="287" t="n">
        <v>3.3323</v>
      </c>
      <c r="AC63" s="287" t="n">
        <v>1.9536</v>
      </c>
      <c r="AD63" s="287">
        <f>AC63/AB63</f>
        <v/>
      </c>
      <c r="AE63" s="286">
        <f>_xlfn.IFERROR(AD63-Z63,"")</f>
        <v/>
      </c>
      <c r="AF63" s="119">
        <f>_xlfn.IFERROR(AC63/Y63-1,"")</f>
        <v/>
      </c>
      <c r="AG63" s="186" t="n">
        <v>143</v>
      </c>
      <c r="AH63" s="287" t="n">
        <v>2.419</v>
      </c>
      <c r="AI63" s="287" t="n">
        <v>1.76668</v>
      </c>
      <c r="AJ63" s="287">
        <f>AI63/AH63</f>
        <v/>
      </c>
      <c r="AK63" s="186" t="n">
        <v>187</v>
      </c>
      <c r="AL63" s="287" t="n">
        <v>2.8929</v>
      </c>
      <c r="AM63" s="287" t="n">
        <v>1.99906</v>
      </c>
      <c r="AN63" s="287">
        <f>AM63/AL63</f>
        <v/>
      </c>
      <c r="AO63" s="286">
        <f>_xlfn.IFERROR(AN63-AJ63,"")</f>
        <v/>
      </c>
      <c r="AP63" s="119">
        <f>_xlfn.IFERROR(AM63/AI63-1,"")</f>
        <v/>
      </c>
      <c r="AQ63" s="186" t="n">
        <v>345</v>
      </c>
      <c r="AR63" s="287" t="n">
        <v>4.6531</v>
      </c>
      <c r="AS63" s="287" t="n">
        <v>3.95687</v>
      </c>
      <c r="AT63" s="285">
        <f>_xlfn.IFERROR(AS63/AR63,"")</f>
        <v/>
      </c>
      <c r="AU63" s="186" t="n">
        <v>147</v>
      </c>
      <c r="AV63" s="287" t="n">
        <v>2.2176</v>
      </c>
      <c r="AW63" s="287" t="n">
        <v>1.53237</v>
      </c>
      <c r="AX63" s="287">
        <f>AW63/AV63</f>
        <v/>
      </c>
      <c r="AY63" s="286">
        <f>_xlfn.IFERROR(AX63-AT63,"")</f>
        <v/>
      </c>
      <c r="AZ63" s="119">
        <f>_xlfn.IFERROR(AW63/AS63-1,"")</f>
        <v/>
      </c>
      <c r="BA63" s="186" t="n">
        <v>262</v>
      </c>
      <c r="BB63" s="287" t="n">
        <v>3.6702</v>
      </c>
      <c r="BC63" s="287" t="n">
        <v>3.37213</v>
      </c>
      <c r="BD63" s="287">
        <f>BC63/BB63</f>
        <v/>
      </c>
      <c r="BE63" s="186" t="n">
        <v>90</v>
      </c>
      <c r="BF63" s="287" t="n">
        <v>1.0361</v>
      </c>
      <c r="BG63" s="287" t="n">
        <v>1.0151</v>
      </c>
      <c r="BH63" s="287">
        <f>BG63/BF63</f>
        <v/>
      </c>
      <c r="BI63" s="288">
        <f>_xlfn.IFERROR(BN63/((BF63/4)*30),"")</f>
        <v/>
      </c>
      <c r="BJ63" s="289">
        <f>_xlfn.IFERROR(BE63/4*31,"")</f>
        <v/>
      </c>
      <c r="BK63" s="290">
        <f>_xlfn.IFERROR(BG63/4*31,"")</f>
        <v/>
      </c>
      <c r="BL63" s="291">
        <f>_xlfn.IFERROR(BH63-BD63,"")</f>
        <v/>
      </c>
      <c r="BM63" s="150">
        <f>_xlfn.IFERROR(BK63/BC63-1,"")</f>
        <v/>
      </c>
      <c r="BN63" s="291" t="n">
        <v>59.3507</v>
      </c>
    </row>
    <row r="64" ht="13.5" customHeight="1" s="245">
      <c r="A64" s="61" t="n"/>
      <c r="B64" s="186" t="inlineStr">
        <is>
          <t>(Shen) Shenzhen Chuangye Tianhong Lingerie Store</t>
        </is>
      </c>
      <c r="C64" s="186" t="n">
        <v>2073</v>
      </c>
      <c r="D64" s="61" t="n">
        <v>48.2751</v>
      </c>
      <c r="E64" s="61" t="n">
        <v>32.749476</v>
      </c>
      <c r="F64" s="287">
        <f>E64/D64</f>
        <v/>
      </c>
      <c r="G64" s="186" t="n">
        <v>2201</v>
      </c>
      <c r="H64" s="287" t="n">
        <v>61.6281</v>
      </c>
      <c r="I64" s="287" t="n">
        <v>47.702198</v>
      </c>
      <c r="J64" s="287">
        <f>I64/H64</f>
        <v/>
      </c>
      <c r="K64" s="286">
        <f>_xlfn.IFERROR(J64-F64,"")</f>
        <v/>
      </c>
      <c r="L64" s="119">
        <f>_xlfn.IFERROR(I64/E64-1,"")</f>
        <v/>
      </c>
      <c r="M64" s="186" t="n">
        <v>832</v>
      </c>
      <c r="N64" s="287" t="n">
        <v>24.5899</v>
      </c>
      <c r="O64" s="287" t="n">
        <v>17.228256</v>
      </c>
      <c r="P64" s="287">
        <f>O64/N64</f>
        <v/>
      </c>
      <c r="Q64" s="186" t="n">
        <v>1360</v>
      </c>
      <c r="R64" s="287" t="n">
        <v>45.4477</v>
      </c>
      <c r="S64" s="287" t="n">
        <v>36.9046</v>
      </c>
      <c r="T64" s="287">
        <f>S64/R64</f>
        <v/>
      </c>
      <c r="U64" s="286">
        <f>_xlfn.IFERROR(T64-P64,"")</f>
        <v/>
      </c>
      <c r="V64" s="119">
        <f>_xlfn.IFERROR(S64/O64-1,"")</f>
        <v/>
      </c>
      <c r="W64" s="186" t="n">
        <v>625</v>
      </c>
      <c r="X64" s="287" t="n">
        <v>14.3528</v>
      </c>
      <c r="Y64" s="287" t="n">
        <v>7.809298</v>
      </c>
      <c r="Z64" s="287">
        <f>Y64/X64</f>
        <v/>
      </c>
      <c r="AA64" s="186" t="n">
        <v>238</v>
      </c>
      <c r="AB64" s="287" t="n">
        <v>6.5382</v>
      </c>
      <c r="AC64" s="287" t="n">
        <v>4.273768</v>
      </c>
      <c r="AD64" s="287">
        <f>AC64/AB64</f>
        <v/>
      </c>
      <c r="AE64" s="286">
        <f>_xlfn.IFERROR(AD64-Z64,"")</f>
        <v/>
      </c>
      <c r="AF64" s="119">
        <f>_xlfn.IFERROR(AC64/Y64-1,"")</f>
        <v/>
      </c>
      <c r="AG64" s="186" t="n">
        <v>197</v>
      </c>
      <c r="AH64" s="287" t="n">
        <v>3.4144</v>
      </c>
      <c r="AI64" s="287" t="n">
        <v>2.520394</v>
      </c>
      <c r="AJ64" s="287">
        <f>AI64/AH64</f>
        <v/>
      </c>
      <c r="AK64" s="186" t="n">
        <v>244</v>
      </c>
      <c r="AL64" s="287" t="n">
        <v>4.837</v>
      </c>
      <c r="AM64" s="287" t="n">
        <v>3.312848</v>
      </c>
      <c r="AN64" s="287">
        <f>AM64/AL64</f>
        <v/>
      </c>
      <c r="AO64" s="286">
        <f>_xlfn.IFERROR(AN64-AJ64,"")</f>
        <v/>
      </c>
      <c r="AP64" s="119">
        <f>_xlfn.IFERROR(AM64/AI64-1,"")</f>
        <v/>
      </c>
      <c r="AQ64" s="186" t="n">
        <v>281</v>
      </c>
      <c r="AR64" s="287" t="n">
        <v>4.1492</v>
      </c>
      <c r="AS64" s="287" t="n">
        <v>3.40608</v>
      </c>
      <c r="AT64" s="285">
        <f>_xlfn.IFERROR(AS64/AR64,"")</f>
        <v/>
      </c>
      <c r="AU64" s="186" t="n">
        <v>232</v>
      </c>
      <c r="AV64" s="287" t="n">
        <v>3.2783</v>
      </c>
      <c r="AW64" s="287" t="n">
        <v>2.38322</v>
      </c>
      <c r="AX64" s="287">
        <f>AW64/AV64</f>
        <v/>
      </c>
      <c r="AY64" s="286">
        <f>_xlfn.IFERROR(AX64-AT64,"")</f>
        <v/>
      </c>
      <c r="AZ64" s="119">
        <f>_xlfn.IFERROR(AW64/AS64-1,"")</f>
        <v/>
      </c>
      <c r="BA64" s="186" t="n">
        <v>577</v>
      </c>
      <c r="BB64" s="287" t="n">
        <v>9.728199999999999</v>
      </c>
      <c r="BC64" s="287" t="n">
        <v>6.304524</v>
      </c>
      <c r="BD64" s="287">
        <f>BC64/BB64</f>
        <v/>
      </c>
      <c r="BE64" s="186" t="n">
        <v>127</v>
      </c>
      <c r="BF64" s="287" t="n">
        <v>1.5269</v>
      </c>
      <c r="BG64" s="287" t="n">
        <v>0.827762</v>
      </c>
      <c r="BH64" s="287">
        <f>BG64/BF64</f>
        <v/>
      </c>
      <c r="BI64" s="288">
        <f>_xlfn.IFERROR(BN64/((BF64/4)*30),"")</f>
        <v/>
      </c>
      <c r="BJ64" s="289">
        <f>_xlfn.IFERROR(BE64/4*31,"")</f>
        <v/>
      </c>
      <c r="BK64" s="290">
        <f>_xlfn.IFERROR(BG64/4*31,"")</f>
        <v/>
      </c>
      <c r="BL64" s="291">
        <f>_xlfn.IFERROR(BH64-BD64,"")</f>
        <v/>
      </c>
      <c r="BM64" s="150">
        <f>_xlfn.IFERROR(BK64/BC64-1,"")</f>
        <v/>
      </c>
      <c r="BN64" s="291" t="n">
        <v>75.4875</v>
      </c>
    </row>
    <row r="65" ht="13.5" customHeight="1" s="245">
      <c r="A65" s="61" t="n"/>
      <c r="B65" s="186" t="inlineStr">
        <is>
          <t>(Shen) Shenzhen Dingcheng International Tianhong Lingerie Store</t>
        </is>
      </c>
      <c r="C65" s="186" t="n">
        <v>2187</v>
      </c>
      <c r="D65" s="61" t="n">
        <v>45.8197</v>
      </c>
      <c r="E65" s="61" t="n">
        <v>43.10869</v>
      </c>
      <c r="F65" s="287">
        <f>E65/D65</f>
        <v/>
      </c>
      <c r="G65" s="186" t="n">
        <v>2626</v>
      </c>
      <c r="H65" s="287" t="n">
        <v>59.2805</v>
      </c>
      <c r="I65" s="287" t="n">
        <v>37.932124</v>
      </c>
      <c r="J65" s="287">
        <f>I65/H65</f>
        <v/>
      </c>
      <c r="K65" s="286">
        <f>_xlfn.IFERROR(J65-F65,"")</f>
        <v/>
      </c>
      <c r="L65" s="119">
        <f>_xlfn.IFERROR(I65/E65-1,"")</f>
        <v/>
      </c>
      <c r="M65" s="186" t="n">
        <v>664</v>
      </c>
      <c r="N65" s="287" t="n">
        <v>19.2976</v>
      </c>
      <c r="O65" s="287" t="n">
        <v>18.9787</v>
      </c>
      <c r="P65" s="287">
        <f>O65/N65</f>
        <v/>
      </c>
      <c r="Q65" s="186" t="n">
        <v>1112</v>
      </c>
      <c r="R65" s="287" t="n">
        <v>29.2639</v>
      </c>
      <c r="S65" s="287" t="n">
        <v>19.1037</v>
      </c>
      <c r="T65" s="287">
        <f>S65/R65</f>
        <v/>
      </c>
      <c r="U65" s="286">
        <f>_xlfn.IFERROR(T65-P65,"")</f>
        <v/>
      </c>
      <c r="V65" s="119">
        <f>_xlfn.IFERROR(S65/O65-1,"")</f>
        <v/>
      </c>
      <c r="W65" s="186" t="n">
        <v>516</v>
      </c>
      <c r="X65" s="287" t="n">
        <v>11.1557</v>
      </c>
      <c r="Y65" s="287" t="n">
        <v>10.26084</v>
      </c>
      <c r="Z65" s="287">
        <f>Y65/X65</f>
        <v/>
      </c>
      <c r="AA65" s="186" t="n">
        <v>381</v>
      </c>
      <c r="AB65" s="287" t="n">
        <v>9.969200000000001</v>
      </c>
      <c r="AC65" s="287" t="n">
        <v>5.35431</v>
      </c>
      <c r="AD65" s="287">
        <f>AC65/AB65</f>
        <v/>
      </c>
      <c r="AE65" s="286">
        <f>_xlfn.IFERROR(AD65-Z65,"")</f>
        <v/>
      </c>
      <c r="AF65" s="119">
        <f>_xlfn.IFERROR(AC65/Y65-1,"")</f>
        <v/>
      </c>
      <c r="AG65" s="186" t="n">
        <v>437</v>
      </c>
      <c r="AH65" s="287" t="n">
        <v>7.1302</v>
      </c>
      <c r="AI65" s="287" t="n">
        <v>6.3633</v>
      </c>
      <c r="AJ65" s="287">
        <f>AI65/AH65</f>
        <v/>
      </c>
      <c r="AK65" s="186" t="n">
        <v>616</v>
      </c>
      <c r="AL65" s="287" t="n">
        <v>11.9777</v>
      </c>
      <c r="AM65" s="287" t="n">
        <v>5.58022</v>
      </c>
      <c r="AN65" s="287">
        <f>AM65/AL65</f>
        <v/>
      </c>
      <c r="AO65" s="286">
        <f>_xlfn.IFERROR(AN65-AJ65,"")</f>
        <v/>
      </c>
      <c r="AP65" s="119">
        <f>_xlfn.IFERROR(AM65/AI65-1,"")</f>
        <v/>
      </c>
      <c r="AQ65" s="186" t="n">
        <v>490</v>
      </c>
      <c r="AR65" s="287" t="n">
        <v>7.0984</v>
      </c>
      <c r="AS65" s="287" t="n">
        <v>6.37149</v>
      </c>
      <c r="AT65" s="285">
        <f>_xlfn.IFERROR(AS65/AR65,"")</f>
        <v/>
      </c>
      <c r="AU65" s="186" t="n">
        <v>400</v>
      </c>
      <c r="AV65" s="287" t="n">
        <v>6.4436</v>
      </c>
      <c r="AW65" s="287" t="n">
        <v>6.278124</v>
      </c>
      <c r="AX65" s="287">
        <f>AW65/AV65</f>
        <v/>
      </c>
      <c r="AY65" s="286">
        <f>_xlfn.IFERROR(AX65-AT65,"")</f>
        <v/>
      </c>
      <c r="AZ65" s="119">
        <f>_xlfn.IFERROR(AW65/AS65-1,"")</f>
        <v/>
      </c>
      <c r="BA65" s="186" t="n">
        <v>329</v>
      </c>
      <c r="BB65" s="287" t="n">
        <v>4.722</v>
      </c>
      <c r="BC65" s="287" t="n">
        <v>4.09118</v>
      </c>
      <c r="BD65" s="287">
        <f>BC65/BB65</f>
        <v/>
      </c>
      <c r="BE65" s="186" t="n">
        <v>117</v>
      </c>
      <c r="BF65" s="287" t="n">
        <v>1.6261</v>
      </c>
      <c r="BG65" s="287" t="n">
        <v>1.61577</v>
      </c>
      <c r="BH65" s="287">
        <f>BG65/BF65</f>
        <v/>
      </c>
      <c r="BI65" s="288">
        <f>_xlfn.IFERROR(BN65/((BF65/4)*30),"")</f>
        <v/>
      </c>
      <c r="BJ65" s="289">
        <f>_xlfn.IFERROR(BE65/4*31,"")</f>
        <v/>
      </c>
      <c r="BK65" s="290">
        <f>_xlfn.IFERROR(BG65/4*31,"")</f>
        <v/>
      </c>
      <c r="BL65" s="291">
        <f>_xlfn.IFERROR(BH65-BD65,"")</f>
        <v/>
      </c>
      <c r="BM65" s="150">
        <f>_xlfn.IFERROR(BK65/BC65-1,"")</f>
        <v/>
      </c>
      <c r="BN65" s="291" t="n">
        <v>81.7039</v>
      </c>
    </row>
    <row r="66" ht="13.5" customHeight="1" s="245">
      <c r="A66" s="61" t="n"/>
      <c r="B66" s="186" t="inlineStr">
        <is>
          <t>(Shen) Shenzhen Dongmen Tianhong Lingerie Store</t>
        </is>
      </c>
      <c r="C66" s="186" t="n">
        <v>1052</v>
      </c>
      <c r="D66" s="61" t="n">
        <v>20.978</v>
      </c>
      <c r="E66" s="61" t="n">
        <v>19.93865</v>
      </c>
      <c r="F66" s="287">
        <f>E66/D66</f>
        <v/>
      </c>
      <c r="G66" s="186" t="n">
        <v>1352</v>
      </c>
      <c r="H66" s="287" t="n">
        <v>33.7346</v>
      </c>
      <c r="I66" s="287" t="n">
        <v>28.20598</v>
      </c>
      <c r="J66" s="287">
        <f>I66/H66</f>
        <v/>
      </c>
      <c r="K66" s="286">
        <f>_xlfn.IFERROR(J66-F66,"")</f>
        <v/>
      </c>
      <c r="L66" s="119">
        <f>_xlfn.IFERROR(I66/E66-1,"")</f>
        <v/>
      </c>
      <c r="M66" s="186" t="n">
        <v>418</v>
      </c>
      <c r="N66" s="287" t="n">
        <v>9.874000000000001</v>
      </c>
      <c r="O66" s="287" t="n">
        <v>9.58705</v>
      </c>
      <c r="P66" s="287">
        <f>O66/N66</f>
        <v/>
      </c>
      <c r="Q66" s="186" t="n">
        <v>938</v>
      </c>
      <c r="R66" s="287" t="n">
        <v>24.4552</v>
      </c>
      <c r="S66" s="287" t="n">
        <v>23.06888</v>
      </c>
      <c r="T66" s="287">
        <f>S66/R66</f>
        <v/>
      </c>
      <c r="U66" s="286">
        <f>_xlfn.IFERROR(T66-P66,"")</f>
        <v/>
      </c>
      <c r="V66" s="119">
        <f>_xlfn.IFERROR(S66/O66-1,"")</f>
        <v/>
      </c>
      <c r="W66" s="186" t="n">
        <v>369</v>
      </c>
      <c r="X66" s="287" t="n">
        <v>6.365</v>
      </c>
      <c r="Y66" s="287" t="n">
        <v>6.08328</v>
      </c>
      <c r="Z66" s="287">
        <f>Y66/X66</f>
        <v/>
      </c>
      <c r="AA66" s="186" t="n">
        <v>105</v>
      </c>
      <c r="AB66" s="287" t="n">
        <v>3.1194</v>
      </c>
      <c r="AC66" s="287" t="n">
        <v>1.68292</v>
      </c>
      <c r="AD66" s="287">
        <f>AC66/AB66</f>
        <v/>
      </c>
      <c r="AE66" s="286">
        <f>_xlfn.IFERROR(AD66-Z66,"")</f>
        <v/>
      </c>
      <c r="AF66" s="119">
        <f>_xlfn.IFERROR(AC66/Y66-1,"")</f>
        <v/>
      </c>
      <c r="AG66" s="186" t="n">
        <v>105</v>
      </c>
      <c r="AH66" s="287" t="n">
        <v>1.8919</v>
      </c>
      <c r="AI66" s="287" t="n">
        <v>1.45707</v>
      </c>
      <c r="AJ66" s="287">
        <f>AI66/AH66</f>
        <v/>
      </c>
      <c r="AK66" s="186" t="n">
        <v>145</v>
      </c>
      <c r="AL66" s="287" t="n">
        <v>3.7943</v>
      </c>
      <c r="AM66" s="287" t="n">
        <v>1.81916</v>
      </c>
      <c r="AN66" s="287">
        <f>AM66/AL66</f>
        <v/>
      </c>
      <c r="AO66" s="286">
        <f>_xlfn.IFERROR(AN66-AJ66,"")</f>
        <v/>
      </c>
      <c r="AP66" s="119">
        <f>_xlfn.IFERROR(AM66/AI66-1,"")</f>
        <v/>
      </c>
      <c r="AQ66" s="186" t="n">
        <v>113</v>
      </c>
      <c r="AR66" s="287" t="n">
        <v>1.9283</v>
      </c>
      <c r="AS66" s="287" t="n">
        <v>1.86875</v>
      </c>
      <c r="AT66" s="285">
        <f>_xlfn.IFERROR(AS66/AR66,"")</f>
        <v/>
      </c>
      <c r="AU66" s="186" t="n">
        <v>130</v>
      </c>
      <c r="AV66" s="287" t="n">
        <v>1.7685</v>
      </c>
      <c r="AW66" s="287" t="n">
        <v>1.07652</v>
      </c>
      <c r="AX66" s="287">
        <f>AW66/AV66</f>
        <v/>
      </c>
      <c r="AY66" s="286">
        <f>_xlfn.IFERROR(AX66-AT66,"")</f>
        <v/>
      </c>
      <c r="AZ66" s="119">
        <f>_xlfn.IFERROR(AW66/AS66-1,"")</f>
        <v/>
      </c>
      <c r="BA66" s="186" t="n">
        <v>419</v>
      </c>
      <c r="BB66" s="287" t="n">
        <v>8.4299</v>
      </c>
      <c r="BC66" s="287" t="n">
        <v>5.23563</v>
      </c>
      <c r="BD66" s="287">
        <f>BC66/BB66</f>
        <v/>
      </c>
      <c r="BE66" s="186" t="n">
        <v>34</v>
      </c>
      <c r="BF66" s="287" t="n">
        <v>0.5972</v>
      </c>
      <c r="BG66" s="287" t="n">
        <v>0.5585</v>
      </c>
      <c r="BH66" s="287">
        <f>BG66/BF66</f>
        <v/>
      </c>
      <c r="BI66" s="288">
        <f>_xlfn.IFERROR(BN66/((BF66/4)*30),"")</f>
        <v/>
      </c>
      <c r="BJ66" s="289">
        <f>_xlfn.IFERROR(BE66/4*31,"")</f>
        <v/>
      </c>
      <c r="BK66" s="290">
        <f>_xlfn.IFERROR(BG66/4*31,"")</f>
        <v/>
      </c>
      <c r="BL66" s="291">
        <f>_xlfn.IFERROR(BH66-BD66,"")</f>
        <v/>
      </c>
      <c r="BM66" s="150">
        <f>_xlfn.IFERROR(BK66/BC66-1,"")</f>
        <v/>
      </c>
      <c r="BN66" s="291" t="n">
        <v>115.0907</v>
      </c>
    </row>
    <row r="67" ht="13.5" customHeight="1" s="245">
      <c r="A67" s="61" t="n"/>
      <c r="B67" s="186" t="inlineStr">
        <is>
          <t>(Shen) Shenzhen Guomao Tianhong Department Store Lingerie Store</t>
        </is>
      </c>
      <c r="C67" s="186" t="n">
        <v>1650</v>
      </c>
      <c r="D67" s="61" t="n">
        <v>37.7429</v>
      </c>
      <c r="E67" s="61" t="n">
        <v>33.02194</v>
      </c>
      <c r="F67" s="287">
        <f>E67/D67</f>
        <v/>
      </c>
      <c r="G67" s="186" t="n">
        <v>2113</v>
      </c>
      <c r="H67" s="287" t="n">
        <v>44.6392</v>
      </c>
      <c r="I67" s="287" t="n">
        <v>33.01552</v>
      </c>
      <c r="J67" s="287">
        <f>I67/H67</f>
        <v/>
      </c>
      <c r="K67" s="286">
        <f>_xlfn.IFERROR(J67-F67,"")</f>
        <v/>
      </c>
      <c r="L67" s="119">
        <f>_xlfn.IFERROR(I67/E67-1,"")</f>
        <v/>
      </c>
      <c r="M67" s="186" t="n">
        <v>743</v>
      </c>
      <c r="N67" s="287" t="n">
        <v>21.0243</v>
      </c>
      <c r="O67" s="287" t="n">
        <v>20.62857</v>
      </c>
      <c r="P67" s="287">
        <f>O67/N67</f>
        <v/>
      </c>
      <c r="Q67" s="186" t="n">
        <v>1017</v>
      </c>
      <c r="R67" s="287" t="n">
        <v>23.8703</v>
      </c>
      <c r="S67" s="287" t="n">
        <v>22.13773</v>
      </c>
      <c r="T67" s="287">
        <f>S67/R67</f>
        <v/>
      </c>
      <c r="U67" s="286">
        <f>_xlfn.IFERROR(T67-P67,"")</f>
        <v/>
      </c>
      <c r="V67" s="119">
        <f>_xlfn.IFERROR(S67/O67-1,"")</f>
        <v/>
      </c>
      <c r="W67" s="186" t="n">
        <v>440</v>
      </c>
      <c r="X67" s="287" t="n">
        <v>9.727499999999999</v>
      </c>
      <c r="Y67" s="287" t="n">
        <v>6.80723</v>
      </c>
      <c r="Z67" s="287">
        <f>Y67/X67</f>
        <v/>
      </c>
      <c r="AA67" s="186" t="n">
        <v>271</v>
      </c>
      <c r="AB67" s="287" t="n">
        <v>6.6532</v>
      </c>
      <c r="AC67" s="287" t="n">
        <v>3.5699</v>
      </c>
      <c r="AD67" s="287">
        <f>AC67/AB67</f>
        <v/>
      </c>
      <c r="AE67" s="286">
        <f>_xlfn.IFERROR(AD67-Z67,"")</f>
        <v/>
      </c>
      <c r="AF67" s="119">
        <f>_xlfn.IFERROR(AC67/Y67-1,"")</f>
        <v/>
      </c>
      <c r="AG67" s="186" t="n">
        <v>232</v>
      </c>
      <c r="AH67" s="287" t="n">
        <v>3.5827</v>
      </c>
      <c r="AI67" s="287" t="n">
        <v>3.14132</v>
      </c>
      <c r="AJ67" s="287">
        <f>AI67/AH67</f>
        <v/>
      </c>
      <c r="AK67" s="186" t="n">
        <v>357</v>
      </c>
      <c r="AL67" s="287" t="n">
        <v>6.8353</v>
      </c>
      <c r="AM67" s="287" t="n">
        <v>3.76313</v>
      </c>
      <c r="AN67" s="287">
        <f>AM67/AL67</f>
        <v/>
      </c>
      <c r="AO67" s="286">
        <f>_xlfn.IFERROR(AN67-AJ67,"")</f>
        <v/>
      </c>
      <c r="AP67" s="119">
        <f>_xlfn.IFERROR(AM67/AI67-1,"")</f>
        <v/>
      </c>
      <c r="AQ67" s="186" t="n">
        <v>191</v>
      </c>
      <c r="AR67" s="287" t="n">
        <v>2.7889</v>
      </c>
      <c r="AS67" s="287" t="n">
        <v>2.07603</v>
      </c>
      <c r="AT67" s="285">
        <f>_xlfn.IFERROR(AS67/AR67,"")</f>
        <v/>
      </c>
      <c r="AU67" s="186" t="n">
        <v>381</v>
      </c>
      <c r="AV67" s="287" t="n">
        <v>6.1497</v>
      </c>
      <c r="AW67" s="287" t="n">
        <v>2.92141</v>
      </c>
      <c r="AX67" s="287">
        <f>AW67/AV67</f>
        <v/>
      </c>
      <c r="AY67" s="286">
        <f>_xlfn.IFERROR(AX67-AT67,"")</f>
        <v/>
      </c>
      <c r="AZ67" s="119">
        <f>_xlfn.IFERROR(AW67/AS67-1,"")</f>
        <v/>
      </c>
      <c r="BA67" s="186" t="n">
        <v>301</v>
      </c>
      <c r="BB67" s="287" t="n">
        <v>4.4716</v>
      </c>
      <c r="BC67" s="287" t="n">
        <v>2.77437</v>
      </c>
      <c r="BD67" s="287">
        <f>BC67/BB67</f>
        <v/>
      </c>
      <c r="BE67" s="186" t="n">
        <v>87</v>
      </c>
      <c r="BF67" s="287" t="n">
        <v>1.1307</v>
      </c>
      <c r="BG67" s="287" t="n">
        <v>0.62335</v>
      </c>
      <c r="BH67" s="287">
        <f>BG67/BF67</f>
        <v/>
      </c>
      <c r="BI67" s="288">
        <f>_xlfn.IFERROR(BN67/((BF67/4)*30),"")</f>
        <v/>
      </c>
      <c r="BJ67" s="289">
        <f>_xlfn.IFERROR(BE67/4*31,"")</f>
        <v/>
      </c>
      <c r="BK67" s="290">
        <f>_xlfn.IFERROR(BG67/4*31,"")</f>
        <v/>
      </c>
      <c r="BL67" s="291">
        <f>_xlfn.IFERROR(BH67-BD67,"")</f>
        <v/>
      </c>
      <c r="BM67" s="150">
        <f>_xlfn.IFERROR(BK67/BC67-1,"")</f>
        <v/>
      </c>
      <c r="BN67" s="291" t="n">
        <v>120.9887</v>
      </c>
    </row>
    <row r="68" ht="13.5" customHeight="1" s="245">
      <c r="A68" s="61" t="n"/>
      <c r="B68" s="186" t="inlineStr">
        <is>
          <t>(Shen) Shenzhen Jingguanghua Yoga Fitness Store</t>
        </is>
      </c>
      <c r="C68" s="186" t="n">
        <v>1380</v>
      </c>
      <c r="D68" s="61" t="n">
        <v>29.4027</v>
      </c>
      <c r="E68" s="61" t="n">
        <v>19.2049</v>
      </c>
      <c r="F68" s="287">
        <f>E68/D68</f>
        <v/>
      </c>
      <c r="G68" s="186" t="n">
        <v>613</v>
      </c>
      <c r="H68" s="287" t="n">
        <v>16.0318</v>
      </c>
      <c r="I68" s="287" t="n">
        <v>14.2532</v>
      </c>
      <c r="J68" s="287">
        <f>I68/H68</f>
        <v/>
      </c>
      <c r="K68" s="286">
        <f>_xlfn.IFERROR(J68-F68,"")</f>
        <v/>
      </c>
      <c r="L68" s="119">
        <f>_xlfn.IFERROR(I68/E68-1,"")</f>
        <v/>
      </c>
      <c r="M68" s="186" t="n">
        <v>117</v>
      </c>
      <c r="N68" s="287" t="n">
        <v>2.9566</v>
      </c>
      <c r="O68" s="287" t="n">
        <v>2.5167</v>
      </c>
      <c r="P68" s="287">
        <f>O68/N68</f>
        <v/>
      </c>
      <c r="Q68" s="186" t="n">
        <v>115</v>
      </c>
      <c r="R68" s="287" t="n">
        <v>3.1256</v>
      </c>
      <c r="S68" s="287" t="n">
        <v>2.8643</v>
      </c>
      <c r="T68" s="287">
        <f>S68/R68</f>
        <v/>
      </c>
      <c r="U68" s="286">
        <f>_xlfn.IFERROR(T68-P68,"")</f>
        <v/>
      </c>
      <c r="V68" s="119">
        <f>_xlfn.IFERROR(S68/O68-1,"")</f>
        <v/>
      </c>
      <c r="W68" s="186" t="n">
        <v>143</v>
      </c>
      <c r="X68" s="287" t="n">
        <v>3.2493</v>
      </c>
      <c r="Y68" s="287" t="n">
        <v>2.9692</v>
      </c>
      <c r="Z68" s="287">
        <f>Y68/X68</f>
        <v/>
      </c>
      <c r="AA68" s="186" t="n">
        <v>110</v>
      </c>
      <c r="AB68" s="287" t="n">
        <v>3.1716</v>
      </c>
      <c r="AC68" s="287" t="n">
        <v>2.8522</v>
      </c>
      <c r="AD68" s="287">
        <f>AC68/AB68</f>
        <v/>
      </c>
      <c r="AE68" s="286">
        <f>_xlfn.IFERROR(AD68-Z68,"")</f>
        <v/>
      </c>
      <c r="AF68" s="119">
        <f>_xlfn.IFERROR(AC68/Y68-1,"")</f>
        <v/>
      </c>
      <c r="AG68" s="186" t="n">
        <v>183</v>
      </c>
      <c r="AH68" s="287" t="n">
        <v>3.9633</v>
      </c>
      <c r="AI68" s="287" t="n">
        <v>3.597</v>
      </c>
      <c r="AJ68" s="287">
        <f>AI68/AH68</f>
        <v/>
      </c>
      <c r="AK68" s="186" t="n">
        <v>129</v>
      </c>
      <c r="AL68" s="287" t="n">
        <v>3.3016</v>
      </c>
      <c r="AM68" s="287" t="n">
        <v>2.9016</v>
      </c>
      <c r="AN68" s="287">
        <f>AM68/AL68</f>
        <v/>
      </c>
      <c r="AO68" s="286">
        <f>_xlfn.IFERROR(AN68-AJ68,"")</f>
        <v/>
      </c>
      <c r="AP68" s="119">
        <f>_xlfn.IFERROR(AM68/AI68-1,"")</f>
        <v/>
      </c>
      <c r="AQ68" s="186" t="n">
        <v>220</v>
      </c>
      <c r="AR68" s="287" t="n">
        <v>4.6791</v>
      </c>
      <c r="AS68" s="287" t="n">
        <v>4.1199</v>
      </c>
      <c r="AT68" s="285">
        <f>_xlfn.IFERROR(AS68/AR68,"")</f>
        <v/>
      </c>
      <c r="AU68" s="186" t="n">
        <v>203</v>
      </c>
      <c r="AV68" s="287" t="n">
        <v>5.0677</v>
      </c>
      <c r="AW68" s="287" t="n">
        <v>4.5013</v>
      </c>
      <c r="AX68" s="287">
        <f>AW68/AV68</f>
        <v/>
      </c>
      <c r="AY68" s="286">
        <f>_xlfn.IFERROR(AX68-AT68,"")</f>
        <v/>
      </c>
      <c r="AZ68" s="119">
        <f>_xlfn.IFERROR(AW68/AS68-1,"")</f>
        <v/>
      </c>
      <c r="BA68" s="186" t="n">
        <v>890</v>
      </c>
      <c r="BB68" s="287" t="n">
        <v>18.9728</v>
      </c>
      <c r="BC68" s="287" t="n">
        <v>9.9771</v>
      </c>
      <c r="BD68" s="287">
        <f>BC68/BB68</f>
        <v/>
      </c>
      <c r="BE68" s="186" t="n">
        <v>56</v>
      </c>
      <c r="BF68" s="287" t="n">
        <v>1.3653</v>
      </c>
      <c r="BG68" s="287" t="n">
        <v>1.1338</v>
      </c>
      <c r="BH68" s="287">
        <f>BG68/BF68</f>
        <v/>
      </c>
      <c r="BI68" s="288">
        <f>_xlfn.IFERROR(BN68/((BF68/4)*30),"")</f>
        <v/>
      </c>
      <c r="BJ68" s="289">
        <f>_xlfn.IFERROR(BE68/4*31,"")</f>
        <v/>
      </c>
      <c r="BK68" s="290">
        <f>_xlfn.IFERROR(BG68/4*31,"")</f>
        <v/>
      </c>
      <c r="BL68" s="291">
        <f>_xlfn.IFERROR(BH68-BD68,"")</f>
        <v/>
      </c>
      <c r="BM68" s="150">
        <f>_xlfn.IFERROR(BK68/BC68-1,"")</f>
        <v/>
      </c>
      <c r="BN68" s="291" t="n">
        <v>83.193</v>
      </c>
    </row>
    <row r="69" ht="13.5" customHeight="1" s="245">
      <c r="A69" s="61" t="n"/>
      <c r="B69" s="186" t="inlineStr">
        <is>
          <t>(Shen) Shenzhen Junshang Department Store Sports Lingerie Store</t>
        </is>
      </c>
      <c r="C69" s="186" t="n">
        <v>815</v>
      </c>
      <c r="D69" s="61" t="n">
        <v>20.9142</v>
      </c>
      <c r="E69" s="61" t="n">
        <v>14.070038</v>
      </c>
      <c r="F69" s="287">
        <f>E69/D69</f>
        <v/>
      </c>
      <c r="G69" s="186" t="n">
        <v>1163</v>
      </c>
      <c r="H69" s="287" t="n">
        <v>27.0445</v>
      </c>
      <c r="I69" s="287" t="n">
        <v>16.46819</v>
      </c>
      <c r="J69" s="287">
        <f>I69/H69</f>
        <v/>
      </c>
      <c r="K69" s="286">
        <f>_xlfn.IFERROR(J69-F69,"")</f>
        <v/>
      </c>
      <c r="L69" s="119">
        <f>_xlfn.IFERROR(I69/E69-1,"")</f>
        <v/>
      </c>
      <c r="M69" s="186" t="n">
        <v>349</v>
      </c>
      <c r="N69" s="287" t="n">
        <v>10.2743</v>
      </c>
      <c r="O69" s="287" t="n">
        <v>6.32453</v>
      </c>
      <c r="P69" s="287">
        <f>O69/N69</f>
        <v/>
      </c>
      <c r="Q69" s="186" t="n">
        <v>492</v>
      </c>
      <c r="R69" s="287" t="n">
        <v>14.0227</v>
      </c>
      <c r="S69" s="287" t="n">
        <v>9.201248</v>
      </c>
      <c r="T69" s="287">
        <f>S69/R69</f>
        <v/>
      </c>
      <c r="U69" s="286">
        <f>_xlfn.IFERROR(T69-P69,"")</f>
        <v/>
      </c>
      <c r="V69" s="119">
        <f>_xlfn.IFERROR(S69/O69-1,"")</f>
        <v/>
      </c>
      <c r="W69" s="186" t="n">
        <v>259</v>
      </c>
      <c r="X69" s="287" t="n">
        <v>6.5348</v>
      </c>
      <c r="Y69" s="287" t="n">
        <v>4.457374</v>
      </c>
      <c r="Z69" s="287">
        <f>Y69/X69</f>
        <v/>
      </c>
      <c r="AA69" s="186" t="n">
        <v>84</v>
      </c>
      <c r="AB69" s="287" t="n">
        <v>2.3615</v>
      </c>
      <c r="AC69" s="287" t="n">
        <v>1.67716</v>
      </c>
      <c r="AD69" s="287">
        <f>AC69/AB69</f>
        <v/>
      </c>
      <c r="AE69" s="286">
        <f>_xlfn.IFERROR(AD69-Z69,"")</f>
        <v/>
      </c>
      <c r="AF69" s="119">
        <f>_xlfn.IFERROR(AC69/Y69-1,"")</f>
        <v/>
      </c>
      <c r="AG69" s="186" t="n">
        <v>98</v>
      </c>
      <c r="AH69" s="287" t="n">
        <v>2.0371</v>
      </c>
      <c r="AI69" s="287" t="n">
        <v>1.532832</v>
      </c>
      <c r="AJ69" s="287">
        <f>AI69/AH69</f>
        <v/>
      </c>
      <c r="AK69" s="186" t="n">
        <v>473</v>
      </c>
      <c r="AL69" s="287" t="n">
        <v>8.614000000000001</v>
      </c>
      <c r="AM69" s="287" t="n">
        <v>3.979694</v>
      </c>
      <c r="AN69" s="287">
        <f>AM69/AL69</f>
        <v/>
      </c>
      <c r="AO69" s="286">
        <f>_xlfn.IFERROR(AN69-AJ69,"")</f>
        <v/>
      </c>
      <c r="AP69" s="119">
        <f>_xlfn.IFERROR(AM69/AI69-1,"")</f>
        <v/>
      </c>
      <c r="AQ69" s="186" t="n">
        <v>104</v>
      </c>
      <c r="AR69" s="287" t="n">
        <v>1.9908</v>
      </c>
      <c r="AS69" s="287" t="n">
        <v>1.687366</v>
      </c>
      <c r="AT69" s="285">
        <f>_xlfn.IFERROR(AS69/AR69,"")</f>
        <v/>
      </c>
      <c r="AU69" s="186" t="n">
        <v>101</v>
      </c>
      <c r="AV69" s="287" t="n">
        <v>1.8065</v>
      </c>
      <c r="AW69" s="287" t="n">
        <v>1.42516</v>
      </c>
      <c r="AX69" s="287">
        <f>AW69/AV69</f>
        <v/>
      </c>
      <c r="AY69" s="286">
        <f>_xlfn.IFERROR(AX69-AT69,"")</f>
        <v/>
      </c>
      <c r="AZ69" s="119">
        <f>_xlfn.IFERROR(AW69/AS69-1,"")</f>
        <v/>
      </c>
      <c r="BA69" s="186" t="n">
        <v>139</v>
      </c>
      <c r="BB69" s="287" t="n">
        <v>3.1853</v>
      </c>
      <c r="BC69" s="287" t="n">
        <v>2.506818</v>
      </c>
      <c r="BD69" s="287">
        <f>BC69/BB69</f>
        <v/>
      </c>
      <c r="BE69" s="186" t="n">
        <v>13</v>
      </c>
      <c r="BF69" s="287" t="n">
        <v>0.2398</v>
      </c>
      <c r="BG69" s="287" t="n">
        <v>0.184928</v>
      </c>
      <c r="BH69" s="287">
        <f>BG69/BF69</f>
        <v/>
      </c>
      <c r="BI69" s="288">
        <f>_xlfn.IFERROR(BN69/((BF69/4)*30),"")</f>
        <v/>
      </c>
      <c r="BJ69" s="289">
        <f>_xlfn.IFERROR(BE69/4*31,"")</f>
        <v/>
      </c>
      <c r="BK69" s="290">
        <f>_xlfn.IFERROR(BG69/4*31,"")</f>
        <v/>
      </c>
      <c r="BL69" s="291">
        <f>_xlfn.IFERROR(BH69-BD69,"")</f>
        <v/>
      </c>
      <c r="BM69" s="150">
        <f>_xlfn.IFERROR(BK69/BC69-1,"")</f>
        <v/>
      </c>
      <c r="BN69" s="291" t="n">
        <v>134.9655</v>
      </c>
    </row>
    <row r="70" ht="13.5" customHeight="1" s="245">
      <c r="A70" s="61" t="n"/>
      <c r="B70" s="186" t="inlineStr">
        <is>
          <t>(Shen) Shenzhen Longhua Tianhong Lingerie Store</t>
        </is>
      </c>
      <c r="C70" s="186" t="n">
        <v>1287</v>
      </c>
      <c r="D70" s="61" t="n">
        <v>26.3802</v>
      </c>
      <c r="E70" s="61" t="n">
        <v>22.723936</v>
      </c>
      <c r="F70" s="287">
        <f>E70/D70</f>
        <v/>
      </c>
      <c r="G70" s="186" t="n">
        <v>2414</v>
      </c>
      <c r="H70" s="287" t="n">
        <v>55.0324</v>
      </c>
      <c r="I70" s="287" t="n">
        <v>45.61649</v>
      </c>
      <c r="J70" s="287">
        <f>I70/H70</f>
        <v/>
      </c>
      <c r="K70" s="286">
        <f>_xlfn.IFERROR(J70-F70,"")</f>
        <v/>
      </c>
      <c r="L70" s="119">
        <f>_xlfn.IFERROR(I70/E70-1,"")</f>
        <v/>
      </c>
      <c r="M70" s="186" t="n">
        <v>544</v>
      </c>
      <c r="N70" s="287" t="n">
        <v>14.4321</v>
      </c>
      <c r="O70" s="287" t="n">
        <v>11.9058</v>
      </c>
      <c r="P70" s="287">
        <f>O70/N70</f>
        <v/>
      </c>
      <c r="Q70" s="186" t="n">
        <v>1201</v>
      </c>
      <c r="R70" s="287" t="n">
        <v>30.799</v>
      </c>
      <c r="S70" s="287" t="n">
        <v>30.41795</v>
      </c>
      <c r="T70" s="287">
        <f>S70/R70</f>
        <v/>
      </c>
      <c r="U70" s="286">
        <f>_xlfn.IFERROR(T70-P70,"")</f>
        <v/>
      </c>
      <c r="V70" s="119">
        <f>_xlfn.IFERROR(S70/O70-1,"")</f>
        <v/>
      </c>
      <c r="W70" s="186" t="n">
        <v>310</v>
      </c>
      <c r="X70" s="287" t="n">
        <v>5.8987</v>
      </c>
      <c r="Y70" s="287" t="n">
        <v>5.751416</v>
      </c>
      <c r="Z70" s="287">
        <f>Y70/X70</f>
        <v/>
      </c>
      <c r="AA70" s="186" t="n">
        <v>294</v>
      </c>
      <c r="AB70" s="287" t="n">
        <v>8.592599999999999</v>
      </c>
      <c r="AC70" s="287" t="n">
        <v>6.31732</v>
      </c>
      <c r="AD70" s="287">
        <f>AC70/AB70</f>
        <v/>
      </c>
      <c r="AE70" s="286">
        <f>_xlfn.IFERROR(AD70-Z70,"")</f>
        <v/>
      </c>
      <c r="AF70" s="119">
        <f>_xlfn.IFERROR(AC70/Y70-1,"")</f>
        <v/>
      </c>
      <c r="AG70" s="186" t="n">
        <v>93</v>
      </c>
      <c r="AH70" s="287" t="n">
        <v>1.6429</v>
      </c>
      <c r="AI70" s="287" t="n">
        <v>1.12368</v>
      </c>
      <c r="AJ70" s="287">
        <f>AI70/AH70</f>
        <v/>
      </c>
      <c r="AK70" s="186" t="n">
        <v>431</v>
      </c>
      <c r="AL70" s="287" t="n">
        <v>7.8729</v>
      </c>
      <c r="AM70" s="287" t="n">
        <v>3.80975</v>
      </c>
      <c r="AN70" s="287">
        <f>AM70/AL70</f>
        <v/>
      </c>
      <c r="AO70" s="286">
        <f>_xlfn.IFERROR(AN70-AJ70,"")</f>
        <v/>
      </c>
      <c r="AP70" s="119">
        <f>_xlfn.IFERROR(AM70/AI70-1,"")</f>
        <v/>
      </c>
      <c r="AQ70" s="186" t="n">
        <v>310</v>
      </c>
      <c r="AR70" s="287" t="n">
        <v>3.9772</v>
      </c>
      <c r="AS70" s="287" t="n">
        <v>3.68307</v>
      </c>
      <c r="AT70" s="285">
        <f>_xlfn.IFERROR(AS70/AR70,"")</f>
        <v/>
      </c>
      <c r="AU70" s="186" t="n">
        <v>353</v>
      </c>
      <c r="AV70" s="287" t="n">
        <v>5.9141</v>
      </c>
      <c r="AW70" s="287" t="n">
        <v>3.22229</v>
      </c>
      <c r="AX70" s="287">
        <f>AW70/AV70</f>
        <v/>
      </c>
      <c r="AY70" s="286">
        <f>_xlfn.IFERROR(AX70-AT70,"")</f>
        <v/>
      </c>
      <c r="AZ70" s="119">
        <f>_xlfn.IFERROR(AW70/AS70-1,"")</f>
        <v/>
      </c>
      <c r="BA70" s="186" t="n">
        <v>184</v>
      </c>
      <c r="BB70" s="287" t="n">
        <v>2.3826</v>
      </c>
      <c r="BC70" s="287" t="n">
        <v>1.45019</v>
      </c>
      <c r="BD70" s="287">
        <f>BC70/BB70</f>
        <v/>
      </c>
      <c r="BE70" s="186" t="n">
        <v>135</v>
      </c>
      <c r="BF70" s="287" t="n">
        <v>1.8538</v>
      </c>
      <c r="BG70" s="287" t="n">
        <v>1.84918</v>
      </c>
      <c r="BH70" s="287">
        <f>BG70/BF70</f>
        <v/>
      </c>
      <c r="BI70" s="288">
        <f>_xlfn.IFERROR(BN70/((BF70/4)*30),"")</f>
        <v/>
      </c>
      <c r="BJ70" s="289">
        <f>_xlfn.IFERROR(BE70/4*31,"")</f>
        <v/>
      </c>
      <c r="BK70" s="290">
        <f>_xlfn.IFERROR(BG70/4*31,"")</f>
        <v/>
      </c>
      <c r="BL70" s="291">
        <f>_xlfn.IFERROR(BH70-BD70,"")</f>
        <v/>
      </c>
      <c r="BM70" s="150">
        <f>_xlfn.IFERROR(BK70/BC70-1,"")</f>
        <v/>
      </c>
      <c r="BN70" s="291" t="n">
        <v>116.8913</v>
      </c>
    </row>
    <row r="71" ht="13.5" customHeight="1" s="245">
      <c r="A71" s="61" t="n"/>
      <c r="B71" s="186" t="inlineStr">
        <is>
          <t>(Shen) Shenzhen Longxin Tianhong Lingerie Store</t>
        </is>
      </c>
      <c r="C71" s="186" t="n">
        <v>1847</v>
      </c>
      <c r="D71" s="61" t="n">
        <v>39.1742</v>
      </c>
      <c r="E71" s="61" t="n">
        <v>37.07236</v>
      </c>
      <c r="F71" s="287">
        <f>E71/D71</f>
        <v/>
      </c>
      <c r="G71" s="186" t="n">
        <v>3045</v>
      </c>
      <c r="H71" s="287" t="n">
        <v>74.23009999999999</v>
      </c>
      <c r="I71" s="287" t="n">
        <v>65.30801</v>
      </c>
      <c r="J71" s="287">
        <f>I71/H71</f>
        <v/>
      </c>
      <c r="K71" s="286">
        <f>_xlfn.IFERROR(J71-F71,"")</f>
        <v/>
      </c>
      <c r="L71" s="119">
        <f>_xlfn.IFERROR(I71/E71-1,"")</f>
        <v/>
      </c>
      <c r="M71" s="186" t="n">
        <v>660</v>
      </c>
      <c r="N71" s="287" t="n">
        <v>18.9631</v>
      </c>
      <c r="O71" s="287" t="n">
        <v>18.56126</v>
      </c>
      <c r="P71" s="287">
        <f>O71/N71</f>
        <v/>
      </c>
      <c r="Q71" s="186" t="n">
        <v>1762</v>
      </c>
      <c r="R71" s="287" t="n">
        <v>47.7197</v>
      </c>
      <c r="S71" s="287" t="n">
        <v>47.71658</v>
      </c>
      <c r="T71" s="287">
        <f>S71/R71</f>
        <v/>
      </c>
      <c r="U71" s="286">
        <f>_xlfn.IFERROR(T71-P71,"")</f>
        <v/>
      </c>
      <c r="V71" s="119">
        <f>_xlfn.IFERROR(S71/O71-1,"")</f>
        <v/>
      </c>
      <c r="W71" s="186" t="n">
        <v>517</v>
      </c>
      <c r="X71" s="287" t="n">
        <v>9.989100000000001</v>
      </c>
      <c r="Y71" s="287" t="n">
        <v>9.66309</v>
      </c>
      <c r="Z71" s="287">
        <f>Y71/X71</f>
        <v/>
      </c>
      <c r="AA71" s="186" t="n">
        <v>278</v>
      </c>
      <c r="AB71" s="287" t="n">
        <v>8.3307</v>
      </c>
      <c r="AC71" s="287" t="n">
        <v>5.10534</v>
      </c>
      <c r="AD71" s="287">
        <f>AC71/AB71</f>
        <v/>
      </c>
      <c r="AE71" s="286">
        <f>_xlfn.IFERROR(AD71-Z71,"")</f>
        <v/>
      </c>
      <c r="AF71" s="119">
        <f>_xlfn.IFERROR(AC71/Y71-1,"")</f>
        <v/>
      </c>
      <c r="AG71" s="186" t="n">
        <v>278</v>
      </c>
      <c r="AH71" s="287" t="n">
        <v>3.9395</v>
      </c>
      <c r="AI71" s="287" t="n">
        <v>3.38933</v>
      </c>
      <c r="AJ71" s="287">
        <f>AI71/AH71</f>
        <v/>
      </c>
      <c r="AK71" s="186" t="n">
        <v>431</v>
      </c>
      <c r="AL71" s="287" t="n">
        <v>9.491099999999999</v>
      </c>
      <c r="AM71" s="287" t="n">
        <v>6.38557</v>
      </c>
      <c r="AN71" s="287">
        <f>AM71/AL71</f>
        <v/>
      </c>
      <c r="AO71" s="286">
        <f>_xlfn.IFERROR(AN71-AJ71,"")</f>
        <v/>
      </c>
      <c r="AP71" s="119">
        <f>_xlfn.IFERROR(AM71/AI71-1,"")</f>
        <v/>
      </c>
      <c r="AQ71" s="186" t="n">
        <v>331</v>
      </c>
      <c r="AR71" s="287" t="n">
        <v>5.3743</v>
      </c>
      <c r="AS71" s="287" t="n">
        <v>4.93825</v>
      </c>
      <c r="AT71" s="285">
        <f>_xlfn.IFERROR(AS71/AR71,"")</f>
        <v/>
      </c>
      <c r="AU71" s="186" t="n">
        <v>464</v>
      </c>
      <c r="AV71" s="287" t="n">
        <v>7.1144</v>
      </c>
      <c r="AW71" s="287" t="n">
        <v>5.26721</v>
      </c>
      <c r="AX71" s="287">
        <f>AW71/AV71</f>
        <v/>
      </c>
      <c r="AY71" s="286">
        <f>_xlfn.IFERROR(AX71-AT71,"")</f>
        <v/>
      </c>
      <c r="AZ71" s="119">
        <f>_xlfn.IFERROR(AW71/AS71-1,"")</f>
        <v/>
      </c>
      <c r="BA71" s="186" t="n">
        <v>486</v>
      </c>
      <c r="BB71" s="287" t="n">
        <v>7.6666</v>
      </c>
      <c r="BC71" s="287" t="n">
        <v>4.35946</v>
      </c>
      <c r="BD71" s="287">
        <f>BC71/BB71</f>
        <v/>
      </c>
      <c r="BE71" s="186" t="n">
        <v>110</v>
      </c>
      <c r="BF71" s="287" t="n">
        <v>1.5742</v>
      </c>
      <c r="BG71" s="287" t="n">
        <v>0.83331</v>
      </c>
      <c r="BH71" s="287">
        <f>BG71/BF71</f>
        <v/>
      </c>
      <c r="BI71" s="288">
        <f>_xlfn.IFERROR(BN71/((BF71/4)*30),"")</f>
        <v/>
      </c>
      <c r="BJ71" s="289">
        <f>_xlfn.IFERROR(BE71/4*31,"")</f>
        <v/>
      </c>
      <c r="BK71" s="290">
        <f>_xlfn.IFERROR(BG71/4*31,"")</f>
        <v/>
      </c>
      <c r="BL71" s="291">
        <f>_xlfn.IFERROR(BH71-BD71,"")</f>
        <v/>
      </c>
      <c r="BM71" s="150">
        <f>_xlfn.IFERROR(BK71/BC71-1,"")</f>
        <v/>
      </c>
      <c r="BN71" s="291" t="n">
        <v>121.0767</v>
      </c>
    </row>
    <row r="72" ht="13.5" customHeight="1" s="245">
      <c r="A72" s="61" t="n"/>
      <c r="B72" s="186" t="inlineStr">
        <is>
          <t>(Shen) Shenzhen Maoye Huaqiang Yoga Fitness Store</t>
        </is>
      </c>
      <c r="C72" s="186" t="n">
        <v>921</v>
      </c>
      <c r="D72" s="61" t="n">
        <v>24.0137</v>
      </c>
      <c r="E72" s="61" t="n">
        <v>19.12452</v>
      </c>
      <c r="F72" s="287">
        <f>E72/D72</f>
        <v/>
      </c>
      <c r="G72" s="186" t="n">
        <v>1327</v>
      </c>
      <c r="H72" s="287" t="n">
        <v>42.0188</v>
      </c>
      <c r="I72" s="287" t="n">
        <v>26.62282</v>
      </c>
      <c r="J72" s="287">
        <f>I72/H72</f>
        <v/>
      </c>
      <c r="K72" s="286">
        <f>_xlfn.IFERROR(J72-F72,"")</f>
        <v/>
      </c>
      <c r="L72" s="119">
        <f>_xlfn.IFERROR(I72/E72-1,"")</f>
        <v/>
      </c>
      <c r="M72" s="186" t="n">
        <v>235</v>
      </c>
      <c r="N72" s="287" t="n">
        <v>7.154</v>
      </c>
      <c r="O72" s="287" t="n">
        <v>4.62404</v>
      </c>
      <c r="P72" s="287">
        <f>O72/N72</f>
        <v/>
      </c>
      <c r="Q72" s="186" t="n">
        <v>558</v>
      </c>
      <c r="R72" s="287" t="n">
        <v>21.008</v>
      </c>
      <c r="S72" s="287" t="n">
        <v>9.00794</v>
      </c>
      <c r="T72" s="287">
        <f>S72/R72</f>
        <v/>
      </c>
      <c r="U72" s="286">
        <f>_xlfn.IFERROR(T72-P72,"")</f>
        <v/>
      </c>
      <c r="V72" s="119">
        <f>_xlfn.IFERROR(S72/O72-1,"")</f>
        <v/>
      </c>
      <c r="W72" s="186" t="n">
        <v>145</v>
      </c>
      <c r="X72" s="287" t="n">
        <v>3.7318</v>
      </c>
      <c r="Y72" s="287" t="n">
        <v>2.94322</v>
      </c>
      <c r="Z72" s="287">
        <f>Y72/X72</f>
        <v/>
      </c>
      <c r="AA72" s="186" t="n">
        <v>168</v>
      </c>
      <c r="AB72" s="287" t="n">
        <v>4.8671</v>
      </c>
      <c r="AC72" s="287" t="n">
        <v>4.04326</v>
      </c>
      <c r="AD72" s="287">
        <f>AC72/AB72</f>
        <v/>
      </c>
      <c r="AE72" s="286">
        <f>_xlfn.IFERROR(AD72-Z72,"")</f>
        <v/>
      </c>
      <c r="AF72" s="119">
        <f>_xlfn.IFERROR(AC72/Y72-1,"")</f>
        <v/>
      </c>
      <c r="AG72" s="186" t="n">
        <v>278</v>
      </c>
      <c r="AH72" s="287" t="n">
        <v>6.7947</v>
      </c>
      <c r="AI72" s="287" t="n">
        <v>5.94719</v>
      </c>
      <c r="AJ72" s="287">
        <f>AI72/AH72</f>
        <v/>
      </c>
      <c r="AK72" s="186" t="n">
        <v>282</v>
      </c>
      <c r="AL72" s="287" t="n">
        <v>7.2788</v>
      </c>
      <c r="AM72" s="287" t="n">
        <v>6.18416</v>
      </c>
      <c r="AN72" s="287">
        <f>AM72/AL72</f>
        <v/>
      </c>
      <c r="AO72" s="286">
        <f>_xlfn.IFERROR(AN72-AJ72,"")</f>
        <v/>
      </c>
      <c r="AP72" s="119">
        <f>_xlfn.IFERROR(AM72/AI72-1,"")</f>
        <v/>
      </c>
      <c r="AQ72" s="186" t="n">
        <v>228</v>
      </c>
      <c r="AR72" s="287" t="n">
        <v>5.502</v>
      </c>
      <c r="AS72" s="287" t="n">
        <v>4.87182</v>
      </c>
      <c r="AT72" s="285">
        <f>_xlfn.IFERROR(AS72/AR72,"")</f>
        <v/>
      </c>
      <c r="AU72" s="186" t="n">
        <v>239</v>
      </c>
      <c r="AV72" s="287" t="n">
        <v>6.6413</v>
      </c>
      <c r="AW72" s="287" t="n">
        <v>5.60356</v>
      </c>
      <c r="AX72" s="287">
        <f>AW72/AV72</f>
        <v/>
      </c>
      <c r="AY72" s="286">
        <f>_xlfn.IFERROR(AX72-AT72,"")</f>
        <v/>
      </c>
      <c r="AZ72" s="119">
        <f>_xlfn.IFERROR(AW72/AS72-1,"")</f>
        <v/>
      </c>
      <c r="BA72" s="186" t="n">
        <v>399</v>
      </c>
      <c r="BB72" s="287" t="n">
        <v>10.18</v>
      </c>
      <c r="BC72" s="287" t="n">
        <v>8.80686</v>
      </c>
      <c r="BD72" s="287">
        <f>BC72/BB72</f>
        <v/>
      </c>
      <c r="BE72" s="186" t="n">
        <v>80</v>
      </c>
      <c r="BF72" s="287" t="n">
        <v>2.2236</v>
      </c>
      <c r="BG72" s="287" t="n">
        <v>1.7839</v>
      </c>
      <c r="BH72" s="287">
        <f>BG72/BF72</f>
        <v/>
      </c>
      <c r="BI72" s="288">
        <f>_xlfn.IFERROR(BN72/((BF72/4)*30),"")</f>
        <v/>
      </c>
      <c r="BJ72" s="289">
        <f>_xlfn.IFERROR(BE72/4*31,"")</f>
        <v/>
      </c>
      <c r="BK72" s="290">
        <f>_xlfn.IFERROR(BG72/4*31,"")</f>
        <v/>
      </c>
      <c r="BL72" s="291">
        <f>_xlfn.IFERROR(BH72-BD72,"")</f>
        <v/>
      </c>
      <c r="BM72" s="150">
        <f>_xlfn.IFERROR(BK72/BC72-1,"")</f>
        <v/>
      </c>
      <c r="BN72" s="291" t="n">
        <v>156.0934</v>
      </c>
    </row>
    <row r="73" ht="13.5" customHeight="1" s="245">
      <c r="A73" s="61" t="n"/>
      <c r="B73" s="186" t="inlineStr">
        <is>
          <t>(Shen) Shenzhen Meilin Tianhong Lingerie Store</t>
        </is>
      </c>
      <c r="C73" s="186" t="n">
        <v>1078</v>
      </c>
      <c r="D73" s="61" t="n">
        <v>25.9627</v>
      </c>
      <c r="E73" s="61" t="n">
        <v>25.78839</v>
      </c>
      <c r="F73" s="287">
        <f>E73/D73</f>
        <v/>
      </c>
      <c r="G73" s="186" t="n">
        <v>1166</v>
      </c>
      <c r="H73" s="287" t="n">
        <v>33.619</v>
      </c>
      <c r="I73" s="287" t="n">
        <v>33.76129</v>
      </c>
      <c r="J73" s="287">
        <f>I73/H73</f>
        <v/>
      </c>
      <c r="K73" s="286">
        <f>_xlfn.IFERROR(J73-F73,"")</f>
        <v/>
      </c>
      <c r="L73" s="119">
        <f>_xlfn.IFERROR(I73/E73-1,"")</f>
        <v/>
      </c>
      <c r="M73" s="186" t="n">
        <v>480</v>
      </c>
      <c r="N73" s="287" t="n">
        <v>14.0317</v>
      </c>
      <c r="O73" s="287" t="n">
        <v>14.39318</v>
      </c>
      <c r="P73" s="287">
        <f>O73/N73</f>
        <v/>
      </c>
      <c r="Q73" s="186" t="n">
        <v>723</v>
      </c>
      <c r="R73" s="287" t="n">
        <v>24.3285</v>
      </c>
      <c r="S73" s="287" t="n">
        <v>25.57601</v>
      </c>
      <c r="T73" s="287">
        <f>S73/R73</f>
        <v/>
      </c>
      <c r="U73" s="286">
        <f>_xlfn.IFERROR(T73-P73,"")</f>
        <v/>
      </c>
      <c r="V73" s="119">
        <f>_xlfn.IFERROR(S73/O73-1,"")</f>
        <v/>
      </c>
      <c r="W73" s="186" t="n">
        <v>233</v>
      </c>
      <c r="X73" s="287" t="n">
        <v>5.4664</v>
      </c>
      <c r="Y73" s="287" t="n">
        <v>5.61801</v>
      </c>
      <c r="Z73" s="287">
        <f>Y73/X73</f>
        <v/>
      </c>
      <c r="AA73" s="186" t="n">
        <v>143</v>
      </c>
      <c r="AB73" s="287" t="n">
        <v>3.8379</v>
      </c>
      <c r="AC73" s="287" t="n">
        <v>3.60466</v>
      </c>
      <c r="AD73" s="287">
        <f>AC73/AB73</f>
        <v/>
      </c>
      <c r="AE73" s="286">
        <f>_xlfn.IFERROR(AD73-Z73,"")</f>
        <v/>
      </c>
      <c r="AF73" s="119">
        <f>_xlfn.IFERROR(AC73/Y73-1,"")</f>
        <v/>
      </c>
      <c r="AG73" s="186" t="n">
        <v>81</v>
      </c>
      <c r="AH73" s="287" t="n">
        <v>1.6061</v>
      </c>
      <c r="AI73" s="287" t="n">
        <v>1.10651</v>
      </c>
      <c r="AJ73" s="287">
        <f>AI73/AH73</f>
        <v/>
      </c>
      <c r="AK73" s="186" t="n">
        <v>124</v>
      </c>
      <c r="AL73" s="287" t="n">
        <v>2.4978</v>
      </c>
      <c r="AM73" s="287" t="n">
        <v>2.14271</v>
      </c>
      <c r="AN73" s="287">
        <f>AM73/AL73</f>
        <v/>
      </c>
      <c r="AO73" s="286">
        <f>_xlfn.IFERROR(AN73-AJ73,"")</f>
        <v/>
      </c>
      <c r="AP73" s="119">
        <f>_xlfn.IFERROR(AM73/AI73-1,"")</f>
        <v/>
      </c>
      <c r="AQ73" s="186" t="n">
        <v>237</v>
      </c>
      <c r="AR73" s="287" t="n">
        <v>4.0652</v>
      </c>
      <c r="AS73" s="287" t="n">
        <v>3.87775</v>
      </c>
      <c r="AT73" s="285">
        <f>_xlfn.IFERROR(AS73/AR73,"")</f>
        <v/>
      </c>
      <c r="AU73" s="186" t="n">
        <v>134</v>
      </c>
      <c r="AV73" s="287" t="n">
        <v>2.3203</v>
      </c>
      <c r="AW73" s="287" t="n">
        <v>1.87361</v>
      </c>
      <c r="AX73" s="287">
        <f>AW73/AV73</f>
        <v/>
      </c>
      <c r="AY73" s="286">
        <f>_xlfn.IFERROR(AX73-AT73,"")</f>
        <v/>
      </c>
      <c r="AZ73" s="119">
        <f>_xlfn.IFERROR(AW73/AS73-1,"")</f>
        <v/>
      </c>
      <c r="BA73" s="186" t="n">
        <v>197</v>
      </c>
      <c r="BB73" s="287" t="n">
        <v>3.0613</v>
      </c>
      <c r="BC73" s="287" t="n">
        <v>2.4565</v>
      </c>
      <c r="BD73" s="287">
        <f>BC73/BB73</f>
        <v/>
      </c>
      <c r="BE73" s="186" t="n">
        <v>42</v>
      </c>
      <c r="BF73" s="287" t="n">
        <v>0.6345</v>
      </c>
      <c r="BG73" s="287" t="n">
        <v>0.5643</v>
      </c>
      <c r="BH73" s="287">
        <f>BG73/BF73</f>
        <v/>
      </c>
      <c r="BI73" s="288">
        <f>_xlfn.IFERROR(BN73/((BF73/4)*30),"")</f>
        <v/>
      </c>
      <c r="BJ73" s="289">
        <f>_xlfn.IFERROR(BE73/4*31,"")</f>
        <v/>
      </c>
      <c r="BK73" s="290">
        <f>_xlfn.IFERROR(BG73/4*31,"")</f>
        <v/>
      </c>
      <c r="BL73" s="291">
        <f>_xlfn.IFERROR(BH73-BD73,"")</f>
        <v/>
      </c>
      <c r="BM73" s="150">
        <f>_xlfn.IFERROR(BK73/BC73-1,"")</f>
        <v/>
      </c>
      <c r="BN73" s="291" t="n">
        <v>85.4117</v>
      </c>
    </row>
    <row r="74" ht="13.5" customHeight="1" s="245">
      <c r="A74" s="61" t="n"/>
      <c r="B74" s="186" t="inlineStr">
        <is>
          <t>(Shen) Shenzhen Minzhi Tianhong Lingerie Store</t>
        </is>
      </c>
      <c r="C74" s="186" t="n">
        <v>953</v>
      </c>
      <c r="D74" s="61" t="n">
        <v>23.0713</v>
      </c>
      <c r="E74" s="61" t="n">
        <v>18.14634</v>
      </c>
      <c r="F74" s="287">
        <f>E74/D74</f>
        <v/>
      </c>
      <c r="G74" s="186" t="n">
        <v>1398</v>
      </c>
      <c r="H74" s="287" t="n">
        <v>35.1671</v>
      </c>
      <c r="I74" s="287" t="n">
        <v>27.07265</v>
      </c>
      <c r="J74" s="287">
        <f>I74/H74</f>
        <v/>
      </c>
      <c r="K74" s="286">
        <f>_xlfn.IFERROR(J74-F74,"")</f>
        <v/>
      </c>
      <c r="L74" s="119">
        <f>_xlfn.IFERROR(I74/E74-1,"")</f>
        <v/>
      </c>
      <c r="M74" s="186" t="n">
        <v>473</v>
      </c>
      <c r="N74" s="287" t="n">
        <v>14.0285</v>
      </c>
      <c r="O74" s="287" t="n">
        <v>12.75572</v>
      </c>
      <c r="P74" s="287">
        <f>O74/N74</f>
        <v/>
      </c>
      <c r="Q74" s="186" t="n">
        <v>859</v>
      </c>
      <c r="R74" s="287" t="n">
        <v>25.8889</v>
      </c>
      <c r="S74" s="287" t="n">
        <v>22.30567</v>
      </c>
      <c r="T74" s="287">
        <f>S74/R74</f>
        <v/>
      </c>
      <c r="U74" s="286">
        <f>_xlfn.IFERROR(T74-P74,"")</f>
        <v/>
      </c>
      <c r="V74" s="119">
        <f>_xlfn.IFERROR(S74/O74-1,"")</f>
        <v/>
      </c>
      <c r="W74" s="186" t="n">
        <v>186</v>
      </c>
      <c r="X74" s="287" t="n">
        <v>4.4329</v>
      </c>
      <c r="Y74" s="287" t="n">
        <v>2.38908</v>
      </c>
      <c r="Z74" s="287">
        <f>Y74/X74</f>
        <v/>
      </c>
      <c r="AA74" s="186" t="n">
        <v>97</v>
      </c>
      <c r="AB74" s="287" t="n">
        <v>2.5793</v>
      </c>
      <c r="AC74" s="287" t="n">
        <v>1.60539</v>
      </c>
      <c r="AD74" s="287">
        <f>AC74/AB74</f>
        <v/>
      </c>
      <c r="AE74" s="286">
        <f>_xlfn.IFERROR(AD74-Z74,"")</f>
        <v/>
      </c>
      <c r="AF74" s="119">
        <f>_xlfn.IFERROR(AC74/Y74-1,"")</f>
        <v/>
      </c>
      <c r="AG74" s="186" t="n">
        <v>84</v>
      </c>
      <c r="AH74" s="287" t="n">
        <v>1.3765</v>
      </c>
      <c r="AI74" s="287" t="n">
        <v>1.0154</v>
      </c>
      <c r="AJ74" s="287">
        <f>AI74/AH74</f>
        <v/>
      </c>
      <c r="AK74" s="186" t="n">
        <v>244</v>
      </c>
      <c r="AL74" s="287" t="n">
        <v>4.2175</v>
      </c>
      <c r="AM74" s="287" t="n">
        <v>1.74942</v>
      </c>
      <c r="AN74" s="287">
        <f>AM74/AL74</f>
        <v/>
      </c>
      <c r="AO74" s="286">
        <f>_xlfn.IFERROR(AN74-AJ74,"")</f>
        <v/>
      </c>
      <c r="AP74" s="119">
        <f>_xlfn.IFERROR(AM74/AI74-1,"")</f>
        <v/>
      </c>
      <c r="AQ74" s="186" t="n">
        <v>175</v>
      </c>
      <c r="AR74" s="287" t="n">
        <v>2.6927</v>
      </c>
      <c r="AS74" s="287" t="n">
        <v>1.67158</v>
      </c>
      <c r="AT74" s="285">
        <f>_xlfn.IFERROR(AS74/AR74,"")</f>
        <v/>
      </c>
      <c r="AU74" s="186" t="n">
        <v>124</v>
      </c>
      <c r="AV74" s="287" t="n">
        <v>1.4938</v>
      </c>
      <c r="AW74" s="287" t="n">
        <v>0.89707</v>
      </c>
      <c r="AX74" s="287">
        <f>AW74/AV74</f>
        <v/>
      </c>
      <c r="AY74" s="286">
        <f>_xlfn.IFERROR(AX74-AT74,"")</f>
        <v/>
      </c>
      <c r="AZ74" s="119">
        <f>_xlfn.IFERROR(AW74/AS74-1,"")</f>
        <v/>
      </c>
      <c r="BA74" s="186" t="n">
        <v>164</v>
      </c>
      <c r="BB74" s="287" t="n">
        <v>2.6989</v>
      </c>
      <c r="BC74" s="287" t="n">
        <v>2.20419</v>
      </c>
      <c r="BD74" s="287">
        <f>BC74/BB74</f>
        <v/>
      </c>
      <c r="BE74" s="186" t="n">
        <v>74</v>
      </c>
      <c r="BF74" s="287" t="n">
        <v>0.9876</v>
      </c>
      <c r="BG74" s="287" t="n">
        <v>0.5151</v>
      </c>
      <c r="BH74" s="287">
        <f>BG74/BF74</f>
        <v/>
      </c>
      <c r="BI74" s="288">
        <f>_xlfn.IFERROR(BN74/((BF74/4)*30),"")</f>
        <v/>
      </c>
      <c r="BJ74" s="289">
        <f>_xlfn.IFERROR(BE74/4*31,"")</f>
        <v/>
      </c>
      <c r="BK74" s="290">
        <f>_xlfn.IFERROR(BG74/4*31,"")</f>
        <v/>
      </c>
      <c r="BL74" s="291">
        <f>_xlfn.IFERROR(BH74-BD74,"")</f>
        <v/>
      </c>
      <c r="BM74" s="150">
        <f>_xlfn.IFERROR(BK74/BC74-1,"")</f>
        <v/>
      </c>
      <c r="BN74" s="291" t="n">
        <v>71.52</v>
      </c>
    </row>
    <row r="75" ht="13.5" customHeight="1" s="245">
      <c r="A75" s="61" t="n"/>
      <c r="B75" s="186" t="inlineStr">
        <is>
          <t>(Shen) Shenzhen Qianjin Tianhong Lingerie Store</t>
        </is>
      </c>
      <c r="C75" s="186" t="n">
        <v>1371</v>
      </c>
      <c r="D75" s="61" t="n">
        <v>29.4458</v>
      </c>
      <c r="E75" s="61" t="n">
        <v>21.96602</v>
      </c>
      <c r="F75" s="287">
        <f>E75/D75</f>
        <v/>
      </c>
      <c r="G75" s="186" t="n">
        <v>1618</v>
      </c>
      <c r="H75" s="287" t="n">
        <v>42.4761</v>
      </c>
      <c r="I75" s="287" t="n">
        <v>35.309984</v>
      </c>
      <c r="J75" s="287">
        <f>I75/H75</f>
        <v/>
      </c>
      <c r="K75" s="286">
        <f>_xlfn.IFERROR(J75-F75,"")</f>
        <v/>
      </c>
      <c r="L75" s="119">
        <f>_xlfn.IFERROR(I75/E75-1,"")</f>
        <v/>
      </c>
      <c r="M75" s="186" t="n">
        <v>565</v>
      </c>
      <c r="N75" s="287" t="n">
        <v>16.099</v>
      </c>
      <c r="O75" s="287" t="n">
        <v>14.51761</v>
      </c>
      <c r="P75" s="287">
        <f>O75/N75</f>
        <v/>
      </c>
      <c r="Q75" s="186" t="n">
        <v>1026</v>
      </c>
      <c r="R75" s="287" t="n">
        <v>31.273</v>
      </c>
      <c r="S75" s="287" t="n">
        <v>29.04514</v>
      </c>
      <c r="T75" s="287">
        <f>S75/R75</f>
        <v/>
      </c>
      <c r="U75" s="286">
        <f>_xlfn.IFERROR(T75-P75,"")</f>
        <v/>
      </c>
      <c r="V75" s="119">
        <f>_xlfn.IFERROR(S75/O75-1,"")</f>
        <v/>
      </c>
      <c r="W75" s="186" t="n">
        <v>458</v>
      </c>
      <c r="X75" s="287" t="n">
        <v>8.6355</v>
      </c>
      <c r="Y75" s="287" t="n">
        <v>4.62971</v>
      </c>
      <c r="Z75" s="287">
        <f>Y75/X75</f>
        <v/>
      </c>
      <c r="AA75" s="186" t="n">
        <v>158</v>
      </c>
      <c r="AB75" s="287" t="n">
        <v>4.4243</v>
      </c>
      <c r="AC75" s="287" t="n">
        <v>2.52533</v>
      </c>
      <c r="AD75" s="287">
        <f>AC75/AB75</f>
        <v/>
      </c>
      <c r="AE75" s="286">
        <f>_xlfn.IFERROR(AD75-Z75,"")</f>
        <v/>
      </c>
      <c r="AF75" s="119">
        <f>_xlfn.IFERROR(AC75/Y75-1,"")</f>
        <v/>
      </c>
      <c r="AG75" s="186" t="n">
        <v>105</v>
      </c>
      <c r="AH75" s="287" t="n">
        <v>1.6002</v>
      </c>
      <c r="AI75" s="287" t="n">
        <v>1.15186</v>
      </c>
      <c r="AJ75" s="287">
        <f>AI75/AH75</f>
        <v/>
      </c>
      <c r="AK75" s="186" t="n">
        <v>168</v>
      </c>
      <c r="AL75" s="287" t="n">
        <v>2.966</v>
      </c>
      <c r="AM75" s="287" t="n">
        <v>1.61205</v>
      </c>
      <c r="AN75" s="287">
        <f>AM75/AL75</f>
        <v/>
      </c>
      <c r="AO75" s="286">
        <f>_xlfn.IFERROR(AN75-AJ75,"")</f>
        <v/>
      </c>
      <c r="AP75" s="119">
        <f>_xlfn.IFERROR(AM75/AI75-1,"")</f>
        <v/>
      </c>
      <c r="AQ75" s="186" t="n">
        <v>187</v>
      </c>
      <c r="AR75" s="287" t="n">
        <v>2.4062</v>
      </c>
      <c r="AS75" s="287" t="n">
        <v>1.31439</v>
      </c>
      <c r="AT75" s="285">
        <f>_xlfn.IFERROR(AS75/AR75,"")</f>
        <v/>
      </c>
      <c r="AU75" s="186" t="n">
        <v>189</v>
      </c>
      <c r="AV75" s="287" t="n">
        <v>2.8764</v>
      </c>
      <c r="AW75" s="287" t="n">
        <v>1.654314</v>
      </c>
      <c r="AX75" s="287">
        <f>AW75/AV75</f>
        <v/>
      </c>
      <c r="AY75" s="286">
        <f>_xlfn.IFERROR(AX75-AT75,"")</f>
        <v/>
      </c>
      <c r="AZ75" s="119">
        <f>_xlfn.IFERROR(AW75/AS75-1,"")</f>
        <v/>
      </c>
      <c r="BA75" s="186" t="n">
        <v>240</v>
      </c>
      <c r="BB75" s="287" t="n">
        <v>3.1619</v>
      </c>
      <c r="BC75" s="287" t="n">
        <v>1.9529</v>
      </c>
      <c r="BD75" s="287">
        <f>BC75/BB75</f>
        <v/>
      </c>
      <c r="BE75" s="186" t="n">
        <v>77</v>
      </c>
      <c r="BF75" s="287" t="n">
        <v>0.9364</v>
      </c>
      <c r="BG75" s="287" t="n">
        <v>0.47315</v>
      </c>
      <c r="BH75" s="287">
        <f>BG75/BF75</f>
        <v/>
      </c>
      <c r="BI75" s="288">
        <f>_xlfn.IFERROR(BN75/((BF75/4)*30),"")</f>
        <v/>
      </c>
      <c r="BJ75" s="289">
        <f>_xlfn.IFERROR(BE75/4*31,"")</f>
        <v/>
      </c>
      <c r="BK75" s="290">
        <f>_xlfn.IFERROR(BG75/4*31,"")</f>
        <v/>
      </c>
      <c r="BL75" s="291">
        <f>_xlfn.IFERROR(BH75-BD75,"")</f>
        <v/>
      </c>
      <c r="BM75" s="150">
        <f>_xlfn.IFERROR(BK75/BC75-1,"")</f>
        <v/>
      </c>
      <c r="BN75" s="291" t="n">
        <v>113.9964</v>
      </c>
    </row>
    <row r="76" ht="13.5" customHeight="1" s="245">
      <c r="A76" s="61" t="n"/>
      <c r="B76" s="186" t="inlineStr">
        <is>
          <t>(Shen) Shenzhen Taiyang Department Store Sports Store</t>
        </is>
      </c>
      <c r="C76" s="186" t="n">
        <v>250</v>
      </c>
      <c r="D76" s="61" t="n">
        <v>6.1171</v>
      </c>
      <c r="E76" s="61" t="n">
        <v>3.6614</v>
      </c>
      <c r="F76" s="287">
        <f>E76/D76</f>
        <v/>
      </c>
      <c r="G76" s="186" t="n">
        <v>312</v>
      </c>
      <c r="H76" s="287" t="n">
        <v>8.497</v>
      </c>
      <c r="I76" s="287" t="n">
        <v>5.143648</v>
      </c>
      <c r="J76" s="287">
        <f>I76/H76</f>
        <v/>
      </c>
      <c r="K76" s="286">
        <f>_xlfn.IFERROR(J76-F76,"")</f>
        <v/>
      </c>
      <c r="L76" s="119">
        <f>_xlfn.IFERROR(I76/E76-1,"")</f>
        <v/>
      </c>
      <c r="M76" s="186" t="n">
        <v>89</v>
      </c>
      <c r="N76" s="287" t="n">
        <v>2.5124</v>
      </c>
      <c r="O76" s="287" t="n">
        <v>1.33365</v>
      </c>
      <c r="P76" s="287">
        <f>O76/N76</f>
        <v/>
      </c>
      <c r="Q76" s="186" t="n">
        <v>64</v>
      </c>
      <c r="R76" s="287" t="n">
        <v>1.9752</v>
      </c>
      <c r="S76" s="287" t="n">
        <v>1.26354</v>
      </c>
      <c r="T76" s="287">
        <f>S76/R76</f>
        <v/>
      </c>
      <c r="U76" s="286">
        <f>_xlfn.IFERROR(T76-P76,"")</f>
        <v/>
      </c>
      <c r="V76" s="119">
        <f>_xlfn.IFERROR(S76/O76-1,"")</f>
        <v/>
      </c>
      <c r="W76" s="186" t="n">
        <v>58</v>
      </c>
      <c r="X76" s="287" t="n">
        <v>1.5064</v>
      </c>
      <c r="Y76" s="287" t="n">
        <v>0.78095</v>
      </c>
      <c r="Z76" s="287">
        <f>Y76/X76</f>
        <v/>
      </c>
      <c r="AA76" s="186" t="n">
        <v>65</v>
      </c>
      <c r="AB76" s="287" t="n">
        <v>1.8339</v>
      </c>
      <c r="AC76" s="287" t="n">
        <v>1.14665</v>
      </c>
      <c r="AD76" s="287">
        <f>AC76/AB76</f>
        <v/>
      </c>
      <c r="AE76" s="286">
        <f>_xlfn.IFERROR(AD76-Z76,"")</f>
        <v/>
      </c>
      <c r="AF76" s="119">
        <f>_xlfn.IFERROR(AC76/Y76-1,"")</f>
        <v/>
      </c>
      <c r="AG76" s="186" t="n">
        <v>36</v>
      </c>
      <c r="AH76" s="287" t="n">
        <v>0.675</v>
      </c>
      <c r="AI76" s="287" t="n">
        <v>0.53234</v>
      </c>
      <c r="AJ76" s="287">
        <f>AI76/AH76</f>
        <v/>
      </c>
      <c r="AK76" s="186" t="n">
        <v>75</v>
      </c>
      <c r="AL76" s="287" t="n">
        <v>2.175</v>
      </c>
      <c r="AM76" s="287" t="n">
        <v>1.23556</v>
      </c>
      <c r="AN76" s="287">
        <f>AM76/AL76</f>
        <v/>
      </c>
      <c r="AO76" s="286">
        <f>_xlfn.IFERROR(AN76-AJ76,"")</f>
        <v/>
      </c>
      <c r="AP76" s="119">
        <f>_xlfn.IFERROR(AM76/AI76-1,"")</f>
        <v/>
      </c>
      <c r="AQ76" s="186" t="n">
        <v>64</v>
      </c>
      <c r="AR76" s="287" t="n">
        <v>1.3694</v>
      </c>
      <c r="AS76" s="287" t="n">
        <v>0.98256</v>
      </c>
      <c r="AT76" s="285">
        <f>_xlfn.IFERROR(AS76/AR76,"")</f>
        <v/>
      </c>
      <c r="AU76" s="186" t="n">
        <v>78</v>
      </c>
      <c r="AV76" s="287" t="n">
        <v>1.9676</v>
      </c>
      <c r="AW76" s="287" t="n">
        <v>1.141848</v>
      </c>
      <c r="AX76" s="287">
        <f>AW76/AV76</f>
        <v/>
      </c>
      <c r="AY76" s="286">
        <f>_xlfn.IFERROR(AX76-AT76,"")</f>
        <v/>
      </c>
      <c r="AZ76" s="119">
        <f>_xlfn.IFERROR(AW76/AS76-1,"")</f>
        <v/>
      </c>
      <c r="BA76" s="186" t="n">
        <v>74</v>
      </c>
      <c r="BB76" s="287" t="n">
        <v>1.2777</v>
      </c>
      <c r="BC76" s="287" t="n">
        <v>0.99195</v>
      </c>
      <c r="BD76" s="287">
        <f>BC76/BB76</f>
        <v/>
      </c>
      <c r="BE76" s="186" t="n">
        <v>30</v>
      </c>
      <c r="BF76" s="287" t="n">
        <v>0.5453</v>
      </c>
      <c r="BG76" s="287" t="n">
        <v>0.35605</v>
      </c>
      <c r="BH76" s="287">
        <f>BG76/BF76</f>
        <v/>
      </c>
      <c r="BI76" s="288">
        <f>_xlfn.IFERROR(BN76/((BF76/4)*30),"")</f>
        <v/>
      </c>
      <c r="BJ76" s="289">
        <f>_xlfn.IFERROR(BE76/4*31,"")</f>
        <v/>
      </c>
      <c r="BK76" s="290">
        <f>_xlfn.IFERROR(BG76/4*31,"")</f>
        <v/>
      </c>
      <c r="BL76" s="291">
        <f>_xlfn.IFERROR(BH76-BD76,"")</f>
        <v/>
      </c>
      <c r="BM76" s="150">
        <f>_xlfn.IFERROR(BK76/BC76-1,"")</f>
        <v/>
      </c>
      <c r="BN76" s="291" t="n">
        <v>47.5674</v>
      </c>
    </row>
    <row r="77" ht="13.5" customHeight="1" s="245">
      <c r="A77" s="61" t="n"/>
      <c r="B77" s="186" t="inlineStr">
        <is>
          <t>Shenzhen Jusco Donghu Shuiyun Season Store</t>
        </is>
      </c>
      <c r="C77" s="186" t="n"/>
      <c r="D77" s="61" t="n">
        <v>0</v>
      </c>
      <c r="E77" s="61" t="n">
        <v>0</v>
      </c>
      <c r="F77" s="287">
        <f>E77/D77</f>
        <v/>
      </c>
      <c r="G77" s="186" t="n">
        <v>18</v>
      </c>
      <c r="H77" s="287" t="n">
        <v>0.3511</v>
      </c>
      <c r="I77" s="287" t="n">
        <v>0.2395</v>
      </c>
      <c r="J77" s="287">
        <f>I77/H77</f>
        <v/>
      </c>
      <c r="K77" s="286">
        <f>_xlfn.IFERROR(J77-F77,"")</f>
        <v/>
      </c>
      <c r="L77" s="119">
        <f>_xlfn.IFERROR(I77/E77-1,"")</f>
        <v/>
      </c>
      <c r="M77" s="186" t="n"/>
      <c r="N77" s="287" t="n">
        <v>0</v>
      </c>
      <c r="O77" s="287" t="n">
        <v>0</v>
      </c>
      <c r="P77" s="287">
        <f>O77/N77</f>
        <v/>
      </c>
      <c r="Q77" s="186" t="n"/>
      <c r="R77" s="287" t="n">
        <v>0</v>
      </c>
      <c r="S77" s="287" t="n">
        <v>0</v>
      </c>
      <c r="T77" s="287">
        <f>S77/R77</f>
        <v/>
      </c>
      <c r="U77" s="286">
        <f>_xlfn.IFERROR(T77-P77,"")</f>
        <v/>
      </c>
      <c r="V77" s="119">
        <f>_xlfn.IFERROR(S77/O77-1,"")</f>
        <v/>
      </c>
      <c r="W77" s="186" t="n"/>
      <c r="X77" s="287" t="n">
        <v>0</v>
      </c>
      <c r="Y77" s="287" t="n">
        <v>0</v>
      </c>
      <c r="Z77" s="287">
        <f>Y77/X77</f>
        <v/>
      </c>
      <c r="AA77" s="186" t="n"/>
      <c r="AB77" s="287" t="n">
        <v>0</v>
      </c>
      <c r="AC77" s="287" t="n">
        <v>0</v>
      </c>
      <c r="AD77" s="287">
        <f>AC77/AB77</f>
        <v/>
      </c>
      <c r="AE77" s="286">
        <f>_xlfn.IFERROR(AD77-Z77,"")</f>
        <v/>
      </c>
      <c r="AF77" s="119">
        <f>_xlfn.IFERROR(AC77/Y77-1,"")</f>
        <v/>
      </c>
      <c r="AG77" s="186" t="n"/>
      <c r="AH77" s="287" t="n">
        <v>0</v>
      </c>
      <c r="AI77" s="287" t="n">
        <v>0</v>
      </c>
      <c r="AJ77" s="287">
        <f>AI77/AH77</f>
        <v/>
      </c>
      <c r="AK77" s="186" t="n"/>
      <c r="AL77" s="287" t="n">
        <v>0</v>
      </c>
      <c r="AM77" s="287" t="n">
        <v>0</v>
      </c>
      <c r="AN77" s="287">
        <f>AM77/AL77</f>
        <v/>
      </c>
      <c r="AO77" s="286">
        <f>_xlfn.IFERROR(AN77-AJ77,"")</f>
        <v/>
      </c>
      <c r="AP77" s="119">
        <f>_xlfn.IFERROR(AM77/AI77-1,"")</f>
        <v/>
      </c>
      <c r="AQ77" s="186" t="n"/>
      <c r="AR77" s="287" t="n">
        <v>0</v>
      </c>
      <c r="AS77" s="287" t="n">
        <v>0</v>
      </c>
      <c r="AT77" s="285">
        <f>_xlfn.IFERROR(AS77/AR77,"")</f>
        <v/>
      </c>
      <c r="AU77" s="186" t="n">
        <v>18</v>
      </c>
      <c r="AV77" s="287" t="n">
        <v>0.3511</v>
      </c>
      <c r="AW77" s="287" t="n">
        <v>0.2395</v>
      </c>
      <c r="AX77" s="287">
        <f>AW77/AV77</f>
        <v/>
      </c>
      <c r="AY77" s="286">
        <f>_xlfn.IFERROR(AX77-AT77,"")</f>
        <v/>
      </c>
      <c r="AZ77" s="119">
        <f>_xlfn.IFERROR(AW77/AS77-1,"")</f>
        <v/>
      </c>
      <c r="BA77" s="186" t="n"/>
      <c r="BB77" s="287" t="n">
        <v>0</v>
      </c>
      <c r="BC77" s="287" t="n">
        <v>0</v>
      </c>
      <c r="BD77" s="287">
        <f>BC77/BB77</f>
        <v/>
      </c>
      <c r="BE77" s="186" t="n"/>
      <c r="BF77" s="287" t="n">
        <v>0</v>
      </c>
      <c r="BG77" s="287" t="n">
        <v>0</v>
      </c>
      <c r="BH77" s="287">
        <f>BG77/BF77</f>
        <v/>
      </c>
      <c r="BI77" s="288">
        <f>_xlfn.IFERROR(BN77/((BF77/4)*30),"")</f>
        <v/>
      </c>
      <c r="BJ77" s="289">
        <f>_xlfn.IFERROR(BE77/4*31,"")</f>
        <v/>
      </c>
      <c r="BK77" s="290">
        <f>_xlfn.IFERROR(BG77/4*31,"")</f>
        <v/>
      </c>
      <c r="BL77" s="291">
        <f>_xlfn.IFERROR(BH77-BD77,"")</f>
        <v/>
      </c>
      <c r="BM77" s="150">
        <f>_xlfn.IFERROR(BK77/BC77-1,"")</f>
        <v/>
      </c>
      <c r="BN77" s="291" t="n">
        <v>23.7357</v>
      </c>
    </row>
    <row r="78" ht="13.5" customHeight="1" s="245">
      <c r="A78" s="61" t="n"/>
      <c r="B78" s="186" t="inlineStr">
        <is>
          <t>Shenzhen Nanshan Jusco Water Sports Season Store</t>
        </is>
      </c>
      <c r="C78" s="186" t="n"/>
      <c r="D78" s="61" t="n">
        <v>0</v>
      </c>
      <c r="E78" s="61" t="n">
        <v>0</v>
      </c>
      <c r="F78" s="287">
        <f>E78/D78</f>
        <v/>
      </c>
      <c r="G78" s="186" t="n">
        <v>27</v>
      </c>
      <c r="H78" s="287" t="n">
        <v>0.4697</v>
      </c>
      <c r="I78" s="287" t="n">
        <v>0.3204</v>
      </c>
      <c r="J78" s="287">
        <f>I78/H78</f>
        <v/>
      </c>
      <c r="K78" s="286">
        <f>_xlfn.IFERROR(J78-F78,"")</f>
        <v/>
      </c>
      <c r="L78" s="119">
        <f>_xlfn.IFERROR(I78/E78-1,"")</f>
        <v/>
      </c>
      <c r="M78" s="186" t="n"/>
      <c r="N78" s="287" t="n">
        <v>0</v>
      </c>
      <c r="O78" s="287" t="n">
        <v>0</v>
      </c>
      <c r="P78" s="287">
        <f>O78/N78</f>
        <v/>
      </c>
      <c r="Q78" s="186" t="n"/>
      <c r="R78" s="287" t="n">
        <v>0</v>
      </c>
      <c r="S78" s="287" t="n">
        <v>0</v>
      </c>
      <c r="T78" s="287">
        <f>S78/R78</f>
        <v/>
      </c>
      <c r="U78" s="286">
        <f>_xlfn.IFERROR(T78-P78,"")</f>
        <v/>
      </c>
      <c r="V78" s="119">
        <f>_xlfn.IFERROR(S78/O78-1,"")</f>
        <v/>
      </c>
      <c r="W78" s="186" t="n"/>
      <c r="X78" s="287" t="n">
        <v>0</v>
      </c>
      <c r="Y78" s="287" t="n">
        <v>0</v>
      </c>
      <c r="Z78" s="287">
        <f>Y78/X78</f>
        <v/>
      </c>
      <c r="AA78" s="186" t="n"/>
      <c r="AB78" s="287" t="n">
        <v>0</v>
      </c>
      <c r="AC78" s="287" t="n">
        <v>0</v>
      </c>
      <c r="AD78" s="287">
        <f>AC78/AB78</f>
        <v/>
      </c>
      <c r="AE78" s="286">
        <f>_xlfn.IFERROR(AD78-Z78,"")</f>
        <v/>
      </c>
      <c r="AF78" s="119">
        <f>_xlfn.IFERROR(AC78/Y78-1,"")</f>
        <v/>
      </c>
      <c r="AG78" s="186" t="n"/>
      <c r="AH78" s="287" t="n">
        <v>0</v>
      </c>
      <c r="AI78" s="287" t="n">
        <v>0</v>
      </c>
      <c r="AJ78" s="287">
        <f>AI78/AH78</f>
        <v/>
      </c>
      <c r="AK78" s="186" t="n"/>
      <c r="AL78" s="287" t="n">
        <v>0</v>
      </c>
      <c r="AM78" s="287" t="n">
        <v>0</v>
      </c>
      <c r="AN78" s="287">
        <f>AM78/AL78</f>
        <v/>
      </c>
      <c r="AO78" s="286">
        <f>_xlfn.IFERROR(AN78-AJ78,"")</f>
        <v/>
      </c>
      <c r="AP78" s="119">
        <f>_xlfn.IFERROR(AM78/AI78-1,"")</f>
        <v/>
      </c>
      <c r="AQ78" s="186" t="n"/>
      <c r="AR78" s="287" t="n">
        <v>0</v>
      </c>
      <c r="AS78" s="287" t="n">
        <v>0</v>
      </c>
      <c r="AT78" s="285">
        <f>_xlfn.IFERROR(AS78/AR78,"")</f>
        <v/>
      </c>
      <c r="AU78" s="186" t="n">
        <v>27</v>
      </c>
      <c r="AV78" s="287" t="n">
        <v>0.4697</v>
      </c>
      <c r="AW78" s="287" t="n">
        <v>0.3204</v>
      </c>
      <c r="AX78" s="287">
        <f>AW78/AV78</f>
        <v/>
      </c>
      <c r="AY78" s="286">
        <f>_xlfn.IFERROR(AX78-AT78,"")</f>
        <v/>
      </c>
      <c r="AZ78" s="119">
        <f>_xlfn.IFERROR(AW78/AS78-1,"")</f>
        <v/>
      </c>
      <c r="BA78" s="186" t="n"/>
      <c r="BB78" s="287" t="n">
        <v>0</v>
      </c>
      <c r="BC78" s="287" t="n">
        <v>0</v>
      </c>
      <c r="BD78" s="287">
        <f>BC78/BB78</f>
        <v/>
      </c>
      <c r="BE78" s="186" t="n"/>
      <c r="BF78" s="287" t="n">
        <v>0</v>
      </c>
      <c r="BG78" s="287" t="n">
        <v>0</v>
      </c>
      <c r="BH78" s="287">
        <f>BG78/BF78</f>
        <v/>
      </c>
      <c r="BI78" s="288">
        <f>_xlfn.IFERROR(BN78/((BF78/4)*30),"")</f>
        <v/>
      </c>
      <c r="BJ78" s="289">
        <f>_xlfn.IFERROR(BE78/4*31,"")</f>
        <v/>
      </c>
      <c r="BK78" s="290">
        <f>_xlfn.IFERROR(BG78/4*31,"")</f>
        <v/>
      </c>
      <c r="BL78" s="291">
        <f>_xlfn.IFERROR(BH78-BD78,"")</f>
        <v/>
      </c>
      <c r="BM78" s="150">
        <f>_xlfn.IFERROR(BK78/BC78-1,"")</f>
        <v/>
      </c>
      <c r="BN78" s="291" t="n">
        <v>23.6554</v>
      </c>
    </row>
    <row r="79" ht="13.5" customHeight="1" s="245">
      <c r="A79" s="183" t="inlineStr">
        <is>
          <t>Shenzhen Summary</t>
        </is>
      </c>
      <c r="B79" s="109" t="n"/>
      <c r="C79" s="183" t="n">
        <v>18969</v>
      </c>
      <c r="D79" s="61" t="n">
        <v>421.3977</v>
      </c>
      <c r="E79" s="61" t="n">
        <v>343.23788</v>
      </c>
      <c r="F79" s="285">
        <f>E79/D79</f>
        <v/>
      </c>
      <c r="G79" s="183" t="n">
        <v>23286</v>
      </c>
      <c r="H79" s="285" t="n">
        <v>580.1171000000001</v>
      </c>
      <c r="I79" s="285" t="n">
        <v>452.903634</v>
      </c>
      <c r="J79" s="285">
        <f>I79/H79</f>
        <v/>
      </c>
      <c r="K79" s="292">
        <f>_xlfn.IFERROR(J79-F79,"")</f>
        <v/>
      </c>
      <c r="L79" s="121">
        <f>_xlfn.IFERROR(I79/E79-1,"")</f>
        <v/>
      </c>
      <c r="M79" s="117" t="n">
        <v>7053</v>
      </c>
      <c r="N79" s="285" t="n">
        <v>198.8003</v>
      </c>
      <c r="O79" s="285" t="n">
        <v>172.155136</v>
      </c>
      <c r="P79" s="285">
        <f>O79/N79</f>
        <v/>
      </c>
      <c r="Q79" s="183" t="n">
        <v>12291</v>
      </c>
      <c r="R79" s="285" t="n">
        <v>352.9504</v>
      </c>
      <c r="S79" s="285" t="n">
        <v>304.980628</v>
      </c>
      <c r="T79" s="285">
        <f>S79/R79</f>
        <v/>
      </c>
      <c r="U79" s="292">
        <f>_xlfn.IFERROR(T79-P79,"")</f>
        <v/>
      </c>
      <c r="V79" s="121">
        <f>_xlfn.IFERROR(S79/O79-1,"")</f>
        <v/>
      </c>
      <c r="W79" s="117" t="n">
        <v>4739</v>
      </c>
      <c r="X79" s="285" t="n">
        <v>100.7567</v>
      </c>
      <c r="Y79" s="285" t="n">
        <v>75.622608</v>
      </c>
      <c r="Z79" s="285">
        <f>Y79/X79</f>
        <v/>
      </c>
      <c r="AA79" s="183" t="n">
        <v>2635</v>
      </c>
      <c r="AB79" s="285" t="n">
        <v>73.07080000000001</v>
      </c>
      <c r="AC79" s="285" t="n">
        <v>47.248238</v>
      </c>
      <c r="AD79" s="285">
        <f>AC79/AB79</f>
        <v/>
      </c>
      <c r="AE79" s="292">
        <f>_xlfn.IFERROR(AD79-Z79,"")</f>
        <v/>
      </c>
      <c r="AF79" s="121">
        <f>_xlfn.IFERROR(AC79/Y79-1,"")</f>
        <v/>
      </c>
      <c r="AG79" s="117" t="n">
        <v>2405</v>
      </c>
      <c r="AH79" s="285" t="n">
        <v>42.9724</v>
      </c>
      <c r="AI79" s="285" t="n">
        <v>35.173206</v>
      </c>
      <c r="AJ79" s="285">
        <f>AI79/AH79</f>
        <v/>
      </c>
      <c r="AK79" s="183" t="n">
        <v>3979</v>
      </c>
      <c r="AL79" s="285" t="n">
        <v>80.22499999999999</v>
      </c>
      <c r="AM79" s="285" t="n">
        <v>47.182912</v>
      </c>
      <c r="AN79" s="285">
        <f>AM79/AL79</f>
        <v/>
      </c>
      <c r="AO79" s="292">
        <f>_xlfn.IFERROR(AN79-AJ79,"")</f>
        <v/>
      </c>
      <c r="AP79" s="121">
        <f>_xlfn.IFERROR(AM79/AI79-1,"")</f>
        <v/>
      </c>
      <c r="AQ79" s="117" t="n">
        <v>3354</v>
      </c>
      <c r="AR79" s="285" t="n">
        <v>53.9216</v>
      </c>
      <c r="AS79" s="285" t="n">
        <v>45.430846</v>
      </c>
      <c r="AT79" s="285">
        <f>_xlfn.IFERROR(AS79/AR79,"")</f>
        <v/>
      </c>
      <c r="AU79" s="183" t="n">
        <v>3274</v>
      </c>
      <c r="AV79" s="285" t="n">
        <v>57.0655</v>
      </c>
      <c r="AW79" s="285" t="n">
        <v>40.902516</v>
      </c>
      <c r="AX79" s="285">
        <f>AW79/AV79</f>
        <v/>
      </c>
      <c r="AY79" s="292">
        <f>_xlfn.IFERROR(AX79-AT79,"")</f>
        <v/>
      </c>
      <c r="AZ79" s="121">
        <f>_xlfn.IFERROR(AW79/AS79-1,"")</f>
        <v/>
      </c>
      <c r="BA79" s="117" t="n">
        <v>4792</v>
      </c>
      <c r="BB79" s="285" t="n">
        <v>85.4894</v>
      </c>
      <c r="BC79" s="285" t="n">
        <v>57.480822</v>
      </c>
      <c r="BD79" s="285">
        <f>BC79/BB79</f>
        <v/>
      </c>
      <c r="BE79" s="142" t="n">
        <v>1107</v>
      </c>
      <c r="BF79" s="293" t="n">
        <v>16.8054</v>
      </c>
      <c r="BG79" s="293" t="n">
        <v>12.58934</v>
      </c>
      <c r="BH79" s="293">
        <f>BG79/BF79</f>
        <v/>
      </c>
      <c r="BI79" s="288">
        <f>_xlfn.IFERROR(BN79/((BF79/4)*30),"")</f>
        <v/>
      </c>
      <c r="BJ79" s="294">
        <f>_xlfn.IFERROR(BE79/4*31,"")</f>
        <v/>
      </c>
      <c r="BK79" s="295">
        <f>_xlfn.IFERROR(BG79/4*31,"")</f>
        <v/>
      </c>
      <c r="BL79" s="291">
        <f>_xlfn.IFERROR(BH79-BD79,"")</f>
        <v/>
      </c>
      <c r="BM79" s="150">
        <f>_xlfn.IFERROR(BK79/BC79-1,"")</f>
        <v/>
      </c>
      <c r="BN79" s="291">
        <f>SUM(BN62:BN78)</f>
        <v/>
      </c>
    </row>
    <row r="80" ht="13.5" customHeight="1" s="245">
      <c r="A80" s="183" t="inlineStr">
        <is>
          <t>Nanning</t>
        </is>
      </c>
      <c r="B80" s="183" t="inlineStr">
        <is>
          <t>(Nan) Nanning Mengzhi Island Shopping Center Lingerie Store</t>
        </is>
      </c>
      <c r="C80" s="183" t="n">
        <v>113</v>
      </c>
      <c r="D80" s="61" t="n">
        <v>2.8335</v>
      </c>
      <c r="E80" s="61" t="n">
        <v>2.192999</v>
      </c>
      <c r="F80" s="285">
        <f>E80/D80</f>
        <v/>
      </c>
      <c r="G80" s="183" t="n">
        <v>136</v>
      </c>
      <c r="H80" s="285" t="n">
        <v>2.9933</v>
      </c>
      <c r="I80" s="285" t="n">
        <v>2.31856</v>
      </c>
      <c r="J80" s="285">
        <f>I80/H80</f>
        <v/>
      </c>
      <c r="K80" s="286">
        <f>_xlfn.IFERROR(J80-F80,"")</f>
        <v/>
      </c>
      <c r="L80" s="119">
        <f>_xlfn.IFERROR(I80/E80-1,"")</f>
        <v/>
      </c>
      <c r="M80" s="183" t="n">
        <v>48</v>
      </c>
      <c r="N80" s="285" t="n">
        <v>1.3493</v>
      </c>
      <c r="O80" s="285" t="n">
        <v>0.98912</v>
      </c>
      <c r="P80" s="285">
        <f>O80/N80</f>
        <v/>
      </c>
      <c r="Q80" s="183" t="n">
        <v>44</v>
      </c>
      <c r="R80" s="285" t="n">
        <v>1.1202</v>
      </c>
      <c r="S80" s="285" t="n">
        <v>0.89886</v>
      </c>
      <c r="T80" s="285">
        <f>S80/R80</f>
        <v/>
      </c>
      <c r="U80" s="286">
        <f>_xlfn.IFERROR(T80-P80,"")</f>
        <v/>
      </c>
      <c r="V80" s="119">
        <f>_xlfn.IFERROR(S80/O80-1,"")</f>
        <v/>
      </c>
      <c r="W80" s="183" t="n">
        <v>16</v>
      </c>
      <c r="X80" s="285" t="n">
        <v>0.4068</v>
      </c>
      <c r="Y80" s="285" t="n">
        <v>0.34637</v>
      </c>
      <c r="Z80" s="285">
        <f>Y80/X80</f>
        <v/>
      </c>
      <c r="AA80" s="183" t="n">
        <v>22</v>
      </c>
      <c r="AB80" s="285" t="n">
        <v>0.7411</v>
      </c>
      <c r="AC80" s="285" t="n">
        <v>0.5462399999999999</v>
      </c>
      <c r="AD80" s="285">
        <f>AC80/AB80</f>
        <v/>
      </c>
      <c r="AE80" s="286">
        <f>_xlfn.IFERROR(AD80-Z80,"")</f>
        <v/>
      </c>
      <c r="AF80" s="119">
        <f>_xlfn.IFERROR(AC80/Y80-1,"")</f>
        <v/>
      </c>
      <c r="AG80" s="183" t="n">
        <v>12</v>
      </c>
      <c r="AH80" s="285" t="n">
        <v>0.321</v>
      </c>
      <c r="AI80" s="285" t="n">
        <v>0.271394</v>
      </c>
      <c r="AJ80" s="285">
        <f>AI80/AH80</f>
        <v/>
      </c>
      <c r="AK80" s="183" t="n">
        <v>10</v>
      </c>
      <c r="AL80" s="285" t="n">
        <v>0.3061</v>
      </c>
      <c r="AM80" s="285" t="n">
        <v>0.25709</v>
      </c>
      <c r="AN80" s="285">
        <f>AM80/AL80</f>
        <v/>
      </c>
      <c r="AO80" s="286">
        <f>_xlfn.IFERROR(AN80-AJ80,"")</f>
        <v/>
      </c>
      <c r="AP80" s="119">
        <f>_xlfn.IFERROR(AM80/AI80-1,"")</f>
        <v/>
      </c>
      <c r="AQ80" s="183" t="n">
        <v>36</v>
      </c>
      <c r="AR80" s="285" t="n">
        <v>0.7206</v>
      </c>
      <c r="AS80" s="285" t="n">
        <v>0.559265</v>
      </c>
      <c r="AT80" s="285">
        <f>_xlfn.IFERROR(AS80/AR80,"")</f>
        <v/>
      </c>
      <c r="AU80" s="183" t="n">
        <v>29</v>
      </c>
      <c r="AV80" s="285" t="n">
        <v>0.3719</v>
      </c>
      <c r="AW80" s="285" t="n">
        <v>0.31211</v>
      </c>
      <c r="AX80" s="285">
        <f>AW80/AV80</f>
        <v/>
      </c>
      <c r="AY80" s="286">
        <f>_xlfn.IFERROR(AX80-AT80,"")</f>
        <v/>
      </c>
      <c r="AZ80" s="119">
        <f>_xlfn.IFERROR(AW80/AS80-1,"")</f>
        <v/>
      </c>
      <c r="BA80" s="183" t="n">
        <v>12</v>
      </c>
      <c r="BB80" s="285" t="n">
        <v>0.3258</v>
      </c>
      <c r="BC80" s="285" t="n">
        <v>0.275486</v>
      </c>
      <c r="BD80" s="285">
        <f>BC80/BB80</f>
        <v/>
      </c>
      <c r="BE80" s="186" t="n">
        <v>31</v>
      </c>
      <c r="BF80" s="287" t="n">
        <v>0.454</v>
      </c>
      <c r="BG80" s="287" t="n">
        <v>0.30426</v>
      </c>
      <c r="BH80" s="287">
        <f>BG80/BF80</f>
        <v/>
      </c>
      <c r="BI80" s="288">
        <f>_xlfn.IFERROR(BN80/((BF80/4)*30),"")</f>
        <v/>
      </c>
      <c r="BJ80" s="289">
        <f>_xlfn.IFERROR(BE80/4*31,"")</f>
        <v/>
      </c>
      <c r="BK80" s="290">
        <f>_xlfn.IFERROR(BG80/4*31,"")</f>
        <v/>
      </c>
      <c r="BL80" s="291">
        <f>_xlfn.IFERROR(BH80-BD80,"")</f>
        <v/>
      </c>
      <c r="BM80" s="150">
        <f>_xlfn.IFERROR(BK80/BC80-1,"")</f>
        <v/>
      </c>
      <c r="BN80" s="291" t="n">
        <v>73.3096</v>
      </c>
    </row>
    <row r="81" ht="13.5" customHeight="1" s="245">
      <c r="A81" s="61" t="n"/>
      <c r="B81" s="186" t="inlineStr">
        <is>
          <t>(Nan) Nanning Mengzhi Island Crystal City Yoga Fitness Store</t>
        </is>
      </c>
      <c r="C81" s="186" t="n">
        <v>705</v>
      </c>
      <c r="D81" s="61" t="n">
        <v>17.9436</v>
      </c>
      <c r="E81" s="61" t="n">
        <v>15.11702</v>
      </c>
      <c r="F81" s="287">
        <f>E81/D81</f>
        <v/>
      </c>
      <c r="G81" s="186" t="n">
        <v>643</v>
      </c>
      <c r="H81" s="287" t="n">
        <v>17.3738</v>
      </c>
      <c r="I81" s="287" t="n">
        <v>13.46189</v>
      </c>
      <c r="J81" s="287">
        <f>I81/H81</f>
        <v/>
      </c>
      <c r="K81" s="286">
        <f>_xlfn.IFERROR(J81-F81,"")</f>
        <v/>
      </c>
      <c r="L81" s="119">
        <f>_xlfn.IFERROR(I81/E81-1,"")</f>
        <v/>
      </c>
      <c r="M81" s="186" t="n">
        <v>132</v>
      </c>
      <c r="N81" s="287" t="n">
        <v>3.629</v>
      </c>
      <c r="O81" s="287" t="n">
        <v>2.88966</v>
      </c>
      <c r="P81" s="287">
        <f>O81/N81</f>
        <v/>
      </c>
      <c r="Q81" s="186" t="n">
        <v>105</v>
      </c>
      <c r="R81" s="287" t="n">
        <v>2.9726</v>
      </c>
      <c r="S81" s="287" t="n">
        <v>2.30877</v>
      </c>
      <c r="T81" s="287">
        <f>S81/R81</f>
        <v/>
      </c>
      <c r="U81" s="286">
        <f>_xlfn.IFERROR(T81-P81,"")</f>
        <v/>
      </c>
      <c r="V81" s="119">
        <f>_xlfn.IFERROR(S81/O81-1,"")</f>
        <v/>
      </c>
      <c r="W81" s="186" t="n">
        <v>156</v>
      </c>
      <c r="X81" s="287" t="n">
        <v>4.1677</v>
      </c>
      <c r="Y81" s="287" t="n">
        <v>3.57251</v>
      </c>
      <c r="Z81" s="287">
        <f>Y81/X81</f>
        <v/>
      </c>
      <c r="AA81" s="186" t="n">
        <v>138</v>
      </c>
      <c r="AB81" s="287" t="n">
        <v>4.2022</v>
      </c>
      <c r="AC81" s="287" t="n">
        <v>3.20141</v>
      </c>
      <c r="AD81" s="287">
        <f>AC81/AB81</f>
        <v/>
      </c>
      <c r="AE81" s="286">
        <f>_xlfn.IFERROR(AD81-Z81,"")</f>
        <v/>
      </c>
      <c r="AF81" s="119">
        <f>_xlfn.IFERROR(AC81/Y81-1,"")</f>
        <v/>
      </c>
      <c r="AG81" s="186" t="n">
        <v>180</v>
      </c>
      <c r="AH81" s="287" t="n">
        <v>4.4296</v>
      </c>
      <c r="AI81" s="287" t="n">
        <v>3.87788</v>
      </c>
      <c r="AJ81" s="287">
        <f>AI81/AH81</f>
        <v/>
      </c>
      <c r="AK81" s="186" t="n">
        <v>144</v>
      </c>
      <c r="AL81" s="287" t="n">
        <v>3.7131</v>
      </c>
      <c r="AM81" s="287" t="n">
        <v>3.18592</v>
      </c>
      <c r="AN81" s="287">
        <f>AM81/AL81</f>
        <v/>
      </c>
      <c r="AO81" s="286">
        <f>_xlfn.IFERROR(AN81-AJ81,"")</f>
        <v/>
      </c>
      <c r="AP81" s="119">
        <f>_xlfn.IFERROR(AM81/AI81-1,"")</f>
        <v/>
      </c>
      <c r="AQ81" s="186" t="n">
        <v>215</v>
      </c>
      <c r="AR81" s="287" t="n">
        <v>5.0727</v>
      </c>
      <c r="AS81" s="287" t="n">
        <v>4.28873</v>
      </c>
      <c r="AT81" s="285">
        <f>_xlfn.IFERROR(AS81/AR81,"")</f>
        <v/>
      </c>
      <c r="AU81" s="186" t="n">
        <v>230</v>
      </c>
      <c r="AV81" s="287" t="n">
        <v>5.9268</v>
      </c>
      <c r="AW81" s="287" t="n">
        <v>4.35768</v>
      </c>
      <c r="AX81" s="287">
        <f>AW81/AV81</f>
        <v/>
      </c>
      <c r="AY81" s="286">
        <f>_xlfn.IFERROR(AX81-AT81,"")</f>
        <v/>
      </c>
      <c r="AZ81" s="119">
        <f>_xlfn.IFERROR(AW81/AS81-1,"")</f>
        <v/>
      </c>
      <c r="BA81" s="186" t="n">
        <v>332</v>
      </c>
      <c r="BB81" s="287" t="n">
        <v>7.4404</v>
      </c>
      <c r="BC81" s="287" t="n">
        <v>6.24181</v>
      </c>
      <c r="BD81" s="287">
        <f>BC81/BB81</f>
        <v/>
      </c>
      <c r="BE81" s="186" t="n">
        <v>26</v>
      </c>
      <c r="BF81" s="287" t="n">
        <v>0.5591</v>
      </c>
      <c r="BG81" s="287" t="n">
        <v>0.40811</v>
      </c>
      <c r="BH81" s="287">
        <f>BG81/BF81</f>
        <v/>
      </c>
      <c r="BI81" s="288">
        <f>_xlfn.IFERROR(BN81/((BF81/4)*30),"")</f>
        <v/>
      </c>
      <c r="BJ81" s="289">
        <f>_xlfn.IFERROR(BE81/4*31,"")</f>
        <v/>
      </c>
      <c r="BK81" s="290">
        <f>_xlfn.IFERROR(BG81/4*31,"")</f>
        <v/>
      </c>
      <c r="BL81" s="291">
        <f>_xlfn.IFERROR(BH81-BD81,"")</f>
        <v/>
      </c>
      <c r="BM81" s="150">
        <f>_xlfn.IFERROR(BK81/BC81-1,"")</f>
        <v/>
      </c>
      <c r="BN81" s="291" t="n">
        <v>114.5053</v>
      </c>
    </row>
    <row r="82" ht="13.5" customHeight="1" s="245">
      <c r="A82" s="183" t="inlineStr">
        <is>
          <t>Nanning Summary</t>
        </is>
      </c>
      <c r="B82" s="109" t="n"/>
      <c r="C82" s="183" t="n">
        <v>818</v>
      </c>
      <c r="D82" s="61" t="n">
        <v>20.7771</v>
      </c>
      <c r="E82" s="61" t="n">
        <v>17.310019</v>
      </c>
      <c r="F82" s="285">
        <f>E82/D82</f>
        <v/>
      </c>
      <c r="G82" s="183" t="n">
        <v>779</v>
      </c>
      <c r="H82" s="285" t="n">
        <v>20.3671</v>
      </c>
      <c r="I82" s="285" t="n">
        <v>15.78045</v>
      </c>
      <c r="J82" s="285">
        <f>I82/H82</f>
        <v/>
      </c>
      <c r="K82" s="292">
        <f>_xlfn.IFERROR(J82-F82,"")</f>
        <v/>
      </c>
      <c r="L82" s="121">
        <f>_xlfn.IFERROR(I82/E82-1,"")</f>
        <v/>
      </c>
      <c r="M82" s="117" t="n">
        <v>180</v>
      </c>
      <c r="N82" s="285" t="n">
        <v>4.9783</v>
      </c>
      <c r="O82" s="285" t="n">
        <v>3.87878</v>
      </c>
      <c r="P82" s="285">
        <f>O82/N82</f>
        <v/>
      </c>
      <c r="Q82" s="183" t="n">
        <v>149</v>
      </c>
      <c r="R82" s="285" t="n">
        <v>4.0928</v>
      </c>
      <c r="S82" s="285" t="n">
        <v>3.20763</v>
      </c>
      <c r="T82" s="285">
        <f>S82/R82</f>
        <v/>
      </c>
      <c r="U82" s="292">
        <f>_xlfn.IFERROR(T82-P82,"")</f>
        <v/>
      </c>
      <c r="V82" s="121">
        <f>_xlfn.IFERROR(S82/O82-1,"")</f>
        <v/>
      </c>
      <c r="W82" s="117" t="n">
        <v>172</v>
      </c>
      <c r="X82" s="285" t="n">
        <v>4.5745</v>
      </c>
      <c r="Y82" s="285" t="n">
        <v>3.91888</v>
      </c>
      <c r="Z82" s="285">
        <f>Y82/X82</f>
        <v/>
      </c>
      <c r="AA82" s="183" t="n">
        <v>160</v>
      </c>
      <c r="AB82" s="285" t="n">
        <v>4.9433</v>
      </c>
      <c r="AC82" s="285" t="n">
        <v>3.74765</v>
      </c>
      <c r="AD82" s="285">
        <f>AC82/AB82</f>
        <v/>
      </c>
      <c r="AE82" s="292">
        <f>_xlfn.IFERROR(AD82-Z82,"")</f>
        <v/>
      </c>
      <c r="AF82" s="121">
        <f>_xlfn.IFERROR(AC82/Y82-1,"")</f>
        <v/>
      </c>
      <c r="AG82" s="117" t="n">
        <v>192</v>
      </c>
      <c r="AH82" s="285" t="n">
        <v>4.7506</v>
      </c>
      <c r="AI82" s="285" t="n">
        <v>4.149274</v>
      </c>
      <c r="AJ82" s="285">
        <f>AI82/AH82</f>
        <v/>
      </c>
      <c r="AK82" s="183" t="n">
        <v>154</v>
      </c>
      <c r="AL82" s="285" t="n">
        <v>4.0192</v>
      </c>
      <c r="AM82" s="285" t="n">
        <v>3.44301</v>
      </c>
      <c r="AN82" s="285">
        <f>AM82/AL82</f>
        <v/>
      </c>
      <c r="AO82" s="292">
        <f>_xlfn.IFERROR(AN82-AJ82,"")</f>
        <v/>
      </c>
      <c r="AP82" s="121">
        <f>_xlfn.IFERROR(AM82/AI82-1,"")</f>
        <v/>
      </c>
      <c r="AQ82" s="117" t="n">
        <v>251</v>
      </c>
      <c r="AR82" s="285" t="n">
        <v>5.7933</v>
      </c>
      <c r="AS82" s="285" t="n">
        <v>4.847995</v>
      </c>
      <c r="AT82" s="285">
        <f>_xlfn.IFERROR(AS82/AR82,"")</f>
        <v/>
      </c>
      <c r="AU82" s="183" t="n">
        <v>259</v>
      </c>
      <c r="AV82" s="285" t="n">
        <v>6.2987</v>
      </c>
      <c r="AW82" s="285" t="n">
        <v>4.66979</v>
      </c>
      <c r="AX82" s="285">
        <f>AW82/AV82</f>
        <v/>
      </c>
      <c r="AY82" s="292">
        <f>_xlfn.IFERROR(AX82-AT82,"")</f>
        <v/>
      </c>
      <c r="AZ82" s="121">
        <f>_xlfn.IFERROR(AW82/AS82-1,"")</f>
        <v/>
      </c>
      <c r="BA82" s="117" t="n">
        <v>344</v>
      </c>
      <c r="BB82" s="285" t="n">
        <v>7.7662</v>
      </c>
      <c r="BC82" s="285" t="n">
        <v>6.517296</v>
      </c>
      <c r="BD82" s="285">
        <f>BC82/BB82</f>
        <v/>
      </c>
      <c r="BE82" s="142" t="n">
        <v>57</v>
      </c>
      <c r="BF82" s="293" t="n">
        <v>1.0131</v>
      </c>
      <c r="BG82" s="293" t="n">
        <v>0.7123699999999999</v>
      </c>
      <c r="BH82" s="293">
        <f>BG82/BF82</f>
        <v/>
      </c>
      <c r="BI82" s="288">
        <f>_xlfn.IFERROR(BN82/((BF82/4)*30),"")</f>
        <v/>
      </c>
      <c r="BJ82" s="294">
        <f>_xlfn.IFERROR(BE82/4*31,"")</f>
        <v/>
      </c>
      <c r="BK82" s="295">
        <f>_xlfn.IFERROR(BG82/4*31,"")</f>
        <v/>
      </c>
      <c r="BL82" s="291">
        <f>_xlfn.IFERROR(BH82-BD82,"")</f>
        <v/>
      </c>
      <c r="BM82" s="150">
        <f>_xlfn.IFERROR(BK82/BC82-1,"")</f>
        <v/>
      </c>
      <c r="BN82" s="291">
        <f>SUM(BN80:BN81)</f>
        <v/>
      </c>
    </row>
    <row r="83" ht="13.5" customHeight="1" s="245">
      <c r="A83" s="183" t="inlineStr">
        <is>
          <t>Removed from shelf</t>
        </is>
      </c>
      <c r="B83" s="183" t="inlineStr">
        <is>
          <t>(Guang) Guangzhou Datong North Guangbai Sports Lingerie Store</t>
        </is>
      </c>
      <c r="C83" s="183" t="n">
        <v>458</v>
      </c>
      <c r="D83" s="61" t="n">
        <v>10.4175</v>
      </c>
      <c r="E83" s="61" t="n">
        <v>6.45535</v>
      </c>
      <c r="F83" s="285">
        <f>E83/D83</f>
        <v/>
      </c>
      <c r="G83" s="183" t="n">
        <v>166</v>
      </c>
      <c r="H83" s="285" t="n">
        <v>5.4941</v>
      </c>
      <c r="I83" s="285" t="n">
        <v>2.5658</v>
      </c>
      <c r="J83" s="285">
        <f>I83/H83</f>
        <v/>
      </c>
      <c r="K83" s="286">
        <f>_xlfn.IFERROR(J83-F83,"")</f>
        <v/>
      </c>
      <c r="L83" s="119">
        <f>_xlfn.IFERROR(I83/E83-1,"")</f>
        <v/>
      </c>
      <c r="M83" s="183" t="n">
        <v>166</v>
      </c>
      <c r="N83" s="285" t="n">
        <v>4.806</v>
      </c>
      <c r="O83" s="285" t="n">
        <v>2.84995</v>
      </c>
      <c r="P83" s="285">
        <f>O83/N83</f>
        <v/>
      </c>
      <c r="Q83" s="183" t="n">
        <v>86</v>
      </c>
      <c r="R83" s="285" t="n">
        <v>2.9731</v>
      </c>
      <c r="S83" s="285" t="n">
        <v>1.372</v>
      </c>
      <c r="T83" s="285">
        <f>S83/R83</f>
        <v/>
      </c>
      <c r="U83" s="286">
        <f>_xlfn.IFERROR(T83-P83,"")</f>
        <v/>
      </c>
      <c r="V83" s="119">
        <f>_xlfn.IFERROR(S83/O83-1,"")</f>
        <v/>
      </c>
      <c r="W83" s="183" t="n">
        <v>79</v>
      </c>
      <c r="X83" s="285" t="n">
        <v>2.2316</v>
      </c>
      <c r="Y83" s="285" t="n">
        <v>1.36525</v>
      </c>
      <c r="Z83" s="285">
        <f>Y83/X83</f>
        <v/>
      </c>
      <c r="AA83" s="183" t="n">
        <v>31</v>
      </c>
      <c r="AB83" s="285" t="n">
        <v>0.96</v>
      </c>
      <c r="AC83" s="285" t="n">
        <v>0.4332</v>
      </c>
      <c r="AD83" s="285">
        <f>AC83/AB83</f>
        <v/>
      </c>
      <c r="AE83" s="286">
        <f>_xlfn.IFERROR(AD83-Z83,"")</f>
        <v/>
      </c>
      <c r="AF83" s="119">
        <f>_xlfn.IFERROR(AC83/Y83-1,"")</f>
        <v/>
      </c>
      <c r="AG83" s="183" t="n">
        <v>123</v>
      </c>
      <c r="AH83" s="285" t="n">
        <v>2.0942</v>
      </c>
      <c r="AI83" s="285" t="n">
        <v>1.2057</v>
      </c>
      <c r="AJ83" s="285">
        <f>AI83/AH83</f>
        <v/>
      </c>
      <c r="AK83" s="183" t="n">
        <v>49</v>
      </c>
      <c r="AL83" s="285" t="n">
        <v>1.561</v>
      </c>
      <c r="AM83" s="285" t="n">
        <v>0.7606000000000001</v>
      </c>
      <c r="AN83" s="285">
        <f>AM83/AL83</f>
        <v/>
      </c>
      <c r="AO83" s="286">
        <f>_xlfn.IFERROR(AN83-AJ83,"")</f>
        <v/>
      </c>
      <c r="AP83" s="119">
        <f>_xlfn.IFERROR(AM83/AI83-1,"")</f>
        <v/>
      </c>
      <c r="AQ83" s="183" t="n">
        <v>84</v>
      </c>
      <c r="AR83" s="285" t="n">
        <v>1.1903</v>
      </c>
      <c r="AS83" s="285" t="n">
        <v>0.9420500000000001</v>
      </c>
      <c r="AT83" s="285">
        <f>_xlfn.IFERROR(AS83/AR83,"")</f>
        <v/>
      </c>
      <c r="AU83" s="183" t="n"/>
      <c r="AV83" s="285" t="n">
        <v>0</v>
      </c>
      <c r="AW83" s="285" t="n">
        <v>0</v>
      </c>
      <c r="AX83" s="285">
        <f>AW83/AV83</f>
        <v/>
      </c>
      <c r="AY83" s="286">
        <f>_xlfn.IFERROR(AX83-AT83,"")</f>
        <v/>
      </c>
      <c r="AZ83" s="119">
        <f>_xlfn.IFERROR(AW83/AS83-1,"")</f>
        <v/>
      </c>
      <c r="BA83" s="183" t="n">
        <v>40</v>
      </c>
      <c r="BB83" s="285" t="n">
        <v>0.5221</v>
      </c>
      <c r="BC83" s="285" t="n">
        <v>0.50143</v>
      </c>
      <c r="BD83" s="285">
        <f>BC83/BB83</f>
        <v/>
      </c>
      <c r="BE83" s="186" t="n"/>
      <c r="BF83" s="287" t="n">
        <v>0</v>
      </c>
      <c r="BG83" s="287" t="n">
        <v>0</v>
      </c>
      <c r="BH83" s="287">
        <f>BG83/BF83</f>
        <v/>
      </c>
      <c r="BI83" s="288">
        <f>_xlfn.IFERROR(BN83/((BF83/4)*30),"")</f>
        <v/>
      </c>
      <c r="BJ83" s="289">
        <f>_xlfn.IFERROR(BE83/4*31,"")</f>
        <v/>
      </c>
      <c r="BK83" s="290">
        <f>_xlfn.IFERROR(BG83/4*31,"")</f>
        <v/>
      </c>
      <c r="BL83" s="291">
        <f>_xlfn.IFERROR(BH83-BD83,"")</f>
        <v/>
      </c>
      <c r="BM83" s="150">
        <f>_xlfn.IFERROR(BK83/BC83-1,"")</f>
        <v/>
      </c>
      <c r="BN83" s="291" t="n">
        <v>0.1566</v>
      </c>
    </row>
    <row r="84" ht="13.5" customHeight="1" s="245">
      <c r="A84" s="61" t="n"/>
      <c r="B84" s="186" t="inlineStr">
        <is>
          <t>(Guang) Guangzhou Modern Huangpu Sport Lingerie Store</t>
        </is>
      </c>
      <c r="C84" s="186" t="n">
        <v>42</v>
      </c>
      <c r="D84" s="61" t="n">
        <v>1.1905</v>
      </c>
      <c r="E84" s="61" t="n">
        <v>0.6309</v>
      </c>
      <c r="F84" s="287">
        <f>E84/D84</f>
        <v/>
      </c>
      <c r="G84" s="186" t="n"/>
      <c r="H84" s="287" t="n">
        <v>0</v>
      </c>
      <c r="I84" s="287" t="n">
        <v>0</v>
      </c>
      <c r="J84" s="287">
        <f>I84/H84</f>
        <v/>
      </c>
      <c r="K84" s="286">
        <f>_xlfn.IFERROR(J84-F84,"")</f>
        <v/>
      </c>
      <c r="L84" s="119">
        <f>_xlfn.IFERROR(I84/E84-1,"")</f>
        <v/>
      </c>
      <c r="M84" s="186" t="n">
        <v>42</v>
      </c>
      <c r="N84" s="287" t="n">
        <v>1.1905</v>
      </c>
      <c r="O84" s="287" t="n">
        <v>0.6309</v>
      </c>
      <c r="P84" s="287">
        <f>O84/N84</f>
        <v/>
      </c>
      <c r="Q84" s="186" t="n"/>
      <c r="R84" s="287" t="n">
        <v>0</v>
      </c>
      <c r="S84" s="287" t="n">
        <v>0</v>
      </c>
      <c r="T84" s="287">
        <f>S84/R84</f>
        <v/>
      </c>
      <c r="U84" s="286">
        <f>_xlfn.IFERROR(T84-P84,"")</f>
        <v/>
      </c>
      <c r="V84" s="119">
        <f>_xlfn.IFERROR(S84/O84-1,"")</f>
        <v/>
      </c>
      <c r="W84" s="186" t="n"/>
      <c r="X84" s="287" t="n">
        <v>0</v>
      </c>
      <c r="Y84" s="287" t="n">
        <v>0</v>
      </c>
      <c r="Z84" s="287">
        <f>Y84/X84</f>
        <v/>
      </c>
      <c r="AA84" s="186" t="n"/>
      <c r="AB84" s="287" t="n">
        <v>0</v>
      </c>
      <c r="AC84" s="287" t="n">
        <v>0</v>
      </c>
      <c r="AD84" s="287">
        <f>AC84/AB84</f>
        <v/>
      </c>
      <c r="AE84" s="286">
        <f>_xlfn.IFERROR(AD84-Z84,"")</f>
        <v/>
      </c>
      <c r="AF84" s="119">
        <f>_xlfn.IFERROR(AC84/Y84-1,"")</f>
        <v/>
      </c>
      <c r="AG84" s="186" t="n"/>
      <c r="AH84" s="287" t="n">
        <v>0</v>
      </c>
      <c r="AI84" s="287" t="n">
        <v>0</v>
      </c>
      <c r="AJ84" s="287">
        <f>AI84/AH84</f>
        <v/>
      </c>
      <c r="AK84" s="186" t="n"/>
      <c r="AL84" s="287" t="n">
        <v>0</v>
      </c>
      <c r="AM84" s="287" t="n">
        <v>0</v>
      </c>
      <c r="AN84" s="287">
        <f>AM84/AL84</f>
        <v/>
      </c>
      <c r="AO84" s="286">
        <f>_xlfn.IFERROR(AN84-AJ84,"")</f>
        <v/>
      </c>
      <c r="AP84" s="119">
        <f>_xlfn.IFERROR(AM84/AI84-1,"")</f>
        <v/>
      </c>
      <c r="AQ84" s="186" t="n"/>
      <c r="AR84" s="287" t="n">
        <v>0</v>
      </c>
      <c r="AS84" s="287" t="n">
        <v>0</v>
      </c>
      <c r="AT84" s="285">
        <f>_xlfn.IFERROR(AS84/AR84,"")</f>
        <v/>
      </c>
      <c r="AU84" s="186" t="n"/>
      <c r="AV84" s="287" t="n">
        <v>0</v>
      </c>
      <c r="AW84" s="287" t="n">
        <v>0</v>
      </c>
      <c r="AX84" s="287">
        <f>AW84/AV84</f>
        <v/>
      </c>
      <c r="AY84" s="286">
        <f>_xlfn.IFERROR(AX84-AT84,"")</f>
        <v/>
      </c>
      <c r="AZ84" s="119">
        <f>_xlfn.IFERROR(AW84/AS84-1,"")</f>
        <v/>
      </c>
      <c r="BA84" s="186" t="n"/>
      <c r="BB84" s="287" t="n">
        <v>0</v>
      </c>
      <c r="BC84" s="287" t="n">
        <v>0</v>
      </c>
      <c r="BD84" s="287">
        <f>BC84/BB84</f>
        <v/>
      </c>
      <c r="BE84" s="186" t="n"/>
      <c r="BF84" s="287" t="n">
        <v>0</v>
      </c>
      <c r="BG84" s="287" t="n">
        <v>0</v>
      </c>
      <c r="BH84" s="287">
        <f>BG84/BF84</f>
        <v/>
      </c>
      <c r="BI84" s="288">
        <f>_xlfn.IFERROR(BN84/((BF84/4)*30),"")</f>
        <v/>
      </c>
      <c r="BJ84" s="289">
        <f>_xlfn.IFERROR(BE84/4*31,"")</f>
        <v/>
      </c>
      <c r="BK84" s="290">
        <f>_xlfn.IFERROR(BG84/4*31,"")</f>
        <v/>
      </c>
      <c r="BL84" s="291">
        <f>_xlfn.IFERROR(BH84-BD84,"")</f>
        <v/>
      </c>
      <c r="BM84" s="150">
        <f>_xlfn.IFERROR(BK84/BC84-1,"")</f>
        <v/>
      </c>
      <c r="BN84" s="291" t="n">
        <v>0</v>
      </c>
    </row>
    <row r="85" ht="13.5" customHeight="1" s="245">
      <c r="A85" s="61" t="n"/>
      <c r="B85" s="186" t="inlineStr">
        <is>
          <t>(Guang) Guangzhou Tianhe City Mingsheng Yoga Fitness Store</t>
        </is>
      </c>
      <c r="C85" s="186" t="n">
        <v>286</v>
      </c>
      <c r="D85" s="61" t="n">
        <v>6.7409</v>
      </c>
      <c r="E85" s="61" t="n">
        <v>5.69744</v>
      </c>
      <c r="F85" s="287">
        <f>E85/D85</f>
        <v/>
      </c>
      <c r="G85" s="186" t="n">
        <v>381</v>
      </c>
      <c r="H85" s="287" t="n">
        <v>9.697900000000001</v>
      </c>
      <c r="I85" s="287" t="n">
        <v>7.4588</v>
      </c>
      <c r="J85" s="287">
        <f>I85/H85</f>
        <v/>
      </c>
      <c r="K85" s="286">
        <f>_xlfn.IFERROR(J85-F85,"")</f>
        <v/>
      </c>
      <c r="L85" s="119">
        <f>_xlfn.IFERROR(I85/E85-1,"")</f>
        <v/>
      </c>
      <c r="M85" s="186" t="n">
        <v>74</v>
      </c>
      <c r="N85" s="287" t="n">
        <v>1.4874</v>
      </c>
      <c r="O85" s="287" t="n">
        <v>1.1399</v>
      </c>
      <c r="P85" s="287">
        <f>O85/N85</f>
        <v/>
      </c>
      <c r="Q85" s="186" t="n">
        <v>101</v>
      </c>
      <c r="R85" s="287" t="n">
        <v>2.7307</v>
      </c>
      <c r="S85" s="287" t="n">
        <v>2.1139</v>
      </c>
      <c r="T85" s="287">
        <f>S85/R85</f>
        <v/>
      </c>
      <c r="U85" s="286">
        <f>_xlfn.IFERROR(T85-P85,"")</f>
        <v/>
      </c>
      <c r="V85" s="119">
        <f>_xlfn.IFERROR(S85/O85-1,"")</f>
        <v/>
      </c>
      <c r="W85" s="186" t="n">
        <v>53</v>
      </c>
      <c r="X85" s="287" t="n">
        <v>1.2738</v>
      </c>
      <c r="Y85" s="287" t="n">
        <v>1.11771</v>
      </c>
      <c r="Z85" s="287">
        <f>Y85/X85</f>
        <v/>
      </c>
      <c r="AA85" s="186" t="n">
        <v>113</v>
      </c>
      <c r="AB85" s="287" t="n">
        <v>3.3685</v>
      </c>
      <c r="AC85" s="287" t="n">
        <v>2.6385</v>
      </c>
      <c r="AD85" s="287">
        <f>AC85/AB85</f>
        <v/>
      </c>
      <c r="AE85" s="286">
        <f>_xlfn.IFERROR(AD85-Z85,"")</f>
        <v/>
      </c>
      <c r="AF85" s="119">
        <f>_xlfn.IFERROR(AC85/Y85-1,"")</f>
        <v/>
      </c>
      <c r="AG85" s="186" t="n">
        <v>95</v>
      </c>
      <c r="AH85" s="287" t="n">
        <v>2.5333</v>
      </c>
      <c r="AI85" s="287" t="n">
        <v>2.25661</v>
      </c>
      <c r="AJ85" s="287">
        <f>AI85/AH85</f>
        <v/>
      </c>
      <c r="AK85" s="186" t="n">
        <v>102</v>
      </c>
      <c r="AL85" s="287" t="n">
        <v>2.4146</v>
      </c>
      <c r="AM85" s="287" t="n">
        <v>2.0335</v>
      </c>
      <c r="AN85" s="287">
        <f>AM85/AL85</f>
        <v/>
      </c>
      <c r="AO85" s="286">
        <f>_xlfn.IFERROR(AN85-AJ85,"")</f>
        <v/>
      </c>
      <c r="AP85" s="119">
        <f>_xlfn.IFERROR(AM85/AI85-1,"")</f>
        <v/>
      </c>
      <c r="AQ85" s="186" t="n">
        <v>46</v>
      </c>
      <c r="AR85" s="287" t="n">
        <v>1.0086</v>
      </c>
      <c r="AS85" s="287" t="n">
        <v>0.83706</v>
      </c>
      <c r="AT85" s="285">
        <f>_xlfn.IFERROR(AS85/AR85,"")</f>
        <v/>
      </c>
      <c r="AU85" s="186" t="n">
        <v>65</v>
      </c>
      <c r="AV85" s="287" t="n">
        <v>1.1841</v>
      </c>
      <c r="AW85" s="287" t="n">
        <v>0.6729000000000001</v>
      </c>
      <c r="AX85" s="287">
        <f>AW85/AV85</f>
        <v/>
      </c>
      <c r="AY85" s="286">
        <f>_xlfn.IFERROR(AX85-AT85,"")</f>
        <v/>
      </c>
      <c r="AZ85" s="119">
        <f>_xlfn.IFERROR(AW85/AS85-1,"")</f>
        <v/>
      </c>
      <c r="BA85" s="186" t="n">
        <v>120</v>
      </c>
      <c r="BB85" s="287" t="n">
        <v>2.5024</v>
      </c>
      <c r="BC85" s="287" t="n">
        <v>2.19085</v>
      </c>
      <c r="BD85" s="287">
        <f>BC85/BB85</f>
        <v/>
      </c>
      <c r="BE85" s="186" t="n"/>
      <c r="BF85" s="287" t="n">
        <v>0</v>
      </c>
      <c r="BG85" s="287" t="n">
        <v>0</v>
      </c>
      <c r="BH85" s="287">
        <f>BG85/BF85</f>
        <v/>
      </c>
      <c r="BI85" s="288">
        <f>_xlfn.IFERROR(BN85/((BF85/4)*30),"")</f>
        <v/>
      </c>
      <c r="BJ85" s="289">
        <f>_xlfn.IFERROR(BE85/4*31,"")</f>
        <v/>
      </c>
      <c r="BK85" s="290">
        <f>_xlfn.IFERROR(BG85/4*31,"")</f>
        <v/>
      </c>
      <c r="BL85" s="291">
        <f>_xlfn.IFERROR(BH85-BD85,"")</f>
        <v/>
      </c>
      <c r="BM85" s="150">
        <f>_xlfn.IFERROR(BK85/BC85-1,"")</f>
        <v/>
      </c>
      <c r="BN85" s="291" t="n">
        <v>3.7928</v>
      </c>
    </row>
    <row r="86" ht="13.5" customHeight="1" s="245">
      <c r="A86" s="61" t="n"/>
      <c r="B86" s="186" t="inlineStr">
        <is>
          <t>(Da) Meisha Outlet Water Sports Store</t>
        </is>
      </c>
      <c r="C86" s="186" t="n">
        <v>1256</v>
      </c>
      <c r="D86" s="61" t="n">
        <v>27.651</v>
      </c>
      <c r="E86" s="61" t="n">
        <v>13.91472</v>
      </c>
      <c r="F86" s="287">
        <f>E86/D86</f>
        <v/>
      </c>
      <c r="G86" s="186" t="n">
        <v>51</v>
      </c>
      <c r="H86" s="287" t="n">
        <v>1.362</v>
      </c>
      <c r="I86" s="287" t="n">
        <v>0.5369</v>
      </c>
      <c r="J86" s="287">
        <f>I86/H86</f>
        <v/>
      </c>
      <c r="K86" s="286">
        <f>_xlfn.IFERROR(J86-F86,"")</f>
        <v/>
      </c>
      <c r="L86" s="119">
        <f>_xlfn.IFERROR(I86/E86-1,"")</f>
        <v/>
      </c>
      <c r="M86" s="186" t="n">
        <v>324</v>
      </c>
      <c r="N86" s="287" t="n">
        <v>8.8751</v>
      </c>
      <c r="O86" s="287" t="n">
        <v>4.06672</v>
      </c>
      <c r="P86" s="287">
        <f>O86/N86</f>
        <v/>
      </c>
      <c r="Q86" s="186" t="n"/>
      <c r="R86" s="287" t="n">
        <v>0</v>
      </c>
      <c r="S86" s="287" t="n">
        <v>0</v>
      </c>
      <c r="T86" s="287">
        <f>S86/R86</f>
        <v/>
      </c>
      <c r="U86" s="286">
        <f>_xlfn.IFERROR(T86-P86,"")</f>
        <v/>
      </c>
      <c r="V86" s="119">
        <f>_xlfn.IFERROR(S86/O86-1,"")</f>
        <v/>
      </c>
      <c r="W86" s="186" t="n">
        <v>262</v>
      </c>
      <c r="X86" s="287" t="n">
        <v>6.1594</v>
      </c>
      <c r="Y86" s="287" t="n">
        <v>3.26601</v>
      </c>
      <c r="Z86" s="287">
        <f>Y86/X86</f>
        <v/>
      </c>
      <c r="AA86" s="186" t="n"/>
      <c r="AB86" s="287" t="n">
        <v>0</v>
      </c>
      <c r="AC86" s="287" t="n">
        <v>0</v>
      </c>
      <c r="AD86" s="287">
        <f>AC86/AB86</f>
        <v/>
      </c>
      <c r="AE86" s="286">
        <f>_xlfn.IFERROR(AD86-Z86,"")</f>
        <v/>
      </c>
      <c r="AF86" s="119">
        <f>_xlfn.IFERROR(AC86/Y86-1,"")</f>
        <v/>
      </c>
      <c r="AG86" s="186" t="n">
        <v>233</v>
      </c>
      <c r="AH86" s="287" t="n">
        <v>4.769</v>
      </c>
      <c r="AI86" s="287" t="n">
        <v>2.59338</v>
      </c>
      <c r="AJ86" s="287">
        <f>AI86/AH86</f>
        <v/>
      </c>
      <c r="AK86" s="186" t="n"/>
      <c r="AL86" s="287" t="n">
        <v>0</v>
      </c>
      <c r="AM86" s="287" t="n">
        <v>0</v>
      </c>
      <c r="AN86" s="287">
        <f>AM86/AL86</f>
        <v/>
      </c>
      <c r="AO86" s="286">
        <f>_xlfn.IFERROR(AN86-AJ86,"")</f>
        <v/>
      </c>
      <c r="AP86" s="119">
        <f>_xlfn.IFERROR(AM86/AI86-1,"")</f>
        <v/>
      </c>
      <c r="AQ86" s="186" t="n">
        <v>373</v>
      </c>
      <c r="AR86" s="287" t="n">
        <v>6.6289</v>
      </c>
      <c r="AS86" s="287" t="n">
        <v>3.41621</v>
      </c>
      <c r="AT86" s="285">
        <f>_xlfn.IFERROR(AS86/AR86,"")</f>
        <v/>
      </c>
      <c r="AU86" s="186" t="n">
        <v>51</v>
      </c>
      <c r="AV86" s="287" t="n">
        <v>1.362</v>
      </c>
      <c r="AW86" s="287" t="n">
        <v>0.5369</v>
      </c>
      <c r="AX86" s="287">
        <f>AW86/AV86</f>
        <v/>
      </c>
      <c r="AY86" s="286">
        <f>_xlfn.IFERROR(AX86-AT86,"")</f>
        <v/>
      </c>
      <c r="AZ86" s="119">
        <f>_xlfn.IFERROR(AW86/AS86-1,"")</f>
        <v/>
      </c>
      <c r="BA86" s="186" t="n">
        <v>497</v>
      </c>
      <c r="BB86" s="287" t="n">
        <v>9.474500000000001</v>
      </c>
      <c r="BC86" s="287" t="n">
        <v>4.55458</v>
      </c>
      <c r="BD86" s="287">
        <f>BC86/BB86</f>
        <v/>
      </c>
      <c r="BE86" s="186" t="n"/>
      <c r="BF86" s="287" t="n">
        <v>0</v>
      </c>
      <c r="BG86" s="287" t="n">
        <v>0</v>
      </c>
      <c r="BH86" s="287">
        <f>BG86/BF86</f>
        <v/>
      </c>
      <c r="BI86" s="288">
        <f>_xlfn.IFERROR(BN86/((BF86/4)*30),"")</f>
        <v/>
      </c>
      <c r="BJ86" s="289">
        <f>_xlfn.IFERROR(BE86/4*31,"")</f>
        <v/>
      </c>
      <c r="BK86" s="290">
        <f>_xlfn.IFERROR(BG86/4*31,"")</f>
        <v/>
      </c>
      <c r="BL86" s="291">
        <f>_xlfn.IFERROR(BH86-BD86,"")</f>
        <v/>
      </c>
      <c r="BM86" s="150">
        <f>_xlfn.IFERROR(BK86/BC86-1,"")</f>
        <v/>
      </c>
      <c r="BN86" s="291" t="n">
        <v>17.6205</v>
      </c>
    </row>
    <row r="87" ht="13.5" customHeight="1" s="245">
      <c r="A87" s="61" t="n"/>
      <c r="B87" s="186" t="inlineStr">
        <is>
          <t>(Shen) Shenzhen Pingshan Tianhong Sports Lingerie Store</t>
        </is>
      </c>
      <c r="C87" s="186" t="n">
        <v>204</v>
      </c>
      <c r="D87" s="61" t="n">
        <v>4.8076</v>
      </c>
      <c r="E87" s="61" t="n">
        <v>3.81601</v>
      </c>
      <c r="F87" s="287">
        <f>E87/D87</f>
        <v/>
      </c>
      <c r="G87" s="186" t="n"/>
      <c r="H87" s="287" t="n">
        <v>0</v>
      </c>
      <c r="I87" s="287" t="n">
        <v>0</v>
      </c>
      <c r="J87" s="287">
        <f>I87/H87</f>
        <v/>
      </c>
      <c r="K87" s="286">
        <f>_xlfn.IFERROR(J87-F87,"")</f>
        <v/>
      </c>
      <c r="L87" s="119">
        <f>_xlfn.IFERROR(I87/E87-1,"")</f>
        <v/>
      </c>
      <c r="M87" s="186" t="n">
        <v>85</v>
      </c>
      <c r="N87" s="287" t="n">
        <v>2.6653</v>
      </c>
      <c r="O87" s="287" t="n">
        <v>2.36132</v>
      </c>
      <c r="P87" s="287">
        <f>O87/N87</f>
        <v/>
      </c>
      <c r="Q87" s="186" t="n"/>
      <c r="R87" s="287" t="n">
        <v>0</v>
      </c>
      <c r="S87" s="287" t="n">
        <v>0</v>
      </c>
      <c r="T87" s="287">
        <f>S87/R87</f>
        <v/>
      </c>
      <c r="U87" s="286">
        <f>_xlfn.IFERROR(T87-P87,"")</f>
        <v/>
      </c>
      <c r="V87" s="119">
        <f>_xlfn.IFERROR(S87/O87-1,"")</f>
        <v/>
      </c>
      <c r="W87" s="186" t="n">
        <v>29</v>
      </c>
      <c r="X87" s="287" t="n">
        <v>0.7183</v>
      </c>
      <c r="Y87" s="287" t="n">
        <v>0.40292</v>
      </c>
      <c r="Z87" s="287">
        <f>Y87/X87</f>
        <v/>
      </c>
      <c r="AA87" s="186" t="n"/>
      <c r="AB87" s="287" t="n">
        <v>0</v>
      </c>
      <c r="AC87" s="287" t="n">
        <v>0</v>
      </c>
      <c r="AD87" s="287">
        <f>AC87/AB87</f>
        <v/>
      </c>
      <c r="AE87" s="286">
        <f>_xlfn.IFERROR(AD87-Z87,"")</f>
        <v/>
      </c>
      <c r="AF87" s="119">
        <f>_xlfn.IFERROR(AC87/Y87-1,"")</f>
        <v/>
      </c>
      <c r="AG87" s="186" t="n">
        <v>18</v>
      </c>
      <c r="AH87" s="287" t="n">
        <v>0.3501</v>
      </c>
      <c r="AI87" s="287" t="n">
        <v>0.25289</v>
      </c>
      <c r="AJ87" s="287">
        <f>AI87/AH87</f>
        <v/>
      </c>
      <c r="AK87" s="186" t="n"/>
      <c r="AL87" s="287" t="n">
        <v>0</v>
      </c>
      <c r="AM87" s="287" t="n">
        <v>0</v>
      </c>
      <c r="AN87" s="287">
        <f>AM87/AL87</f>
        <v/>
      </c>
      <c r="AO87" s="286">
        <f>_xlfn.IFERROR(AN87-AJ87,"")</f>
        <v/>
      </c>
      <c r="AP87" s="119">
        <f>_xlfn.IFERROR(AM87/AI87-1,"")</f>
        <v/>
      </c>
      <c r="AQ87" s="186" t="n">
        <v>62</v>
      </c>
      <c r="AR87" s="287" t="n">
        <v>0.8975</v>
      </c>
      <c r="AS87" s="287" t="n">
        <v>0.69306</v>
      </c>
      <c r="AT87" s="285">
        <f>_xlfn.IFERROR(AS87/AR87,"")</f>
        <v/>
      </c>
      <c r="AU87" s="186" t="n"/>
      <c r="AV87" s="287" t="n">
        <v>0</v>
      </c>
      <c r="AW87" s="287" t="n">
        <v>0</v>
      </c>
      <c r="AX87" s="287">
        <f>AW87/AV87</f>
        <v/>
      </c>
      <c r="AY87" s="286">
        <f>_xlfn.IFERROR(AX87-AT87,"")</f>
        <v/>
      </c>
      <c r="AZ87" s="119">
        <f>_xlfn.IFERROR(AW87/AS87-1,"")</f>
        <v/>
      </c>
      <c r="BA87" s="186" t="n">
        <v>50</v>
      </c>
      <c r="BB87" s="287" t="n">
        <v>0.7245</v>
      </c>
      <c r="BC87" s="287" t="n">
        <v>0.56297</v>
      </c>
      <c r="BD87" s="287">
        <f>BC87/BB87</f>
        <v/>
      </c>
      <c r="BE87" s="186" t="n"/>
      <c r="BF87" s="287" t="n">
        <v>0</v>
      </c>
      <c r="BG87" s="287" t="n">
        <v>0</v>
      </c>
      <c r="BH87" s="287">
        <f>BG87/BF87</f>
        <v/>
      </c>
      <c r="BI87" s="288">
        <f>_xlfn.IFERROR(BN87/((BF87/4)*30),"")</f>
        <v/>
      </c>
      <c r="BJ87" s="289">
        <f>_xlfn.IFERROR(BE87/4*31,"")</f>
        <v/>
      </c>
      <c r="BK87" s="290">
        <f>_xlfn.IFERROR(BG87/4*31,"")</f>
        <v/>
      </c>
      <c r="BL87" s="291">
        <f>_xlfn.IFERROR(BH87-BD87,"")</f>
        <v/>
      </c>
      <c r="BM87" s="150">
        <f>_xlfn.IFERROR(BK87/BC87-1,"")</f>
        <v/>
      </c>
      <c r="BN87" s="291" t="n">
        <v>0</v>
      </c>
    </row>
    <row r="88" ht="13.5" customHeight="1" s="245">
      <c r="A88" s="61" t="n"/>
      <c r="B88" s="186" t="inlineStr">
        <is>
          <t>(Shen) Shenzhen Zhuoye Century Yoga Fitness Store</t>
        </is>
      </c>
      <c r="C88" s="186" t="n">
        <v>123</v>
      </c>
      <c r="D88" s="61" t="n">
        <v>2.7597</v>
      </c>
      <c r="E88" s="61" t="n">
        <v>2.391493</v>
      </c>
      <c r="F88" s="287">
        <f>E88/D88</f>
        <v/>
      </c>
      <c r="G88" s="186" t="n"/>
      <c r="H88" s="287" t="n">
        <v>0</v>
      </c>
      <c r="I88" s="287" t="n">
        <v>0</v>
      </c>
      <c r="J88" s="287">
        <f>I88/H88</f>
        <v/>
      </c>
      <c r="K88" s="286">
        <f>_xlfn.IFERROR(J88-F88,"")</f>
        <v/>
      </c>
      <c r="L88" s="119">
        <f>_xlfn.IFERROR(I88/E88-1,"")</f>
        <v/>
      </c>
      <c r="M88" s="186" t="n">
        <v>11</v>
      </c>
      <c r="N88" s="287" t="n">
        <v>0.4379</v>
      </c>
      <c r="O88" s="287" t="n">
        <v>0.352368</v>
      </c>
      <c r="P88" s="287">
        <f>O88/N88</f>
        <v/>
      </c>
      <c r="Q88" s="186" t="n"/>
      <c r="R88" s="287" t="n">
        <v>0</v>
      </c>
      <c r="S88" s="287" t="n">
        <v>0</v>
      </c>
      <c r="T88" s="287">
        <f>S88/R88</f>
        <v/>
      </c>
      <c r="U88" s="286">
        <f>_xlfn.IFERROR(T88-P88,"")</f>
        <v/>
      </c>
      <c r="V88" s="119">
        <f>_xlfn.IFERROR(S88/O88-1,"")</f>
        <v/>
      </c>
      <c r="W88" s="186" t="n">
        <v>17</v>
      </c>
      <c r="X88" s="287" t="n">
        <v>0.4076</v>
      </c>
      <c r="Y88" s="287" t="n">
        <v>0.39726</v>
      </c>
      <c r="Z88" s="287">
        <f>Y88/X88</f>
        <v/>
      </c>
      <c r="AA88" s="186" t="n"/>
      <c r="AB88" s="287" t="n">
        <v>0</v>
      </c>
      <c r="AC88" s="287" t="n">
        <v>0</v>
      </c>
      <c r="AD88" s="287">
        <f>AC88/AB88</f>
        <v/>
      </c>
      <c r="AE88" s="286">
        <f>_xlfn.IFERROR(AD88-Z88,"")</f>
        <v/>
      </c>
      <c r="AF88" s="119">
        <f>_xlfn.IFERROR(AC88/Y88-1,"")</f>
        <v/>
      </c>
      <c r="AG88" s="186" t="n">
        <v>32</v>
      </c>
      <c r="AH88" s="287" t="n">
        <v>0.7432</v>
      </c>
      <c r="AI88" s="287" t="n">
        <v>0.68648</v>
      </c>
      <c r="AJ88" s="287">
        <f>AI88/AH88</f>
        <v/>
      </c>
      <c r="AK88" s="186" t="n"/>
      <c r="AL88" s="287" t="n">
        <v>0</v>
      </c>
      <c r="AM88" s="287" t="n">
        <v>0</v>
      </c>
      <c r="AN88" s="287">
        <f>AM88/AL88</f>
        <v/>
      </c>
      <c r="AO88" s="286">
        <f>_xlfn.IFERROR(AN88-AJ88,"")</f>
        <v/>
      </c>
      <c r="AP88" s="119">
        <f>_xlfn.IFERROR(AM88/AI88-1,"")</f>
        <v/>
      </c>
      <c r="AQ88" s="186" t="n">
        <v>52</v>
      </c>
      <c r="AR88" s="287" t="n">
        <v>1.0367</v>
      </c>
      <c r="AS88" s="287" t="n">
        <v>0.840525</v>
      </c>
      <c r="AT88" s="285">
        <f>_xlfn.IFERROR(AS88/AR88,"")</f>
        <v/>
      </c>
      <c r="AU88" s="186" t="n"/>
      <c r="AV88" s="287" t="n">
        <v>0</v>
      </c>
      <c r="AW88" s="287" t="n">
        <v>0</v>
      </c>
      <c r="AX88" s="287">
        <f>AW88/AV88</f>
        <v/>
      </c>
      <c r="AY88" s="286">
        <f>_xlfn.IFERROR(AX88-AT88,"")</f>
        <v/>
      </c>
      <c r="AZ88" s="119">
        <f>_xlfn.IFERROR(AW88/AS88-1,"")</f>
        <v/>
      </c>
      <c r="BA88" s="186" t="n">
        <v>50</v>
      </c>
      <c r="BB88" s="287" t="n">
        <v>1.1118</v>
      </c>
      <c r="BC88" s="287" t="n">
        <v>1.00451</v>
      </c>
      <c r="BD88" s="287">
        <f>BC88/BB88</f>
        <v/>
      </c>
      <c r="BE88" s="186" t="n"/>
      <c r="BF88" s="287" t="n">
        <v>0</v>
      </c>
      <c r="BG88" s="287" t="n">
        <v>0</v>
      </c>
      <c r="BH88" s="287">
        <f>BG88/BF88</f>
        <v/>
      </c>
      <c r="BI88" s="288">
        <f>_xlfn.IFERROR(BN88/((BF88/4)*30),"")</f>
        <v/>
      </c>
      <c r="BJ88" s="289">
        <f>_xlfn.IFERROR(BE88/4*31,"")</f>
        <v/>
      </c>
      <c r="BK88" s="290">
        <f>_xlfn.IFERROR(BG88/4*31,"")</f>
        <v/>
      </c>
      <c r="BL88" s="291">
        <f>_xlfn.IFERROR(BH88-BD88,"")</f>
        <v/>
      </c>
      <c r="BM88" s="150">
        <f>_xlfn.IFERROR(BK88/BC88-1,"")</f>
        <v/>
      </c>
      <c r="BN88" s="291" t="n">
        <v>0</v>
      </c>
    </row>
    <row r="89" ht="13.5" customHeight="1" s="245">
      <c r="A89" s="61" t="n"/>
      <c r="B89" s="186" t="inlineStr">
        <is>
          <t>Guangdong Zhongshan Youyue Department Store Sports Water Store</t>
        </is>
      </c>
      <c r="C89" s="186" t="n">
        <v>9</v>
      </c>
      <c r="D89" s="61" t="n">
        <v>0.185</v>
      </c>
      <c r="E89" s="61" t="n">
        <v>0.177</v>
      </c>
      <c r="F89" s="287">
        <f>E89/D89</f>
        <v/>
      </c>
      <c r="G89" s="186" t="n"/>
      <c r="H89" s="287" t="n">
        <v>0</v>
      </c>
      <c r="I89" s="287" t="n">
        <v>0</v>
      </c>
      <c r="J89" s="287">
        <f>I89/H89</f>
        <v/>
      </c>
      <c r="K89" s="286">
        <f>_xlfn.IFERROR(J89-F89,"")</f>
        <v/>
      </c>
      <c r="L89" s="119">
        <f>_xlfn.IFERROR(I89/E89-1,"")</f>
        <v/>
      </c>
      <c r="M89" s="186" t="n">
        <v>9</v>
      </c>
      <c r="N89" s="287" t="n">
        <v>0.185</v>
      </c>
      <c r="O89" s="287" t="n">
        <v>0.177</v>
      </c>
      <c r="P89" s="287">
        <f>O89/N89</f>
        <v/>
      </c>
      <c r="Q89" s="186" t="n"/>
      <c r="R89" s="287" t="n">
        <v>0</v>
      </c>
      <c r="S89" s="287" t="n">
        <v>0</v>
      </c>
      <c r="T89" s="287">
        <f>S89/R89</f>
        <v/>
      </c>
      <c r="U89" s="286">
        <f>_xlfn.IFERROR(T89-P89,"")</f>
        <v/>
      </c>
      <c r="V89" s="119">
        <f>_xlfn.IFERROR(S89/O89-1,"")</f>
        <v/>
      </c>
      <c r="W89" s="186" t="n"/>
      <c r="X89" s="287" t="n">
        <v>0</v>
      </c>
      <c r="Y89" s="287" t="n">
        <v>0</v>
      </c>
      <c r="Z89" s="287">
        <f>Y89/X89</f>
        <v/>
      </c>
      <c r="AA89" s="186" t="n"/>
      <c r="AB89" s="287" t="n">
        <v>0</v>
      </c>
      <c r="AC89" s="287" t="n">
        <v>0</v>
      </c>
      <c r="AD89" s="287">
        <f>AC89/AB89</f>
        <v/>
      </c>
      <c r="AE89" s="286">
        <f>_xlfn.IFERROR(AD89-Z89,"")</f>
        <v/>
      </c>
      <c r="AF89" s="119">
        <f>_xlfn.IFERROR(AC89/Y89-1,"")</f>
        <v/>
      </c>
      <c r="AG89" s="186" t="n"/>
      <c r="AH89" s="287" t="n">
        <v>0</v>
      </c>
      <c r="AI89" s="287" t="n">
        <v>0</v>
      </c>
      <c r="AJ89" s="287">
        <f>AI89/AH89</f>
        <v/>
      </c>
      <c r="AK89" s="186" t="n"/>
      <c r="AL89" s="287" t="n">
        <v>0</v>
      </c>
      <c r="AM89" s="287" t="n">
        <v>0</v>
      </c>
      <c r="AN89" s="287">
        <f>AM89/AL89</f>
        <v/>
      </c>
      <c r="AO89" s="286">
        <f>_xlfn.IFERROR(AN89-AJ89,"")</f>
        <v/>
      </c>
      <c r="AP89" s="119">
        <f>_xlfn.IFERROR(AM89/AI89-1,"")</f>
        <v/>
      </c>
      <c r="AQ89" s="186" t="n"/>
      <c r="AR89" s="287" t="n">
        <v>0</v>
      </c>
      <c r="AS89" s="287" t="n">
        <v>0</v>
      </c>
      <c r="AT89" s="285">
        <f>_xlfn.IFERROR(AS89/AR89,"")</f>
        <v/>
      </c>
      <c r="AU89" s="186" t="n"/>
      <c r="AV89" s="287" t="n">
        <v>0</v>
      </c>
      <c r="AW89" s="287" t="n">
        <v>0</v>
      </c>
      <c r="AX89" s="287">
        <f>AW89/AV89</f>
        <v/>
      </c>
      <c r="AY89" s="286">
        <f>_xlfn.IFERROR(AX89-AT89,"")</f>
        <v/>
      </c>
      <c r="AZ89" s="119">
        <f>_xlfn.IFERROR(AW89/AS89-1,"")</f>
        <v/>
      </c>
      <c r="BA89" s="186" t="n"/>
      <c r="BB89" s="287" t="n">
        <v>0</v>
      </c>
      <c r="BC89" s="287" t="n">
        <v>0</v>
      </c>
      <c r="BD89" s="287">
        <f>BC89/BB89</f>
        <v/>
      </c>
      <c r="BE89" s="186" t="n"/>
      <c r="BF89" s="287" t="n">
        <v>0</v>
      </c>
      <c r="BG89" s="287" t="n">
        <v>0</v>
      </c>
      <c r="BH89" s="287">
        <f>BG89/BF89</f>
        <v/>
      </c>
      <c r="BI89" s="288">
        <f>_xlfn.IFERROR(BN89/((BF89/4)*30),"")</f>
        <v/>
      </c>
      <c r="BJ89" s="289">
        <f>_xlfn.IFERROR(BE89/4*31,"")</f>
        <v/>
      </c>
      <c r="BK89" s="290">
        <f>_xlfn.IFERROR(BG89/4*31,"")</f>
        <v/>
      </c>
      <c r="BL89" s="291">
        <f>_xlfn.IFERROR(BH89-BD89,"")</f>
        <v/>
      </c>
      <c r="BM89" s="150">
        <f>_xlfn.IFERROR(BK89/BC89-1,"")</f>
        <v/>
      </c>
      <c r="BN89" s="291" t="n">
        <v>0.538</v>
      </c>
    </row>
    <row r="90" ht="13.5" customHeight="1" s="245">
      <c r="A90" s="61" t="n"/>
      <c r="B90" s="186" t="inlineStr">
        <is>
          <t>Guangzhou Best Choice Baijiafu Special Store</t>
        </is>
      </c>
      <c r="C90" s="186" t="n">
        <v>915</v>
      </c>
      <c r="D90" s="61" t="n">
        <v>20.5131</v>
      </c>
      <c r="E90" s="61" t="n">
        <v>13.301</v>
      </c>
      <c r="F90" s="287">
        <f>E90/D90</f>
        <v/>
      </c>
      <c r="G90" s="186" t="n"/>
      <c r="H90" s="287" t="n">
        <v>0</v>
      </c>
      <c r="I90" s="287" t="n">
        <v>0</v>
      </c>
      <c r="J90" s="287">
        <f>I90/H90</f>
        <v/>
      </c>
      <c r="K90" s="286">
        <f>_xlfn.IFERROR(J90-F90,"")</f>
        <v/>
      </c>
      <c r="L90" s="119">
        <f>_xlfn.IFERROR(I90/E90-1,"")</f>
        <v/>
      </c>
      <c r="M90" s="186" t="n">
        <v>331</v>
      </c>
      <c r="N90" s="287" t="n">
        <v>9.6868</v>
      </c>
      <c r="O90" s="287" t="n">
        <v>6.1288</v>
      </c>
      <c r="P90" s="287">
        <f>O90/N90</f>
        <v/>
      </c>
      <c r="Q90" s="186" t="n"/>
      <c r="R90" s="287" t="n">
        <v>0</v>
      </c>
      <c r="S90" s="287" t="n">
        <v>0</v>
      </c>
      <c r="T90" s="287">
        <f>S90/R90</f>
        <v/>
      </c>
      <c r="U90" s="286">
        <f>_xlfn.IFERROR(T90-P90,"")</f>
        <v/>
      </c>
      <c r="V90" s="119">
        <f>_xlfn.IFERROR(S90/O90-1,"")</f>
        <v/>
      </c>
      <c r="W90" s="186" t="n">
        <v>198</v>
      </c>
      <c r="X90" s="287" t="n">
        <v>4.788</v>
      </c>
      <c r="Y90" s="287" t="n">
        <v>3.1129</v>
      </c>
      <c r="Z90" s="287">
        <f>Y90/X90</f>
        <v/>
      </c>
      <c r="AA90" s="186" t="n"/>
      <c r="AB90" s="287" t="n">
        <v>0</v>
      </c>
      <c r="AC90" s="287" t="n">
        <v>0</v>
      </c>
      <c r="AD90" s="287">
        <f>AC90/AB90</f>
        <v/>
      </c>
      <c r="AE90" s="286">
        <f>_xlfn.IFERROR(AD90-Z90,"")</f>
        <v/>
      </c>
      <c r="AF90" s="119">
        <f>_xlfn.IFERROR(AC90/Y90-1,"")</f>
        <v/>
      </c>
      <c r="AG90" s="186" t="n">
        <v>234</v>
      </c>
      <c r="AH90" s="287" t="n">
        <v>3.726</v>
      </c>
      <c r="AI90" s="287" t="n">
        <v>2.2227</v>
      </c>
      <c r="AJ90" s="287">
        <f>AI90/AH90</f>
        <v/>
      </c>
      <c r="AK90" s="186" t="n"/>
      <c r="AL90" s="287" t="n">
        <v>0</v>
      </c>
      <c r="AM90" s="287" t="n">
        <v>0</v>
      </c>
      <c r="AN90" s="287">
        <f>AM90/AL90</f>
        <v/>
      </c>
      <c r="AO90" s="286">
        <f>_xlfn.IFERROR(AN90-AJ90,"")</f>
        <v/>
      </c>
      <c r="AP90" s="119">
        <f>_xlfn.IFERROR(AM90/AI90-1,"")</f>
        <v/>
      </c>
      <c r="AQ90" s="186" t="n">
        <v>107</v>
      </c>
      <c r="AR90" s="287" t="n">
        <v>1.5934</v>
      </c>
      <c r="AS90" s="287" t="n">
        <v>1.2727</v>
      </c>
      <c r="AT90" s="285">
        <f>_xlfn.IFERROR(AS90/AR90,"")</f>
        <v/>
      </c>
      <c r="AU90" s="186" t="n"/>
      <c r="AV90" s="287" t="n">
        <v>0</v>
      </c>
      <c r="AW90" s="287" t="n">
        <v>0</v>
      </c>
      <c r="AX90" s="287">
        <f>AW90/AV90</f>
        <v/>
      </c>
      <c r="AY90" s="286">
        <f>_xlfn.IFERROR(AX90-AT90,"")</f>
        <v/>
      </c>
      <c r="AZ90" s="119">
        <f>_xlfn.IFERROR(AW90/AS90-1,"")</f>
        <v/>
      </c>
      <c r="BA90" s="186" t="n">
        <v>230</v>
      </c>
      <c r="BB90" s="287" t="n">
        <v>3.4438</v>
      </c>
      <c r="BC90" s="287" t="n">
        <v>2.3935</v>
      </c>
      <c r="BD90" s="287">
        <f>BC90/BB90</f>
        <v/>
      </c>
      <c r="BE90" s="186" t="n"/>
      <c r="BF90" s="287" t="n">
        <v>0</v>
      </c>
      <c r="BG90" s="287" t="n">
        <v>0</v>
      </c>
      <c r="BH90" s="287">
        <f>BG90/BF90</f>
        <v/>
      </c>
      <c r="BI90" s="288">
        <f>_xlfn.IFERROR(BN90/((BF90/4)*30),"")</f>
        <v/>
      </c>
      <c r="BJ90" s="289">
        <f>_xlfn.IFERROR(BE90/4*31,"")</f>
        <v/>
      </c>
      <c r="BK90" s="290">
        <f>_xlfn.IFERROR(BG90/4*31,"")</f>
        <v/>
      </c>
      <c r="BL90" s="291">
        <f>_xlfn.IFERROR(BH90-BD90,"")</f>
        <v/>
      </c>
      <c r="BM90" s="150">
        <f>_xlfn.IFERROR(BK90/BC90-1,"")</f>
        <v/>
      </c>
      <c r="BN90" s="291" t="n">
        <v>12.3503</v>
      </c>
    </row>
    <row r="91" ht="13.5" customHeight="1" s="245">
      <c r="A91" s="61" t="n"/>
      <c r="B91" s="186" t="inlineStr">
        <is>
          <t>Guangzhou Beijing Road Tamarack Yoga Fitness Store</t>
        </is>
      </c>
      <c r="C91" s="186" t="n">
        <v>154</v>
      </c>
      <c r="D91" s="61" t="n">
        <v>4.1698</v>
      </c>
      <c r="E91" s="61" t="n">
        <v>3.61779</v>
      </c>
      <c r="F91" s="287">
        <f>E91/D91</f>
        <v/>
      </c>
      <c r="G91" s="186" t="n"/>
      <c r="H91" s="287" t="n">
        <v>0</v>
      </c>
      <c r="I91" s="287" t="n">
        <v>0</v>
      </c>
      <c r="J91" s="287">
        <f>I91/H91</f>
        <v/>
      </c>
      <c r="K91" s="286">
        <f>_xlfn.IFERROR(J91-F91,"")</f>
        <v/>
      </c>
      <c r="L91" s="119">
        <f>_xlfn.IFERROR(I91/E91-1,"")</f>
        <v/>
      </c>
      <c r="M91" s="186" t="n">
        <v>50</v>
      </c>
      <c r="N91" s="287" t="n">
        <v>1.4783</v>
      </c>
      <c r="O91" s="287" t="n">
        <v>1.23088</v>
      </c>
      <c r="P91" s="287">
        <f>O91/N91</f>
        <v/>
      </c>
      <c r="Q91" s="186" t="n"/>
      <c r="R91" s="287" t="n">
        <v>0</v>
      </c>
      <c r="S91" s="287" t="n">
        <v>0</v>
      </c>
      <c r="T91" s="287">
        <f>S91/R91</f>
        <v/>
      </c>
      <c r="U91" s="286">
        <f>_xlfn.IFERROR(T91-P91,"")</f>
        <v/>
      </c>
      <c r="V91" s="119">
        <f>_xlfn.IFERROR(S91/O91-1,"")</f>
        <v/>
      </c>
      <c r="W91" s="186" t="n">
        <v>77</v>
      </c>
      <c r="X91" s="287" t="n">
        <v>1.8927</v>
      </c>
      <c r="Y91" s="287" t="n">
        <v>1.77543</v>
      </c>
      <c r="Z91" s="287">
        <f>Y91/X91</f>
        <v/>
      </c>
      <c r="AA91" s="186" t="n"/>
      <c r="AB91" s="287" t="n">
        <v>0</v>
      </c>
      <c r="AC91" s="287" t="n">
        <v>0</v>
      </c>
      <c r="AD91" s="287">
        <f>AC91/AB91</f>
        <v/>
      </c>
      <c r="AE91" s="286">
        <f>_xlfn.IFERROR(AD91-Z91,"")</f>
        <v/>
      </c>
      <c r="AF91" s="119">
        <f>_xlfn.IFERROR(AC91/Y91-1,"")</f>
        <v/>
      </c>
      <c r="AG91" s="186" t="n">
        <v>27</v>
      </c>
      <c r="AH91" s="287" t="n">
        <v>0.7988</v>
      </c>
      <c r="AI91" s="287" t="n">
        <v>0.61148</v>
      </c>
      <c r="AJ91" s="287">
        <f>AI91/AH91</f>
        <v/>
      </c>
      <c r="AK91" s="186" t="n"/>
      <c r="AL91" s="287" t="n">
        <v>0</v>
      </c>
      <c r="AM91" s="287" t="n">
        <v>0</v>
      </c>
      <c r="AN91" s="287">
        <f>AM91/AL91</f>
        <v/>
      </c>
      <c r="AO91" s="286">
        <f>_xlfn.IFERROR(AN91-AJ91,"")</f>
        <v/>
      </c>
      <c r="AP91" s="119">
        <f>_xlfn.IFERROR(AM91/AI91-1,"")</f>
        <v/>
      </c>
      <c r="AQ91" s="186" t="n"/>
      <c r="AR91" s="287" t="n">
        <v>0</v>
      </c>
      <c r="AS91" s="287" t="n">
        <v>0</v>
      </c>
      <c r="AT91" s="285">
        <f>_xlfn.IFERROR(AS91/AR91,"")</f>
        <v/>
      </c>
      <c r="AU91" s="186" t="n"/>
      <c r="AV91" s="287" t="n">
        <v>0</v>
      </c>
      <c r="AW91" s="287" t="n">
        <v>0</v>
      </c>
      <c r="AX91" s="287">
        <f>AW91/AV91</f>
        <v/>
      </c>
      <c r="AY91" s="286">
        <f>_xlfn.IFERROR(AX91-AT91,"")</f>
        <v/>
      </c>
      <c r="AZ91" s="119">
        <f>_xlfn.IFERROR(AW91/AS91-1,"")</f>
        <v/>
      </c>
      <c r="BA91" s="186" t="n"/>
      <c r="BB91" s="287" t="n">
        <v>0</v>
      </c>
      <c r="BC91" s="287" t="n">
        <v>0</v>
      </c>
      <c r="BD91" s="287">
        <f>BC91/BB91</f>
        <v/>
      </c>
      <c r="BE91" s="186" t="n"/>
      <c r="BF91" s="287" t="n">
        <v>0</v>
      </c>
      <c r="BG91" s="287" t="n">
        <v>0</v>
      </c>
      <c r="BH91" s="287">
        <f>BG91/BF91</f>
        <v/>
      </c>
      <c r="BI91" s="288">
        <f>_xlfn.IFERROR(BN91/((BF91/4)*30),"")</f>
        <v/>
      </c>
      <c r="BJ91" s="289">
        <f>_xlfn.IFERROR(BE91/4*31,"")</f>
        <v/>
      </c>
      <c r="BK91" s="290">
        <f>_xlfn.IFERROR(BG91/4*31,"")</f>
        <v/>
      </c>
      <c r="BL91" s="291">
        <f>_xlfn.IFERROR(BH91-BD91,"")</f>
        <v/>
      </c>
      <c r="BM91" s="150">
        <f>_xlfn.IFERROR(BK91/BC91-1,"")</f>
        <v/>
      </c>
      <c r="BN91" s="291" t="n">
        <v>0.5362</v>
      </c>
    </row>
    <row r="92" ht="13.5" customHeight="1" s="245">
      <c r="A92" s="61" t="n"/>
      <c r="B92" s="186" t="inlineStr">
        <is>
          <t>Guangzhou Jiangnan West Sports Lingerie Specialty Store</t>
        </is>
      </c>
      <c r="C92" s="186" t="n">
        <v>174</v>
      </c>
      <c r="D92" s="61" t="n">
        <v>5.1061</v>
      </c>
      <c r="E92" s="61" t="n">
        <v>2.3164</v>
      </c>
      <c r="F92" s="287">
        <f>E92/D92</f>
        <v/>
      </c>
      <c r="G92" s="186" t="n"/>
      <c r="H92" s="287" t="n">
        <v>0</v>
      </c>
      <c r="I92" s="287" t="n">
        <v>0</v>
      </c>
      <c r="J92" s="287">
        <f>I92/H92</f>
        <v/>
      </c>
      <c r="K92" s="286">
        <f>_xlfn.IFERROR(J92-F92,"")</f>
        <v/>
      </c>
      <c r="L92" s="119">
        <f>_xlfn.IFERROR(I92/E92-1,"")</f>
        <v/>
      </c>
      <c r="M92" s="186" t="n">
        <v>116</v>
      </c>
      <c r="N92" s="287" t="n">
        <v>4.0541</v>
      </c>
      <c r="O92" s="287" t="n">
        <v>1.8886</v>
      </c>
      <c r="P92" s="287">
        <f>O92/N92</f>
        <v/>
      </c>
      <c r="Q92" s="186" t="n"/>
      <c r="R92" s="287" t="n">
        <v>0</v>
      </c>
      <c r="S92" s="287" t="n">
        <v>0</v>
      </c>
      <c r="T92" s="287">
        <f>S92/R92</f>
        <v/>
      </c>
      <c r="U92" s="286">
        <f>_xlfn.IFERROR(T92-P92,"")</f>
        <v/>
      </c>
      <c r="V92" s="119">
        <f>_xlfn.IFERROR(S92/O92-1,"")</f>
        <v/>
      </c>
      <c r="W92" s="186" t="n"/>
      <c r="X92" s="287" t="n">
        <v>0</v>
      </c>
      <c r="Y92" s="287" t="n">
        <v>0</v>
      </c>
      <c r="Z92" s="287">
        <f>Y92/X92</f>
        <v/>
      </c>
      <c r="AA92" s="186" t="n"/>
      <c r="AB92" s="287" t="n">
        <v>0</v>
      </c>
      <c r="AC92" s="287" t="n">
        <v>0</v>
      </c>
      <c r="AD92" s="287">
        <f>AC92/AB92</f>
        <v/>
      </c>
      <c r="AE92" s="286">
        <f>_xlfn.IFERROR(AD92-Z92,"")</f>
        <v/>
      </c>
      <c r="AF92" s="119">
        <f>_xlfn.IFERROR(AC92/Y92-1,"")</f>
        <v/>
      </c>
      <c r="AG92" s="186" t="n">
        <v>58</v>
      </c>
      <c r="AH92" s="287" t="n">
        <v>1.052</v>
      </c>
      <c r="AI92" s="287" t="n">
        <v>0.4278</v>
      </c>
      <c r="AJ92" s="287">
        <f>AI92/AH92</f>
        <v/>
      </c>
      <c r="AK92" s="186" t="n"/>
      <c r="AL92" s="287" t="n">
        <v>0</v>
      </c>
      <c r="AM92" s="287" t="n">
        <v>0</v>
      </c>
      <c r="AN92" s="287">
        <f>AM92/AL92</f>
        <v/>
      </c>
      <c r="AO92" s="286">
        <f>_xlfn.IFERROR(AN92-AJ92,"")</f>
        <v/>
      </c>
      <c r="AP92" s="119">
        <f>_xlfn.IFERROR(AM92/AI92-1,"")</f>
        <v/>
      </c>
      <c r="AQ92" s="186" t="n"/>
      <c r="AR92" s="287" t="n">
        <v>0</v>
      </c>
      <c r="AS92" s="287" t="n">
        <v>0</v>
      </c>
      <c r="AT92" s="285">
        <f>_xlfn.IFERROR(AS92/AR92,"")</f>
        <v/>
      </c>
      <c r="AU92" s="186" t="n"/>
      <c r="AV92" s="287" t="n">
        <v>0</v>
      </c>
      <c r="AW92" s="287" t="n">
        <v>0</v>
      </c>
      <c r="AX92" s="287">
        <f>AW92/AV92</f>
        <v/>
      </c>
      <c r="AY92" s="286">
        <f>_xlfn.IFERROR(AX92-AT92,"")</f>
        <v/>
      </c>
      <c r="AZ92" s="119">
        <f>_xlfn.IFERROR(AW92/AS92-1,"")</f>
        <v/>
      </c>
      <c r="BA92" s="186" t="n"/>
      <c r="BB92" s="287" t="n">
        <v>0</v>
      </c>
      <c r="BC92" s="287" t="n">
        <v>0</v>
      </c>
      <c r="BD92" s="287">
        <f>BC92/BB92</f>
        <v/>
      </c>
      <c r="BE92" s="186" t="n"/>
      <c r="BF92" s="287" t="n">
        <v>0</v>
      </c>
      <c r="BG92" s="287" t="n">
        <v>0</v>
      </c>
      <c r="BH92" s="287">
        <f>BG92/BF92</f>
        <v/>
      </c>
      <c r="BI92" s="288">
        <f>_xlfn.IFERROR(BN92/((BF92/4)*30),"")</f>
        <v/>
      </c>
      <c r="BJ92" s="289">
        <f>_xlfn.IFERROR(BE92/4*31,"")</f>
        <v/>
      </c>
      <c r="BK92" s="290">
        <f>_xlfn.IFERROR(BG92/4*31,"")</f>
        <v/>
      </c>
      <c r="BL92" s="291">
        <f>_xlfn.IFERROR(BH92-BD92,"")</f>
        <v/>
      </c>
      <c r="BM92" s="150">
        <f>_xlfn.IFERROR(BK92/BC92-1,"")</f>
        <v/>
      </c>
      <c r="BN92" s="291" t="n">
        <v>-0.0465</v>
      </c>
    </row>
    <row r="93" ht="13.5" customHeight="1" s="245">
      <c r="A93" s="61" t="n"/>
      <c r="B93" s="186" t="inlineStr">
        <is>
          <t>Guangzhou Economic Development Zone Qingshannan Road Specialty Store</t>
        </is>
      </c>
      <c r="C93" s="186" t="n">
        <v>184</v>
      </c>
      <c r="D93" s="61" t="n">
        <v>5.7733</v>
      </c>
      <c r="E93" s="61" t="n">
        <v>3.3811</v>
      </c>
      <c r="F93" s="287">
        <f>E93/D93</f>
        <v/>
      </c>
      <c r="G93" s="186" t="n"/>
      <c r="H93" s="287" t="n">
        <v>0</v>
      </c>
      <c r="I93" s="287" t="n">
        <v>0</v>
      </c>
      <c r="J93" s="287">
        <f>I93/H93</f>
        <v/>
      </c>
      <c r="K93" s="286">
        <f>_xlfn.IFERROR(J93-F93,"")</f>
        <v/>
      </c>
      <c r="L93" s="119">
        <f>_xlfn.IFERROR(I93/E93-1,"")</f>
        <v/>
      </c>
      <c r="M93" s="186" t="n">
        <v>184</v>
      </c>
      <c r="N93" s="287" t="n">
        <v>5.7733</v>
      </c>
      <c r="O93" s="287" t="n">
        <v>3.3811</v>
      </c>
      <c r="P93" s="287">
        <f>O93/N93</f>
        <v/>
      </c>
      <c r="Q93" s="186" t="n"/>
      <c r="R93" s="287" t="n">
        <v>0</v>
      </c>
      <c r="S93" s="287" t="n">
        <v>0</v>
      </c>
      <c r="T93" s="287">
        <f>S93/R93</f>
        <v/>
      </c>
      <c r="U93" s="286">
        <f>_xlfn.IFERROR(T93-P93,"")</f>
        <v/>
      </c>
      <c r="V93" s="119">
        <f>_xlfn.IFERROR(S93/O93-1,"")</f>
        <v/>
      </c>
      <c r="W93" s="186" t="n"/>
      <c r="X93" s="287" t="n">
        <v>0</v>
      </c>
      <c r="Y93" s="287" t="n">
        <v>0</v>
      </c>
      <c r="Z93" s="287">
        <f>Y93/X93</f>
        <v/>
      </c>
      <c r="AA93" s="186" t="n"/>
      <c r="AB93" s="287" t="n">
        <v>0</v>
      </c>
      <c r="AC93" s="287" t="n">
        <v>0</v>
      </c>
      <c r="AD93" s="287">
        <f>AC93/AB93</f>
        <v/>
      </c>
      <c r="AE93" s="286">
        <f>_xlfn.IFERROR(AD93-Z93,"")</f>
        <v/>
      </c>
      <c r="AF93" s="119">
        <f>_xlfn.IFERROR(AC93/Y93-1,"")</f>
        <v/>
      </c>
      <c r="AG93" s="186" t="n"/>
      <c r="AH93" s="287" t="n">
        <v>0</v>
      </c>
      <c r="AI93" s="287" t="n">
        <v>0</v>
      </c>
      <c r="AJ93" s="287">
        <f>AI93/AH93</f>
        <v/>
      </c>
      <c r="AK93" s="186" t="n"/>
      <c r="AL93" s="287" t="n">
        <v>0</v>
      </c>
      <c r="AM93" s="287" t="n">
        <v>0</v>
      </c>
      <c r="AN93" s="287">
        <f>AM93/AL93</f>
        <v/>
      </c>
      <c r="AO93" s="286">
        <f>_xlfn.IFERROR(AN93-AJ93,"")</f>
        <v/>
      </c>
      <c r="AP93" s="119">
        <f>_xlfn.IFERROR(AM93/AI93-1,"")</f>
        <v/>
      </c>
      <c r="AQ93" s="186" t="n"/>
      <c r="AR93" s="287" t="n">
        <v>0</v>
      </c>
      <c r="AS93" s="287" t="n">
        <v>0</v>
      </c>
      <c r="AT93" s="285">
        <f>_xlfn.IFERROR(AS93/AR93,"")</f>
        <v/>
      </c>
      <c r="AU93" s="186" t="n"/>
      <c r="AV93" s="287" t="n">
        <v>0</v>
      </c>
      <c r="AW93" s="287" t="n">
        <v>0</v>
      </c>
      <c r="AX93" s="287">
        <f>AW93/AV93</f>
        <v/>
      </c>
      <c r="AY93" s="286">
        <f>_xlfn.IFERROR(AX93-AT93,"")</f>
        <v/>
      </c>
      <c r="AZ93" s="119">
        <f>_xlfn.IFERROR(AW93/AS93-1,"")</f>
        <v/>
      </c>
      <c r="BA93" s="186" t="n"/>
      <c r="BB93" s="287" t="n">
        <v>0</v>
      </c>
      <c r="BC93" s="287" t="n">
        <v>0</v>
      </c>
      <c r="BD93" s="287">
        <f>BC93/BB93</f>
        <v/>
      </c>
      <c r="BE93" s="186" t="n"/>
      <c r="BF93" s="287" t="n">
        <v>0</v>
      </c>
      <c r="BG93" s="287" t="n">
        <v>0</v>
      </c>
      <c r="BH93" s="287">
        <f>BG93/BF93</f>
        <v/>
      </c>
      <c r="BI93" s="288">
        <f>_xlfn.IFERROR(BN93/((BF93/4)*30),"")</f>
        <v/>
      </c>
      <c r="BJ93" s="289">
        <f>_xlfn.IFERROR(BE93/4*31,"")</f>
        <v/>
      </c>
      <c r="BK93" s="290">
        <f>_xlfn.IFERROR(BG93/4*31,"")</f>
        <v/>
      </c>
      <c r="BL93" s="291">
        <f>_xlfn.IFERROR(BH93-BD93,"")</f>
        <v/>
      </c>
      <c r="BM93" s="150">
        <f>_xlfn.IFERROR(BK93/BC93-1,"")</f>
        <v/>
      </c>
      <c r="BN93" s="291" t="n">
        <v>1.1769</v>
      </c>
    </row>
    <row r="94" ht="13.5" customHeight="1" s="245">
      <c r="A94" s="61" t="n"/>
      <c r="B94" s="186" t="inlineStr">
        <is>
          <t>Guangzhou Tianhe City Hua Hua World Store</t>
        </is>
      </c>
      <c r="C94" s="186" t="n">
        <v>553</v>
      </c>
      <c r="D94" s="61" t="n">
        <v>12.2902</v>
      </c>
      <c r="E94" s="61" t="n">
        <v>6.4386</v>
      </c>
      <c r="F94" s="287">
        <f>E94/D94</f>
        <v/>
      </c>
      <c r="G94" s="186" t="n"/>
      <c r="H94" s="287" t="n">
        <v>0</v>
      </c>
      <c r="I94" s="287" t="n">
        <v>0</v>
      </c>
      <c r="J94" s="287">
        <f>I94/H94</f>
        <v/>
      </c>
      <c r="K94" s="286">
        <f>_xlfn.IFERROR(J94-F94,"")</f>
        <v/>
      </c>
      <c r="L94" s="119">
        <f>_xlfn.IFERROR(I94/E94-1,"")</f>
        <v/>
      </c>
      <c r="M94" s="186" t="n">
        <v>224</v>
      </c>
      <c r="N94" s="287" t="n">
        <v>5.9006</v>
      </c>
      <c r="O94" s="287" t="n">
        <v>2.979</v>
      </c>
      <c r="P94" s="287">
        <f>O94/N94</f>
        <v/>
      </c>
      <c r="Q94" s="186" t="n"/>
      <c r="R94" s="287" t="n">
        <v>0</v>
      </c>
      <c r="S94" s="287" t="n">
        <v>0</v>
      </c>
      <c r="T94" s="287">
        <f>S94/R94</f>
        <v/>
      </c>
      <c r="U94" s="286">
        <f>_xlfn.IFERROR(T94-P94,"")</f>
        <v/>
      </c>
      <c r="V94" s="119">
        <f>_xlfn.IFERROR(S94/O94-1,"")</f>
        <v/>
      </c>
      <c r="W94" s="186" t="n">
        <v>113</v>
      </c>
      <c r="X94" s="287" t="n">
        <v>2.471</v>
      </c>
      <c r="Y94" s="287" t="n">
        <v>1.412</v>
      </c>
      <c r="Z94" s="287">
        <f>Y94/X94</f>
        <v/>
      </c>
      <c r="AA94" s="186" t="n"/>
      <c r="AB94" s="287" t="n">
        <v>0</v>
      </c>
      <c r="AC94" s="287" t="n">
        <v>0</v>
      </c>
      <c r="AD94" s="287">
        <f>AC94/AB94</f>
        <v/>
      </c>
      <c r="AE94" s="286">
        <f>_xlfn.IFERROR(AD94-Z94,"")</f>
        <v/>
      </c>
      <c r="AF94" s="119">
        <f>_xlfn.IFERROR(AC94/Y94-1,"")</f>
        <v/>
      </c>
      <c r="AG94" s="186" t="n">
        <v>73</v>
      </c>
      <c r="AH94" s="287" t="n">
        <v>1.3238</v>
      </c>
      <c r="AI94" s="287" t="n">
        <v>0.6552</v>
      </c>
      <c r="AJ94" s="287">
        <f>AI94/AH94</f>
        <v/>
      </c>
      <c r="AK94" s="186" t="n"/>
      <c r="AL94" s="287" t="n">
        <v>0</v>
      </c>
      <c r="AM94" s="287" t="n">
        <v>0</v>
      </c>
      <c r="AN94" s="287">
        <f>AM94/AL94</f>
        <v/>
      </c>
      <c r="AO94" s="286">
        <f>_xlfn.IFERROR(AN94-AJ94,"")</f>
        <v/>
      </c>
      <c r="AP94" s="119">
        <f>_xlfn.IFERROR(AM94/AI94-1,"")</f>
        <v/>
      </c>
      <c r="AQ94" s="186" t="n">
        <v>134</v>
      </c>
      <c r="AR94" s="287" t="n">
        <v>2.3941</v>
      </c>
      <c r="AS94" s="287" t="n">
        <v>1.2826</v>
      </c>
      <c r="AT94" s="285">
        <f>_xlfn.IFERROR(AS94/AR94,"")</f>
        <v/>
      </c>
      <c r="AU94" s="186" t="n"/>
      <c r="AV94" s="287" t="n">
        <v>0</v>
      </c>
      <c r="AW94" s="287" t="n">
        <v>0</v>
      </c>
      <c r="AX94" s="287">
        <f>AW94/AV94</f>
        <v/>
      </c>
      <c r="AY94" s="286">
        <f>_xlfn.IFERROR(AX94-AT94,"")</f>
        <v/>
      </c>
      <c r="AZ94" s="119">
        <f>_xlfn.IFERROR(AW94/AS94-1,"")</f>
        <v/>
      </c>
      <c r="BA94" s="186" t="n">
        <v>207</v>
      </c>
      <c r="BB94" s="287" t="n">
        <v>3.6481</v>
      </c>
      <c r="BC94" s="287" t="n">
        <v>2.0779</v>
      </c>
      <c r="BD94" s="287">
        <f>BC94/BB94</f>
        <v/>
      </c>
      <c r="BE94" s="186" t="n"/>
      <c r="BF94" s="287" t="n">
        <v>0</v>
      </c>
      <c r="BG94" s="287" t="n">
        <v>0</v>
      </c>
      <c r="BH94" s="287">
        <f>BG94/BF94</f>
        <v/>
      </c>
      <c r="BI94" s="288">
        <f>_xlfn.IFERROR(BN94/((BF94/4)*30),"")</f>
        <v/>
      </c>
      <c r="BJ94" s="289">
        <f>_xlfn.IFERROR(BE94/4*31,"")</f>
        <v/>
      </c>
      <c r="BK94" s="290">
        <f>_xlfn.IFERROR(BG94/4*31,"")</f>
        <v/>
      </c>
      <c r="BL94" s="291">
        <f>_xlfn.IFERROR(BH94-BD94,"")</f>
        <v/>
      </c>
      <c r="BM94" s="150">
        <f>_xlfn.IFERROR(BK94/BC94-1,"")</f>
        <v/>
      </c>
      <c r="BN94" s="291" t="n">
        <v>0</v>
      </c>
    </row>
    <row r="95" ht="13.5" customHeight="1" s="245">
      <c r="A95" s="61" t="n"/>
      <c r="B95" s="186" t="inlineStr">
        <is>
          <t>Guangzhou Tianhe City Tianyin Yoga Fitness Store</t>
        </is>
      </c>
      <c r="C95" s="186" t="n">
        <v>48</v>
      </c>
      <c r="D95" s="61" t="n">
        <v>1.5864</v>
      </c>
      <c r="E95" s="61" t="n">
        <v>1.1105</v>
      </c>
      <c r="F95" s="287">
        <f>E95/D95</f>
        <v/>
      </c>
      <c r="G95" s="186" t="n"/>
      <c r="H95" s="287" t="n">
        <v>0</v>
      </c>
      <c r="I95" s="287" t="n">
        <v>0</v>
      </c>
      <c r="J95" s="287">
        <f>I95/H95</f>
        <v/>
      </c>
      <c r="K95" s="286">
        <f>_xlfn.IFERROR(J95-F95,"")</f>
        <v/>
      </c>
      <c r="L95" s="119">
        <f>_xlfn.IFERROR(I95/E95-1,"")</f>
        <v/>
      </c>
      <c r="M95" s="186" t="n"/>
      <c r="N95" s="287" t="n">
        <v>0</v>
      </c>
      <c r="O95" s="287" t="n">
        <v>0</v>
      </c>
      <c r="P95" s="287">
        <f>O95/N95</f>
        <v/>
      </c>
      <c r="Q95" s="186" t="n"/>
      <c r="R95" s="287" t="n">
        <v>0</v>
      </c>
      <c r="S95" s="287" t="n">
        <v>0</v>
      </c>
      <c r="T95" s="287">
        <f>S95/R95</f>
        <v/>
      </c>
      <c r="U95" s="286">
        <f>_xlfn.IFERROR(T95-P95,"")</f>
        <v/>
      </c>
      <c r="V95" s="119">
        <f>_xlfn.IFERROR(S95/O95-1,"")</f>
        <v/>
      </c>
      <c r="W95" s="186" t="n"/>
      <c r="X95" s="287" t="n">
        <v>0</v>
      </c>
      <c r="Y95" s="287" t="n">
        <v>0</v>
      </c>
      <c r="Z95" s="287">
        <f>Y95/X95</f>
        <v/>
      </c>
      <c r="AA95" s="186" t="n"/>
      <c r="AB95" s="287" t="n">
        <v>0</v>
      </c>
      <c r="AC95" s="287" t="n">
        <v>0</v>
      </c>
      <c r="AD95" s="287">
        <f>AC95/AB95</f>
        <v/>
      </c>
      <c r="AE95" s="286">
        <f>_xlfn.IFERROR(AD95-Z95,"")</f>
        <v/>
      </c>
      <c r="AF95" s="119">
        <f>_xlfn.IFERROR(AC95/Y95-1,"")</f>
        <v/>
      </c>
      <c r="AG95" s="186" t="n"/>
      <c r="AH95" s="287" t="n">
        <v>0</v>
      </c>
      <c r="AI95" s="287" t="n">
        <v>0</v>
      </c>
      <c r="AJ95" s="287">
        <f>AI95/AH95</f>
        <v/>
      </c>
      <c r="AK95" s="186" t="n"/>
      <c r="AL95" s="287" t="n">
        <v>0</v>
      </c>
      <c r="AM95" s="287" t="n">
        <v>0</v>
      </c>
      <c r="AN95" s="287">
        <f>AM95/AL95</f>
        <v/>
      </c>
      <c r="AO95" s="286">
        <f>_xlfn.IFERROR(AN95-AJ95,"")</f>
        <v/>
      </c>
      <c r="AP95" s="119">
        <f>_xlfn.IFERROR(AM95/AI95-1,"")</f>
        <v/>
      </c>
      <c r="AQ95" s="186" t="n">
        <v>48</v>
      </c>
      <c r="AR95" s="287" t="n">
        <v>1.5864</v>
      </c>
      <c r="AS95" s="287" t="n">
        <v>1.1105</v>
      </c>
      <c r="AT95" s="285">
        <f>_xlfn.IFERROR(AS95/AR95,"")</f>
        <v/>
      </c>
      <c r="AU95" s="186" t="n"/>
      <c r="AV95" s="287" t="n">
        <v>0</v>
      </c>
      <c r="AW95" s="287" t="n">
        <v>0</v>
      </c>
      <c r="AX95" s="287">
        <f>AW95/AV95</f>
        <v/>
      </c>
      <c r="AY95" s="286">
        <f>_xlfn.IFERROR(AX95-AT95,"")</f>
        <v/>
      </c>
      <c r="AZ95" s="119">
        <f>_xlfn.IFERROR(AW95/AS95-1,"")</f>
        <v/>
      </c>
      <c r="BA95" s="186" t="n">
        <v>61</v>
      </c>
      <c r="BB95" s="287" t="n">
        <v>1.1422</v>
      </c>
      <c r="BC95" s="287" t="n">
        <v>0.69411</v>
      </c>
      <c r="BD95" s="287">
        <f>BC95/BB95</f>
        <v/>
      </c>
      <c r="BE95" s="186" t="n"/>
      <c r="BF95" s="287" t="n">
        <v>0</v>
      </c>
      <c r="BG95" s="287" t="n">
        <v>0</v>
      </c>
      <c r="BH95" s="287">
        <f>BG95/BF95</f>
        <v/>
      </c>
      <c r="BI95" s="288">
        <f>_xlfn.IFERROR(BN95/((BF95/4)*30),"")</f>
        <v/>
      </c>
      <c r="BJ95" s="289">
        <f>_xlfn.IFERROR(BE95/4*31,"")</f>
        <v/>
      </c>
      <c r="BK95" s="290">
        <f>_xlfn.IFERROR(BG95/4*31,"")</f>
        <v/>
      </c>
      <c r="BL95" s="291">
        <f>_xlfn.IFERROR(BH95-BD95,"")</f>
        <v/>
      </c>
      <c r="BM95" s="150">
        <f>_xlfn.IFERROR(BK95/BC95-1,"")</f>
        <v/>
      </c>
      <c r="BN95" s="291" t="n">
        <v>115.1928</v>
      </c>
    </row>
    <row r="96" ht="13.5" customHeight="1" s="245">
      <c r="A96" s="61" t="n"/>
      <c r="B96" s="186" t="inlineStr">
        <is>
          <t>Guangzhou Friendship Mansion Headquarters Lingerie Store</t>
        </is>
      </c>
      <c r="C96" s="186" t="n">
        <v>6</v>
      </c>
      <c r="D96" s="61" t="n">
        <v>0.1262</v>
      </c>
      <c r="E96" s="61" t="n">
        <v>0.0447</v>
      </c>
      <c r="F96" s="287">
        <f>E96/D96</f>
        <v/>
      </c>
      <c r="G96" s="186" t="n"/>
      <c r="H96" s="287" t="n">
        <v>0</v>
      </c>
      <c r="I96" s="287" t="n">
        <v>0</v>
      </c>
      <c r="J96" s="287">
        <f>I96/H96</f>
        <v/>
      </c>
      <c r="K96" s="286">
        <f>_xlfn.IFERROR(J96-F96,"")</f>
        <v/>
      </c>
      <c r="L96" s="119">
        <f>_xlfn.IFERROR(I96/E96-1,"")</f>
        <v/>
      </c>
      <c r="M96" s="186" t="n">
        <v>6</v>
      </c>
      <c r="N96" s="287" t="n">
        <v>0.1262</v>
      </c>
      <c r="O96" s="287" t="n">
        <v>0.0447</v>
      </c>
      <c r="P96" s="287">
        <f>O96/N96</f>
        <v/>
      </c>
      <c r="Q96" s="186" t="n"/>
      <c r="R96" s="287" t="n">
        <v>0</v>
      </c>
      <c r="S96" s="287" t="n">
        <v>0</v>
      </c>
      <c r="T96" s="287">
        <f>S96/R96</f>
        <v/>
      </c>
      <c r="U96" s="286">
        <f>_xlfn.IFERROR(T96-P96,"")</f>
        <v/>
      </c>
      <c r="V96" s="119">
        <f>_xlfn.IFERROR(S96/O96-1,"")</f>
        <v/>
      </c>
      <c r="W96" s="186" t="n"/>
      <c r="X96" s="287" t="n">
        <v>0</v>
      </c>
      <c r="Y96" s="287" t="n">
        <v>0</v>
      </c>
      <c r="Z96" s="287">
        <f>Y96/X96</f>
        <v/>
      </c>
      <c r="AA96" s="186" t="n"/>
      <c r="AB96" s="287" t="n">
        <v>0</v>
      </c>
      <c r="AC96" s="287" t="n">
        <v>0</v>
      </c>
      <c r="AD96" s="287">
        <f>AC96/AB96</f>
        <v/>
      </c>
      <c r="AE96" s="286">
        <f>_xlfn.IFERROR(AD96-Z96,"")</f>
        <v/>
      </c>
      <c r="AF96" s="119">
        <f>_xlfn.IFERROR(AC96/Y96-1,"")</f>
        <v/>
      </c>
      <c r="AG96" s="186" t="n"/>
      <c r="AH96" s="287" t="n">
        <v>0</v>
      </c>
      <c r="AI96" s="287" t="n">
        <v>0</v>
      </c>
      <c r="AJ96" s="287">
        <f>AI96/AH96</f>
        <v/>
      </c>
      <c r="AK96" s="186" t="n"/>
      <c r="AL96" s="287" t="n">
        <v>0</v>
      </c>
      <c r="AM96" s="287" t="n">
        <v>0</v>
      </c>
      <c r="AN96" s="287">
        <f>AM96/AL96</f>
        <v/>
      </c>
      <c r="AO96" s="286">
        <f>_xlfn.IFERROR(AN96-AJ96,"")</f>
        <v/>
      </c>
      <c r="AP96" s="119">
        <f>_xlfn.IFERROR(AM96/AI96-1,"")</f>
        <v/>
      </c>
      <c r="AQ96" s="186" t="n"/>
      <c r="AR96" s="287" t="n">
        <v>0</v>
      </c>
      <c r="AS96" s="287" t="n">
        <v>0</v>
      </c>
      <c r="AT96" s="285">
        <f>_xlfn.IFERROR(AS96/AR96,"")</f>
        <v/>
      </c>
      <c r="AU96" s="186" t="n"/>
      <c r="AV96" s="287" t="n">
        <v>0</v>
      </c>
      <c r="AW96" s="287" t="n">
        <v>0</v>
      </c>
      <c r="AX96" s="287">
        <f>AW96/AV96</f>
        <v/>
      </c>
      <c r="AY96" s="286">
        <f>_xlfn.IFERROR(AX96-AT96,"")</f>
        <v/>
      </c>
      <c r="AZ96" s="119">
        <f>_xlfn.IFERROR(AW96/AS96-1,"")</f>
        <v/>
      </c>
      <c r="BA96" s="186" t="n"/>
      <c r="BB96" s="287" t="n">
        <v>0</v>
      </c>
      <c r="BC96" s="287" t="n">
        <v>0</v>
      </c>
      <c r="BD96" s="287">
        <f>BC96/BB96</f>
        <v/>
      </c>
      <c r="BE96" s="186" t="n"/>
      <c r="BF96" s="287" t="n">
        <v>0</v>
      </c>
      <c r="BG96" s="287" t="n">
        <v>0</v>
      </c>
      <c r="BH96" s="287">
        <f>BG96/BF96</f>
        <v/>
      </c>
      <c r="BI96" s="288">
        <f>_xlfn.IFERROR(BN96/((BF96/4)*30),"")</f>
        <v/>
      </c>
      <c r="BJ96" s="289">
        <f>_xlfn.IFERROR(BE96/4*31,"")</f>
        <v/>
      </c>
      <c r="BK96" s="290">
        <f>_xlfn.IFERROR(BG96/4*31,"")</f>
        <v/>
      </c>
      <c r="BL96" s="291">
        <f>_xlfn.IFERROR(BH96-BD96,"")</f>
        <v/>
      </c>
      <c r="BM96" s="150">
        <f>_xlfn.IFERROR(BK96/BC96-1,"")</f>
        <v/>
      </c>
      <c r="BN96" s="291" t="n">
        <v>0.152</v>
      </c>
    </row>
    <row r="97" ht="13.5" customHeight="1" s="245">
      <c r="A97" s="61" t="n"/>
      <c r="B97" s="186" t="inlineStr">
        <is>
          <t>Guangzhou Zhengjia Tretorn Sports Indoor Sports Store</t>
        </is>
      </c>
      <c r="C97" s="186" t="n"/>
      <c r="D97" s="61" t="n">
        <v>0</v>
      </c>
      <c r="E97" s="61" t="n">
        <v>0</v>
      </c>
      <c r="F97" s="287">
        <f>E97/D97</f>
        <v/>
      </c>
      <c r="G97" s="186" t="n">
        <v>274</v>
      </c>
      <c r="H97" s="287" t="n">
        <v>9.7202</v>
      </c>
      <c r="I97" s="287" t="n">
        <v>3.6417</v>
      </c>
      <c r="J97" s="287">
        <f>I97/H97</f>
        <v/>
      </c>
      <c r="K97" s="286">
        <f>_xlfn.IFERROR(J97-F97,"")</f>
        <v/>
      </c>
      <c r="L97" s="119">
        <f>_xlfn.IFERROR(I97/E97-1,"")</f>
        <v/>
      </c>
      <c r="M97" s="186" t="n"/>
      <c r="N97" s="287" t="n">
        <v>0</v>
      </c>
      <c r="O97" s="287" t="n">
        <v>0</v>
      </c>
      <c r="P97" s="287">
        <f>O97/N97</f>
        <v/>
      </c>
      <c r="Q97" s="186" t="n">
        <v>185</v>
      </c>
      <c r="R97" s="287" t="n">
        <v>7.6901</v>
      </c>
      <c r="S97" s="287" t="n">
        <v>2.5625</v>
      </c>
      <c r="T97" s="287">
        <f>S97/R97</f>
        <v/>
      </c>
      <c r="U97" s="286">
        <f>_xlfn.IFERROR(T97-P97,"")</f>
        <v/>
      </c>
      <c r="V97" s="119">
        <f>_xlfn.IFERROR(S97/O97-1,"")</f>
        <v/>
      </c>
      <c r="W97" s="186" t="n"/>
      <c r="X97" s="287" t="n">
        <v>0</v>
      </c>
      <c r="Y97" s="287" t="n">
        <v>0</v>
      </c>
      <c r="Z97" s="287">
        <f>Y97/X97</f>
        <v/>
      </c>
      <c r="AA97" s="186" t="n">
        <v>89</v>
      </c>
      <c r="AB97" s="287" t="n">
        <v>2.0301</v>
      </c>
      <c r="AC97" s="287" t="n">
        <v>1.0792</v>
      </c>
      <c r="AD97" s="287">
        <f>AC97/AB97</f>
        <v/>
      </c>
      <c r="AE97" s="286">
        <f>_xlfn.IFERROR(AD97-Z97,"")</f>
        <v/>
      </c>
      <c r="AF97" s="119">
        <f>_xlfn.IFERROR(AC97/Y97-1,"")</f>
        <v/>
      </c>
      <c r="AG97" s="186" t="n"/>
      <c r="AH97" s="287" t="n">
        <v>0</v>
      </c>
      <c r="AI97" s="287" t="n">
        <v>0</v>
      </c>
      <c r="AJ97" s="287">
        <f>AI97/AH97</f>
        <v/>
      </c>
      <c r="AK97" s="186" t="n"/>
      <c r="AL97" s="287" t="n">
        <v>0</v>
      </c>
      <c r="AM97" s="287" t="n">
        <v>0</v>
      </c>
      <c r="AN97" s="287">
        <f>AM97/AL97</f>
        <v/>
      </c>
      <c r="AO97" s="286">
        <f>_xlfn.IFERROR(AN97-AJ97,"")</f>
        <v/>
      </c>
      <c r="AP97" s="119">
        <f>_xlfn.IFERROR(AM97/AI97-1,"")</f>
        <v/>
      </c>
      <c r="AQ97" s="186" t="n"/>
      <c r="AR97" s="287" t="n">
        <v>0</v>
      </c>
      <c r="AS97" s="287" t="n">
        <v>0</v>
      </c>
      <c r="AT97" s="285">
        <f>_xlfn.IFERROR(AS97/AR97,"")</f>
        <v/>
      </c>
      <c r="AU97" s="186" t="n"/>
      <c r="AV97" s="287" t="n">
        <v>0</v>
      </c>
      <c r="AW97" s="287" t="n">
        <v>0</v>
      </c>
      <c r="AX97" s="287">
        <f>AW97/AV97</f>
        <v/>
      </c>
      <c r="AY97" s="286">
        <f>_xlfn.IFERROR(AX97-AT97,"")</f>
        <v/>
      </c>
      <c r="AZ97" s="119">
        <f>_xlfn.IFERROR(AW97/AS97-1,"")</f>
        <v/>
      </c>
      <c r="BA97" s="186" t="n"/>
      <c r="BB97" s="287" t="n">
        <v>0</v>
      </c>
      <c r="BC97" s="287" t="n">
        <v>0</v>
      </c>
      <c r="BD97" s="287">
        <f>BC97/BB97</f>
        <v/>
      </c>
      <c r="BE97" s="186" t="n"/>
      <c r="BF97" s="287" t="n">
        <v>0</v>
      </c>
      <c r="BG97" s="287" t="n">
        <v>0</v>
      </c>
      <c r="BH97" s="287">
        <f>BG97/BF97</f>
        <v/>
      </c>
      <c r="BI97" s="288">
        <f>_xlfn.IFERROR(BN97/((BF97/4)*30),"")</f>
        <v/>
      </c>
      <c r="BJ97" s="289">
        <f>_xlfn.IFERROR(BE97/4*31,"")</f>
        <v/>
      </c>
      <c r="BK97" s="290">
        <f>_xlfn.IFERROR(BG97/4*31,"")</f>
        <v/>
      </c>
      <c r="BL97" s="291">
        <f>_xlfn.IFERROR(BH97-BD97,"")</f>
        <v/>
      </c>
      <c r="BM97" s="150">
        <f>_xlfn.IFERROR(BK97/BC97-1,"")</f>
        <v/>
      </c>
      <c r="BN97" s="291" t="n">
        <v>1.9357</v>
      </c>
    </row>
    <row r="98" ht="13.5" customHeight="1" s="245">
      <c r="A98" s="61" t="n"/>
      <c r="B98" s="186" t="inlineStr">
        <is>
          <t>Haosa Specialty Store, Guangzhou China Plaza</t>
        </is>
      </c>
      <c r="C98" s="186" t="n">
        <v>33</v>
      </c>
      <c r="D98" s="61" t="n">
        <v>0.7327</v>
      </c>
      <c r="E98" s="61" t="n">
        <v>0.4317</v>
      </c>
      <c r="F98" s="287">
        <f>E98/D98</f>
        <v/>
      </c>
      <c r="G98" s="186" t="n"/>
      <c r="H98" s="287" t="n">
        <v>0</v>
      </c>
      <c r="I98" s="287" t="n">
        <v>0</v>
      </c>
      <c r="J98" s="287">
        <f>I98/H98</f>
        <v/>
      </c>
      <c r="K98" s="286">
        <f>_xlfn.IFERROR(J98-F98,"")</f>
        <v/>
      </c>
      <c r="L98" s="119">
        <f>_xlfn.IFERROR(I98/E98-1,"")</f>
        <v/>
      </c>
      <c r="M98" s="186" t="n"/>
      <c r="N98" s="287" t="n">
        <v>0</v>
      </c>
      <c r="O98" s="287" t="n">
        <v>0</v>
      </c>
      <c r="P98" s="287">
        <f>O98/N98</f>
        <v/>
      </c>
      <c r="Q98" s="186" t="n"/>
      <c r="R98" s="287" t="n">
        <v>0</v>
      </c>
      <c r="S98" s="287" t="n">
        <v>0</v>
      </c>
      <c r="T98" s="287">
        <f>S98/R98</f>
        <v/>
      </c>
      <c r="U98" s="286">
        <f>_xlfn.IFERROR(T98-P98,"")</f>
        <v/>
      </c>
      <c r="V98" s="119">
        <f>_xlfn.IFERROR(S98/O98-1,"")</f>
        <v/>
      </c>
      <c r="W98" s="186" t="n"/>
      <c r="X98" s="287" t="n">
        <v>0</v>
      </c>
      <c r="Y98" s="287" t="n">
        <v>0</v>
      </c>
      <c r="Z98" s="287">
        <f>Y98/X98</f>
        <v/>
      </c>
      <c r="AA98" s="186" t="n"/>
      <c r="AB98" s="287" t="n">
        <v>0</v>
      </c>
      <c r="AC98" s="287" t="n">
        <v>0</v>
      </c>
      <c r="AD98" s="287">
        <f>AC98/AB98</f>
        <v/>
      </c>
      <c r="AE98" s="286">
        <f>_xlfn.IFERROR(AD98-Z98,"")</f>
        <v/>
      </c>
      <c r="AF98" s="119">
        <f>_xlfn.IFERROR(AC98/Y98-1,"")</f>
        <v/>
      </c>
      <c r="AG98" s="186" t="n"/>
      <c r="AH98" s="287" t="n">
        <v>0</v>
      </c>
      <c r="AI98" s="287" t="n">
        <v>0</v>
      </c>
      <c r="AJ98" s="287">
        <f>AI98/AH98</f>
        <v/>
      </c>
      <c r="AK98" s="186" t="n"/>
      <c r="AL98" s="287" t="n">
        <v>0</v>
      </c>
      <c r="AM98" s="287" t="n">
        <v>0</v>
      </c>
      <c r="AN98" s="287">
        <f>AM98/AL98</f>
        <v/>
      </c>
      <c r="AO98" s="286">
        <f>_xlfn.IFERROR(AN98-AJ98,"")</f>
        <v/>
      </c>
      <c r="AP98" s="119">
        <f>_xlfn.IFERROR(AM98/AI98-1,"")</f>
        <v/>
      </c>
      <c r="AQ98" s="186" t="n">
        <v>19</v>
      </c>
      <c r="AR98" s="287" t="n">
        <v>0.4918</v>
      </c>
      <c r="AS98" s="287" t="n">
        <v>0.2726</v>
      </c>
      <c r="AT98" s="285">
        <f>_xlfn.IFERROR(AS98/AR98,"")</f>
        <v/>
      </c>
      <c r="AU98" s="186" t="n"/>
      <c r="AV98" s="287" t="n">
        <v>0</v>
      </c>
      <c r="AW98" s="287" t="n">
        <v>0</v>
      </c>
      <c r="AX98" s="287">
        <f>AW98/AV98</f>
        <v/>
      </c>
      <c r="AY98" s="286">
        <f>_xlfn.IFERROR(AX98-AT98,"")</f>
        <v/>
      </c>
      <c r="AZ98" s="119">
        <f>_xlfn.IFERROR(AW98/AS98-1,"")</f>
        <v/>
      </c>
      <c r="BA98" s="186" t="n">
        <v>175</v>
      </c>
      <c r="BB98" s="287" t="n">
        <v>3.4021</v>
      </c>
      <c r="BC98" s="287" t="n">
        <v>2.48708</v>
      </c>
      <c r="BD98" s="287">
        <f>BC98/BB98</f>
        <v/>
      </c>
      <c r="BE98" s="186" t="n"/>
      <c r="BF98" s="287" t="n">
        <v>0</v>
      </c>
      <c r="BG98" s="287" t="n">
        <v>0</v>
      </c>
      <c r="BH98" s="287">
        <f>BG98/BF98</f>
        <v/>
      </c>
      <c r="BI98" s="288">
        <f>_xlfn.IFERROR(BN98/((BF98/4)*30),"")</f>
        <v/>
      </c>
      <c r="BJ98" s="289">
        <f>_xlfn.IFERROR(BE98/4*31,"")</f>
        <v/>
      </c>
      <c r="BK98" s="290">
        <f>_xlfn.IFERROR(BG98/4*31,"")</f>
        <v/>
      </c>
      <c r="BL98" s="291">
        <f>_xlfn.IFERROR(BH98-BD98,"")</f>
        <v/>
      </c>
      <c r="BM98" s="150">
        <f>_xlfn.IFERROR(BK98/BC98-1,"")</f>
        <v/>
      </c>
      <c r="BN98" s="291" t="n">
        <v>0</v>
      </c>
    </row>
    <row r="99" ht="13.5" customHeight="1" s="245">
      <c r="A99" s="61" t="n"/>
      <c r="B99" s="186" t="inlineStr">
        <is>
          <t>Guangzhou Zhujiang New Town Guangbai Sports Store</t>
        </is>
      </c>
      <c r="C99" s="186" t="n">
        <v>172</v>
      </c>
      <c r="D99" s="61" t="n">
        <v>3.7457</v>
      </c>
      <c r="E99" s="61" t="n">
        <v>3.37783</v>
      </c>
      <c r="F99" s="287">
        <f>E99/D99</f>
        <v/>
      </c>
      <c r="G99" s="186" t="n"/>
      <c r="H99" s="287" t="n">
        <v>0</v>
      </c>
      <c r="I99" s="287" t="n">
        <v>0</v>
      </c>
      <c r="J99" s="287">
        <f>I99/H99</f>
        <v/>
      </c>
      <c r="K99" s="286">
        <f>_xlfn.IFERROR(J99-F99,"")</f>
        <v/>
      </c>
      <c r="L99" s="119">
        <f>_xlfn.IFERROR(I99/E99-1,"")</f>
        <v/>
      </c>
      <c r="M99" s="186" t="n">
        <v>60</v>
      </c>
      <c r="N99" s="287" t="n">
        <v>1.438</v>
      </c>
      <c r="O99" s="287" t="n">
        <v>1.30005</v>
      </c>
      <c r="P99" s="287">
        <f>O99/N99</f>
        <v/>
      </c>
      <c r="Q99" s="186" t="n"/>
      <c r="R99" s="287" t="n">
        <v>0</v>
      </c>
      <c r="S99" s="287" t="n">
        <v>0</v>
      </c>
      <c r="T99" s="287">
        <f>S99/R99</f>
        <v/>
      </c>
      <c r="U99" s="286">
        <f>_xlfn.IFERROR(T99-P99,"")</f>
        <v/>
      </c>
      <c r="V99" s="119">
        <f>_xlfn.IFERROR(S99/O99-1,"")</f>
        <v/>
      </c>
      <c r="W99" s="186" t="n">
        <v>54</v>
      </c>
      <c r="X99" s="287" t="n">
        <v>0.9585</v>
      </c>
      <c r="Y99" s="287" t="n">
        <v>0.8753300000000001</v>
      </c>
      <c r="Z99" s="287">
        <f>Y99/X99</f>
        <v/>
      </c>
      <c r="AA99" s="186" t="n"/>
      <c r="AB99" s="287" t="n">
        <v>0</v>
      </c>
      <c r="AC99" s="287" t="n">
        <v>0</v>
      </c>
      <c r="AD99" s="287">
        <f>AC99/AB99</f>
        <v/>
      </c>
      <c r="AE99" s="286">
        <f>_xlfn.IFERROR(AD99-Z99,"")</f>
        <v/>
      </c>
      <c r="AF99" s="119">
        <f>_xlfn.IFERROR(AC99/Y99-1,"")</f>
        <v/>
      </c>
      <c r="AG99" s="186" t="n"/>
      <c r="AH99" s="287" t="n">
        <v>0</v>
      </c>
      <c r="AI99" s="287" t="n">
        <v>0</v>
      </c>
      <c r="AJ99" s="287">
        <f>AI99/AH99</f>
        <v/>
      </c>
      <c r="AK99" s="186" t="n"/>
      <c r="AL99" s="287" t="n">
        <v>0</v>
      </c>
      <c r="AM99" s="287" t="n">
        <v>0</v>
      </c>
      <c r="AN99" s="287">
        <f>AM99/AL99</f>
        <v/>
      </c>
      <c r="AO99" s="286">
        <f>_xlfn.IFERROR(AN99-AJ99,"")</f>
        <v/>
      </c>
      <c r="AP99" s="119">
        <f>_xlfn.IFERROR(AM99/AI99-1,"")</f>
        <v/>
      </c>
      <c r="AQ99" s="186" t="n">
        <v>57</v>
      </c>
      <c r="AR99" s="287" t="n">
        <v>1.2894</v>
      </c>
      <c r="AS99" s="287" t="n">
        <v>1.15465</v>
      </c>
      <c r="AT99" s="285">
        <f>_xlfn.IFERROR(AS99/AR99,"")</f>
        <v/>
      </c>
      <c r="AU99" s="186" t="n"/>
      <c r="AV99" s="287" t="n">
        <v>0</v>
      </c>
      <c r="AW99" s="287" t="n">
        <v>0</v>
      </c>
      <c r="AX99" s="287">
        <f>AW99/AV99</f>
        <v/>
      </c>
      <c r="AY99" s="286">
        <f>_xlfn.IFERROR(AX99-AT99,"")</f>
        <v/>
      </c>
      <c r="AZ99" s="119">
        <f>_xlfn.IFERROR(AW99/AS99-1,"")</f>
        <v/>
      </c>
      <c r="BA99" s="186" t="n">
        <v>107</v>
      </c>
      <c r="BB99" s="287" t="n">
        <v>1.8733</v>
      </c>
      <c r="BC99" s="287" t="n">
        <v>1.72407</v>
      </c>
      <c r="BD99" s="287">
        <f>BC99/BB99</f>
        <v/>
      </c>
      <c r="BE99" s="186" t="n"/>
      <c r="BF99" s="287" t="n">
        <v>0</v>
      </c>
      <c r="BG99" s="287" t="n">
        <v>0</v>
      </c>
      <c r="BH99" s="287">
        <f>BG99/BF99</f>
        <v/>
      </c>
      <c r="BI99" s="288">
        <f>_xlfn.IFERROR(BN99/((BF99/4)*30),"")</f>
        <v/>
      </c>
      <c r="BJ99" s="289">
        <f>_xlfn.IFERROR(BE99/4*31,"")</f>
        <v/>
      </c>
      <c r="BK99" s="290">
        <f>_xlfn.IFERROR(BG99/4*31,"")</f>
        <v/>
      </c>
      <c r="BL99" s="291">
        <f>_xlfn.IFERROR(BH99-BD99,"")</f>
        <v/>
      </c>
      <c r="BM99" s="150">
        <f>_xlfn.IFERROR(BK99/BC99-1,"")</f>
        <v/>
      </c>
      <c r="BN99" s="291" t="n">
        <v>-0.0102</v>
      </c>
    </row>
    <row r="100" ht="13.5" customHeight="1" s="245">
      <c r="A100" s="61" t="n"/>
      <c r="B100" s="186" t="inlineStr">
        <is>
          <t>Shenzhen Changxing Tianhong Lingerie Store</t>
        </is>
      </c>
      <c r="C100" s="186" t="n">
        <v>1422</v>
      </c>
      <c r="D100" s="61" t="n">
        <v>33.3256</v>
      </c>
      <c r="E100" s="61" t="n">
        <v>32.602708</v>
      </c>
      <c r="F100" s="287">
        <f>E100/D100</f>
        <v/>
      </c>
      <c r="G100" s="186" t="n"/>
      <c r="H100" s="287" t="n">
        <v>0</v>
      </c>
      <c r="I100" s="287" t="n">
        <v>0</v>
      </c>
      <c r="J100" s="287">
        <f>I100/H100</f>
        <v/>
      </c>
      <c r="K100" s="286">
        <f>_xlfn.IFERROR(J100-F100,"")</f>
        <v/>
      </c>
      <c r="L100" s="119">
        <f>_xlfn.IFERROR(I100/E100-1,"")</f>
        <v/>
      </c>
      <c r="M100" s="186" t="n">
        <v>651</v>
      </c>
      <c r="N100" s="287" t="n">
        <v>18.6506</v>
      </c>
      <c r="O100" s="287" t="n">
        <v>18.66472</v>
      </c>
      <c r="P100" s="287">
        <f>O100/N100</f>
        <v/>
      </c>
      <c r="Q100" s="186" t="n"/>
      <c r="R100" s="287" t="n">
        <v>0</v>
      </c>
      <c r="S100" s="287" t="n">
        <v>0</v>
      </c>
      <c r="T100" s="287">
        <f>S100/R100</f>
        <v/>
      </c>
      <c r="U100" s="286">
        <f>_xlfn.IFERROR(T100-P100,"")</f>
        <v/>
      </c>
      <c r="V100" s="119">
        <f>_xlfn.IFERROR(S100/O100-1,"")</f>
        <v/>
      </c>
      <c r="W100" s="186" t="n">
        <v>394</v>
      </c>
      <c r="X100" s="287" t="n">
        <v>7.7818</v>
      </c>
      <c r="Y100" s="287" t="n">
        <v>7.58132</v>
      </c>
      <c r="Z100" s="287">
        <f>Y100/X100</f>
        <v/>
      </c>
      <c r="AA100" s="186" t="n"/>
      <c r="AB100" s="287" t="n">
        <v>0</v>
      </c>
      <c r="AC100" s="287" t="n">
        <v>0</v>
      </c>
      <c r="AD100" s="287">
        <f>AC100/AB100</f>
        <v/>
      </c>
      <c r="AE100" s="286">
        <f>_xlfn.IFERROR(AD100-Z100,"")</f>
        <v/>
      </c>
      <c r="AF100" s="119">
        <f>_xlfn.IFERROR(AC100/Y100-1,"")</f>
        <v/>
      </c>
      <c r="AG100" s="186" t="n">
        <v>165</v>
      </c>
      <c r="AH100" s="287" t="n">
        <v>2.9529</v>
      </c>
      <c r="AI100" s="287" t="n">
        <v>2.46996</v>
      </c>
      <c r="AJ100" s="287">
        <f>AI100/AH100</f>
        <v/>
      </c>
      <c r="AK100" s="186" t="n"/>
      <c r="AL100" s="287" t="n">
        <v>0</v>
      </c>
      <c r="AM100" s="287" t="n">
        <v>0</v>
      </c>
      <c r="AN100" s="287">
        <f>AM100/AL100</f>
        <v/>
      </c>
      <c r="AO100" s="286">
        <f>_xlfn.IFERROR(AN100-AJ100,"")</f>
        <v/>
      </c>
      <c r="AP100" s="119">
        <f>_xlfn.IFERROR(AM100/AI100-1,"")</f>
        <v/>
      </c>
      <c r="AQ100" s="186" t="n">
        <v>177</v>
      </c>
      <c r="AR100" s="287" t="n">
        <v>3.5371</v>
      </c>
      <c r="AS100" s="287" t="n">
        <v>3.477264</v>
      </c>
      <c r="AT100" s="285">
        <f>_xlfn.IFERROR(AS100/AR100,"")</f>
        <v/>
      </c>
      <c r="AU100" s="186" t="n"/>
      <c r="AV100" s="287" t="n">
        <v>0</v>
      </c>
      <c r="AW100" s="287" t="n">
        <v>0</v>
      </c>
      <c r="AX100" s="287">
        <f>AW100/AV100</f>
        <v/>
      </c>
      <c r="AY100" s="286">
        <f>_xlfn.IFERROR(AX100-AT100,"")</f>
        <v/>
      </c>
      <c r="AZ100" s="119">
        <f>_xlfn.IFERROR(AW100/AS100-1,"")</f>
        <v/>
      </c>
      <c r="BA100" s="186" t="n">
        <v>188</v>
      </c>
      <c r="BB100" s="287" t="n">
        <v>2.9545</v>
      </c>
      <c r="BC100" s="287" t="n">
        <v>2.518822</v>
      </c>
      <c r="BD100" s="287">
        <f>BC100/BB100</f>
        <v/>
      </c>
      <c r="BE100" s="186" t="n"/>
      <c r="BF100" s="287" t="n">
        <v>0</v>
      </c>
      <c r="BG100" s="287" t="n">
        <v>0</v>
      </c>
      <c r="BH100" s="287">
        <f>BG100/BF100</f>
        <v/>
      </c>
      <c r="BI100" s="288">
        <f>_xlfn.IFERROR(BN100/((BF100/4)*30),"")</f>
        <v/>
      </c>
      <c r="BJ100" s="289">
        <f>_xlfn.IFERROR(BE100/4*31,"")</f>
        <v/>
      </c>
      <c r="BK100" s="290">
        <f>_xlfn.IFERROR(BG100/4*31,"")</f>
        <v/>
      </c>
      <c r="BL100" s="291">
        <f>_xlfn.IFERROR(BH100-BD100,"")</f>
        <v/>
      </c>
      <c r="BM100" s="150">
        <f>_xlfn.IFERROR(BK100/BC100-1,"")</f>
        <v/>
      </c>
      <c r="BN100" s="291" t="n">
        <v>0</v>
      </c>
    </row>
    <row r="101" ht="13.5" customHeight="1" s="245">
      <c r="A101" s="61" t="n"/>
      <c r="B101" s="186" t="inlineStr">
        <is>
          <t>Shenzhen Dongmen Lingerie Specialty Store</t>
        </is>
      </c>
      <c r="C101" s="186" t="n">
        <v>116</v>
      </c>
      <c r="D101" s="61" t="n">
        <v>4.3444</v>
      </c>
      <c r="E101" s="61" t="n">
        <v>1.7911</v>
      </c>
      <c r="F101" s="287">
        <f>E101/D101</f>
        <v/>
      </c>
      <c r="G101" s="186" t="n"/>
      <c r="H101" s="287" t="n">
        <v>0</v>
      </c>
      <c r="I101" s="287" t="n">
        <v>0</v>
      </c>
      <c r="J101" s="287">
        <f>I101/H101</f>
        <v/>
      </c>
      <c r="K101" s="286">
        <f>_xlfn.IFERROR(J101-F101,"")</f>
        <v/>
      </c>
      <c r="L101" s="119">
        <f>_xlfn.IFERROR(I101/E101-1,"")</f>
        <v/>
      </c>
      <c r="M101" s="186" t="n">
        <v>116</v>
      </c>
      <c r="N101" s="287" t="n">
        <v>4.3444</v>
      </c>
      <c r="O101" s="287" t="n">
        <v>1.7911</v>
      </c>
      <c r="P101" s="287">
        <f>O101/N101</f>
        <v/>
      </c>
      <c r="Q101" s="186" t="n"/>
      <c r="R101" s="287" t="n">
        <v>0</v>
      </c>
      <c r="S101" s="287" t="n">
        <v>0</v>
      </c>
      <c r="T101" s="287">
        <f>S101/R101</f>
        <v/>
      </c>
      <c r="U101" s="286">
        <f>_xlfn.IFERROR(T101-P101,"")</f>
        <v/>
      </c>
      <c r="V101" s="119">
        <f>_xlfn.IFERROR(S101/O101-1,"")</f>
        <v/>
      </c>
      <c r="W101" s="186" t="n"/>
      <c r="X101" s="287" t="n">
        <v>0</v>
      </c>
      <c r="Y101" s="287" t="n">
        <v>0</v>
      </c>
      <c r="Z101" s="287">
        <f>Y101/X101</f>
        <v/>
      </c>
      <c r="AA101" s="186" t="n"/>
      <c r="AB101" s="287" t="n">
        <v>0</v>
      </c>
      <c r="AC101" s="287" t="n">
        <v>0</v>
      </c>
      <c r="AD101" s="287">
        <f>AC101/AB101</f>
        <v/>
      </c>
      <c r="AE101" s="286">
        <f>_xlfn.IFERROR(AD101-Z101,"")</f>
        <v/>
      </c>
      <c r="AF101" s="119">
        <f>_xlfn.IFERROR(AC101/Y101-1,"")</f>
        <v/>
      </c>
      <c r="AG101" s="186" t="n"/>
      <c r="AH101" s="287" t="n">
        <v>0</v>
      </c>
      <c r="AI101" s="287" t="n">
        <v>0</v>
      </c>
      <c r="AJ101" s="287">
        <f>AI101/AH101</f>
        <v/>
      </c>
      <c r="AK101" s="186" t="n"/>
      <c r="AL101" s="287" t="n">
        <v>0</v>
      </c>
      <c r="AM101" s="287" t="n">
        <v>0</v>
      </c>
      <c r="AN101" s="287">
        <f>AM101/AL101</f>
        <v/>
      </c>
      <c r="AO101" s="286">
        <f>_xlfn.IFERROR(AN101-AJ101,"")</f>
        <v/>
      </c>
      <c r="AP101" s="119">
        <f>_xlfn.IFERROR(AM101/AI101-1,"")</f>
        <v/>
      </c>
      <c r="AQ101" s="186" t="n"/>
      <c r="AR101" s="287" t="n">
        <v>0</v>
      </c>
      <c r="AS101" s="287" t="n">
        <v>0</v>
      </c>
      <c r="AT101" s="285">
        <f>_xlfn.IFERROR(AS101/AR101,"")</f>
        <v/>
      </c>
      <c r="AU101" s="186" t="n"/>
      <c r="AV101" s="287" t="n">
        <v>0</v>
      </c>
      <c r="AW101" s="287" t="n">
        <v>0</v>
      </c>
      <c r="AX101" s="287">
        <f>AW101/AV101</f>
        <v/>
      </c>
      <c r="AY101" s="286">
        <f>_xlfn.IFERROR(AX101-AT101,"")</f>
        <v/>
      </c>
      <c r="AZ101" s="119">
        <f>_xlfn.IFERROR(AW101/AS101-1,"")</f>
        <v/>
      </c>
      <c r="BA101" s="186" t="n"/>
      <c r="BB101" s="287" t="n">
        <v>0</v>
      </c>
      <c r="BC101" s="287" t="n">
        <v>0</v>
      </c>
      <c r="BD101" s="287">
        <f>BC101/BB101</f>
        <v/>
      </c>
      <c r="BE101" s="186" t="n"/>
      <c r="BF101" s="287" t="n">
        <v>0</v>
      </c>
      <c r="BG101" s="287" t="n">
        <v>0</v>
      </c>
      <c r="BH101" s="287">
        <f>BG101/BF101</f>
        <v/>
      </c>
      <c r="BI101" s="288">
        <f>_xlfn.IFERROR(BN101/((BF101/4)*30),"")</f>
        <v/>
      </c>
      <c r="BJ101" s="289">
        <f>_xlfn.IFERROR(BE101/4*31,"")</f>
        <v/>
      </c>
      <c r="BK101" s="290">
        <f>_xlfn.IFERROR(BG101/4*31,"")</f>
        <v/>
      </c>
      <c r="BL101" s="291">
        <f>_xlfn.IFERROR(BH101-BD101,"")</f>
        <v/>
      </c>
      <c r="BM101" s="150">
        <f>_xlfn.IFERROR(BK101/BC101-1,"")</f>
        <v/>
      </c>
      <c r="BN101" s="291" t="n">
        <v>0.632</v>
      </c>
    </row>
    <row r="102" ht="13.5" customHeight="1" s="245">
      <c r="A102" s="61" t="n"/>
      <c r="B102" s="186" t="inlineStr">
        <is>
          <t>Shenzhen Maoye Dongmen Shuiyun Sports Store</t>
        </is>
      </c>
      <c r="C102" s="186" t="n">
        <v>73</v>
      </c>
      <c r="D102" s="61" t="n">
        <v>1.9756</v>
      </c>
      <c r="E102" s="61" t="n">
        <v>0.92658</v>
      </c>
      <c r="F102" s="287">
        <f>E102/D102</f>
        <v/>
      </c>
      <c r="G102" s="186" t="n"/>
      <c r="H102" s="287" t="n">
        <v>0</v>
      </c>
      <c r="I102" s="287" t="n">
        <v>0</v>
      </c>
      <c r="J102" s="287">
        <f>I102/H102</f>
        <v/>
      </c>
      <c r="K102" s="286">
        <f>_xlfn.IFERROR(J102-F102,"")</f>
        <v/>
      </c>
      <c r="L102" s="119">
        <f>_xlfn.IFERROR(I102/E102-1,"")</f>
        <v/>
      </c>
      <c r="M102" s="186" t="n">
        <v>38</v>
      </c>
      <c r="N102" s="287" t="n">
        <v>0.8659</v>
      </c>
      <c r="O102" s="287" t="n">
        <v>0.44146</v>
      </c>
      <c r="P102" s="287">
        <f>O102/N102</f>
        <v/>
      </c>
      <c r="Q102" s="186" t="n"/>
      <c r="R102" s="287" t="n">
        <v>0</v>
      </c>
      <c r="S102" s="287" t="n">
        <v>0</v>
      </c>
      <c r="T102" s="287">
        <f>S102/R102</f>
        <v/>
      </c>
      <c r="U102" s="286">
        <f>_xlfn.IFERROR(T102-P102,"")</f>
        <v/>
      </c>
      <c r="V102" s="119">
        <f>_xlfn.IFERROR(S102/O102-1,"")</f>
        <v/>
      </c>
      <c r="W102" s="186" t="n">
        <v>21</v>
      </c>
      <c r="X102" s="287" t="n">
        <v>0.5482</v>
      </c>
      <c r="Y102" s="287" t="n">
        <v>0.29029</v>
      </c>
      <c r="Z102" s="287">
        <f>Y102/X102</f>
        <v/>
      </c>
      <c r="AA102" s="186" t="n"/>
      <c r="AB102" s="287" t="n">
        <v>0</v>
      </c>
      <c r="AC102" s="287" t="n">
        <v>0</v>
      </c>
      <c r="AD102" s="287">
        <f>AC102/AB102</f>
        <v/>
      </c>
      <c r="AE102" s="286">
        <f>_xlfn.IFERROR(AD102-Z102,"")</f>
        <v/>
      </c>
      <c r="AF102" s="119">
        <f>_xlfn.IFERROR(AC102/Y102-1,"")</f>
        <v/>
      </c>
      <c r="AG102" s="186" t="n">
        <v>6</v>
      </c>
      <c r="AH102" s="287" t="n">
        <v>0.2605</v>
      </c>
      <c r="AI102" s="287" t="n">
        <v>0.09282</v>
      </c>
      <c r="AJ102" s="287">
        <f>AI102/AH102</f>
        <v/>
      </c>
      <c r="AK102" s="186" t="n"/>
      <c r="AL102" s="287" t="n">
        <v>0</v>
      </c>
      <c r="AM102" s="287" t="n">
        <v>0</v>
      </c>
      <c r="AN102" s="287">
        <f>AM102/AL102</f>
        <v/>
      </c>
      <c r="AO102" s="286">
        <f>_xlfn.IFERROR(AN102-AJ102,"")</f>
        <v/>
      </c>
      <c r="AP102" s="119">
        <f>_xlfn.IFERROR(AM102/AI102-1,"")</f>
        <v/>
      </c>
      <c r="AQ102" s="186" t="n">
        <v>8</v>
      </c>
      <c r="AR102" s="287" t="n">
        <v>0.301</v>
      </c>
      <c r="AS102" s="287" t="n">
        <v>0.10201</v>
      </c>
      <c r="AT102" s="285">
        <f>_xlfn.IFERROR(AS102/AR102,"")</f>
        <v/>
      </c>
      <c r="AU102" s="186" t="n"/>
      <c r="AV102" s="287" t="n">
        <v>0</v>
      </c>
      <c r="AW102" s="287" t="n">
        <v>0</v>
      </c>
      <c r="AX102" s="287">
        <f>AW102/AV102</f>
        <v/>
      </c>
      <c r="AY102" s="286">
        <f>_xlfn.IFERROR(AX102-AT102,"")</f>
        <v/>
      </c>
      <c r="AZ102" s="119">
        <f>_xlfn.IFERROR(AW102/AS102-1,"")</f>
        <v/>
      </c>
      <c r="BA102" s="186" t="n"/>
      <c r="BB102" s="287" t="n">
        <v>0</v>
      </c>
      <c r="BC102" s="287" t="n">
        <v>0</v>
      </c>
      <c r="BD102" s="287">
        <f>BC102/BB102</f>
        <v/>
      </c>
      <c r="BE102" s="186" t="n"/>
      <c r="BF102" s="287" t="n">
        <v>0</v>
      </c>
      <c r="BG102" s="287" t="n">
        <v>0</v>
      </c>
      <c r="BH102" s="287">
        <f>BG102/BF102</f>
        <v/>
      </c>
      <c r="BI102" s="288">
        <f>_xlfn.IFERROR(BN102/((BF102/4)*30),"")</f>
        <v/>
      </c>
      <c r="BJ102" s="289">
        <f>_xlfn.IFERROR(BE102/4*31,"")</f>
        <v/>
      </c>
      <c r="BK102" s="290">
        <f>_xlfn.IFERROR(BG102/4*31,"")</f>
        <v/>
      </c>
      <c r="BL102" s="291">
        <f>_xlfn.IFERROR(BH102-BD102,"")</f>
        <v/>
      </c>
      <c r="BM102" s="150">
        <f>_xlfn.IFERROR(BK102/BC102-1,"")</f>
        <v/>
      </c>
      <c r="BN102" s="291" t="n">
        <v>0</v>
      </c>
    </row>
    <row r="103" ht="13.5" customHeight="1" s="245">
      <c r="A103" s="61" t="n"/>
      <c r="B103" s="186" t="inlineStr">
        <is>
          <t>Shenzhen Maoye Peace Water Sports Store</t>
        </is>
      </c>
      <c r="C103" s="186" t="n">
        <v>615</v>
      </c>
      <c r="D103" s="61" t="n">
        <v>15.3966</v>
      </c>
      <c r="E103" s="61" t="n">
        <v>8.61065</v>
      </c>
      <c r="F103" s="287">
        <f>E103/D103</f>
        <v/>
      </c>
      <c r="G103" s="186" t="n"/>
      <c r="H103" s="287" t="n">
        <v>0</v>
      </c>
      <c r="I103" s="287" t="n">
        <v>0</v>
      </c>
      <c r="J103" s="287">
        <f>I103/H103</f>
        <v/>
      </c>
      <c r="K103" s="286">
        <f>_xlfn.IFERROR(J103-F103,"")</f>
        <v/>
      </c>
      <c r="L103" s="119">
        <f>_xlfn.IFERROR(I103/E103-1,"")</f>
        <v/>
      </c>
      <c r="M103" s="186" t="n">
        <v>105</v>
      </c>
      <c r="N103" s="287" t="n">
        <v>3.0358</v>
      </c>
      <c r="O103" s="287" t="n">
        <v>1.8014</v>
      </c>
      <c r="P103" s="287">
        <f>O103/N103</f>
        <v/>
      </c>
      <c r="Q103" s="186" t="n"/>
      <c r="R103" s="287" t="n">
        <v>0</v>
      </c>
      <c r="S103" s="287" t="n">
        <v>0</v>
      </c>
      <c r="T103" s="287">
        <f>S103/R103</f>
        <v/>
      </c>
      <c r="U103" s="286">
        <f>_xlfn.IFERROR(T103-P103,"")</f>
        <v/>
      </c>
      <c r="V103" s="119">
        <f>_xlfn.IFERROR(S103/O103-1,"")</f>
        <v/>
      </c>
      <c r="W103" s="186" t="n">
        <v>103</v>
      </c>
      <c r="X103" s="287" t="n">
        <v>3.0116</v>
      </c>
      <c r="Y103" s="287" t="n">
        <v>1.71375</v>
      </c>
      <c r="Z103" s="287">
        <f>Y103/X103</f>
        <v/>
      </c>
      <c r="AA103" s="186" t="n"/>
      <c r="AB103" s="287" t="n">
        <v>0</v>
      </c>
      <c r="AC103" s="287" t="n">
        <v>0</v>
      </c>
      <c r="AD103" s="287">
        <f>AC103/AB103</f>
        <v/>
      </c>
      <c r="AE103" s="286">
        <f>_xlfn.IFERROR(AD103-Z103,"")</f>
        <v/>
      </c>
      <c r="AF103" s="119">
        <f>_xlfn.IFERROR(AC103/Y103-1,"")</f>
        <v/>
      </c>
      <c r="AG103" s="186" t="n">
        <v>183</v>
      </c>
      <c r="AH103" s="287" t="n">
        <v>4.4068</v>
      </c>
      <c r="AI103" s="287" t="n">
        <v>2.4476</v>
      </c>
      <c r="AJ103" s="287">
        <f>AI103/AH103</f>
        <v/>
      </c>
      <c r="AK103" s="186" t="n"/>
      <c r="AL103" s="287" t="n">
        <v>0</v>
      </c>
      <c r="AM103" s="287" t="n">
        <v>0</v>
      </c>
      <c r="AN103" s="287">
        <f>AM103/AL103</f>
        <v/>
      </c>
      <c r="AO103" s="286">
        <f>_xlfn.IFERROR(AN103-AJ103,"")</f>
        <v/>
      </c>
      <c r="AP103" s="119">
        <f>_xlfn.IFERROR(AM103/AI103-1,"")</f>
        <v/>
      </c>
      <c r="AQ103" s="186" t="n">
        <v>197</v>
      </c>
      <c r="AR103" s="287" t="n">
        <v>4.2223</v>
      </c>
      <c r="AS103" s="287" t="n">
        <v>2.2394</v>
      </c>
      <c r="AT103" s="285">
        <f>_xlfn.IFERROR(AS103/AR103,"")</f>
        <v/>
      </c>
      <c r="AU103" s="186" t="n"/>
      <c r="AV103" s="287" t="n">
        <v>0</v>
      </c>
      <c r="AW103" s="287" t="n">
        <v>0</v>
      </c>
      <c r="AX103" s="287">
        <f>AW103/AV103</f>
        <v/>
      </c>
      <c r="AY103" s="286">
        <f>_xlfn.IFERROR(AX103-AT103,"")</f>
        <v/>
      </c>
      <c r="AZ103" s="119">
        <f>_xlfn.IFERROR(AW103/AS103-1,"")</f>
        <v/>
      </c>
      <c r="BA103" s="186" t="n">
        <v>348</v>
      </c>
      <c r="BB103" s="287" t="n">
        <v>8.1938</v>
      </c>
      <c r="BC103" s="287" t="n">
        <v>3.960224</v>
      </c>
      <c r="BD103" s="287">
        <f>BC103/BB103</f>
        <v/>
      </c>
      <c r="BE103" s="186" t="n"/>
      <c r="BF103" s="287" t="n">
        <v>0</v>
      </c>
      <c r="BG103" s="287" t="n">
        <v>0</v>
      </c>
      <c r="BH103" s="287">
        <f>BG103/BF103</f>
        <v/>
      </c>
      <c r="BI103" s="288">
        <f>_xlfn.IFERROR(BN103/((BF103/4)*30),"")</f>
        <v/>
      </c>
      <c r="BJ103" s="289">
        <f>_xlfn.IFERROR(BE103/4*31,"")</f>
        <v/>
      </c>
      <c r="BK103" s="290">
        <f>_xlfn.IFERROR(BG103/4*31,"")</f>
        <v/>
      </c>
      <c r="BL103" s="291">
        <f>_xlfn.IFERROR(BH103-BD103,"")</f>
        <v/>
      </c>
      <c r="BM103" s="150">
        <f>_xlfn.IFERROR(BK103/BC103-1,"")</f>
        <v/>
      </c>
      <c r="BN103" s="291" t="n">
        <v>0</v>
      </c>
    </row>
    <row r="104" ht="13.5" customHeight="1" s="245">
      <c r="A104" s="61" t="n"/>
      <c r="B104" s="186" t="inlineStr">
        <is>
          <t>Shenzhen Shuanglong Tianhong Lingerie Store</t>
        </is>
      </c>
      <c r="C104" s="186" t="n">
        <v>9</v>
      </c>
      <c r="D104" s="61" t="n">
        <v>0.3311</v>
      </c>
      <c r="E104" s="61" t="n">
        <v>0.1901</v>
      </c>
      <c r="F104" s="287">
        <f>E104/D104</f>
        <v/>
      </c>
      <c r="G104" s="186" t="n"/>
      <c r="H104" s="287" t="n">
        <v>0</v>
      </c>
      <c r="I104" s="287" t="n">
        <v>0</v>
      </c>
      <c r="J104" s="287">
        <f>I104/H104</f>
        <v/>
      </c>
      <c r="K104" s="286">
        <f>_xlfn.IFERROR(J104-F104,"")</f>
        <v/>
      </c>
      <c r="L104" s="119">
        <f>_xlfn.IFERROR(I104/E104-1,"")</f>
        <v/>
      </c>
      <c r="M104" s="186" t="n">
        <v>9</v>
      </c>
      <c r="N104" s="287" t="n">
        <v>0.3311</v>
      </c>
      <c r="O104" s="287" t="n">
        <v>0.1901</v>
      </c>
      <c r="P104" s="287">
        <f>O104/N104</f>
        <v/>
      </c>
      <c r="Q104" s="186" t="n"/>
      <c r="R104" s="287" t="n">
        <v>0</v>
      </c>
      <c r="S104" s="287" t="n">
        <v>0</v>
      </c>
      <c r="T104" s="287">
        <f>S104/R104</f>
        <v/>
      </c>
      <c r="U104" s="286">
        <f>_xlfn.IFERROR(T104-P104,"")</f>
        <v/>
      </c>
      <c r="V104" s="119">
        <f>_xlfn.IFERROR(S104/O104-1,"")</f>
        <v/>
      </c>
      <c r="W104" s="186" t="n"/>
      <c r="X104" s="287" t="n">
        <v>0</v>
      </c>
      <c r="Y104" s="287" t="n">
        <v>0</v>
      </c>
      <c r="Z104" s="287">
        <f>Y104/X104</f>
        <v/>
      </c>
      <c r="AA104" s="186" t="n"/>
      <c r="AB104" s="287" t="n">
        <v>0</v>
      </c>
      <c r="AC104" s="287" t="n">
        <v>0</v>
      </c>
      <c r="AD104" s="287">
        <f>AC104/AB104</f>
        <v/>
      </c>
      <c r="AE104" s="286">
        <f>_xlfn.IFERROR(AD104-Z104,"")</f>
        <v/>
      </c>
      <c r="AF104" s="119">
        <f>_xlfn.IFERROR(AC104/Y104-1,"")</f>
        <v/>
      </c>
      <c r="AG104" s="186" t="n"/>
      <c r="AH104" s="287" t="n">
        <v>0</v>
      </c>
      <c r="AI104" s="287" t="n">
        <v>0</v>
      </c>
      <c r="AJ104" s="287">
        <f>AI104/AH104</f>
        <v/>
      </c>
      <c r="AK104" s="186" t="n"/>
      <c r="AL104" s="287" t="n">
        <v>0</v>
      </c>
      <c r="AM104" s="287" t="n">
        <v>0</v>
      </c>
      <c r="AN104" s="287">
        <f>AM104/AL104</f>
        <v/>
      </c>
      <c r="AO104" s="286">
        <f>_xlfn.IFERROR(AN104-AJ104,"")</f>
        <v/>
      </c>
      <c r="AP104" s="119">
        <f>_xlfn.IFERROR(AM104/AI104-1,"")</f>
        <v/>
      </c>
      <c r="AQ104" s="186" t="n"/>
      <c r="AR104" s="287" t="n">
        <v>0</v>
      </c>
      <c r="AS104" s="287" t="n">
        <v>0</v>
      </c>
      <c r="AT104" s="285">
        <f>_xlfn.IFERROR(AS104/AR104,"")</f>
        <v/>
      </c>
      <c r="AU104" s="186" t="n"/>
      <c r="AV104" s="287" t="n">
        <v>0</v>
      </c>
      <c r="AW104" s="287" t="n">
        <v>0</v>
      </c>
      <c r="AX104" s="287">
        <f>AW104/AV104</f>
        <v/>
      </c>
      <c r="AY104" s="286">
        <f>_xlfn.IFERROR(AX104-AT104,"")</f>
        <v/>
      </c>
      <c r="AZ104" s="119">
        <f>_xlfn.IFERROR(AW104/AS104-1,"")</f>
        <v/>
      </c>
      <c r="BA104" s="186" t="n"/>
      <c r="BB104" s="287" t="n">
        <v>0</v>
      </c>
      <c r="BC104" s="287" t="n">
        <v>0</v>
      </c>
      <c r="BD104" s="287">
        <f>BC104/BB104</f>
        <v/>
      </c>
      <c r="BE104" s="186" t="n"/>
      <c r="BF104" s="287" t="n">
        <v>0</v>
      </c>
      <c r="BG104" s="287" t="n">
        <v>0</v>
      </c>
      <c r="BH104" s="287">
        <f>BG104/BF104</f>
        <v/>
      </c>
      <c r="BI104" s="288">
        <f>_xlfn.IFERROR(BN104/((BF104/4)*30),"")</f>
        <v/>
      </c>
      <c r="BJ104" s="289">
        <f>_xlfn.IFERROR(BE104/4*31,"")</f>
        <v/>
      </c>
      <c r="BK104" s="290">
        <f>_xlfn.IFERROR(BG104/4*31,"")</f>
        <v/>
      </c>
      <c r="BL104" s="291">
        <f>_xlfn.IFERROR(BH104-BD104,"")</f>
        <v/>
      </c>
      <c r="BM104" s="150">
        <f>_xlfn.IFERROR(BK104/BC104-1,"")</f>
        <v/>
      </c>
      <c r="BN104" s="291" t="n">
        <v>0</v>
      </c>
    </row>
    <row r="105" ht="13.5" customHeight="1" s="245">
      <c r="A105" s="61" t="n"/>
      <c r="B105" s="186" t="inlineStr">
        <is>
          <t>Zhongshan Yihua Lingerie Store</t>
        </is>
      </c>
      <c r="C105" s="186" t="n">
        <v>525</v>
      </c>
      <c r="D105" s="61" t="n">
        <v>12.3293</v>
      </c>
      <c r="E105" s="61" t="n">
        <v>9.487299999999999</v>
      </c>
      <c r="F105" s="287">
        <f>E105/D105</f>
        <v/>
      </c>
      <c r="G105" s="186" t="n"/>
      <c r="H105" s="287" t="n">
        <v>0</v>
      </c>
      <c r="I105" s="287" t="n">
        <v>0</v>
      </c>
      <c r="J105" s="287">
        <f>I105/H105</f>
        <v/>
      </c>
      <c r="K105" s="286">
        <f>_xlfn.IFERROR(J105-F105,"")</f>
        <v/>
      </c>
      <c r="L105" s="119">
        <f>_xlfn.IFERROR(I105/E105-1,"")</f>
        <v/>
      </c>
      <c r="M105" s="186" t="n">
        <v>258</v>
      </c>
      <c r="N105" s="287" t="n">
        <v>7.318</v>
      </c>
      <c r="O105" s="287" t="n">
        <v>5.88885</v>
      </c>
      <c r="P105" s="287">
        <f>O105/N105</f>
        <v/>
      </c>
      <c r="Q105" s="186" t="n"/>
      <c r="R105" s="287" t="n">
        <v>0</v>
      </c>
      <c r="S105" s="287" t="n">
        <v>0</v>
      </c>
      <c r="T105" s="287">
        <f>S105/R105</f>
        <v/>
      </c>
      <c r="U105" s="286">
        <f>_xlfn.IFERROR(T105-P105,"")</f>
        <v/>
      </c>
      <c r="V105" s="119">
        <f>_xlfn.IFERROR(S105/O105-1,"")</f>
        <v/>
      </c>
      <c r="W105" s="186" t="n">
        <v>57</v>
      </c>
      <c r="X105" s="287" t="n">
        <v>1.595</v>
      </c>
      <c r="Y105" s="287" t="n">
        <v>1.10138</v>
      </c>
      <c r="Z105" s="287">
        <f>Y105/X105</f>
        <v/>
      </c>
      <c r="AA105" s="186" t="n"/>
      <c r="AB105" s="287" t="n">
        <v>0</v>
      </c>
      <c r="AC105" s="287" t="n">
        <v>0</v>
      </c>
      <c r="AD105" s="287">
        <f>AC105/AB105</f>
        <v/>
      </c>
      <c r="AE105" s="286">
        <f>_xlfn.IFERROR(AD105-Z105,"")</f>
        <v/>
      </c>
      <c r="AF105" s="119">
        <f>_xlfn.IFERROR(AC105/Y105-1,"")</f>
        <v/>
      </c>
      <c r="AG105" s="186" t="n">
        <v>114</v>
      </c>
      <c r="AH105" s="287" t="n">
        <v>1.71</v>
      </c>
      <c r="AI105" s="287" t="n">
        <v>1.20411</v>
      </c>
      <c r="AJ105" s="287">
        <f>AI105/AH105</f>
        <v/>
      </c>
      <c r="AK105" s="186" t="n"/>
      <c r="AL105" s="287" t="n">
        <v>0</v>
      </c>
      <c r="AM105" s="287" t="n">
        <v>0</v>
      </c>
      <c r="AN105" s="287">
        <f>AM105/AL105</f>
        <v/>
      </c>
      <c r="AO105" s="286">
        <f>_xlfn.IFERROR(AN105-AJ105,"")</f>
        <v/>
      </c>
      <c r="AP105" s="119">
        <f>_xlfn.IFERROR(AM105/AI105-1,"")</f>
        <v/>
      </c>
      <c r="AQ105" s="186" t="n">
        <v>82</v>
      </c>
      <c r="AR105" s="287" t="n">
        <v>1.4897</v>
      </c>
      <c r="AS105" s="287" t="n">
        <v>1.15438</v>
      </c>
      <c r="AT105" s="285">
        <f>_xlfn.IFERROR(AS105/AR105,"")</f>
        <v/>
      </c>
      <c r="AU105" s="186" t="n"/>
      <c r="AV105" s="287" t="n">
        <v>0</v>
      </c>
      <c r="AW105" s="287" t="n">
        <v>0</v>
      </c>
      <c r="AX105" s="287">
        <f>AW105/AV105</f>
        <v/>
      </c>
      <c r="AY105" s="286">
        <f>_xlfn.IFERROR(AX105-AT105,"")</f>
        <v/>
      </c>
      <c r="AZ105" s="119">
        <f>_xlfn.IFERROR(AW105/AS105-1,"")</f>
        <v/>
      </c>
      <c r="BA105" s="186" t="n">
        <v>61</v>
      </c>
      <c r="BB105" s="287" t="n">
        <v>1.0305</v>
      </c>
      <c r="BC105" s="287" t="n">
        <v>0.91122</v>
      </c>
      <c r="BD105" s="287">
        <f>BC105/BB105</f>
        <v/>
      </c>
      <c r="BE105" s="186" t="n"/>
      <c r="BF105" s="287" t="n">
        <v>0</v>
      </c>
      <c r="BG105" s="287" t="n">
        <v>0</v>
      </c>
      <c r="BH105" s="287">
        <f>BG105/BF105</f>
        <v/>
      </c>
      <c r="BI105" s="288">
        <f>_xlfn.IFERROR(BN105/((BF105/4)*30),"")</f>
        <v/>
      </c>
      <c r="BJ105" s="289">
        <f>_xlfn.IFERROR(BE105/4*31,"")</f>
        <v/>
      </c>
      <c r="BK105" s="290">
        <f>_xlfn.IFERROR(BG105/4*31,"")</f>
        <v/>
      </c>
      <c r="BL105" s="291">
        <f>_xlfn.IFERROR(BH105-BD105,"")</f>
        <v/>
      </c>
      <c r="BM105" s="150">
        <f>_xlfn.IFERROR(BK105/BC105-1,"")</f>
        <v/>
      </c>
      <c r="BN105" s="291" t="n">
        <v>0</v>
      </c>
    </row>
    <row r="106" ht="13.5" customHeight="1" s="245">
      <c r="A106" s="183" t="inlineStr">
        <is>
          <t>Withdrawn Shelving Summary</t>
        </is>
      </c>
      <c r="B106" s="109" t="n"/>
      <c r="C106" s="183" t="n">
        <v>7863</v>
      </c>
      <c r="D106" s="152" t="n">
        <v>185.4521</v>
      </c>
      <c r="E106" s="152" t="n">
        <v>121.991631</v>
      </c>
      <c r="F106" s="285">
        <f>E106/D106</f>
        <v/>
      </c>
      <c r="G106" s="183" t="n">
        <v>1519</v>
      </c>
      <c r="H106" s="285" t="n">
        <v>38.6187</v>
      </c>
      <c r="I106" s="285" t="n">
        <v>15.988</v>
      </c>
      <c r="J106" s="285">
        <f>I106/H106</f>
        <v/>
      </c>
      <c r="K106" s="292">
        <f>_xlfn.IFERROR(J106-F106,"")</f>
        <v/>
      </c>
      <c r="L106" s="121">
        <f>_xlfn.IFERROR(I106/E106-1,"")</f>
        <v/>
      </c>
      <c r="M106" s="117" t="n">
        <v>3061</v>
      </c>
      <c r="N106" s="285" t="n">
        <v>88.4485</v>
      </c>
      <c r="O106" s="285" t="n">
        <v>58.194778</v>
      </c>
      <c r="P106" s="285">
        <f>O106/N106</f>
        <v/>
      </c>
      <c r="Q106" s="183" t="n">
        <v>625</v>
      </c>
      <c r="R106" s="285" t="n">
        <v>16.9742</v>
      </c>
      <c r="S106" s="285" t="n">
        <v>6.87999</v>
      </c>
      <c r="T106" s="285">
        <f>S106/R106</f>
        <v/>
      </c>
      <c r="U106" s="292">
        <f>_xlfn.IFERROR(T106-P106,"")</f>
        <v/>
      </c>
      <c r="V106" s="121">
        <f>_xlfn.IFERROR(S106/O106-1,"")</f>
        <v/>
      </c>
      <c r="W106" s="117" t="n">
        <v>1570</v>
      </c>
      <c r="X106" s="285" t="n">
        <v>36.0967</v>
      </c>
      <c r="Y106" s="285" t="n">
        <v>24.60515</v>
      </c>
      <c r="Z106" s="285">
        <f>Y106/X106</f>
        <v/>
      </c>
      <c r="AA106" s="183" t="n">
        <v>340</v>
      </c>
      <c r="AB106" s="285" t="n">
        <v>9.1053</v>
      </c>
      <c r="AC106" s="285" t="n">
        <v>4.2064</v>
      </c>
      <c r="AD106" s="285">
        <f>AC106/AB106</f>
        <v/>
      </c>
      <c r="AE106" s="292">
        <f>_xlfn.IFERROR(AD106-Z106,"")</f>
        <v/>
      </c>
      <c r="AF106" s="121">
        <f>_xlfn.IFERROR(AC106/Y106-1,"")</f>
        <v/>
      </c>
      <c r="AG106" s="117" t="n">
        <v>1361</v>
      </c>
      <c r="AH106" s="285" t="n">
        <v>26.7206</v>
      </c>
      <c r="AI106" s="285" t="n">
        <v>17.12673</v>
      </c>
      <c r="AJ106" s="285">
        <f>AI106/AH106</f>
        <v/>
      </c>
      <c r="AK106" s="183" t="n">
        <v>197</v>
      </c>
      <c r="AL106" s="285" t="n">
        <v>5.0322</v>
      </c>
      <c r="AM106" s="285" t="n">
        <v>2.98914</v>
      </c>
      <c r="AN106" s="285">
        <f>AM106/AL106</f>
        <v/>
      </c>
      <c r="AO106" s="292">
        <f>_xlfn.IFERROR(AN106-AJ106,"")</f>
        <v/>
      </c>
      <c r="AP106" s="121">
        <f>_xlfn.IFERROR(AM106/AI106-1,"")</f>
        <v/>
      </c>
      <c r="AQ106" s="117" t="n">
        <v>1617</v>
      </c>
      <c r="AR106" s="285" t="n">
        <v>29.5636</v>
      </c>
      <c r="AS106" s="285" t="n">
        <v>18.996209</v>
      </c>
      <c r="AT106" s="285">
        <f>_xlfn.IFERROR(AS106/AR106,"")</f>
        <v/>
      </c>
      <c r="AU106" s="183" t="n">
        <v>357</v>
      </c>
      <c r="AV106" s="285" t="n">
        <v>7.507</v>
      </c>
      <c r="AW106" s="285" t="n">
        <v>1.91247</v>
      </c>
      <c r="AX106" s="285">
        <f>AW106/AV106</f>
        <v/>
      </c>
      <c r="AY106" s="292">
        <f>_xlfn.IFERROR(AX106-AT106,"")</f>
        <v/>
      </c>
      <c r="AZ106" s="121">
        <f>_xlfn.IFERROR(AW106/AS106-1,"")</f>
        <v/>
      </c>
      <c r="BA106" s="117" t="n">
        <v>2265</v>
      </c>
      <c r="BB106" s="285" t="n">
        <v>43.0366</v>
      </c>
      <c r="BC106" s="285" t="n">
        <v>26.335116</v>
      </c>
      <c r="BD106" s="285">
        <f>BC106/BB106</f>
        <v/>
      </c>
      <c r="BE106" s="142" t="n"/>
      <c r="BF106" s="293" t="n">
        <v>0</v>
      </c>
      <c r="BG106" s="293" t="n">
        <v>0</v>
      </c>
      <c r="BH106" s="293">
        <f>BG106/BF106</f>
        <v/>
      </c>
      <c r="BI106" s="288">
        <f>_xlfn.IFERROR(BN106/((BF106/4)*30),"")</f>
        <v/>
      </c>
      <c r="BJ106" s="294">
        <f>_xlfn.IFERROR(BE106/4*31,"")</f>
        <v/>
      </c>
      <c r="BK106" s="295">
        <f>_xlfn.IFERROR(BG106/4*31,"")</f>
        <v/>
      </c>
      <c r="BL106" s="291">
        <f>_xlfn.IFERROR(BH106-BD106,"")</f>
        <v/>
      </c>
      <c r="BM106" s="150">
        <f>_xlfn.IFERROR(BK106/BC106-1,"")</f>
        <v/>
      </c>
      <c r="BN106" s="291">
        <f>SUM(BN83:BN105)</f>
        <v/>
      </c>
    </row>
    <row r="107" ht="13.5" customHeight="1" s="245">
      <c r="A107" s="155" t="inlineStr">
        <is>
          <t>Total</t>
        </is>
      </c>
      <c r="B107" s="154" t="n"/>
      <c r="C107" s="155" t="n">
        <v>63449</v>
      </c>
      <c r="D107" s="152" t="n">
        <v>1443.2863</v>
      </c>
      <c r="E107" s="152" t="n">
        <v>1046.737855</v>
      </c>
      <c r="F107" s="296">
        <f>E107/D107</f>
        <v/>
      </c>
      <c r="G107" s="155" t="n">
        <v>68554</v>
      </c>
      <c r="H107" s="296" t="n">
        <v>1691.7263</v>
      </c>
      <c r="I107" s="296" t="n">
        <v>1140.474477</v>
      </c>
      <c r="J107" s="296">
        <f>I107/H107</f>
        <v/>
      </c>
      <c r="K107" s="292">
        <f>_xlfn.IFERROR(J107-F107,"")</f>
        <v/>
      </c>
      <c r="L107" s="121">
        <f>_xlfn.IFERROR(I107/E107-1,"")</f>
        <v/>
      </c>
      <c r="M107" s="157" t="n">
        <v>22238</v>
      </c>
      <c r="N107" s="296" t="n">
        <v>622.1261</v>
      </c>
      <c r="O107" s="296" t="n">
        <v>464.737785</v>
      </c>
      <c r="P107" s="296">
        <f>O107/N107</f>
        <v/>
      </c>
      <c r="Q107" s="155" t="n">
        <v>29832</v>
      </c>
      <c r="R107" s="296" t="n">
        <v>820.4185</v>
      </c>
      <c r="S107" s="296" t="n">
        <v>596.270482</v>
      </c>
      <c r="T107" s="296">
        <f>S107/R107</f>
        <v/>
      </c>
      <c r="U107" s="292">
        <f>_xlfn.IFERROR(T107-P107,"")</f>
        <v/>
      </c>
      <c r="V107" s="121">
        <f>_xlfn.IFERROR(S107/O107-1,"")</f>
        <v/>
      </c>
      <c r="W107" s="157" t="n">
        <v>14635</v>
      </c>
      <c r="X107" s="296" t="n">
        <v>317.2802</v>
      </c>
      <c r="Y107" s="296" t="n">
        <v>228.15251</v>
      </c>
      <c r="Z107" s="296">
        <f>Y107/X107</f>
        <v/>
      </c>
      <c r="AA107" s="155" t="n">
        <v>11420</v>
      </c>
      <c r="AB107" s="296" t="n">
        <v>317.4369</v>
      </c>
      <c r="AC107" s="296" t="n">
        <v>193.314802</v>
      </c>
      <c r="AD107" s="296">
        <f>AC107/AB107</f>
        <v/>
      </c>
      <c r="AE107" s="292">
        <f>_xlfn.IFERROR(AD107-Z107,"")</f>
        <v/>
      </c>
      <c r="AF107" s="121">
        <f>_xlfn.IFERROR(AC107/Y107-1,"")</f>
        <v/>
      </c>
      <c r="AG107" s="157" t="n">
        <v>11702</v>
      </c>
      <c r="AH107" s="296" t="n">
        <v>233.2094</v>
      </c>
      <c r="AI107" s="296" t="n">
        <v>161.010206</v>
      </c>
      <c r="AJ107" s="296">
        <f>AI107/AH107</f>
        <v/>
      </c>
      <c r="AK107" s="155" t="n">
        <v>13201</v>
      </c>
      <c r="AL107" s="296" t="n">
        <v>296.3746</v>
      </c>
      <c r="AM107" s="296" t="n">
        <v>172.146752</v>
      </c>
      <c r="AN107" s="296">
        <f>AM107/AL107</f>
        <v/>
      </c>
      <c r="AO107" s="292">
        <f>_xlfn.IFERROR(AN107-AJ107,"")</f>
        <v/>
      </c>
      <c r="AP107" s="121">
        <f>_xlfn.IFERROR(AM107/AI107-1,"")</f>
        <v/>
      </c>
      <c r="AQ107" s="157" t="n">
        <v>11664</v>
      </c>
      <c r="AR107" s="296" t="n">
        <v>210.6011</v>
      </c>
      <c r="AS107" s="296" t="n">
        <v>155.164822</v>
      </c>
      <c r="AT107" s="285">
        <f>_xlfn.IFERROR(AS107/AR107,"")</f>
        <v/>
      </c>
      <c r="AU107" s="155" t="n">
        <v>11648</v>
      </c>
      <c r="AV107" s="296" t="n">
        <v>214.2436</v>
      </c>
      <c r="AW107" s="296" t="n">
        <v>147.011081</v>
      </c>
      <c r="AX107" s="296">
        <f>AW107/AV107</f>
        <v/>
      </c>
      <c r="AY107" s="292">
        <f>_xlfn.IFERROR(AX107-AT107,"")</f>
        <v/>
      </c>
      <c r="AZ107" s="121">
        <f>_xlfn.IFERROR(AW107/AS107-1,"")</f>
        <v/>
      </c>
      <c r="BA107" s="157" t="n">
        <v>17035</v>
      </c>
      <c r="BB107" s="296" t="n">
        <v>319.634</v>
      </c>
      <c r="BC107" s="296" t="n">
        <v>219.98077</v>
      </c>
      <c r="BD107" s="296">
        <f>BC107/BB107</f>
        <v/>
      </c>
      <c r="BE107" s="142" t="n">
        <v>2453</v>
      </c>
      <c r="BF107" s="293" t="n">
        <v>43.2527</v>
      </c>
      <c r="BG107" s="293" t="n">
        <v>31.73136</v>
      </c>
      <c r="BH107" s="293">
        <f>BG107/BF107</f>
        <v/>
      </c>
      <c r="BI107" s="288">
        <f>_xlfn.IFERROR(BN107/((BF107/4)*30),"")</f>
        <v/>
      </c>
      <c r="BJ107" s="297">
        <f>_xlfn.IFERROR(BE107/4*31,"")</f>
        <v/>
      </c>
      <c r="BK107" s="298">
        <f>_xlfn.IFERROR(BG107/4*31,"")</f>
        <v/>
      </c>
      <c r="BL107" s="291">
        <f>_xlfn.IFERROR(BH107-BD107,"")</f>
        <v/>
      </c>
      <c r="BM107" s="150">
        <f>_xlfn.IFERROR(BK107/BC107-1,"")</f>
        <v/>
      </c>
      <c r="BN107" s="291">
        <f>BN106+BN82+BN79+BN61+BN32</f>
        <v/>
      </c>
    </row>
    <row r="108" ht="13.5" customHeight="1" s="245">
      <c r="A108" s="31" t="n"/>
      <c r="B108" s="31" t="n"/>
      <c r="C108" s="31" t="n"/>
      <c r="D108" s="31" t="n"/>
      <c r="E108" s="31" t="n"/>
      <c r="F108" s="31" t="n"/>
      <c r="G108" s="31" t="n"/>
      <c r="H108" s="31" t="n"/>
      <c r="I108" s="31" t="n"/>
      <c r="J108" s="31" t="n"/>
      <c r="K108" s="31" t="n"/>
      <c r="L108" s="158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158" t="n"/>
      <c r="W108" s="31" t="n"/>
      <c r="X108" s="31" t="n"/>
      <c r="Y108" s="31" t="n"/>
      <c r="Z108" s="31" t="n"/>
      <c r="AA108" s="31" t="n"/>
      <c r="AB108" s="31" t="n"/>
      <c r="AC108" s="31" t="n"/>
      <c r="AD108" s="31" t="n"/>
      <c r="AE108" s="31" t="n"/>
      <c r="AF108" s="158" t="n"/>
      <c r="AG108" s="31" t="n"/>
      <c r="AH108" s="31" t="n"/>
      <c r="AI108" s="31" t="n"/>
      <c r="AJ108" s="31" t="n"/>
      <c r="AK108" s="31" t="n"/>
      <c r="AL108" s="31" t="n"/>
      <c r="AM108" s="31" t="n"/>
      <c r="AN108" s="31" t="n"/>
      <c r="AO108" s="31" t="n"/>
      <c r="AP108" s="158" t="n"/>
      <c r="AQ108" s="31" t="n"/>
      <c r="AR108" s="31" t="n"/>
      <c r="AS108" s="31" t="n"/>
      <c r="AT108" s="31" t="n"/>
      <c r="AU108" s="31" t="n"/>
      <c r="AV108" s="31" t="n"/>
      <c r="AW108" s="31" t="n"/>
      <c r="AX108" s="31" t="n"/>
      <c r="AY108" s="31" t="n"/>
      <c r="AZ108" s="158" t="n"/>
      <c r="BA108" s="31" t="n"/>
      <c r="BB108" s="31" t="n"/>
      <c r="BC108" s="31" t="n"/>
      <c r="BD108" s="31" t="n"/>
      <c r="BE108" s="31" t="n"/>
      <c r="BF108" s="31" t="n"/>
      <c r="BG108" s="31" t="n"/>
      <c r="BH108" s="31" t="n"/>
      <c r="BI108" s="299" t="n"/>
      <c r="BJ108" s="31" t="n"/>
      <c r="BK108" s="31" t="n"/>
      <c r="BL108" s="31" t="n"/>
      <c r="BM108" s="31" t="n"/>
    </row>
    <row r="109" ht="13.5" customHeight="1" s="245">
      <c r="A109" s="31" t="n"/>
      <c r="B109" s="31" t="n"/>
      <c r="C109" s="31" t="n"/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158" t="n"/>
      <c r="M109" s="31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158" t="n"/>
      <c r="W109" s="31" t="n"/>
      <c r="X109" s="31" t="n"/>
      <c r="Y109" s="31" t="n"/>
      <c r="Z109" s="31" t="n"/>
      <c r="AA109" s="31" t="n"/>
      <c r="AB109" s="31" t="n"/>
      <c r="AC109" s="31" t="n"/>
      <c r="AD109" s="31" t="n"/>
      <c r="AE109" s="31" t="n"/>
      <c r="AF109" s="158" t="n"/>
      <c r="AG109" s="31" t="n"/>
      <c r="AH109" s="31" t="n"/>
      <c r="AI109" s="31" t="n"/>
      <c r="AJ109" s="31" t="n"/>
      <c r="AK109" s="31" t="n"/>
      <c r="AL109" s="31" t="n"/>
      <c r="AM109" s="31" t="n"/>
      <c r="AN109" s="31" t="n"/>
      <c r="AO109" s="31" t="n"/>
      <c r="AP109" s="158" t="n"/>
      <c r="AQ109" s="31" t="n"/>
      <c r="AR109" s="31" t="n"/>
      <c r="AS109" s="31" t="n"/>
      <c r="AT109" s="31" t="n"/>
      <c r="AU109" s="31" t="n"/>
      <c r="AV109" s="31" t="n"/>
      <c r="AW109" s="31" t="n"/>
      <c r="AX109" s="31" t="n"/>
      <c r="AY109" s="31" t="n"/>
      <c r="AZ109" s="158" t="n"/>
      <c r="BA109" s="31" t="n"/>
      <c r="BB109" s="31" t="n"/>
      <c r="BC109" s="31" t="n"/>
      <c r="BD109" s="31" t="n"/>
      <c r="BE109" s="31" t="n"/>
      <c r="BF109" s="31" t="n"/>
      <c r="BG109" s="31" t="n"/>
      <c r="BH109" s="31" t="n"/>
      <c r="BI109" s="299" t="n"/>
      <c r="BJ109" s="31" t="n"/>
      <c r="BK109" s="31" t="n"/>
      <c r="BL109" s="31" t="n"/>
      <c r="BM109" s="31" t="n"/>
    </row>
    <row r="110" ht="13.5" customHeight="1" s="245">
      <c r="A110" s="31" t="n"/>
      <c r="B110" s="31" t="n"/>
      <c r="C110" s="31" t="n"/>
      <c r="D110" s="31" t="n"/>
      <c r="E110" s="31" t="n"/>
      <c r="F110" s="31" t="n"/>
      <c r="G110" s="31" t="n"/>
      <c r="H110" s="31" t="n"/>
      <c r="I110" s="31" t="n"/>
      <c r="J110" s="31" t="n"/>
      <c r="K110" s="31" t="n"/>
      <c r="L110" s="158" t="n"/>
      <c r="M110" s="31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158" t="n"/>
      <c r="W110" s="31" t="n"/>
      <c r="X110" s="31" t="n"/>
      <c r="Y110" s="31" t="n"/>
      <c r="Z110" s="31" t="n"/>
      <c r="AA110" s="31" t="n"/>
      <c r="AB110" s="31" t="n"/>
      <c r="AC110" s="31" t="n"/>
      <c r="AD110" s="31" t="n"/>
      <c r="AE110" s="31" t="n"/>
      <c r="AF110" s="158" t="n"/>
      <c r="AG110" s="31" t="n"/>
      <c r="AH110" s="31" t="n"/>
      <c r="AI110" s="31" t="n"/>
      <c r="AJ110" s="31" t="n"/>
      <c r="AK110" s="31" t="n"/>
      <c r="AL110" s="31" t="n"/>
      <c r="AM110" s="31" t="n"/>
      <c r="AN110" s="31" t="n"/>
      <c r="AO110" s="31" t="n"/>
      <c r="AP110" s="158" t="n"/>
      <c r="AQ110" s="31" t="n"/>
      <c r="AR110" s="31" t="n"/>
      <c r="AS110" s="31" t="n"/>
      <c r="AT110" s="31" t="n"/>
      <c r="AU110" s="31" t="n"/>
      <c r="AV110" s="31" t="n"/>
      <c r="AW110" s="31" t="n"/>
      <c r="AX110" s="31" t="n"/>
      <c r="AY110" s="31" t="n"/>
      <c r="AZ110" s="158" t="n"/>
      <c r="BA110" s="31" t="n"/>
      <c r="BB110" s="31" t="n"/>
      <c r="BC110" s="31" t="n"/>
      <c r="BD110" s="31" t="n"/>
      <c r="BE110" s="31" t="n"/>
      <c r="BF110" s="31" t="n"/>
      <c r="BG110" s="31" t="n"/>
      <c r="BH110" s="31" t="n"/>
      <c r="BI110" s="299" t="n"/>
      <c r="BJ110" s="31" t="n"/>
      <c r="BK110" s="31" t="n"/>
      <c r="BL110" s="31" t="n"/>
      <c r="BM110" s="31" t="n"/>
    </row>
    <row r="111" ht="13.5" customHeight="1" s="245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158" t="n"/>
      <c r="M111" s="31" t="n"/>
      <c r="N111" s="31" t="n"/>
      <c r="O111" s="31" t="n"/>
      <c r="P111" s="31" t="n"/>
      <c r="Q111" s="31" t="n"/>
      <c r="R111" s="31" t="n"/>
      <c r="S111" s="31" t="n"/>
      <c r="T111" s="31" t="n"/>
      <c r="U111" s="31" t="n"/>
      <c r="V111" s="158" t="n"/>
      <c r="W111" s="31" t="n"/>
      <c r="X111" s="31" t="n"/>
      <c r="Y111" s="31" t="n"/>
      <c r="Z111" s="31" t="n"/>
      <c r="AA111" s="31" t="n"/>
      <c r="AB111" s="31" t="n"/>
      <c r="AC111" s="31" t="n"/>
      <c r="AD111" s="31" t="n"/>
      <c r="AE111" s="31" t="n"/>
      <c r="AF111" s="158" t="n"/>
      <c r="AG111" s="31" t="n"/>
      <c r="AH111" s="31" t="n"/>
      <c r="AI111" s="31" t="n"/>
      <c r="AJ111" s="31" t="n"/>
      <c r="AK111" s="31" t="n"/>
      <c r="AL111" s="31" t="n"/>
      <c r="AM111" s="31" t="n"/>
      <c r="AN111" s="31" t="n"/>
      <c r="AO111" s="31" t="n"/>
      <c r="AP111" s="158" t="n"/>
      <c r="AQ111" s="31" t="n"/>
      <c r="AR111" s="31" t="n"/>
      <c r="AS111" s="31" t="n"/>
      <c r="AT111" s="31" t="n"/>
      <c r="AU111" s="31" t="n"/>
      <c r="AV111" s="31" t="n"/>
      <c r="AW111" s="31" t="n"/>
      <c r="AX111" s="31" t="n"/>
      <c r="AY111" s="31" t="n"/>
      <c r="AZ111" s="158" t="n"/>
      <c r="BA111" s="31" t="n"/>
      <c r="BB111" s="31" t="n"/>
      <c r="BC111" s="31" t="n"/>
      <c r="BD111" s="31" t="n"/>
      <c r="BE111" s="31" t="n"/>
      <c r="BF111" s="31" t="n"/>
      <c r="BG111" s="31" t="n"/>
      <c r="BH111" s="31" t="n"/>
      <c r="BI111" s="299" t="n"/>
      <c r="BJ111" s="31" t="n"/>
      <c r="BK111" s="31" t="n"/>
      <c r="BL111" s="31" t="n"/>
      <c r="BM111" s="31" t="n"/>
    </row>
  </sheetData>
  <autoFilter ref="A3:BN107"/>
  <mergeCells count="33">
    <mergeCell ref="BM2:BM3"/>
    <mergeCell ref="AQ1:AZ1"/>
    <mergeCell ref="W2:Z2"/>
    <mergeCell ref="AA2:AD2"/>
    <mergeCell ref="AE2:AE3"/>
    <mergeCell ref="Q2:T2"/>
    <mergeCell ref="U2:U3"/>
    <mergeCell ref="AK2:AN2"/>
    <mergeCell ref="AU2:AX2"/>
    <mergeCell ref="BJ2:BJ3"/>
    <mergeCell ref="G2:J2"/>
    <mergeCell ref="AF2:AF3"/>
    <mergeCell ref="K2:K3"/>
    <mergeCell ref="AY2:AY3"/>
    <mergeCell ref="BA2:BD2"/>
    <mergeCell ref="AG1:AP1"/>
    <mergeCell ref="AP2:AP3"/>
    <mergeCell ref="BK2:BK3"/>
    <mergeCell ref="M1:V1"/>
    <mergeCell ref="BE2:BI2"/>
    <mergeCell ref="M2:P2"/>
    <mergeCell ref="AZ2:AZ3"/>
    <mergeCell ref="AG2:AJ2"/>
    <mergeCell ref="C1:L1"/>
    <mergeCell ref="L2:L3"/>
    <mergeCell ref="AO2:AO3"/>
    <mergeCell ref="W1:AF1"/>
    <mergeCell ref="BL2:BL3"/>
    <mergeCell ref="BN2:BN3"/>
    <mergeCell ref="AQ2:AT2"/>
    <mergeCell ref="BA1:BN1"/>
    <mergeCell ref="V2:V3"/>
    <mergeCell ref="C2:F2"/>
  </mergeCells>
  <conditionalFormatting sqref="K2:L2">
    <cfRule type="cellIs" priority="9" operator="lessThan" dxfId="0">
      <formula>0</formula>
    </cfRule>
    <cfRule type="cellIs" priority="10" operator="lessThan" dxfId="0">
      <formula>0</formula>
    </cfRule>
    <cfRule type="cellIs" priority="8" operator="lessThan" dxfId="0">
      <formula>0</formula>
    </cfRule>
  </conditionalFormatting>
  <conditionalFormatting sqref="U2:V2">
    <cfRule type="cellIs" priority="18" operator="lessThan" dxfId="0">
      <formula>0</formula>
    </cfRule>
    <cfRule type="cellIs" priority="19" operator="lessThan" dxfId="0">
      <formula>0</formula>
    </cfRule>
    <cfRule type="cellIs" priority="17" operator="lessThan" dxfId="0">
      <formula>0</formula>
    </cfRule>
  </conditionalFormatting>
  <conditionalFormatting sqref="AE2:AF2">
    <cfRule type="cellIs" priority="27" operator="lessThan" dxfId="0">
      <formula>0</formula>
    </cfRule>
    <cfRule type="cellIs" priority="28" operator="lessThan" dxfId="0">
      <formula>0</formula>
    </cfRule>
    <cfRule type="cellIs" priority="26" operator="lessThan" dxfId="0">
      <formula>0</formula>
    </cfRule>
  </conditionalFormatting>
  <conditionalFormatting sqref="AO2:AP2">
    <cfRule type="cellIs" priority="36" operator="lessThan" dxfId="0">
      <formula>0</formula>
    </cfRule>
    <cfRule type="cellIs" priority="37" operator="lessThan" dxfId="0">
      <formula>0</formula>
    </cfRule>
    <cfRule type="cellIs" priority="35" operator="lessThan" dxfId="0">
      <formula>0</formula>
    </cfRule>
  </conditionalFormatting>
  <conditionalFormatting sqref="AY2:AZ2">
    <cfRule type="cellIs" priority="53" operator="lessThan" dxfId="0">
      <formula>0</formula>
    </cfRule>
    <cfRule type="cellIs" priority="54" operator="lessThan" dxfId="0">
      <formula>0</formula>
    </cfRule>
    <cfRule type="cellIs" priority="52" operator="lessThan" dxfId="0">
      <formula>0</formula>
    </cfRule>
  </conditionalFormatting>
  <conditionalFormatting sqref="BJ2:BK2">
    <cfRule type="cellIs" priority="48" operator="lessThan" dxfId="0">
      <formula>0</formula>
    </cfRule>
    <cfRule type="cellIs" priority="49" operator="lessThan" dxfId="0">
      <formula>0</formula>
    </cfRule>
    <cfRule type="cellIs" priority="47" operator="lessThan" dxfId="0">
      <formula>0</formula>
    </cfRule>
  </conditionalFormatting>
  <conditionalFormatting sqref="BM1:BM1048576">
    <cfRule type="cellIs" priority="1" operator="greaterThan" dxfId="1">
      <formula>0.0001</formula>
    </cfRule>
  </conditionalFormatting>
  <conditionalFormatting sqref="K1:K1048576 U1:U1048576 AE1:AE1048576 AO1:AO1048576 AY1:AY1048576">
    <cfRule type="cellIs" priority="38" operator="equal" dxfId="2">
      <formula>""""""</formula>
    </cfRule>
    <cfRule type="cellIs" priority="39" operator="greaterThan" dxfId="1">
      <formula>0.05</formula>
    </cfRule>
  </conditionalFormatting>
  <conditionalFormatting sqref="L1:L1048576 V1:V1048576 AF1:AF1048576 AP1:AP1048576 AZ1:AZ1048576">
    <cfRule type="cellIs" priority="40" operator="greaterThan" dxfId="1">
      <formula>0.05</formula>
    </cfRule>
    <cfRule type="cellIs" priority="41" operator="greaterThan" dxfId="3">
      <formula>0.0001</formula>
    </cfRule>
    <cfRule type="cellIs" priority="42" operator="greaterThan" dxfId="4">
      <formula>0.001</formula>
    </cfRule>
  </conditionalFormatting>
  <conditionalFormatting sqref="BJ2:BM3">
    <cfRule type="cellIs" priority="44" operator="lessThan" dxfId="0">
      <formula>0</formula>
    </cfRule>
    <cfRule type="cellIs" priority="45" operator="lessThan" dxfId="0">
      <formula>0</formula>
    </cfRule>
    <cfRule type="cellIs" priority="43" operator="lessThan" dxfId="0">
      <formula>0</formula>
    </cfRule>
  </conditionalFormatting>
  <conditionalFormatting sqref="K4:L107 U4:V107 AE4:AF107 AO4:AP107 AY4:AZ107 BJ4:BM107">
    <cfRule type="cellIs" priority="59" operator="lessThan" dxfId="0">
      <formula>0</formula>
    </cfRule>
  </conditionalFormatting>
  <pageMargins left="0.7" right="0.7" top="0.75" bottom="0.75" header="0.3" footer="0.3"/>
  <pageSetup orientation="portrait" paperSize="9" horizontalDpi="600" vertic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44"/>
  <sheetViews>
    <sheetView topLeftCell="A1" workbookViewId="0">
      <pane xSplit="4" ySplit="3" topLeftCell="G70" activePane="bottomRight" state="frozen"/>
      <selection pane="topRight" activeCell="A1" sqref="A1"/>
      <selection pane="bottomLeft" activeCell="A1" sqref="A1"/>
      <selection pane="bottomRight" activeCell="O10" sqref="O10"/>
    </sheetView>
  </sheetViews>
  <sheetFormatPr baseColWidth="8" defaultColWidth="9.00390625" defaultRowHeight="13.5"/>
  <cols>
    <col width="10.50390625" customWidth="1" style="31" min="1" max="2"/>
    <col width="11.375" customWidth="1" style="31" min="3" max="3"/>
    <col width="6.00390625" customWidth="1" style="31" min="4" max="4"/>
    <col width="7.50390625" customWidth="1" style="31" min="5" max="5"/>
    <col width="6.75390625" customWidth="1" style="31" min="6" max="6"/>
    <col width="7.50390625" customWidth="1" style="31" min="7" max="7"/>
    <col width="5.25390625" customWidth="1" style="31" min="8" max="9"/>
    <col width="6.75390625" customWidth="1" style="31" min="10" max="10"/>
    <col width="6.00390625" customWidth="1" style="31" min="11" max="12"/>
    <col width="3.875" customWidth="1" style="31" min="13" max="13"/>
    <col width="10.50390625" customWidth="1" style="31" min="14" max="15"/>
    <col width="11.375" customWidth="1" style="31" min="16" max="16"/>
    <col width="6.00390625" customWidth="1" style="31" min="17" max="17"/>
    <col width="7.50390625" customWidth="1" style="32" min="18" max="18"/>
    <col width="6.75390625" customWidth="1" style="31" min="19" max="20"/>
    <col width="5.25390625" customWidth="1" style="31" min="21" max="22"/>
    <col width="6.75390625" customWidth="1" style="31" min="23" max="24"/>
    <col width="6.00390625" customWidth="1" style="31" min="25" max="25"/>
  </cols>
  <sheetData>
    <row r="1" ht="13.5" customHeight="1" s="245">
      <c r="A1" s="300" t="inlineStr">
        <is>
          <t>Top 10 Sales Rankings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N1" s="300" t="inlineStr">
        <is>
          <t>Sales Ranking Bottom Ten</t>
        </is>
      </c>
      <c r="O1" s="269" t="n"/>
      <c r="P1" s="269" t="n"/>
      <c r="Q1" s="269" t="n"/>
      <c r="R1" s="269" t="n"/>
      <c r="S1" s="269" t="n"/>
      <c r="T1" s="269" t="n"/>
      <c r="U1" s="269" t="n"/>
      <c r="V1" s="269" t="n"/>
      <c r="W1" s="269" t="n"/>
      <c r="X1" s="269" t="n"/>
      <c r="Y1" s="270" t="n"/>
    </row>
    <row r="2" ht="13.5" customHeight="1" s="245">
      <c r="A2" s="186" t="n"/>
      <c r="B2" s="36" t="n"/>
      <c r="C2" s="36" t="n"/>
      <c r="D2" s="36" t="n"/>
      <c r="E2" s="186" t="inlineStr">
        <is>
          <t>Cumulative Sales</t>
        </is>
      </c>
      <c r="F2" s="36" t="n"/>
      <c r="G2" s="36" t="n"/>
      <c r="H2" s="173" t="n"/>
      <c r="I2" s="186" t="inlineStr">
        <is>
          <t>Inventory</t>
        </is>
      </c>
      <c r="J2" s="36" t="n"/>
      <c r="K2" s="301" t="inlineStr">
        <is>
          <t>Sell-through rate</t>
        </is>
      </c>
      <c r="L2" s="302" t="inlineStr">
        <is>
          <t>Stock-to-sales ratio</t>
        </is>
      </c>
      <c r="N2" s="186" t="n"/>
      <c r="O2" s="36" t="n"/>
      <c r="P2" s="36" t="n"/>
      <c r="Q2" s="36" t="n"/>
      <c r="R2" s="90" t="inlineStr">
        <is>
          <t>Cumulative Sales</t>
        </is>
      </c>
      <c r="S2" s="36" t="n"/>
      <c r="T2" s="36" t="n"/>
      <c r="U2" s="173" t="n"/>
      <c r="V2" s="186" t="inlineStr">
        <is>
          <t>Inventory</t>
        </is>
      </c>
      <c r="W2" s="36" t="n"/>
      <c r="X2" s="301" t="inlineStr">
        <is>
          <t>Sell-through rate</t>
        </is>
      </c>
      <c r="Y2" s="302" t="inlineStr">
        <is>
          <t>Stock-to-sales ratio</t>
        </is>
      </c>
    </row>
    <row r="3" ht="13.5" customHeight="1" s="245">
      <c r="A3" s="56" t="inlineStr">
        <is>
          <t>Series</t>
        </is>
      </c>
      <c r="B3" s="81" t="inlineStr">
        <is>
          <t>Category</t>
        </is>
      </c>
      <c r="C3" s="81" t="inlineStr">
        <is>
          <t>Style No.\Color Code</t>
        </is>
      </c>
      <c r="D3" s="81" t="inlineStr">
        <is>
          <t>Tag Price</t>
        </is>
      </c>
      <c r="E3" s="81" t="inlineStr">
        <is>
          <t>Quantity</t>
        </is>
      </c>
      <c r="F3" s="58" t="inlineStr">
        <is>
          <t>Tag Price Amount</t>
        </is>
      </c>
      <c r="G3" s="58" t="inlineStr">
        <is>
          <t>Sales Value</t>
        </is>
      </c>
      <c r="H3" s="58" t="inlineStr">
        <is>
          <t>Discount</t>
        </is>
      </c>
      <c r="I3" s="81" t="inlineStr">
        <is>
          <t>Quantity</t>
        </is>
      </c>
      <c r="J3" s="58" t="inlineStr">
        <is>
          <t>Tag Price Amount</t>
        </is>
      </c>
      <c r="K3" s="282" t="n"/>
      <c r="L3" s="282" t="n"/>
      <c r="N3" s="56" t="inlineStr">
        <is>
          <t>Series</t>
        </is>
      </c>
      <c r="O3" s="81" t="inlineStr">
        <is>
          <t>Category</t>
        </is>
      </c>
      <c r="P3" s="81" t="inlineStr">
        <is>
          <t>Style No.\Color Code</t>
        </is>
      </c>
      <c r="Q3" s="81" t="inlineStr">
        <is>
          <t>Tag Price</t>
        </is>
      </c>
      <c r="R3" s="94" t="inlineStr">
        <is>
          <t>Quantity</t>
        </is>
      </c>
      <c r="S3" s="58" t="inlineStr">
        <is>
          <t>Tag Price Amount</t>
        </is>
      </c>
      <c r="T3" s="58" t="inlineStr">
        <is>
          <t>Sales Value</t>
        </is>
      </c>
      <c r="U3" s="58" t="inlineStr">
        <is>
          <t>Discount</t>
        </is>
      </c>
      <c r="V3" s="81" t="inlineStr">
        <is>
          <t>Quantity</t>
        </is>
      </c>
      <c r="W3" s="58" t="inlineStr">
        <is>
          <t>Tag Price Amount</t>
        </is>
      </c>
      <c r="X3" s="282" t="n"/>
      <c r="Y3" s="282" t="n"/>
    </row>
    <row r="4" ht="13.5" customHeight="1" s="245">
      <c r="A4" s="60" t="inlineStr">
        <is>
          <t>Spring and Summer Home</t>
        </is>
      </c>
      <c r="B4" s="61" t="inlineStr">
        <is>
          <t>Trousers</t>
        </is>
      </c>
      <c r="C4" s="183" t="inlineStr">
        <is>
          <t>113841101\61</t>
        </is>
      </c>
      <c r="D4" s="183" t="n">
        <v>199</v>
      </c>
      <c r="E4" s="183" t="n">
        <v>60</v>
      </c>
      <c r="F4" s="117" t="n">
        <v>11940</v>
      </c>
      <c r="G4" s="117" t="n">
        <v>8781.700000000001</v>
      </c>
      <c r="H4" s="285" t="n">
        <v>0.735485762144054</v>
      </c>
      <c r="I4" s="183" t="n">
        <v>141</v>
      </c>
      <c r="J4" s="117" t="n">
        <v>28059</v>
      </c>
      <c r="K4" s="85">
        <f>E4/(I4+E4)</f>
        <v/>
      </c>
      <c r="L4" s="260">
        <f>I4/(E4/2.1)</f>
        <v/>
      </c>
      <c r="N4" s="60" t="inlineStr">
        <is>
          <t>Spring and Summer Home</t>
        </is>
      </c>
      <c r="O4" s="61" t="inlineStr">
        <is>
          <t>Trousers</t>
        </is>
      </c>
      <c r="P4" s="183" t="inlineStr">
        <is>
          <t>113851106\49</t>
        </is>
      </c>
      <c r="Q4" s="183" t="n">
        <v>799</v>
      </c>
      <c r="R4" s="92" t="n">
        <v>1</v>
      </c>
      <c r="S4" s="117" t="n">
        <v>799</v>
      </c>
      <c r="T4" s="117" t="n">
        <v>562.4</v>
      </c>
      <c r="U4" s="285" t="n">
        <v>0.703879849812265</v>
      </c>
      <c r="V4" s="183" t="n">
        <v>48</v>
      </c>
      <c r="W4" s="117" t="n">
        <v>38352</v>
      </c>
      <c r="X4" s="85">
        <f>R4/(V4+R4)</f>
        <v/>
      </c>
      <c r="Y4" s="260">
        <f>V4/(R4/2.1)</f>
        <v/>
      </c>
    </row>
    <row r="5" ht="13.5" customHeight="1" s="245">
      <c r="A5" s="60" t="inlineStr">
        <is>
          <t>Spring and Summer Home</t>
        </is>
      </c>
      <c r="B5" s="61" t="inlineStr">
        <is>
          <t>Trousers</t>
        </is>
      </c>
      <c r="C5" s="183" t="inlineStr">
        <is>
          <t>113841101\92</t>
        </is>
      </c>
      <c r="D5" s="183" t="n">
        <v>199</v>
      </c>
      <c r="E5" s="183" t="n">
        <v>50</v>
      </c>
      <c r="F5" s="117" t="n">
        <v>9950</v>
      </c>
      <c r="G5" s="117" t="n">
        <v>6955.5</v>
      </c>
      <c r="H5" s="285" t="n">
        <v>0.699045226130653</v>
      </c>
      <c r="I5" s="183" t="n">
        <v>204</v>
      </c>
      <c r="J5" s="117" t="n">
        <v>40596</v>
      </c>
      <c r="K5" s="85">
        <f>E5/(I5+E5)</f>
        <v/>
      </c>
      <c r="L5" s="260">
        <f>I5/(E5/2.1)</f>
        <v/>
      </c>
      <c r="N5" s="60" t="inlineStr">
        <is>
          <t>Spring and Summer Home</t>
        </is>
      </c>
      <c r="O5" s="61" t="inlineStr">
        <is>
          <t>Trousers</t>
        </is>
      </c>
      <c r="P5" s="183" t="inlineStr">
        <is>
          <t>113851106\75</t>
        </is>
      </c>
      <c r="Q5" s="183" t="n">
        <v>799</v>
      </c>
      <c r="R5" s="92" t="n">
        <v>1</v>
      </c>
      <c r="S5" s="117" t="n">
        <v>799</v>
      </c>
      <c r="T5" s="117" t="n">
        <v>639</v>
      </c>
      <c r="U5" s="285" t="n">
        <v>0.7997496871088861</v>
      </c>
      <c r="V5" s="183" t="n">
        <v>54</v>
      </c>
      <c r="W5" s="117" t="n">
        <v>43146</v>
      </c>
      <c r="X5" s="85">
        <f>R5/(V5+R5)</f>
        <v/>
      </c>
      <c r="Y5" s="260">
        <f>V5/(R5/2.1)</f>
        <v/>
      </c>
    </row>
    <row r="6" ht="13.5" customHeight="1" s="245">
      <c r="A6" s="60" t="inlineStr">
        <is>
          <t>Spring and Summer Home</t>
        </is>
      </c>
      <c r="B6" s="61" t="inlineStr">
        <is>
          <t>Trousers</t>
        </is>
      </c>
      <c r="C6" s="183" t="inlineStr">
        <is>
          <t>113841101\80</t>
        </is>
      </c>
      <c r="D6" s="183" t="n">
        <v>199</v>
      </c>
      <c r="E6" s="183" t="n">
        <v>47</v>
      </c>
      <c r="F6" s="117" t="n">
        <v>9353</v>
      </c>
      <c r="G6" s="117" t="n">
        <v>6454.6</v>
      </c>
      <c r="H6" s="285" t="n">
        <v>0.690110125093553</v>
      </c>
      <c r="I6" s="183" t="n">
        <v>74</v>
      </c>
      <c r="J6" s="117" t="n">
        <v>14726</v>
      </c>
      <c r="K6" s="85">
        <f>E6/(I6+E6)</f>
        <v/>
      </c>
      <c r="L6" s="260">
        <f>I6/(E6/2.1)</f>
        <v/>
      </c>
      <c r="N6" s="60" t="inlineStr">
        <is>
          <t>Spring and Summer Home</t>
        </is>
      </c>
      <c r="O6" s="61" t="inlineStr">
        <is>
          <t>Short sleeve</t>
        </is>
      </c>
      <c r="P6" s="183" t="inlineStr">
        <is>
          <t>113811801\75</t>
        </is>
      </c>
      <c r="Q6" s="183" t="n">
        <v>799</v>
      </c>
      <c r="R6" s="92" t="n">
        <v>1</v>
      </c>
      <c r="S6" s="117" t="n">
        <v>799</v>
      </c>
      <c r="T6" s="117" t="n">
        <v>639</v>
      </c>
      <c r="U6" s="285" t="n">
        <v>0.7997496871088861</v>
      </c>
      <c r="V6" s="183" t="n">
        <v>122</v>
      </c>
      <c r="W6" s="117" t="n">
        <v>97478</v>
      </c>
      <c r="X6" s="85">
        <f>R6/(V6+R6)</f>
        <v/>
      </c>
      <c r="Y6" s="260">
        <f>V6/(R6/2.1)</f>
        <v/>
      </c>
    </row>
    <row r="7" ht="13.5" customHeight="1" s="245">
      <c r="A7" s="60" t="inlineStr">
        <is>
          <t>Spring and Summer Home</t>
        </is>
      </c>
      <c r="B7" s="61" t="inlineStr">
        <is>
          <t>Trousers</t>
        </is>
      </c>
      <c r="C7" s="183" t="inlineStr">
        <is>
          <t>113841102\60</t>
        </is>
      </c>
      <c r="D7" s="183" t="n">
        <v>299</v>
      </c>
      <c r="E7" s="183" t="n">
        <v>41</v>
      </c>
      <c r="F7" s="117" t="n">
        <v>12259</v>
      </c>
      <c r="G7" s="117" t="n">
        <v>8399.799999999999</v>
      </c>
      <c r="H7" s="285" t="n">
        <v>0.685194550942165</v>
      </c>
      <c r="I7" s="183" t="n">
        <v>146</v>
      </c>
      <c r="J7" s="117" t="n">
        <v>43654</v>
      </c>
      <c r="K7" s="85">
        <f>E7/(I7+E7)</f>
        <v/>
      </c>
      <c r="L7" s="260">
        <f>I7/(E7/2.1)</f>
        <v/>
      </c>
      <c r="N7" s="60" t="inlineStr">
        <is>
          <t>Spring and Summer Home</t>
        </is>
      </c>
      <c r="O7" s="61" t="inlineStr">
        <is>
          <t>Trousers</t>
        </is>
      </c>
      <c r="P7" s="183" t="inlineStr">
        <is>
          <t>112851305\53</t>
        </is>
      </c>
      <c r="Q7" s="183" t="n">
        <v>259</v>
      </c>
      <c r="R7" s="92" t="n">
        <v>1</v>
      </c>
      <c r="S7" s="117" t="n">
        <v>259</v>
      </c>
      <c r="T7" s="117" t="n">
        <v>233</v>
      </c>
      <c r="U7" s="285" t="n">
        <v>0.8996138996139</v>
      </c>
      <c r="V7" s="183" t="n">
        <v>309</v>
      </c>
      <c r="W7" s="117" t="n">
        <v>80031</v>
      </c>
      <c r="X7" s="85">
        <f>R7/(V7+R7)</f>
        <v/>
      </c>
      <c r="Y7" s="260">
        <f>V7/(R7/2.1)</f>
        <v/>
      </c>
    </row>
    <row r="8" ht="13.5" customHeight="1" s="245">
      <c r="A8" s="60" t="inlineStr">
        <is>
          <t>Spring and Summer Home</t>
        </is>
      </c>
      <c r="B8" s="61" t="inlineStr">
        <is>
          <t>Five-pocket pants</t>
        </is>
      </c>
      <c r="C8" s="183" t="inlineStr">
        <is>
          <t>113851506\75</t>
        </is>
      </c>
      <c r="D8" s="183" t="n">
        <v>299</v>
      </c>
      <c r="E8" s="183" t="n">
        <v>32</v>
      </c>
      <c r="F8" s="117" t="n">
        <v>9568</v>
      </c>
      <c r="G8" s="117" t="n">
        <v>6631.4</v>
      </c>
      <c r="H8" s="285" t="n">
        <v>0.6930811036789301</v>
      </c>
      <c r="I8" s="183" t="n">
        <v>189</v>
      </c>
      <c r="J8" s="117" t="n">
        <v>56511</v>
      </c>
      <c r="K8" s="85">
        <f>E8/(I8+E8)</f>
        <v/>
      </c>
      <c r="L8" s="260">
        <f>I8/(E8/2.1)</f>
        <v/>
      </c>
      <c r="N8" s="60" t="inlineStr">
        <is>
          <t>Spring and Summer Home</t>
        </is>
      </c>
      <c r="O8" s="61" t="inlineStr">
        <is>
          <t>Trousers</t>
        </is>
      </c>
      <c r="P8" s="183" t="inlineStr">
        <is>
          <t>113851105\62</t>
        </is>
      </c>
      <c r="Q8" s="183" t="n">
        <v>399</v>
      </c>
      <c r="R8" s="92" t="n">
        <v>3</v>
      </c>
      <c r="S8" s="117" t="n">
        <v>1197</v>
      </c>
      <c r="T8" s="117" t="n">
        <v>949.5</v>
      </c>
      <c r="U8" s="285" t="n">
        <v>0.793233082706767</v>
      </c>
      <c r="V8" s="183" t="n">
        <v>36</v>
      </c>
      <c r="W8" s="117" t="n">
        <v>14364</v>
      </c>
      <c r="X8" s="85">
        <f>R8/(V8+R8)</f>
        <v/>
      </c>
      <c r="Y8" s="260">
        <f>V8/(R8/2.1)</f>
        <v/>
      </c>
    </row>
    <row r="9" ht="13.5" customHeight="1" s="245">
      <c r="A9" s="60" t="inlineStr">
        <is>
          <t>Spring and Summer Home</t>
        </is>
      </c>
      <c r="B9" s="61" t="inlineStr">
        <is>
          <t>Five-pocket pants</t>
        </is>
      </c>
      <c r="C9" s="183" t="inlineStr">
        <is>
          <t>113851506\62</t>
        </is>
      </c>
      <c r="D9" s="183" t="n">
        <v>299</v>
      </c>
      <c r="E9" s="183" t="n">
        <v>20</v>
      </c>
      <c r="F9" s="117" t="n">
        <v>5980</v>
      </c>
      <c r="G9" s="117" t="n">
        <v>4371.3</v>
      </c>
      <c r="H9" s="285" t="n">
        <v>0.730986622073579</v>
      </c>
      <c r="I9" s="183" t="n">
        <v>195</v>
      </c>
      <c r="J9" s="117" t="n">
        <v>58305</v>
      </c>
      <c r="K9" s="85">
        <f>E9/(I9+E9)</f>
        <v/>
      </c>
      <c r="L9" s="260">
        <f>I9/(E9/2.1)</f>
        <v/>
      </c>
      <c r="N9" s="60" t="inlineStr">
        <is>
          <t>Spring and Summer Home</t>
        </is>
      </c>
      <c r="O9" s="61" t="inlineStr">
        <is>
          <t>Set/Wardrobe</t>
        </is>
      </c>
      <c r="P9" s="183" t="inlineStr">
        <is>
          <t>114871105\80</t>
        </is>
      </c>
      <c r="Q9" s="183" t="n">
        <v>499</v>
      </c>
      <c r="R9" s="92" t="n">
        <v>3</v>
      </c>
      <c r="S9" s="117" t="n">
        <v>1497</v>
      </c>
      <c r="T9" s="117" t="n">
        <v>1347</v>
      </c>
      <c r="U9" s="285" t="n">
        <v>0.899799599198397</v>
      </c>
      <c r="V9" s="183" t="n">
        <v>23</v>
      </c>
      <c r="W9" s="117" t="n">
        <v>11477</v>
      </c>
      <c r="X9" s="85">
        <f>R9/(V9+R9)</f>
        <v/>
      </c>
      <c r="Y9" s="260">
        <f>V9/(R9/2.1)</f>
        <v/>
      </c>
    </row>
    <row r="10" ht="13.5" customHeight="1" s="245">
      <c r="A10" s="60" t="inlineStr">
        <is>
          <t>Spring and Summer Home</t>
        </is>
      </c>
      <c r="B10" s="61" t="inlineStr">
        <is>
          <t>Set/Wardrobe</t>
        </is>
      </c>
      <c r="C10" s="183" t="inlineStr">
        <is>
          <t>112871102\73</t>
        </is>
      </c>
      <c r="D10" s="183" t="n">
        <v>399</v>
      </c>
      <c r="E10" s="183" t="n">
        <v>18</v>
      </c>
      <c r="F10" s="117" t="n">
        <v>7182</v>
      </c>
      <c r="G10" s="117" t="n">
        <v>4971.4</v>
      </c>
      <c r="H10" s="285" t="n">
        <v>0.692202729044834</v>
      </c>
      <c r="I10" s="183" t="n">
        <v>257</v>
      </c>
      <c r="J10" s="117" t="n">
        <v>102543</v>
      </c>
      <c r="K10" s="85">
        <f>E10/(I10+E10)</f>
        <v/>
      </c>
      <c r="L10" s="260">
        <f>I10/(E10/2.1)</f>
        <v/>
      </c>
      <c r="N10" s="60" t="inlineStr">
        <is>
          <t>Spring and Summer Home</t>
        </is>
      </c>
      <c r="O10" s="61" t="inlineStr">
        <is>
          <t>Set/Wardrobe</t>
        </is>
      </c>
      <c r="P10" s="183" t="inlineStr">
        <is>
          <t>114871105\75</t>
        </is>
      </c>
      <c r="Q10" s="183" t="n">
        <v>499</v>
      </c>
      <c r="R10" s="92" t="n">
        <v>4</v>
      </c>
      <c r="S10" s="117" t="n">
        <v>1996</v>
      </c>
      <c r="T10" s="117" t="n">
        <v>1646.5</v>
      </c>
      <c r="U10" s="285" t="n">
        <v>0.824899799599198</v>
      </c>
      <c r="V10" s="183" t="n">
        <v>22</v>
      </c>
      <c r="W10" s="117" t="n">
        <v>10978</v>
      </c>
      <c r="X10" s="85">
        <f>R10/(V10+R10)</f>
        <v/>
      </c>
      <c r="Y10" s="260">
        <f>V10/(R10/2.1)</f>
        <v/>
      </c>
    </row>
    <row r="11" ht="13.5" customHeight="1" s="245">
      <c r="A11" s="60" t="inlineStr">
        <is>
          <t>Spring and Summer Home</t>
        </is>
      </c>
      <c r="B11" s="61" t="inlineStr">
        <is>
          <t>Five-pocket pants</t>
        </is>
      </c>
      <c r="C11" s="183" t="inlineStr">
        <is>
          <t>113851503\73</t>
        </is>
      </c>
      <c r="D11" s="183" t="n">
        <v>299</v>
      </c>
      <c r="E11" s="183" t="n">
        <v>11</v>
      </c>
      <c r="F11" s="117" t="n">
        <v>3289</v>
      </c>
      <c r="G11" s="117" t="n">
        <v>2632.2</v>
      </c>
      <c r="H11" s="285" t="n">
        <v>0.800304043782305</v>
      </c>
      <c r="I11" s="183" t="n">
        <v>254</v>
      </c>
      <c r="J11" s="117" t="n">
        <v>75946</v>
      </c>
      <c r="K11" s="85">
        <f>E11/(I11+E11)</f>
        <v/>
      </c>
      <c r="L11" s="260">
        <f>I11/(E11/2.1)</f>
        <v/>
      </c>
      <c r="N11" s="60" t="inlineStr">
        <is>
          <t>Spring and Summer Home</t>
        </is>
      </c>
      <c r="O11" s="61" t="inlineStr">
        <is>
          <t>Five-pocket pants</t>
        </is>
      </c>
      <c r="P11" s="183" t="inlineStr">
        <is>
          <t>113851505\28</t>
        </is>
      </c>
      <c r="Q11" s="183" t="n">
        <v>399</v>
      </c>
      <c r="R11" s="92" t="n">
        <v>4</v>
      </c>
      <c r="S11" s="117" t="n">
        <v>1596</v>
      </c>
      <c r="T11" s="117" t="n">
        <v>1286.3</v>
      </c>
      <c r="U11" s="285" t="n">
        <v>0.805952380952381</v>
      </c>
      <c r="V11" s="183" t="n">
        <v>160</v>
      </c>
      <c r="W11" s="117" t="n">
        <v>63840</v>
      </c>
      <c r="X11" s="85">
        <f>R11/(V11+R11)</f>
        <v/>
      </c>
      <c r="Y11" s="260">
        <f>V11/(R11/2.1)</f>
        <v/>
      </c>
    </row>
    <row r="12" ht="13.5" customHeight="1" s="245">
      <c r="A12" s="65" t="inlineStr">
        <is>
          <t>Spring and Summer Home</t>
        </is>
      </c>
      <c r="B12" s="66" t="inlineStr">
        <is>
          <t>Trousers</t>
        </is>
      </c>
      <c r="C12" s="87" t="inlineStr">
        <is>
          <t>113851105\75</t>
        </is>
      </c>
      <c r="D12" s="87" t="n">
        <v>399</v>
      </c>
      <c r="E12" s="87" t="n">
        <v>8</v>
      </c>
      <c r="F12" s="131" t="n">
        <v>3192</v>
      </c>
      <c r="G12" s="131" t="n">
        <v>2323.5</v>
      </c>
      <c r="H12" s="303" t="n">
        <v>0.727913533834586</v>
      </c>
      <c r="I12" s="87" t="n">
        <v>28</v>
      </c>
      <c r="J12" s="131" t="n">
        <v>11172</v>
      </c>
      <c r="K12" s="88">
        <f>E12/(I12+E12)</f>
        <v/>
      </c>
      <c r="L12" s="304">
        <f>I12/(E12/2.1)</f>
        <v/>
      </c>
      <c r="N12" s="65" t="inlineStr">
        <is>
          <t>Spring and Summer Home</t>
        </is>
      </c>
      <c r="O12" s="66" t="inlineStr">
        <is>
          <t>Short sleeve</t>
        </is>
      </c>
      <c r="P12" s="87" t="inlineStr">
        <is>
          <t>113811402\75</t>
        </is>
      </c>
      <c r="Q12" s="87" t="n">
        <v>399</v>
      </c>
      <c r="R12" s="93" t="n">
        <v>6</v>
      </c>
      <c r="S12" s="131" t="n">
        <v>2394</v>
      </c>
      <c r="T12" s="131" t="n">
        <v>1676.5</v>
      </c>
      <c r="U12" s="303" t="n">
        <v>0.700292397660819</v>
      </c>
      <c r="V12" s="87" t="n">
        <v>141</v>
      </c>
      <c r="W12" s="131" t="n">
        <v>56259</v>
      </c>
      <c r="X12" s="85">
        <f>R12/(V12+R12)</f>
        <v/>
      </c>
      <c r="Y12" s="260">
        <f>V12/(R12/2.1)</f>
        <v/>
      </c>
    </row>
    <row r="13" ht="13.5" customHeight="1" s="245">
      <c r="A13" s="56" t="inlineStr">
        <is>
          <t>Spring and Summer Underwear</t>
        </is>
      </c>
      <c r="B13" s="81" t="inlineStr">
        <is>
          <t>Tank top</t>
        </is>
      </c>
      <c r="C13" s="81" t="inlineStr">
        <is>
          <t>114511103\00</t>
        </is>
      </c>
      <c r="D13" s="81" t="n">
        <v>99</v>
      </c>
      <c r="E13" s="81" t="n">
        <v>380</v>
      </c>
      <c r="F13" s="58" t="n">
        <v>37620</v>
      </c>
      <c r="G13" s="58" t="n">
        <v>36977</v>
      </c>
      <c r="H13" s="305" t="n">
        <v>0.98290802764487</v>
      </c>
      <c r="I13" s="81" t="n">
        <v>528</v>
      </c>
      <c r="J13" s="58" t="n">
        <v>52272</v>
      </c>
      <c r="K13" s="82">
        <f>E13/(I13+E13)</f>
        <v/>
      </c>
      <c r="L13" s="306">
        <f>I13/(E13/2.1)</f>
        <v/>
      </c>
      <c r="N13" s="56" t="inlineStr">
        <is>
          <t>Spring and Summer Underwear</t>
        </is>
      </c>
      <c r="O13" s="81" t="inlineStr">
        <is>
          <t>Tank top</t>
        </is>
      </c>
      <c r="P13" s="81" t="inlineStr">
        <is>
          <t>111501401\92</t>
        </is>
      </c>
      <c r="Q13" s="81" t="n">
        <v>299</v>
      </c>
      <c r="R13" s="94" t="n">
        <v>1</v>
      </c>
      <c r="S13" s="58" t="n">
        <v>299</v>
      </c>
      <c r="T13" s="58" t="n">
        <v>269</v>
      </c>
      <c r="U13" s="305" t="n">
        <v>0.8996655518394649</v>
      </c>
      <c r="V13" s="81" t="n">
        <v>123</v>
      </c>
      <c r="W13" s="58" t="n">
        <v>36777</v>
      </c>
      <c r="X13" s="85">
        <f>R13/(V13+R13)</f>
        <v/>
      </c>
      <c r="Y13" s="260">
        <f>V13/(R13/2.1)</f>
        <v/>
      </c>
    </row>
    <row r="14" ht="13.5" customHeight="1" s="245">
      <c r="A14" s="60" t="inlineStr">
        <is>
          <t>Spring and Summer Underwear</t>
        </is>
      </c>
      <c r="B14" s="61" t="inlineStr">
        <is>
          <t>Short sleeve</t>
        </is>
      </c>
      <c r="C14" s="183" t="inlineStr">
        <is>
          <t>112511402\10</t>
        </is>
      </c>
      <c r="D14" s="183" t="n">
        <v>159</v>
      </c>
      <c r="E14" s="183" t="n">
        <v>206</v>
      </c>
      <c r="F14" s="117" t="n">
        <v>32754</v>
      </c>
      <c r="G14" s="117" t="n">
        <v>25127.95</v>
      </c>
      <c r="H14" s="285" t="n">
        <v>0.76717194846431</v>
      </c>
      <c r="I14" s="183" t="n">
        <v>697</v>
      </c>
      <c r="J14" s="117" t="n">
        <v>110823</v>
      </c>
      <c r="K14" s="85">
        <f>E14/(I14+E14)</f>
        <v/>
      </c>
      <c r="L14" s="260">
        <f>I14/(E14/2.1)</f>
        <v/>
      </c>
      <c r="N14" s="60" t="inlineStr">
        <is>
          <t>Spring and Summer Underwear</t>
        </is>
      </c>
      <c r="O14" s="61" t="inlineStr">
        <is>
          <t>Tank top</t>
        </is>
      </c>
      <c r="P14" s="183" t="inlineStr">
        <is>
          <t>113511101\10</t>
        </is>
      </c>
      <c r="Q14" s="183" t="n">
        <v>499</v>
      </c>
      <c r="R14" s="92" t="n">
        <v>1</v>
      </c>
      <c r="S14" s="117" t="n">
        <v>499</v>
      </c>
      <c r="T14" s="117" t="n">
        <v>399.2</v>
      </c>
      <c r="U14" s="285" t="n">
        <v>0.8</v>
      </c>
      <c r="V14" s="183" t="n">
        <v>50</v>
      </c>
      <c r="W14" s="117" t="n">
        <v>24950</v>
      </c>
      <c r="X14" s="85">
        <f>R14/(V14+R14)</f>
        <v/>
      </c>
      <c r="Y14" s="260">
        <f>V14/(R14/2.1)</f>
        <v/>
      </c>
    </row>
    <row r="15" ht="13.5" customHeight="1" s="245">
      <c r="A15" s="60" t="inlineStr">
        <is>
          <t>Spring and Summer Underwear</t>
        </is>
      </c>
      <c r="B15" s="61" t="inlineStr">
        <is>
          <t>Short sleeve</t>
        </is>
      </c>
      <c r="C15" s="183" t="inlineStr">
        <is>
          <t>112511402\62</t>
        </is>
      </c>
      <c r="D15" s="183" t="n">
        <v>159</v>
      </c>
      <c r="E15" s="183" t="n">
        <v>191</v>
      </c>
      <c r="F15" s="117" t="n">
        <v>30369</v>
      </c>
      <c r="G15" s="117" t="n">
        <v>23689.4</v>
      </c>
      <c r="H15" s="285" t="n">
        <v>0.7800520267377919</v>
      </c>
      <c r="I15" s="183" t="n">
        <v>691</v>
      </c>
      <c r="J15" s="117" t="n">
        <v>109869</v>
      </c>
      <c r="K15" s="85">
        <f>E15/(I15+E15)</f>
        <v/>
      </c>
      <c r="L15" s="260">
        <f>I15/(E15/2.1)</f>
        <v/>
      </c>
      <c r="N15" s="60" t="inlineStr">
        <is>
          <t>Spring and Summer Underwear</t>
        </is>
      </c>
      <c r="O15" s="61" t="inlineStr">
        <is>
          <t>Short sleeve</t>
        </is>
      </c>
      <c r="P15" s="183" t="inlineStr">
        <is>
          <t>111501101\37</t>
        </is>
      </c>
      <c r="Q15" s="183" t="n">
        <v>329</v>
      </c>
      <c r="R15" s="92" t="n">
        <v>1</v>
      </c>
      <c r="S15" s="117" t="n">
        <v>329</v>
      </c>
      <c r="T15" s="117" t="n">
        <v>329</v>
      </c>
      <c r="U15" s="285" t="n">
        <v>1</v>
      </c>
      <c r="V15" s="183" t="n">
        <v>171</v>
      </c>
      <c r="W15" s="117" t="n">
        <v>56259</v>
      </c>
      <c r="X15" s="85">
        <f>R15/(V15+R15)</f>
        <v/>
      </c>
      <c r="Y15" s="260">
        <f>V15/(R15/2.1)</f>
        <v/>
      </c>
    </row>
    <row r="16" ht="13.5" customHeight="1" s="245">
      <c r="A16" s="60" t="inlineStr">
        <is>
          <t>Spring and Summer Underwear</t>
        </is>
      </c>
      <c r="B16" s="61" t="inlineStr">
        <is>
          <t>Short sleeve</t>
        </is>
      </c>
      <c r="C16" s="183" t="inlineStr">
        <is>
          <t>114511104\00</t>
        </is>
      </c>
      <c r="D16" s="183" t="n">
        <v>99</v>
      </c>
      <c r="E16" s="183" t="n">
        <v>169</v>
      </c>
      <c r="F16" s="117" t="n">
        <v>16731</v>
      </c>
      <c r="G16" s="117" t="n">
        <v>16335</v>
      </c>
      <c r="H16" s="285" t="n">
        <v>0.976331360946746</v>
      </c>
      <c r="I16" s="183" t="n">
        <v>946</v>
      </c>
      <c r="J16" s="117" t="n">
        <v>93654</v>
      </c>
      <c r="K16" s="85">
        <f>E16/(I16+E16)</f>
        <v/>
      </c>
      <c r="L16" s="260">
        <f>I16/(E16/2.1)</f>
        <v/>
      </c>
      <c r="N16" s="60" t="inlineStr">
        <is>
          <t>Spring and Summer Underwear</t>
        </is>
      </c>
      <c r="O16" s="61" t="inlineStr">
        <is>
          <t>Short sleeve</t>
        </is>
      </c>
      <c r="P16" s="183" t="inlineStr">
        <is>
          <t>111501301\80</t>
        </is>
      </c>
      <c r="Q16" s="183" t="n">
        <v>329</v>
      </c>
      <c r="R16" s="92" t="n">
        <v>1</v>
      </c>
      <c r="S16" s="117" t="n">
        <v>329</v>
      </c>
      <c r="T16" s="117" t="n">
        <v>356.75</v>
      </c>
      <c r="U16" s="285" t="n">
        <v>1.08434650455927</v>
      </c>
      <c r="V16" s="183" t="n">
        <v>191</v>
      </c>
      <c r="W16" s="117" t="n">
        <v>62839</v>
      </c>
      <c r="X16" s="85">
        <f>R16/(V16+R16)</f>
        <v/>
      </c>
      <c r="Y16" s="260">
        <f>V16/(R16/2.1)</f>
        <v/>
      </c>
    </row>
    <row r="17" ht="13.5" customHeight="1" s="245">
      <c r="A17" s="60" t="inlineStr">
        <is>
          <t>Spring and Summer Underwear</t>
        </is>
      </c>
      <c r="B17" s="61" t="inlineStr">
        <is>
          <t>Short sleeve</t>
        </is>
      </c>
      <c r="C17" s="183" t="inlineStr">
        <is>
          <t>514105\75</t>
        </is>
      </c>
      <c r="D17" s="183" t="n">
        <v>168</v>
      </c>
      <c r="E17" s="183" t="n">
        <v>138</v>
      </c>
      <c r="F17" s="117" t="n">
        <v>23184</v>
      </c>
      <c r="G17" s="117" t="n">
        <v>17811.2</v>
      </c>
      <c r="H17" s="285" t="n">
        <v>0.768253968253968</v>
      </c>
      <c r="I17" s="183" t="n">
        <v>958</v>
      </c>
      <c r="J17" s="117" t="n">
        <v>160944</v>
      </c>
      <c r="K17" s="85">
        <f>E17/(I17+E17)</f>
        <v/>
      </c>
      <c r="L17" s="260">
        <f>I17/(E17/2.1)</f>
        <v/>
      </c>
      <c r="N17" s="60" t="inlineStr">
        <is>
          <t>Spring and Summer Underwear</t>
        </is>
      </c>
      <c r="O17" s="61" t="inlineStr">
        <is>
          <t>Short sleeve</t>
        </is>
      </c>
      <c r="P17" s="183" t="inlineStr">
        <is>
          <t>111511102\73</t>
        </is>
      </c>
      <c r="Q17" s="183" t="n">
        <v>389</v>
      </c>
      <c r="R17" s="92" t="n">
        <v>1</v>
      </c>
      <c r="S17" s="117" t="n">
        <v>389</v>
      </c>
      <c r="T17" s="117" t="n">
        <v>310</v>
      </c>
      <c r="U17" s="285" t="n">
        <v>0.796915167095116</v>
      </c>
      <c r="V17" s="183" t="n">
        <v>256</v>
      </c>
      <c r="W17" s="117" t="n">
        <v>99584</v>
      </c>
      <c r="X17" s="85">
        <f>R17/(V17+R17)</f>
        <v/>
      </c>
      <c r="Y17" s="260">
        <f>V17/(R17/2.1)</f>
        <v/>
      </c>
    </row>
    <row r="18" ht="13.5" customHeight="1" s="245">
      <c r="A18" s="60" t="inlineStr">
        <is>
          <t>Spring and Summer Underwear</t>
        </is>
      </c>
      <c r="B18" s="61" t="inlineStr">
        <is>
          <t>Short sleeve</t>
        </is>
      </c>
      <c r="C18" s="183" t="inlineStr">
        <is>
          <t>112511402\45</t>
        </is>
      </c>
      <c r="D18" s="183" t="n">
        <v>159</v>
      </c>
      <c r="E18" s="183" t="n">
        <v>120</v>
      </c>
      <c r="F18" s="117" t="n">
        <v>19080</v>
      </c>
      <c r="G18" s="117" t="n">
        <v>15461.02</v>
      </c>
      <c r="H18" s="285" t="n">
        <v>0.8103259958071281</v>
      </c>
      <c r="I18" s="183" t="n">
        <v>1089</v>
      </c>
      <c r="J18" s="117" t="n">
        <v>173151</v>
      </c>
      <c r="K18" s="85">
        <f>E18/(I18+E18)</f>
        <v/>
      </c>
      <c r="L18" s="260">
        <f>I18/(E18/2.1)</f>
        <v/>
      </c>
      <c r="N18" s="60" t="inlineStr">
        <is>
          <t>Spring and Summer Underwear</t>
        </is>
      </c>
      <c r="O18" s="61" t="inlineStr">
        <is>
          <t>Short sleeve</t>
        </is>
      </c>
      <c r="P18" s="183" t="inlineStr">
        <is>
          <t>111511401\80</t>
        </is>
      </c>
      <c r="Q18" s="183" t="n">
        <v>299</v>
      </c>
      <c r="R18" s="92" t="n">
        <v>1</v>
      </c>
      <c r="S18" s="117" t="n">
        <v>299</v>
      </c>
      <c r="T18" s="117" t="n">
        <v>239.2</v>
      </c>
      <c r="U18" s="285" t="n">
        <v>0.8</v>
      </c>
      <c r="V18" s="183" t="n">
        <v>32</v>
      </c>
      <c r="W18" s="117" t="n">
        <v>9568</v>
      </c>
      <c r="X18" s="85">
        <f>R18/(V18+R18)</f>
        <v/>
      </c>
      <c r="Y18" s="260">
        <f>V18/(R18/2.1)</f>
        <v/>
      </c>
    </row>
    <row r="19" ht="13.5" customHeight="1" s="245">
      <c r="A19" s="60" t="inlineStr">
        <is>
          <t>Spring and Summer Underwear</t>
        </is>
      </c>
      <c r="B19" s="61" t="inlineStr">
        <is>
          <t>Short sleeve</t>
        </is>
      </c>
      <c r="C19" s="183" t="inlineStr">
        <is>
          <t>112511402\80</t>
        </is>
      </c>
      <c r="D19" s="183" t="n">
        <v>159</v>
      </c>
      <c r="E19" s="183" t="n">
        <v>99</v>
      </c>
      <c r="F19" s="117" t="n">
        <v>15741</v>
      </c>
      <c r="G19" s="117" t="n">
        <v>12617.95</v>
      </c>
      <c r="H19" s="285" t="n">
        <v>0.801597738390191</v>
      </c>
      <c r="I19" s="183" t="n">
        <v>1110</v>
      </c>
      <c r="J19" s="117" t="n">
        <v>176490</v>
      </c>
      <c r="K19" s="85">
        <f>E19/(I19+E19)</f>
        <v/>
      </c>
      <c r="L19" s="260">
        <f>I19/(E19/2.1)</f>
        <v/>
      </c>
      <c r="N19" s="60" t="inlineStr">
        <is>
          <t>Spring and Summer Underwear</t>
        </is>
      </c>
      <c r="O19" s="61" t="inlineStr">
        <is>
          <t>Short sleeve</t>
        </is>
      </c>
      <c r="P19" s="183" t="inlineStr">
        <is>
          <t>112501301\80</t>
        </is>
      </c>
      <c r="Q19" s="183" t="n">
        <v>329</v>
      </c>
      <c r="R19" s="92" t="n">
        <v>1</v>
      </c>
      <c r="S19" s="117" t="n">
        <v>329</v>
      </c>
      <c r="T19" s="117" t="n">
        <v>246.75</v>
      </c>
      <c r="U19" s="285" t="n">
        <v>0.75</v>
      </c>
      <c r="V19" s="183" t="n">
        <v>106</v>
      </c>
      <c r="W19" s="117" t="n">
        <v>34874</v>
      </c>
      <c r="X19" s="85">
        <f>R19/(V19+R19)</f>
        <v/>
      </c>
      <c r="Y19" s="260">
        <f>V19/(R19/2.1)</f>
        <v/>
      </c>
    </row>
    <row r="20" ht="13.5" customHeight="1" s="245">
      <c r="A20" s="60" t="inlineStr">
        <is>
          <t>Spring and Summer Underwear</t>
        </is>
      </c>
      <c r="B20" s="61" t="inlineStr">
        <is>
          <t>Short sleeve</t>
        </is>
      </c>
      <c r="C20" s="183" t="inlineStr">
        <is>
          <t>112511114\62</t>
        </is>
      </c>
      <c r="D20" s="183" t="n">
        <v>159</v>
      </c>
      <c r="E20" s="183" t="n">
        <v>88</v>
      </c>
      <c r="F20" s="117" t="n">
        <v>13992</v>
      </c>
      <c r="G20" s="117" t="n">
        <v>10507.6</v>
      </c>
      <c r="H20" s="285" t="n">
        <v>0.750971983990852</v>
      </c>
      <c r="I20" s="183" t="n">
        <v>685</v>
      </c>
      <c r="J20" s="117" t="n">
        <v>108915</v>
      </c>
      <c r="K20" s="85">
        <f>E20/(I20+E20)</f>
        <v/>
      </c>
      <c r="L20" s="260">
        <f>I20/(E20/2.1)</f>
        <v/>
      </c>
      <c r="N20" s="60" t="inlineStr">
        <is>
          <t>Spring and Summer Underwear</t>
        </is>
      </c>
      <c r="O20" s="61" t="inlineStr">
        <is>
          <t>Short sleeve</t>
        </is>
      </c>
      <c r="P20" s="183" t="inlineStr">
        <is>
          <t>112501302\48</t>
        </is>
      </c>
      <c r="Q20" s="183" t="n">
        <v>329</v>
      </c>
      <c r="R20" s="92" t="n">
        <v>1</v>
      </c>
      <c r="S20" s="117" t="n">
        <v>329</v>
      </c>
      <c r="T20" s="117" t="n">
        <v>296</v>
      </c>
      <c r="U20" s="285" t="n">
        <v>0.899696048632219</v>
      </c>
      <c r="V20" s="183" t="n">
        <v>85</v>
      </c>
      <c r="W20" s="117" t="n">
        <v>27965</v>
      </c>
      <c r="X20" s="85">
        <f>R20/(V20+R20)</f>
        <v/>
      </c>
      <c r="Y20" s="260">
        <f>V20/(R20/2.1)</f>
        <v/>
      </c>
    </row>
    <row r="21" ht="13.5" customHeight="1" s="245">
      <c r="A21" s="60" t="inlineStr">
        <is>
          <t>Spring and Summer Underwear</t>
        </is>
      </c>
      <c r="B21" s="61" t="inlineStr">
        <is>
          <t>Tank top</t>
        </is>
      </c>
      <c r="C21" s="183" t="inlineStr">
        <is>
          <t>112511103\10</t>
        </is>
      </c>
      <c r="D21" s="183" t="n">
        <v>129</v>
      </c>
      <c r="E21" s="183" t="n">
        <v>78</v>
      </c>
      <c r="F21" s="117" t="n">
        <v>10062</v>
      </c>
      <c r="G21" s="117" t="n">
        <v>8120.3</v>
      </c>
      <c r="H21" s="285" t="n">
        <v>0.8070264360962039</v>
      </c>
      <c r="I21" s="183" t="n">
        <v>758</v>
      </c>
      <c r="J21" s="117" t="n">
        <v>97782</v>
      </c>
      <c r="K21" s="85">
        <f>E21/(I21+E21)</f>
        <v/>
      </c>
      <c r="L21" s="260">
        <f>I21/(E21/2.1)</f>
        <v/>
      </c>
      <c r="N21" s="60" t="inlineStr">
        <is>
          <t>Spring and Summer Underwear</t>
        </is>
      </c>
      <c r="O21" s="61" t="inlineStr">
        <is>
          <t>Short sleeve</t>
        </is>
      </c>
      <c r="P21" s="183" t="inlineStr">
        <is>
          <t>112511102\10</t>
        </is>
      </c>
      <c r="Q21" s="183" t="n">
        <v>389</v>
      </c>
      <c r="R21" s="92" t="n">
        <v>1</v>
      </c>
      <c r="S21" s="117" t="n">
        <v>389</v>
      </c>
      <c r="T21" s="117" t="n">
        <v>272.3</v>
      </c>
      <c r="U21" s="285" t="n">
        <v>0.7</v>
      </c>
      <c r="V21" s="183" t="n">
        <v>195</v>
      </c>
      <c r="W21" s="117" t="n">
        <v>75855</v>
      </c>
      <c r="X21" s="85">
        <f>R21/(V21+R21)</f>
        <v/>
      </c>
      <c r="Y21" s="260">
        <f>V21/(R21/2.1)</f>
        <v/>
      </c>
    </row>
    <row r="22" ht="13.5" customHeight="1" s="245">
      <c r="A22" s="65" t="inlineStr">
        <is>
          <t>Spring and Summer Underwear</t>
        </is>
      </c>
      <c r="B22" s="66" t="inlineStr">
        <is>
          <t>Short sleeve</t>
        </is>
      </c>
      <c r="C22" s="87" t="inlineStr">
        <is>
          <t>514105\10</t>
        </is>
      </c>
      <c r="D22" s="87" t="n">
        <v>168</v>
      </c>
      <c r="E22" s="87" t="n">
        <v>70</v>
      </c>
      <c r="F22" s="131" t="n">
        <v>11760</v>
      </c>
      <c r="G22" s="131" t="n">
        <v>8872.799999999999</v>
      </c>
      <c r="H22" s="303" t="n">
        <v>0.754489795918367</v>
      </c>
      <c r="I22" s="87" t="n">
        <v>1220</v>
      </c>
      <c r="J22" s="131" t="n">
        <v>204960</v>
      </c>
      <c r="K22" s="88">
        <f>E22/(I22+E22)</f>
        <v/>
      </c>
      <c r="L22" s="304">
        <f>I22/(E22/2.1)</f>
        <v/>
      </c>
      <c r="N22" s="65" t="inlineStr">
        <is>
          <t>Spring and Summer Underwear</t>
        </is>
      </c>
      <c r="O22" s="66" t="inlineStr">
        <is>
          <t>Short sleeve</t>
        </is>
      </c>
      <c r="P22" s="87" t="inlineStr">
        <is>
          <t>114511107\10</t>
        </is>
      </c>
      <c r="Q22" s="87" t="n">
        <v>599</v>
      </c>
      <c r="R22" s="93" t="n">
        <v>1</v>
      </c>
      <c r="S22" s="131" t="n">
        <v>599</v>
      </c>
      <c r="T22" s="131" t="n">
        <v>419.3</v>
      </c>
      <c r="U22" s="303" t="n">
        <v>0.7</v>
      </c>
      <c r="V22" s="87" t="n">
        <v>46</v>
      </c>
      <c r="W22" s="131" t="n">
        <v>27554</v>
      </c>
      <c r="X22" s="85">
        <f>R22/(V22+R22)</f>
        <v/>
      </c>
      <c r="Y22" s="260">
        <f>V22/(R22/2.1)</f>
        <v/>
      </c>
    </row>
    <row r="23" ht="13.5" customHeight="1" s="245">
      <c r="A23" s="56" t="inlineStr">
        <is>
          <t>Underwear</t>
        </is>
      </c>
      <c r="B23" s="81" t="inlineStr">
        <is>
          <t>Straight-leg pants</t>
        </is>
      </c>
      <c r="C23" s="81" t="inlineStr">
        <is>
          <t>114631208\00</t>
        </is>
      </c>
      <c r="D23" s="81" t="n">
        <v>99</v>
      </c>
      <c r="E23" s="81" t="n">
        <v>258</v>
      </c>
      <c r="F23" s="58" t="n">
        <v>25542</v>
      </c>
      <c r="G23" s="58" t="n">
        <v>25351</v>
      </c>
      <c r="H23" s="305" t="n">
        <v>0.992522120429097</v>
      </c>
      <c r="I23" s="81" t="n">
        <v>1196</v>
      </c>
      <c r="J23" s="58" t="n">
        <v>118404</v>
      </c>
      <c r="K23" s="82">
        <f>E23/(I23+E23)</f>
        <v/>
      </c>
      <c r="L23" s="306">
        <f>I23/(E23/2.1)</f>
        <v/>
      </c>
      <c r="N23" s="56" t="inlineStr">
        <is>
          <t>Underwear</t>
        </is>
      </c>
      <c r="O23" s="81" t="inlineStr">
        <is>
          <t>Boxer Briefs</t>
        </is>
      </c>
      <c r="P23" s="81" t="inlineStr">
        <is>
          <t>110621204\97</t>
        </is>
      </c>
      <c r="Q23" s="81" t="n">
        <v>98</v>
      </c>
      <c r="R23" s="94" t="n">
        <v>1</v>
      </c>
      <c r="S23" s="58" t="n">
        <v>98</v>
      </c>
      <c r="T23" s="58" t="n">
        <v>98</v>
      </c>
      <c r="U23" s="305" t="n">
        <v>1</v>
      </c>
      <c r="V23" s="81" t="n">
        <v>110</v>
      </c>
      <c r="W23" s="58" t="n">
        <v>10780</v>
      </c>
      <c r="X23" s="85">
        <f>R23/(V23+R23)</f>
        <v/>
      </c>
      <c r="Y23" s="260">
        <f>V23/(R23/2.1)</f>
        <v/>
      </c>
    </row>
    <row r="24" ht="13.5" customHeight="1" s="245">
      <c r="A24" s="60" t="inlineStr">
        <is>
          <t>Underwear</t>
        </is>
      </c>
      <c r="B24" s="61" t="inlineStr">
        <is>
          <t>Triangle Shorts</t>
        </is>
      </c>
      <c r="C24" s="183" t="inlineStr">
        <is>
          <t>614202\95</t>
        </is>
      </c>
      <c r="D24" s="183" t="n">
        <v>68</v>
      </c>
      <c r="E24" s="183" t="n">
        <v>230</v>
      </c>
      <c r="F24" s="117" t="n">
        <v>15640</v>
      </c>
      <c r="G24" s="117" t="n">
        <v>11514.04</v>
      </c>
      <c r="H24" s="285" t="n">
        <v>0.736191815856777</v>
      </c>
      <c r="I24" s="183" t="n">
        <v>1452</v>
      </c>
      <c r="J24" s="117" t="n">
        <v>98736</v>
      </c>
      <c r="K24" s="85">
        <f>E24/(I24+E24)</f>
        <v/>
      </c>
      <c r="L24" s="260">
        <f>I24/(E24/2.1)</f>
        <v/>
      </c>
      <c r="N24" s="60" t="inlineStr">
        <is>
          <t>Underwear</t>
        </is>
      </c>
      <c r="O24" s="61" t="inlineStr">
        <is>
          <t>Boxer Briefs</t>
        </is>
      </c>
      <c r="P24" s="183" t="inlineStr">
        <is>
          <t>110631301\61</t>
        </is>
      </c>
      <c r="Q24" s="183" t="n">
        <v>88</v>
      </c>
      <c r="R24" s="92" t="n">
        <v>1</v>
      </c>
      <c r="S24" s="117" t="n">
        <v>88</v>
      </c>
      <c r="T24" s="117" t="n">
        <v>86</v>
      </c>
      <c r="U24" s="285" t="n">
        <v>0.977272727272727</v>
      </c>
      <c r="V24" s="183" t="n">
        <v>-1</v>
      </c>
      <c r="W24" s="117" t="n">
        <v>-88</v>
      </c>
      <c r="X24" s="85">
        <f>R24/(V24+R24)</f>
        <v/>
      </c>
      <c r="Y24" s="260">
        <f>V24/(R24/2.1)</f>
        <v/>
      </c>
    </row>
    <row r="25" ht="13.5" customHeight="1" s="245">
      <c r="A25" s="60" t="inlineStr">
        <is>
          <t>Underwear</t>
        </is>
      </c>
      <c r="B25" s="61" t="inlineStr">
        <is>
          <t>Triangle Shorts</t>
        </is>
      </c>
      <c r="C25" s="183" t="inlineStr">
        <is>
          <t>614202\75</t>
        </is>
      </c>
      <c r="D25" s="183" t="n">
        <v>68</v>
      </c>
      <c r="E25" s="183" t="n">
        <v>217</v>
      </c>
      <c r="F25" s="117" t="n">
        <v>14756</v>
      </c>
      <c r="G25" s="117" t="n">
        <v>11029.48</v>
      </c>
      <c r="H25" s="285" t="n">
        <v>0.7474573055028459</v>
      </c>
      <c r="I25" s="183" t="n">
        <v>932</v>
      </c>
      <c r="J25" s="117" t="n">
        <v>63376</v>
      </c>
      <c r="K25" s="85">
        <f>E25/(I25+E25)</f>
        <v/>
      </c>
      <c r="L25" s="260">
        <f>I25/(E25/2.1)</f>
        <v/>
      </c>
      <c r="N25" s="60" t="inlineStr">
        <is>
          <t>Underwear</t>
        </is>
      </c>
      <c r="O25" s="61" t="inlineStr">
        <is>
          <t>Straight-leg pants</t>
        </is>
      </c>
      <c r="P25" s="183" t="inlineStr">
        <is>
          <t>111631209\90</t>
        </is>
      </c>
      <c r="Q25" s="183" t="n">
        <v>158</v>
      </c>
      <c r="R25" s="92" t="n">
        <v>1</v>
      </c>
      <c r="S25" s="117" t="n">
        <v>158</v>
      </c>
      <c r="T25" s="117" t="n">
        <v>111</v>
      </c>
      <c r="U25" s="285" t="n">
        <v>0.70253164556962</v>
      </c>
      <c r="V25" s="183" t="n">
        <v>-5</v>
      </c>
      <c r="W25" s="117" t="n">
        <v>-790</v>
      </c>
      <c r="X25" s="85">
        <f>R25/(V25+R25)</f>
        <v/>
      </c>
      <c r="Y25" s="260">
        <f>V25/(R25/2.1)</f>
        <v/>
      </c>
    </row>
    <row r="26" ht="13.5" customHeight="1" s="245">
      <c r="A26" s="60" t="inlineStr">
        <is>
          <t>Underwear</t>
        </is>
      </c>
      <c r="B26" s="61" t="inlineStr">
        <is>
          <t>Triangle Shorts</t>
        </is>
      </c>
      <c r="C26" s="183" t="inlineStr">
        <is>
          <t>109611208\64</t>
        </is>
      </c>
      <c r="D26" s="183" t="n">
        <v>69</v>
      </c>
      <c r="E26" s="183" t="n">
        <v>208</v>
      </c>
      <c r="F26" s="117" t="n">
        <v>14352</v>
      </c>
      <c r="G26" s="117" t="n">
        <v>10676.16</v>
      </c>
      <c r="H26" s="285" t="n">
        <v>0.743879598662207</v>
      </c>
      <c r="I26" s="183" t="n">
        <v>1122</v>
      </c>
      <c r="J26" s="117" t="n">
        <v>77418</v>
      </c>
      <c r="K26" s="85">
        <f>E26/(I26+E26)</f>
        <v/>
      </c>
      <c r="L26" s="260">
        <f>I26/(E26/2.1)</f>
        <v/>
      </c>
      <c r="N26" s="60" t="inlineStr">
        <is>
          <t>Underwear</t>
        </is>
      </c>
      <c r="O26" s="61" t="inlineStr">
        <is>
          <t>Straight-leg pants</t>
        </is>
      </c>
      <c r="P26" s="183" t="inlineStr">
        <is>
          <t>112621203\80</t>
        </is>
      </c>
      <c r="Q26" s="183" t="n">
        <v>69</v>
      </c>
      <c r="R26" s="92" t="n">
        <v>1</v>
      </c>
      <c r="S26" s="117" t="n">
        <v>69</v>
      </c>
      <c r="T26" s="117" t="n">
        <v>69</v>
      </c>
      <c r="U26" s="285" t="n">
        <v>1</v>
      </c>
      <c r="V26" s="183" t="n">
        <v>7</v>
      </c>
      <c r="W26" s="117" t="n">
        <v>483</v>
      </c>
      <c r="X26" s="85">
        <f>R26/(V26+R26)</f>
        <v/>
      </c>
      <c r="Y26" s="260">
        <f>V26/(R26/2.1)</f>
        <v/>
      </c>
    </row>
    <row r="27" ht="13.5" customHeight="1" s="245">
      <c r="A27" s="60" t="inlineStr">
        <is>
          <t>Underwear</t>
        </is>
      </c>
      <c r="B27" s="61" t="inlineStr">
        <is>
          <t>Triangle Shorts</t>
        </is>
      </c>
      <c r="C27" s="183" t="inlineStr">
        <is>
          <t>614202\90</t>
        </is>
      </c>
      <c r="D27" s="183" t="n">
        <v>68</v>
      </c>
      <c r="E27" s="183" t="n">
        <v>202</v>
      </c>
      <c r="F27" s="117" t="n">
        <v>13736</v>
      </c>
      <c r="G27" s="117" t="n">
        <v>10572.86</v>
      </c>
      <c r="H27" s="285" t="n">
        <v>0.769718986604543</v>
      </c>
      <c r="I27" s="183" t="n">
        <v>673</v>
      </c>
      <c r="J27" s="117" t="n">
        <v>45764</v>
      </c>
      <c r="K27" s="85">
        <f>E27/(I27+E27)</f>
        <v/>
      </c>
      <c r="L27" s="260">
        <f>I27/(E27/2.1)</f>
        <v/>
      </c>
      <c r="N27" s="60" t="inlineStr">
        <is>
          <t>Underwear</t>
        </is>
      </c>
      <c r="O27" s="61" t="inlineStr">
        <is>
          <t>Straight-leg pants</t>
        </is>
      </c>
      <c r="P27" s="183" t="inlineStr">
        <is>
          <t>112621204\80</t>
        </is>
      </c>
      <c r="Q27" s="183" t="n">
        <v>69</v>
      </c>
      <c r="R27" s="92" t="n">
        <v>1</v>
      </c>
      <c r="S27" s="117" t="n">
        <v>69</v>
      </c>
      <c r="T27" s="117" t="n">
        <v>69</v>
      </c>
      <c r="U27" s="285" t="n">
        <v>1</v>
      </c>
      <c r="V27" s="183" t="n">
        <v>10</v>
      </c>
      <c r="W27" s="117" t="n">
        <v>690</v>
      </c>
      <c r="X27" s="85">
        <f>R27/(V27+R27)</f>
        <v/>
      </c>
      <c r="Y27" s="260">
        <f>V27/(R27/2.1)</f>
        <v/>
      </c>
    </row>
    <row r="28" ht="13.5" customHeight="1" s="245">
      <c r="A28" s="60" t="inlineStr">
        <is>
          <t>Underwear</t>
        </is>
      </c>
      <c r="B28" s="61" t="inlineStr">
        <is>
          <t>Triangle Shorts</t>
        </is>
      </c>
      <c r="C28" s="183" t="inlineStr">
        <is>
          <t>109611208\48</t>
        </is>
      </c>
      <c r="D28" s="183" t="n">
        <v>69</v>
      </c>
      <c r="E28" s="183" t="n">
        <v>187</v>
      </c>
      <c r="F28" s="117" t="n">
        <v>12903</v>
      </c>
      <c r="G28" s="117" t="n">
        <v>9595.469999999999</v>
      </c>
      <c r="H28" s="285" t="n">
        <v>0.743661939083934</v>
      </c>
      <c r="I28" s="183" t="n">
        <v>905</v>
      </c>
      <c r="J28" s="117" t="n">
        <v>62445</v>
      </c>
      <c r="K28" s="85">
        <f>E28/(I28+E28)</f>
        <v/>
      </c>
      <c r="L28" s="260">
        <f>I28/(E28/2.1)</f>
        <v/>
      </c>
      <c r="N28" s="60" t="inlineStr">
        <is>
          <t>Underwear</t>
        </is>
      </c>
      <c r="O28" s="61" t="inlineStr">
        <is>
          <t>Straight-leg pants</t>
        </is>
      </c>
      <c r="P28" s="183" t="inlineStr">
        <is>
          <t>112621205\10</t>
        </is>
      </c>
      <c r="Q28" s="183" t="n">
        <v>69</v>
      </c>
      <c r="R28" s="92" t="n">
        <v>1</v>
      </c>
      <c r="S28" s="117" t="n">
        <v>69</v>
      </c>
      <c r="T28" s="117" t="n">
        <v>69</v>
      </c>
      <c r="U28" s="285" t="n">
        <v>1</v>
      </c>
      <c r="V28" s="183" t="n">
        <v>6</v>
      </c>
      <c r="W28" s="117" t="n">
        <v>414</v>
      </c>
      <c r="X28" s="85">
        <f>R28/(V28+R28)</f>
        <v/>
      </c>
      <c r="Y28" s="260">
        <f>V28/(R28/2.1)</f>
        <v/>
      </c>
    </row>
    <row r="29" ht="13.5" customHeight="1" s="245">
      <c r="A29" s="60" t="inlineStr">
        <is>
          <t>Underwear</t>
        </is>
      </c>
      <c r="B29" s="61" t="inlineStr">
        <is>
          <t>Triangle Shorts</t>
        </is>
      </c>
      <c r="C29" s="183" t="inlineStr">
        <is>
          <t>614202\61</t>
        </is>
      </c>
      <c r="D29" s="183" t="n">
        <v>68</v>
      </c>
      <c r="E29" s="183" t="n">
        <v>181</v>
      </c>
      <c r="F29" s="117" t="n">
        <v>12308</v>
      </c>
      <c r="G29" s="117" t="n">
        <v>8677.540000000001</v>
      </c>
      <c r="H29" s="285" t="n">
        <v>0.70503249918752</v>
      </c>
      <c r="I29" s="183" t="n">
        <v>1684</v>
      </c>
      <c r="J29" s="117" t="n">
        <v>114512</v>
      </c>
      <c r="K29" s="85">
        <f>E29/(I29+E29)</f>
        <v/>
      </c>
      <c r="L29" s="260">
        <f>I29/(E29/2.1)</f>
        <v/>
      </c>
      <c r="N29" s="60" t="inlineStr">
        <is>
          <t>Underwear</t>
        </is>
      </c>
      <c r="O29" s="61" t="inlineStr">
        <is>
          <t>Straight-leg pants</t>
        </is>
      </c>
      <c r="P29" s="183" t="inlineStr">
        <is>
          <t>112631204\95</t>
        </is>
      </c>
      <c r="Q29" s="183" t="n">
        <v>99</v>
      </c>
      <c r="R29" s="92" t="n">
        <v>1</v>
      </c>
      <c r="S29" s="117" t="n">
        <v>99</v>
      </c>
      <c r="T29" s="117" t="n">
        <v>99</v>
      </c>
      <c r="U29" s="285" t="n">
        <v>1</v>
      </c>
      <c r="V29" s="183" t="n">
        <v>11</v>
      </c>
      <c r="W29" s="117" t="n">
        <v>1089</v>
      </c>
      <c r="X29" s="85">
        <f>R29/(V29+R29)</f>
        <v/>
      </c>
      <c r="Y29" s="260">
        <f>V29/(R29/2.1)</f>
        <v/>
      </c>
    </row>
    <row r="30" ht="13.5" customHeight="1" s="245">
      <c r="A30" s="60" t="inlineStr">
        <is>
          <t>Underwear</t>
        </is>
      </c>
      <c r="B30" s="61" t="inlineStr">
        <is>
          <t>Straight-leg pants</t>
        </is>
      </c>
      <c r="C30" s="183" t="inlineStr">
        <is>
          <t>637214\64</t>
        </is>
      </c>
      <c r="D30" s="183" t="n">
        <v>118</v>
      </c>
      <c r="E30" s="183" t="n">
        <v>161</v>
      </c>
      <c r="F30" s="117" t="n">
        <v>18998</v>
      </c>
      <c r="G30" s="117" t="n">
        <v>13544.78</v>
      </c>
      <c r="H30" s="285" t="n">
        <v>0.712958206126961</v>
      </c>
      <c r="I30" s="183" t="n">
        <v>1815</v>
      </c>
      <c r="J30" s="117" t="n">
        <v>214170</v>
      </c>
      <c r="K30" s="85">
        <f>E30/(I30+E30)</f>
        <v/>
      </c>
      <c r="L30" s="260">
        <f>I30/(E30/2.1)</f>
        <v/>
      </c>
      <c r="N30" s="60" t="inlineStr">
        <is>
          <t>Underwear</t>
        </is>
      </c>
      <c r="O30" s="61" t="inlineStr">
        <is>
          <t>Straight-leg pants</t>
        </is>
      </c>
      <c r="P30" s="183" t="inlineStr">
        <is>
          <t>112631208\16</t>
        </is>
      </c>
      <c r="Q30" s="183" t="n">
        <v>299</v>
      </c>
      <c r="R30" s="92" t="n">
        <v>1</v>
      </c>
      <c r="S30" s="117" t="n">
        <v>299</v>
      </c>
      <c r="T30" s="117" t="n">
        <v>263.1</v>
      </c>
      <c r="U30" s="285" t="n">
        <v>0.879933110367893</v>
      </c>
      <c r="V30" s="183" t="n">
        <v>102</v>
      </c>
      <c r="W30" s="117" t="n">
        <v>30498</v>
      </c>
      <c r="X30" s="85">
        <f>R30/(V30+R30)</f>
        <v/>
      </c>
      <c r="Y30" s="260">
        <f>V30/(R30/2.1)</f>
        <v/>
      </c>
    </row>
    <row r="31" ht="13.5" customHeight="1" s="245">
      <c r="A31" s="60" t="inlineStr">
        <is>
          <t>Underwear</t>
        </is>
      </c>
      <c r="B31" s="61" t="inlineStr">
        <is>
          <t>Straight-leg pants</t>
        </is>
      </c>
      <c r="C31" s="183" t="inlineStr">
        <is>
          <t>637214\90</t>
        </is>
      </c>
      <c r="D31" s="183" t="n">
        <v>118</v>
      </c>
      <c r="E31" s="183" t="n">
        <v>161</v>
      </c>
      <c r="F31" s="117" t="n">
        <v>18998</v>
      </c>
      <c r="G31" s="117" t="n">
        <v>14662.64</v>
      </c>
      <c r="H31" s="285" t="n">
        <v>0.771799136751237</v>
      </c>
      <c r="I31" s="183" t="n">
        <v>1026</v>
      </c>
      <c r="J31" s="117" t="n">
        <v>121068</v>
      </c>
      <c r="K31" s="85">
        <f>E31/(I31+E31)</f>
        <v/>
      </c>
      <c r="L31" s="260">
        <f>I31/(E31/2.1)</f>
        <v/>
      </c>
      <c r="N31" s="60" t="inlineStr">
        <is>
          <t>Underwear</t>
        </is>
      </c>
      <c r="O31" s="61" t="inlineStr">
        <is>
          <t>Straight-leg pants</t>
        </is>
      </c>
      <c r="P31" s="183" t="inlineStr">
        <is>
          <t>112631208\74</t>
        </is>
      </c>
      <c r="Q31" s="183" t="n">
        <v>299</v>
      </c>
      <c r="R31" s="92" t="n">
        <v>1</v>
      </c>
      <c r="S31" s="117" t="n">
        <v>299</v>
      </c>
      <c r="T31" s="117" t="n">
        <v>255</v>
      </c>
      <c r="U31" s="285" t="n">
        <v>0.852842809364548</v>
      </c>
      <c r="V31" s="183" t="n">
        <v>86</v>
      </c>
      <c r="W31" s="117" t="n">
        <v>25714</v>
      </c>
      <c r="X31" s="85">
        <f>R31/(V31+R31)</f>
        <v/>
      </c>
      <c r="Y31" s="260">
        <f>V31/(R31/2.1)</f>
        <v/>
      </c>
    </row>
    <row r="32" ht="13.5" customHeight="1" s="245">
      <c r="A32" s="65" t="inlineStr">
        <is>
          <t>Underwear</t>
        </is>
      </c>
      <c r="B32" s="66" t="inlineStr">
        <is>
          <t>Straight-leg pants</t>
        </is>
      </c>
      <c r="C32" s="87" t="inlineStr">
        <is>
          <t>626248\92</t>
        </is>
      </c>
      <c r="D32" s="87" t="n">
        <v>48</v>
      </c>
      <c r="E32" s="87" t="n">
        <v>150</v>
      </c>
      <c r="F32" s="131" t="n">
        <v>7200</v>
      </c>
      <c r="G32" s="131" t="n">
        <v>5032.2</v>
      </c>
      <c r="H32" s="303" t="n">
        <v>0.698916666666667</v>
      </c>
      <c r="I32" s="87" t="n">
        <v>1811</v>
      </c>
      <c r="J32" s="131" t="n">
        <v>86928</v>
      </c>
      <c r="K32" s="88">
        <f>E32/(I32+E32)</f>
        <v/>
      </c>
      <c r="L32" s="304">
        <f>I32/(E32/2.1)</f>
        <v/>
      </c>
      <c r="N32" s="65" t="inlineStr">
        <is>
          <t>Underwear</t>
        </is>
      </c>
      <c r="O32" s="66" t="inlineStr">
        <is>
          <t>Straight-leg pants</t>
        </is>
      </c>
      <c r="P32" s="87" t="inlineStr">
        <is>
          <t>112631224\80</t>
        </is>
      </c>
      <c r="Q32" s="87" t="n">
        <v>499</v>
      </c>
      <c r="R32" s="93" t="n">
        <v>1</v>
      </c>
      <c r="S32" s="131" t="n">
        <v>499</v>
      </c>
      <c r="T32" s="131" t="n">
        <v>449</v>
      </c>
      <c r="U32" s="303" t="n">
        <v>0.899799599198397</v>
      </c>
      <c r="V32" s="87" t="n">
        <v>12</v>
      </c>
      <c r="W32" s="131" t="n">
        <v>5988</v>
      </c>
      <c r="X32" s="85">
        <f>R32/(V32+R32)</f>
        <v/>
      </c>
      <c r="Y32" s="260">
        <f>V32/(R32/2.1)</f>
        <v/>
      </c>
    </row>
    <row r="33" ht="13.5" customHeight="1" s="245">
      <c r="A33" s="56" t="inlineStr">
        <is>
          <t>Fitness Yoga</t>
        </is>
      </c>
      <c r="B33" s="81" t="inlineStr">
        <is>
          <t>Seven-Eighths Pants</t>
        </is>
      </c>
      <c r="C33" s="81" t="inlineStr">
        <is>
          <t>111321705\80</t>
        </is>
      </c>
      <c r="D33" s="81" t="n">
        <v>278</v>
      </c>
      <c r="E33" s="81" t="n">
        <v>65</v>
      </c>
      <c r="F33" s="58" t="n">
        <v>18070</v>
      </c>
      <c r="G33" s="58" t="n">
        <v>15566.19</v>
      </c>
      <c r="H33" s="305" t="n">
        <v>0.861438295517432</v>
      </c>
      <c r="I33" s="81" t="n">
        <v>65</v>
      </c>
      <c r="J33" s="58" t="n">
        <v>18070</v>
      </c>
      <c r="K33" s="82">
        <f>E33/(I33+E33)</f>
        <v/>
      </c>
      <c r="L33" s="306">
        <f>I33/(E33/2.1)</f>
        <v/>
      </c>
      <c r="N33" s="56" t="inlineStr">
        <is>
          <t>Fitness Yoga</t>
        </is>
      </c>
      <c r="O33" s="81" t="inlineStr">
        <is>
          <t>Tank top</t>
        </is>
      </c>
      <c r="P33" s="81" t="inlineStr">
        <is>
          <t>110301216\31</t>
        </is>
      </c>
      <c r="Q33" s="81" t="n">
        <v>218</v>
      </c>
      <c r="R33" s="94" t="n">
        <v>1</v>
      </c>
      <c r="S33" s="58" t="n">
        <v>218</v>
      </c>
      <c r="T33" s="58" t="n">
        <v>153</v>
      </c>
      <c r="U33" s="305" t="n">
        <v>0.701834862385321</v>
      </c>
      <c r="V33" s="81" t="n">
        <v>93</v>
      </c>
      <c r="W33" s="58" t="n">
        <v>20274</v>
      </c>
      <c r="X33" s="85">
        <f>R33/(V33+R33)</f>
        <v/>
      </c>
      <c r="Y33" s="260">
        <f>V33/(R33/2.1)</f>
        <v/>
      </c>
    </row>
    <row r="34" ht="13.5" customHeight="1" s="245">
      <c r="A34" s="60" t="inlineStr">
        <is>
          <t>Fitness Yoga</t>
        </is>
      </c>
      <c r="B34" s="61" t="inlineStr">
        <is>
          <t>Seven-Eighths Pants</t>
        </is>
      </c>
      <c r="C34" s="183" t="inlineStr">
        <is>
          <t>112321701\80</t>
        </is>
      </c>
      <c r="D34" s="183" t="n">
        <v>298</v>
      </c>
      <c r="E34" s="183" t="n">
        <v>55</v>
      </c>
      <c r="F34" s="117" t="n">
        <v>16390</v>
      </c>
      <c r="G34" s="117" t="n">
        <v>13646.1</v>
      </c>
      <c r="H34" s="285" t="n">
        <v>0.832586943258084</v>
      </c>
      <c r="I34" s="183" t="n">
        <v>65</v>
      </c>
      <c r="J34" s="117" t="n">
        <v>19370</v>
      </c>
      <c r="K34" s="85">
        <f>E34/(I34+E34)</f>
        <v/>
      </c>
      <c r="L34" s="260">
        <f>I34/(E34/2.1)</f>
        <v/>
      </c>
      <c r="N34" s="60" t="inlineStr">
        <is>
          <t>Fitness Yoga</t>
        </is>
      </c>
      <c r="O34" s="61" t="inlineStr">
        <is>
          <t>Tank top</t>
        </is>
      </c>
      <c r="P34" s="183" t="inlineStr">
        <is>
          <t>110301216\38</t>
        </is>
      </c>
      <c r="Q34" s="183" t="n">
        <v>218</v>
      </c>
      <c r="R34" s="92" t="n">
        <v>1</v>
      </c>
      <c r="S34" s="117" t="n">
        <v>218</v>
      </c>
      <c r="T34" s="117" t="n">
        <v>153</v>
      </c>
      <c r="U34" s="285" t="n">
        <v>0.701834862385321</v>
      </c>
      <c r="V34" s="183" t="n">
        <v>77</v>
      </c>
      <c r="W34" s="117" t="n">
        <v>16786</v>
      </c>
      <c r="X34" s="85">
        <f>R34/(V34+R34)</f>
        <v/>
      </c>
      <c r="Y34" s="260">
        <f>V34/(R34/2.1)</f>
        <v/>
      </c>
    </row>
    <row r="35" ht="13.5" customHeight="1" s="245">
      <c r="A35" s="60" t="inlineStr">
        <is>
          <t>Fitness Yoga</t>
        </is>
      </c>
      <c r="B35" s="61" t="inlineStr">
        <is>
          <t>Straight Fit Trousers</t>
        </is>
      </c>
      <c r="C35" s="183" t="inlineStr">
        <is>
          <t>109381111\80</t>
        </is>
      </c>
      <c r="D35" s="183" t="n">
        <v>238</v>
      </c>
      <c r="E35" s="183" t="n">
        <v>38</v>
      </c>
      <c r="F35" s="117" t="n">
        <v>9044</v>
      </c>
      <c r="G35" s="117" t="n">
        <v>7274.97</v>
      </c>
      <c r="H35" s="285" t="n">
        <v>0.804397390535161</v>
      </c>
      <c r="I35" s="183" t="n">
        <v>55</v>
      </c>
      <c r="J35" s="117" t="n">
        <v>13090</v>
      </c>
      <c r="K35" s="85">
        <f>E35/(I35+E35)</f>
        <v/>
      </c>
      <c r="L35" s="260">
        <f>I35/(E35/2.1)</f>
        <v/>
      </c>
      <c r="N35" s="60" t="inlineStr">
        <is>
          <t>Fitness Yoga</t>
        </is>
      </c>
      <c r="O35" s="61" t="inlineStr">
        <is>
          <t>Tank top</t>
        </is>
      </c>
      <c r="P35" s="183" t="inlineStr">
        <is>
          <t>110361202\91</t>
        </is>
      </c>
      <c r="Q35" s="183" t="n">
        <v>238</v>
      </c>
      <c r="R35" s="92" t="n">
        <v>1</v>
      </c>
      <c r="S35" s="117" t="n">
        <v>238</v>
      </c>
      <c r="T35" s="117" t="n">
        <v>167</v>
      </c>
      <c r="U35" s="285" t="n">
        <v>0.701680672268908</v>
      </c>
      <c r="V35" s="183" t="n">
        <v>20</v>
      </c>
      <c r="W35" s="117" t="n">
        <v>4760</v>
      </c>
      <c r="X35" s="85">
        <f>R35/(V35+R35)</f>
        <v/>
      </c>
      <c r="Y35" s="260">
        <f>V35/(R35/2.1)</f>
        <v/>
      </c>
    </row>
    <row r="36" ht="13.5" customHeight="1" s="245">
      <c r="A36" s="60" t="inlineStr">
        <is>
          <t>Fitness Yoga</t>
        </is>
      </c>
      <c r="B36" s="61" t="inlineStr">
        <is>
          <t>Bralette</t>
        </is>
      </c>
      <c r="C36" s="183" t="inlineStr">
        <is>
          <t>110421207\80</t>
        </is>
      </c>
      <c r="D36" s="183" t="n">
        <v>158</v>
      </c>
      <c r="E36" s="183" t="n">
        <v>33</v>
      </c>
      <c r="F36" s="117" t="n">
        <v>5214</v>
      </c>
      <c r="G36" s="117" t="n">
        <v>4491.4</v>
      </c>
      <c r="H36" s="285" t="n">
        <v>0.861411584196394</v>
      </c>
      <c r="I36" s="183" t="n">
        <v>59</v>
      </c>
      <c r="J36" s="117" t="n">
        <v>9322</v>
      </c>
      <c r="K36" s="85">
        <f>E36/(I36+E36)</f>
        <v/>
      </c>
      <c r="L36" s="260">
        <f>I36/(E36/2.1)</f>
        <v/>
      </c>
      <c r="N36" s="60" t="inlineStr">
        <is>
          <t>Fitness Yoga</t>
        </is>
      </c>
      <c r="O36" s="61" t="inlineStr">
        <is>
          <t>Tank top</t>
        </is>
      </c>
      <c r="P36" s="183" t="inlineStr">
        <is>
          <t>111301201\71</t>
        </is>
      </c>
      <c r="Q36" s="183" t="n">
        <v>238</v>
      </c>
      <c r="R36" s="92" t="n">
        <v>1</v>
      </c>
      <c r="S36" s="117" t="n">
        <v>238</v>
      </c>
      <c r="T36" s="117" t="n">
        <v>190.5</v>
      </c>
      <c r="U36" s="285" t="n">
        <v>0.800420168067227</v>
      </c>
      <c r="V36" s="183" t="n">
        <v>59</v>
      </c>
      <c r="W36" s="117" t="n">
        <v>14042</v>
      </c>
      <c r="X36" s="85">
        <f>R36/(V36+R36)</f>
        <v/>
      </c>
      <c r="Y36" s="260">
        <f>V36/(R36/2.1)</f>
        <v/>
      </c>
    </row>
    <row r="37" ht="13.5" customHeight="1" s="245">
      <c r="A37" s="60" t="inlineStr">
        <is>
          <t>Fitness Yoga</t>
        </is>
      </c>
      <c r="B37" s="61" t="inlineStr">
        <is>
          <t>Tank Top</t>
        </is>
      </c>
      <c r="C37" s="183" t="inlineStr">
        <is>
          <t>112421209\97</t>
        </is>
      </c>
      <c r="D37" s="183" t="n">
        <v>198</v>
      </c>
      <c r="E37" s="183" t="n">
        <v>29</v>
      </c>
      <c r="F37" s="117" t="n">
        <v>5742</v>
      </c>
      <c r="G37" s="117" t="n">
        <v>4647.8</v>
      </c>
      <c r="H37" s="285" t="n">
        <v>0.809439219784047</v>
      </c>
      <c r="I37" s="183" t="n">
        <v>68</v>
      </c>
      <c r="J37" s="117" t="n">
        <v>13464</v>
      </c>
      <c r="K37" s="85">
        <f>E37/(I37+E37)</f>
        <v/>
      </c>
      <c r="L37" s="260">
        <f>I37/(E37/2.1)</f>
        <v/>
      </c>
      <c r="N37" s="60" t="inlineStr">
        <is>
          <t>Fitness Yoga</t>
        </is>
      </c>
      <c r="O37" s="61" t="inlineStr">
        <is>
          <t>Tank top</t>
        </is>
      </c>
      <c r="P37" s="183" t="inlineStr">
        <is>
          <t>111301215\93</t>
        </is>
      </c>
      <c r="Q37" s="183" t="n">
        <v>238</v>
      </c>
      <c r="R37" s="92" t="n">
        <v>1</v>
      </c>
      <c r="S37" s="117" t="n">
        <v>238</v>
      </c>
      <c r="T37" s="117" t="n">
        <v>190</v>
      </c>
      <c r="U37" s="285" t="n">
        <v>0.798319327731092</v>
      </c>
      <c r="V37" s="183" t="n">
        <v>1</v>
      </c>
      <c r="W37" s="117" t="n">
        <v>238</v>
      </c>
      <c r="X37" s="85">
        <f>R37/(V37+R37)</f>
        <v/>
      </c>
      <c r="Y37" s="260">
        <f>V37/(R37/2.1)</f>
        <v/>
      </c>
    </row>
    <row r="38" ht="13.5" customHeight="1" s="245">
      <c r="A38" s="60" t="inlineStr">
        <is>
          <t>Fitness Yoga</t>
        </is>
      </c>
      <c r="B38" s="61" t="inlineStr">
        <is>
          <t>Straight Fit Trousers</t>
        </is>
      </c>
      <c r="C38" s="183" t="inlineStr">
        <is>
          <t>111321101\80</t>
        </is>
      </c>
      <c r="D38" s="183" t="n">
        <v>278</v>
      </c>
      <c r="E38" s="183" t="n">
        <v>29</v>
      </c>
      <c r="F38" s="117" t="n">
        <v>8062</v>
      </c>
      <c r="G38" s="117" t="n">
        <v>6551.7</v>
      </c>
      <c r="H38" s="285" t="n">
        <v>0.812664351277599</v>
      </c>
      <c r="I38" s="183" t="n">
        <v>58</v>
      </c>
      <c r="J38" s="117" t="n">
        <v>16124</v>
      </c>
      <c r="K38" s="85">
        <f>E38/(I38+E38)</f>
        <v/>
      </c>
      <c r="L38" s="260">
        <f>I38/(E38/2.1)</f>
        <v/>
      </c>
      <c r="N38" s="60" t="inlineStr">
        <is>
          <t>Fitness Yoga</t>
        </is>
      </c>
      <c r="O38" s="61" t="inlineStr">
        <is>
          <t>Tank top</t>
        </is>
      </c>
      <c r="P38" s="183" t="inlineStr">
        <is>
          <t>112361203\80</t>
        </is>
      </c>
      <c r="Q38" s="183" t="n">
        <v>368</v>
      </c>
      <c r="R38" s="92" t="n">
        <v>1</v>
      </c>
      <c r="S38" s="117" t="n">
        <v>368</v>
      </c>
      <c r="T38" s="117" t="n">
        <v>323.8</v>
      </c>
      <c r="U38" s="285" t="n">
        <v>0.879891304347826</v>
      </c>
      <c r="V38" s="183" t="n">
        <v>122</v>
      </c>
      <c r="W38" s="117" t="n">
        <v>44896</v>
      </c>
      <c r="X38" s="85">
        <f>R38/(V38+R38)</f>
        <v/>
      </c>
      <c r="Y38" s="260">
        <f>V38/(R38/2.1)</f>
        <v/>
      </c>
    </row>
    <row r="39" ht="13.5" customHeight="1" s="245">
      <c r="A39" s="60" t="inlineStr">
        <is>
          <t>Fitness Yoga</t>
        </is>
      </c>
      <c r="B39" s="61" t="inlineStr">
        <is>
          <t>Tank top</t>
        </is>
      </c>
      <c r="C39" s="183" t="inlineStr">
        <is>
          <t>112301205\93</t>
        </is>
      </c>
      <c r="D39" s="183" t="n">
        <v>298</v>
      </c>
      <c r="E39" s="183" t="n">
        <v>23</v>
      </c>
      <c r="F39" s="117" t="n">
        <v>6854</v>
      </c>
      <c r="G39" s="117" t="n">
        <v>5820.9</v>
      </c>
      <c r="H39" s="285" t="n">
        <v>0.849270498978699</v>
      </c>
      <c r="I39" s="183" t="n">
        <v>93</v>
      </c>
      <c r="J39" s="117" t="n">
        <v>27714</v>
      </c>
      <c r="K39" s="85">
        <f>E39/(I39+E39)</f>
        <v/>
      </c>
      <c r="L39" s="260">
        <f>I39/(E39/2.1)</f>
        <v/>
      </c>
      <c r="N39" s="60" t="inlineStr">
        <is>
          <t>Fitness Yoga</t>
        </is>
      </c>
      <c r="O39" s="61" t="inlineStr">
        <is>
          <t>Tank top</t>
        </is>
      </c>
      <c r="P39" s="183" t="inlineStr">
        <is>
          <t>113304202\80</t>
        </is>
      </c>
      <c r="Q39" s="183" t="n">
        <v>368</v>
      </c>
      <c r="R39" s="92" t="n">
        <v>1</v>
      </c>
      <c r="S39" s="117" t="n">
        <v>368</v>
      </c>
      <c r="T39" s="117" t="n">
        <v>294</v>
      </c>
      <c r="U39" s="285" t="n">
        <v>0.798913043478261</v>
      </c>
      <c r="V39" s="183" t="n">
        <v>39</v>
      </c>
      <c r="W39" s="117" t="n">
        <v>14352</v>
      </c>
      <c r="X39" s="85">
        <f>R39/(V39+R39)</f>
        <v/>
      </c>
      <c r="Y39" s="260">
        <f>V39/(R39/2.1)</f>
        <v/>
      </c>
    </row>
    <row r="40" ht="13.5" customHeight="1" s="245">
      <c r="A40" s="60" t="inlineStr">
        <is>
          <t>Fitness Yoga</t>
        </is>
      </c>
      <c r="B40" s="61" t="inlineStr">
        <is>
          <t>Nine-Tenths Pant</t>
        </is>
      </c>
      <c r="C40" s="183" t="inlineStr">
        <is>
          <t>111321901\80</t>
        </is>
      </c>
      <c r="D40" s="183" t="n">
        <v>258</v>
      </c>
      <c r="E40" s="183" t="n">
        <v>23</v>
      </c>
      <c r="F40" s="117" t="n">
        <v>5934</v>
      </c>
      <c r="G40" s="117" t="n">
        <v>4287.8</v>
      </c>
      <c r="H40" s="285" t="n">
        <v>0.722581732389619</v>
      </c>
      <c r="I40" s="183" t="n">
        <v>54</v>
      </c>
      <c r="J40" s="117" t="n">
        <v>13932</v>
      </c>
      <c r="K40" s="85">
        <f>E40/(I40+E40)</f>
        <v/>
      </c>
      <c r="L40" s="260">
        <f>I40/(E40/2.1)</f>
        <v/>
      </c>
      <c r="N40" s="60" t="inlineStr">
        <is>
          <t>Fitness Yoga</t>
        </is>
      </c>
      <c r="O40" s="61" t="inlineStr">
        <is>
          <t>Tank top</t>
        </is>
      </c>
      <c r="P40" s="183" t="inlineStr">
        <is>
          <t>113304202\97</t>
        </is>
      </c>
      <c r="Q40" s="183" t="n">
        <v>368</v>
      </c>
      <c r="R40" s="92" t="n">
        <v>1</v>
      </c>
      <c r="S40" s="117" t="n">
        <v>368</v>
      </c>
      <c r="T40" s="117" t="n">
        <v>331.2</v>
      </c>
      <c r="U40" s="285" t="n">
        <v>0.9</v>
      </c>
      <c r="V40" s="183" t="n">
        <v>38</v>
      </c>
      <c r="W40" s="117" t="n">
        <v>13984</v>
      </c>
      <c r="X40" s="85">
        <f>R40/(V40+R40)</f>
        <v/>
      </c>
      <c r="Y40" s="260">
        <f>V40/(R40/2.1)</f>
        <v/>
      </c>
    </row>
    <row r="41" ht="13.5" customHeight="1" s="245">
      <c r="A41" s="60" t="inlineStr">
        <is>
          <t>Fitness Yoga</t>
        </is>
      </c>
      <c r="B41" s="61" t="inlineStr">
        <is>
          <t>Seven-Eighths Pants</t>
        </is>
      </c>
      <c r="C41" s="183" t="inlineStr">
        <is>
          <t>112321702\64</t>
        </is>
      </c>
      <c r="D41" s="183" t="n">
        <v>298</v>
      </c>
      <c r="E41" s="183" t="n">
        <v>22</v>
      </c>
      <c r="F41" s="117" t="n">
        <v>6556</v>
      </c>
      <c r="G41" s="117" t="n">
        <v>5138.7</v>
      </c>
      <c r="H41" s="285" t="n">
        <v>0.783816351433801</v>
      </c>
      <c r="I41" s="183" t="n">
        <v>93</v>
      </c>
      <c r="J41" s="117" t="n">
        <v>27714</v>
      </c>
      <c r="K41" s="85">
        <f>E41/(I41+E41)</f>
        <v/>
      </c>
      <c r="L41" s="260">
        <f>I41/(E41/2.1)</f>
        <v/>
      </c>
      <c r="N41" s="60" t="inlineStr">
        <is>
          <t>Fitness Yoga</t>
        </is>
      </c>
      <c r="O41" s="61" t="inlineStr">
        <is>
          <t>Tank top</t>
        </is>
      </c>
      <c r="P41" s="183" t="inlineStr">
        <is>
          <t>114361201\72</t>
        </is>
      </c>
      <c r="Q41" s="183" t="n">
        <v>368</v>
      </c>
      <c r="R41" s="92" t="n">
        <v>1</v>
      </c>
      <c r="S41" s="117" t="n">
        <v>368</v>
      </c>
      <c r="T41" s="117" t="n">
        <v>331.2</v>
      </c>
      <c r="U41" s="285" t="n">
        <v>0.9</v>
      </c>
      <c r="V41" s="183" t="n">
        <v>24</v>
      </c>
      <c r="W41" s="117" t="n">
        <v>8832</v>
      </c>
      <c r="X41" s="85">
        <f>R41/(V41+R41)</f>
        <v/>
      </c>
      <c r="Y41" s="260">
        <f>V41/(R41/2.1)</f>
        <v/>
      </c>
    </row>
    <row r="42" ht="13.5" customHeight="1" s="245">
      <c r="A42" s="65" t="inlineStr">
        <is>
          <t>Fitness Yoga</t>
        </is>
      </c>
      <c r="B42" s="66" t="inlineStr">
        <is>
          <t>Bra</t>
        </is>
      </c>
      <c r="C42" s="87" t="inlineStr">
        <is>
          <t>111421209\80</t>
        </is>
      </c>
      <c r="D42" s="87" t="n">
        <v>138</v>
      </c>
      <c r="E42" s="87" t="n">
        <v>22</v>
      </c>
      <c r="F42" s="131" t="n">
        <v>3036</v>
      </c>
      <c r="G42" s="131" t="n">
        <v>2585.4</v>
      </c>
      <c r="H42" s="303" t="n">
        <v>0.851581027667984</v>
      </c>
      <c r="I42" s="87" t="n">
        <v>73</v>
      </c>
      <c r="J42" s="131" t="n">
        <v>10074</v>
      </c>
      <c r="K42" s="88">
        <f>E42/(I42+E42)</f>
        <v/>
      </c>
      <c r="L42" s="304">
        <f>I42/(E42/2.1)</f>
        <v/>
      </c>
      <c r="N42" s="65" t="inlineStr">
        <is>
          <t>Fitness Yoga</t>
        </is>
      </c>
      <c r="O42" s="66" t="inlineStr">
        <is>
          <t>Tank top</t>
        </is>
      </c>
      <c r="P42" s="87" t="inlineStr">
        <is>
          <t>114361201\92</t>
        </is>
      </c>
      <c r="Q42" s="87" t="n">
        <v>368</v>
      </c>
      <c r="R42" s="93" t="n">
        <v>1</v>
      </c>
      <c r="S42" s="131" t="n">
        <v>368</v>
      </c>
      <c r="T42" s="131" t="n">
        <v>331.2</v>
      </c>
      <c r="U42" s="303" t="n">
        <v>0.9</v>
      </c>
      <c r="V42" s="87" t="n">
        <v>24</v>
      </c>
      <c r="W42" s="131" t="n">
        <v>8832</v>
      </c>
      <c r="X42" s="85">
        <f>R42/(V42+R42)</f>
        <v/>
      </c>
      <c r="Y42" s="260">
        <f>V42/(R42/2.1)</f>
        <v/>
      </c>
    </row>
    <row r="43" ht="13.5" customHeight="1" s="245">
      <c r="A43" s="56" t="inlineStr">
        <is>
          <t>Fitness Yoga Life</t>
        </is>
      </c>
      <c r="B43" s="81" t="inlineStr">
        <is>
          <t>Seven-Eighths Pants</t>
        </is>
      </c>
      <c r="C43" s="81" t="inlineStr">
        <is>
          <t>114394701\67</t>
        </is>
      </c>
      <c r="D43" s="81" t="n">
        <v>398</v>
      </c>
      <c r="E43" s="81" t="n">
        <v>10</v>
      </c>
      <c r="F43" s="58" t="n">
        <v>3980</v>
      </c>
      <c r="G43" s="58" t="n">
        <v>3108.4</v>
      </c>
      <c r="H43" s="305" t="n">
        <v>0.781005025125628</v>
      </c>
      <c r="I43" s="81" t="n">
        <v>30</v>
      </c>
      <c r="J43" s="58" t="n">
        <v>11940</v>
      </c>
      <c r="K43" s="82">
        <f>E43/(I43+E43)</f>
        <v/>
      </c>
      <c r="L43" s="306">
        <f>I43/(E43/2.1)</f>
        <v/>
      </c>
      <c r="N43" s="56" t="inlineStr">
        <is>
          <t>Fitness Yoga Life</t>
        </is>
      </c>
      <c r="O43" s="81" t="inlineStr">
        <is>
          <t>Tank top</t>
        </is>
      </c>
      <c r="P43" s="81" t="inlineStr">
        <is>
          <t>111317202\64</t>
        </is>
      </c>
      <c r="Q43" s="81" t="n">
        <v>238</v>
      </c>
      <c r="R43" s="94" t="n">
        <v>1</v>
      </c>
      <c r="S43" s="58" t="n">
        <v>238</v>
      </c>
      <c r="T43" s="58" t="n">
        <v>167</v>
      </c>
      <c r="U43" s="305" t="n">
        <v>0.701680672268908</v>
      </c>
      <c r="V43" s="81" t="n">
        <v>50</v>
      </c>
      <c r="W43" s="58" t="n">
        <v>11900</v>
      </c>
      <c r="X43" s="85">
        <f>R43/(V43+R43)</f>
        <v/>
      </c>
      <c r="Y43" s="260">
        <f>V43/(R43/2.1)</f>
        <v/>
      </c>
    </row>
    <row r="44" ht="13.5" customHeight="1" s="245">
      <c r="A44" s="60" t="inlineStr">
        <is>
          <t>Fitness Yoga Life</t>
        </is>
      </c>
      <c r="B44" s="183" t="inlineStr">
        <is>
          <t>Knit Hooded Jacket</t>
        </is>
      </c>
      <c r="C44" s="183" t="inlineStr">
        <is>
          <t>113901301\92</t>
        </is>
      </c>
      <c r="D44" s="183" t="n">
        <v>368</v>
      </c>
      <c r="E44" s="183" t="n">
        <v>7</v>
      </c>
      <c r="F44" s="117" t="n">
        <v>2576</v>
      </c>
      <c r="G44" s="117" t="n">
        <v>2170.4</v>
      </c>
      <c r="H44" s="285" t="n">
        <v>0.842546583850932</v>
      </c>
      <c r="I44" s="183" t="n">
        <v>66</v>
      </c>
      <c r="J44" s="117" t="n">
        <v>24288</v>
      </c>
      <c r="K44" s="85">
        <f>E44/(I44+E44)</f>
        <v/>
      </c>
      <c r="L44" s="260">
        <f>I44/(E44/2.1)</f>
        <v/>
      </c>
      <c r="N44" s="60" t="inlineStr">
        <is>
          <t>Fitness Yoga Life</t>
        </is>
      </c>
      <c r="O44" s="183" t="inlineStr">
        <is>
          <t>Short-sleeve Knit Cap Sleeve Top</t>
        </is>
      </c>
      <c r="P44" s="183" t="inlineStr">
        <is>
          <t>114392301\92</t>
        </is>
      </c>
      <c r="Q44" s="183" t="n">
        <v>298</v>
      </c>
      <c r="R44" s="92" t="n">
        <v>1</v>
      </c>
      <c r="S44" s="117" t="n">
        <v>298</v>
      </c>
      <c r="T44" s="117" t="n">
        <v>238</v>
      </c>
      <c r="U44" s="285" t="n">
        <v>0.798657718120805</v>
      </c>
      <c r="V44" s="183" t="n">
        <v>29</v>
      </c>
      <c r="W44" s="117" t="n">
        <v>8642</v>
      </c>
      <c r="X44" s="85">
        <f>R44/(V44+R44)</f>
        <v/>
      </c>
      <c r="Y44" s="260">
        <f>V44/(R44/2.1)</f>
        <v/>
      </c>
    </row>
    <row r="45" ht="13.5" customHeight="1" s="245">
      <c r="A45" s="60" t="inlineStr">
        <is>
          <t>Fitness Yoga Life</t>
        </is>
      </c>
      <c r="B45" s="61" t="inlineStr">
        <is>
          <t>Seven-Eighths Pants</t>
        </is>
      </c>
      <c r="C45" s="183" t="inlineStr">
        <is>
          <t>114394701\61</t>
        </is>
      </c>
      <c r="D45" s="183" t="n">
        <v>398</v>
      </c>
      <c r="E45" s="183" t="n">
        <v>6</v>
      </c>
      <c r="F45" s="117" t="n">
        <v>2388</v>
      </c>
      <c r="G45" s="117" t="n">
        <v>2128.9</v>
      </c>
      <c r="H45" s="285" t="n">
        <v>0.891499162479062</v>
      </c>
      <c r="I45" s="183" t="n">
        <v>38</v>
      </c>
      <c r="J45" s="117" t="n">
        <v>15124</v>
      </c>
      <c r="K45" s="85">
        <f>E45/(I45+E45)</f>
        <v/>
      </c>
      <c r="L45" s="260">
        <f>I45/(E45/2.1)</f>
        <v/>
      </c>
      <c r="N45" s="60" t="inlineStr">
        <is>
          <t>Fitness Yoga Life</t>
        </is>
      </c>
      <c r="O45" s="61" t="inlineStr">
        <is>
          <t>Cardigan</t>
        </is>
      </c>
      <c r="P45" s="183" t="inlineStr">
        <is>
          <t>112901202\92</t>
        </is>
      </c>
      <c r="Q45" s="183" t="n">
        <v>498</v>
      </c>
      <c r="R45" s="92" t="n">
        <v>1</v>
      </c>
      <c r="S45" s="117" t="n">
        <v>498</v>
      </c>
      <c r="T45" s="117" t="n">
        <v>349</v>
      </c>
      <c r="U45" s="285" t="n">
        <v>0.700803212851406</v>
      </c>
      <c r="V45" s="183" t="n">
        <v>24</v>
      </c>
      <c r="W45" s="117" t="n">
        <v>11952</v>
      </c>
      <c r="X45" s="85">
        <f>R45/(V45+R45)</f>
        <v/>
      </c>
      <c r="Y45" s="260">
        <f>V45/(R45/2.1)</f>
        <v/>
      </c>
    </row>
    <row r="46" ht="13.5" customHeight="1" s="245">
      <c r="A46" s="60" t="inlineStr">
        <is>
          <t>Fitness Yoga Life</t>
        </is>
      </c>
      <c r="B46" s="61" t="inlineStr">
        <is>
          <t>Straight Leg Trousers</t>
        </is>
      </c>
      <c r="C46" s="183" t="inlineStr">
        <is>
          <t>113921101\92</t>
        </is>
      </c>
      <c r="D46" s="183" t="n">
        <v>298</v>
      </c>
      <c r="E46" s="183" t="n">
        <v>6</v>
      </c>
      <c r="F46" s="117" t="n">
        <v>1788</v>
      </c>
      <c r="G46" s="117" t="n">
        <v>1520.4</v>
      </c>
      <c r="H46" s="285" t="n">
        <v>0.850335570469799</v>
      </c>
      <c r="I46" s="183" t="n">
        <v>77</v>
      </c>
      <c r="J46" s="117" t="n">
        <v>22946</v>
      </c>
      <c r="K46" s="85">
        <f>E46/(I46+E46)</f>
        <v/>
      </c>
      <c r="L46" s="260">
        <f>I46/(E46/2.1)</f>
        <v/>
      </c>
      <c r="N46" s="60" t="inlineStr">
        <is>
          <t>Fitness Yoga Life</t>
        </is>
      </c>
      <c r="O46" s="61" t="inlineStr">
        <is>
          <t>Straight Loose Fit Trousers</t>
        </is>
      </c>
      <c r="P46" s="183" t="inlineStr">
        <is>
          <t>111394104\83</t>
        </is>
      </c>
      <c r="Q46" s="183" t="n">
        <v>238</v>
      </c>
      <c r="R46" s="92" t="n">
        <v>1</v>
      </c>
      <c r="S46" s="117" t="n">
        <v>238</v>
      </c>
      <c r="T46" s="117" t="n">
        <v>167</v>
      </c>
      <c r="U46" s="285" t="n">
        <v>0.701680672268908</v>
      </c>
      <c r="V46" s="183" t="n">
        <v>63</v>
      </c>
      <c r="W46" s="117" t="n">
        <v>14994</v>
      </c>
      <c r="X46" s="85">
        <f>R46/(V46+R46)</f>
        <v/>
      </c>
      <c r="Y46" s="260">
        <f>V46/(R46/2.1)</f>
        <v/>
      </c>
    </row>
    <row r="47" ht="13.5" customHeight="1" s="245">
      <c r="A47" s="60" t="inlineStr">
        <is>
          <t>Fitness Yoga Life</t>
        </is>
      </c>
      <c r="B47" s="61" t="inlineStr">
        <is>
          <t>Knit Cardigan Coat</t>
        </is>
      </c>
      <c r="C47" s="183" t="inlineStr">
        <is>
          <t>114392303\41</t>
        </is>
      </c>
      <c r="D47" s="183" t="n">
        <v>398</v>
      </c>
      <c r="E47" s="183" t="n">
        <v>5</v>
      </c>
      <c r="F47" s="117" t="n">
        <v>1990</v>
      </c>
      <c r="G47" s="117" t="n">
        <v>1690.2</v>
      </c>
      <c r="H47" s="285" t="n">
        <v>0.849346733668342</v>
      </c>
      <c r="I47" s="183" t="n">
        <v>18</v>
      </c>
      <c r="J47" s="117" t="n">
        <v>7164</v>
      </c>
      <c r="K47" s="85">
        <f>E47/(I47+E47)</f>
        <v/>
      </c>
      <c r="L47" s="260">
        <f>I47/(E47/2.1)</f>
        <v/>
      </c>
      <c r="N47" s="60" t="inlineStr">
        <is>
          <t>Fitness Yoga Life</t>
        </is>
      </c>
      <c r="O47" s="61" t="inlineStr">
        <is>
          <t>Hooded Cardigan</t>
        </is>
      </c>
      <c r="P47" s="183" t="inlineStr">
        <is>
          <t>112901304\80</t>
        </is>
      </c>
      <c r="Q47" s="183" t="n">
        <v>398</v>
      </c>
      <c r="R47" s="92" t="n">
        <v>1</v>
      </c>
      <c r="S47" s="117" t="n">
        <v>398</v>
      </c>
      <c r="T47" s="117" t="n">
        <v>378.1</v>
      </c>
      <c r="U47" s="285" t="n">
        <v>0.95</v>
      </c>
      <c r="V47" s="183" t="n">
        <v>77</v>
      </c>
      <c r="W47" s="117" t="n">
        <v>30646</v>
      </c>
      <c r="X47" s="85">
        <f>R47/(V47+R47)</f>
        <v/>
      </c>
      <c r="Y47" s="260">
        <f>V47/(R47/2.1)</f>
        <v/>
      </c>
    </row>
    <row r="48" ht="13.5" customHeight="1" s="245">
      <c r="A48" s="60" t="inlineStr">
        <is>
          <t>Fitness Yoga Life</t>
        </is>
      </c>
      <c r="B48" s="61" t="inlineStr">
        <is>
          <t>Knit Hooded Jacket</t>
        </is>
      </c>
      <c r="C48" s="183" t="inlineStr">
        <is>
          <t>113901301\61</t>
        </is>
      </c>
      <c r="D48" s="183" t="n">
        <v>368</v>
      </c>
      <c r="E48" s="183" t="n">
        <v>5</v>
      </c>
      <c r="F48" s="117" t="n">
        <v>1840</v>
      </c>
      <c r="G48" s="117" t="n">
        <v>1324.8</v>
      </c>
      <c r="H48" s="285" t="n">
        <v>0.72</v>
      </c>
      <c r="I48" s="183" t="n">
        <v>74</v>
      </c>
      <c r="J48" s="117" t="n">
        <v>27232</v>
      </c>
      <c r="K48" s="85">
        <f>E48/(I48+E48)</f>
        <v/>
      </c>
      <c r="L48" s="260">
        <f>I48/(E48/2.1)</f>
        <v/>
      </c>
      <c r="N48" s="60" t="inlineStr">
        <is>
          <t>Fitness Yoga Life</t>
        </is>
      </c>
      <c r="O48" s="61" t="inlineStr">
        <is>
          <t>Hooded Pullover</t>
        </is>
      </c>
      <c r="P48" s="183" t="inlineStr">
        <is>
          <t>111901101\62</t>
        </is>
      </c>
      <c r="Q48" s="183" t="n">
        <v>498</v>
      </c>
      <c r="R48" s="92" t="n">
        <v>1</v>
      </c>
      <c r="S48" s="117" t="n">
        <v>498</v>
      </c>
      <c r="T48" s="117" t="n">
        <v>398.4</v>
      </c>
      <c r="U48" s="285" t="n">
        <v>0.8</v>
      </c>
      <c r="V48" s="183" t="n">
        <v>141</v>
      </c>
      <c r="W48" s="117" t="n">
        <v>70218</v>
      </c>
      <c r="X48" s="85">
        <f>R48/(V48+R48)</f>
        <v/>
      </c>
      <c r="Y48" s="260">
        <f>V48/(R48/2.1)</f>
        <v/>
      </c>
    </row>
    <row r="49" ht="13.5" customHeight="1" s="245">
      <c r="A49" s="60" t="inlineStr">
        <is>
          <t>Fitness Yoga Life</t>
        </is>
      </c>
      <c r="B49" s="61" t="inlineStr">
        <is>
          <t>Straight Leg Trousers</t>
        </is>
      </c>
      <c r="C49" s="183" t="inlineStr">
        <is>
          <t>113921101\61</t>
        </is>
      </c>
      <c r="D49" s="183" t="n">
        <v>298</v>
      </c>
      <c r="E49" s="183" t="n">
        <v>4</v>
      </c>
      <c r="F49" s="117" t="n">
        <v>1192</v>
      </c>
      <c r="G49" s="117" t="n">
        <v>834.8</v>
      </c>
      <c r="H49" s="285" t="n">
        <v>0.700335570469799</v>
      </c>
      <c r="I49" s="183" t="n">
        <v>77</v>
      </c>
      <c r="J49" s="117" t="n">
        <v>22946</v>
      </c>
      <c r="K49" s="85">
        <f>E49/(I49+E49)</f>
        <v/>
      </c>
      <c r="L49" s="260">
        <f>I49/(E49/2.1)</f>
        <v/>
      </c>
      <c r="N49" s="60" t="inlineStr">
        <is>
          <t>Fitness Yoga Life</t>
        </is>
      </c>
      <c r="O49" s="61" t="inlineStr">
        <is>
          <t>Hooded Pullover</t>
        </is>
      </c>
      <c r="P49" s="183" t="inlineStr">
        <is>
          <t>113903101\31</t>
        </is>
      </c>
      <c r="Q49" s="183" t="n">
        <v>398</v>
      </c>
      <c r="R49" s="92" t="n">
        <v>1</v>
      </c>
      <c r="S49" s="117" t="n">
        <v>398</v>
      </c>
      <c r="T49" s="117" t="n">
        <v>318</v>
      </c>
      <c r="U49" s="285" t="n">
        <v>0.798994974874372</v>
      </c>
      <c r="V49" s="183" t="n">
        <v>13</v>
      </c>
      <c r="W49" s="117" t="n">
        <v>5174</v>
      </c>
      <c r="X49" s="85">
        <f>R49/(V49+R49)</f>
        <v/>
      </c>
      <c r="Y49" s="260">
        <f>V49/(R49/2.1)</f>
        <v/>
      </c>
    </row>
    <row r="50" ht="13.5" customHeight="1" s="245">
      <c r="A50" s="60" t="inlineStr">
        <is>
          <t>Fitness Yoga Life</t>
        </is>
      </c>
      <c r="B50" s="61" t="inlineStr">
        <is>
          <t>Straight Leg Trousers</t>
        </is>
      </c>
      <c r="C50" s="183" t="inlineStr">
        <is>
          <t>114394101\41</t>
        </is>
      </c>
      <c r="D50" s="183" t="n">
        <v>298</v>
      </c>
      <c r="E50" s="183" t="n">
        <v>4</v>
      </c>
      <c r="F50" s="117" t="n">
        <v>1192</v>
      </c>
      <c r="G50" s="117" t="n">
        <v>1028.2</v>
      </c>
      <c r="H50" s="285" t="n">
        <v>0.8625838926174501</v>
      </c>
      <c r="I50" s="183" t="n">
        <v>21</v>
      </c>
      <c r="J50" s="117" t="n">
        <v>6258</v>
      </c>
      <c r="K50" s="85">
        <f>E50/(I50+E50)</f>
        <v/>
      </c>
      <c r="L50" s="260">
        <f>I50/(E50/2.1)</f>
        <v/>
      </c>
      <c r="N50" s="60" t="inlineStr">
        <is>
          <t>Fitness Yoga Life</t>
        </is>
      </c>
      <c r="O50" s="61" t="inlineStr">
        <is>
          <t>Hooded Pullover</t>
        </is>
      </c>
      <c r="P50" s="183" t="inlineStr">
        <is>
          <t>113903101\61</t>
        </is>
      </c>
      <c r="Q50" s="183" t="n">
        <v>398</v>
      </c>
      <c r="R50" s="92" t="n">
        <v>1</v>
      </c>
      <c r="S50" s="117" t="n">
        <v>398</v>
      </c>
      <c r="T50" s="117" t="n">
        <v>318</v>
      </c>
      <c r="U50" s="285" t="n">
        <v>0.798994974874372</v>
      </c>
      <c r="V50" s="183" t="n">
        <v>12</v>
      </c>
      <c r="W50" s="117" t="n">
        <v>4776</v>
      </c>
      <c r="X50" s="85">
        <f>R50/(V50+R50)</f>
        <v/>
      </c>
      <c r="Y50" s="260">
        <f>V50/(R50/2.1)</f>
        <v/>
      </c>
    </row>
    <row r="51" ht="13.5" customHeight="1" s="245">
      <c r="A51" s="60" t="inlineStr">
        <is>
          <t>Fitness Yoga Life</t>
        </is>
      </c>
      <c r="B51" s="61" t="inlineStr">
        <is>
          <t>Cardigan</t>
        </is>
      </c>
      <c r="C51" s="183" t="inlineStr">
        <is>
          <t>111901202\93</t>
        </is>
      </c>
      <c r="D51" s="183" t="n">
        <v>368</v>
      </c>
      <c r="E51" s="183" t="n">
        <v>3</v>
      </c>
      <c r="F51" s="117" t="n">
        <v>1104</v>
      </c>
      <c r="G51" s="117" t="n">
        <v>774</v>
      </c>
      <c r="H51" s="285" t="n">
        <v>0.701086956521739</v>
      </c>
      <c r="I51" s="183" t="n">
        <v>19</v>
      </c>
      <c r="J51" s="117" t="n">
        <v>6992</v>
      </c>
      <c r="K51" s="85">
        <f>E51/(I51+E51)</f>
        <v/>
      </c>
      <c r="L51" s="260">
        <f>I51/(E51/2.1)</f>
        <v/>
      </c>
      <c r="N51" s="60" t="inlineStr">
        <is>
          <t>Fitness Yoga Life</t>
        </is>
      </c>
      <c r="O51" s="61" t="inlineStr">
        <is>
          <t>Vest</t>
        </is>
      </c>
      <c r="P51" s="183" t="inlineStr">
        <is>
          <t>111901307\76</t>
        </is>
      </c>
      <c r="Q51" s="183" t="n">
        <v>428</v>
      </c>
      <c r="R51" s="92" t="n">
        <v>1</v>
      </c>
      <c r="S51" s="117" t="n">
        <v>428</v>
      </c>
      <c r="T51" s="117" t="n">
        <v>385</v>
      </c>
      <c r="U51" s="285" t="n">
        <v>0.899532710280374</v>
      </c>
      <c r="V51" s="183" t="n">
        <v>93</v>
      </c>
      <c r="W51" s="117" t="n">
        <v>39804</v>
      </c>
      <c r="X51" s="85">
        <f>R51/(V51+R51)</f>
        <v/>
      </c>
      <c r="Y51" s="260">
        <f>V51/(R51/2.1)</f>
        <v/>
      </c>
    </row>
    <row r="52" ht="13.5" customHeight="1" s="245">
      <c r="A52" s="65" t="inlineStr">
        <is>
          <t>Fitness Yoga Life</t>
        </is>
      </c>
      <c r="B52" s="66" t="inlineStr">
        <is>
          <t>Straight Loose Fit Trousers</t>
        </is>
      </c>
      <c r="C52" s="87" t="inlineStr">
        <is>
          <t>111394104\80</t>
        </is>
      </c>
      <c r="D52" s="87" t="n">
        <v>238</v>
      </c>
      <c r="E52" s="87" t="n">
        <v>3</v>
      </c>
      <c r="F52" s="131" t="n">
        <v>714</v>
      </c>
      <c r="G52" s="131" t="n">
        <v>594.2</v>
      </c>
      <c r="H52" s="303" t="n">
        <v>0.832212885154062</v>
      </c>
      <c r="I52" s="87" t="n">
        <v>61</v>
      </c>
      <c r="J52" s="131" t="n">
        <v>14518</v>
      </c>
      <c r="K52" s="88">
        <f>E52/(I52+E52)</f>
        <v/>
      </c>
      <c r="L52" s="304">
        <f>I52/(E52/2.1)</f>
        <v/>
      </c>
      <c r="N52" s="65" t="inlineStr">
        <is>
          <t>Fitness Yoga Life</t>
        </is>
      </c>
      <c r="O52" s="66" t="inlineStr">
        <is>
          <t>Seven-Eighths Pants</t>
        </is>
      </c>
      <c r="P52" s="87" t="inlineStr">
        <is>
          <t>113394701\60</t>
        </is>
      </c>
      <c r="Q52" s="87" t="n">
        <v>298</v>
      </c>
      <c r="R52" s="93" t="n">
        <v>1</v>
      </c>
      <c r="S52" s="131" t="n">
        <v>298</v>
      </c>
      <c r="T52" s="131" t="n">
        <v>268</v>
      </c>
      <c r="U52" s="303" t="n">
        <v>0.8993288590604031</v>
      </c>
      <c r="V52" s="87" t="n">
        <v>32</v>
      </c>
      <c r="W52" s="131" t="n">
        <v>9536</v>
      </c>
      <c r="X52" s="85">
        <f>R52/(V52+R52)</f>
        <v/>
      </c>
      <c r="Y52" s="260">
        <f>V52/(R52/2.1)</f>
        <v/>
      </c>
    </row>
    <row r="53" ht="13.5" customHeight="1" s="245">
      <c r="A53" s="56" t="inlineStr">
        <is>
          <t>Running Series</t>
        </is>
      </c>
      <c r="B53" s="81" t="inlineStr">
        <is>
          <t>Six-Fourth Pants</t>
        </is>
      </c>
      <c r="C53" s="81" t="inlineStr">
        <is>
          <t>111322701\80</t>
        </is>
      </c>
      <c r="D53" s="81" t="n">
        <v>238</v>
      </c>
      <c r="E53" s="81" t="n">
        <v>9</v>
      </c>
      <c r="F53" s="58" t="n">
        <v>2142</v>
      </c>
      <c r="G53" s="58" t="n">
        <v>1469</v>
      </c>
      <c r="H53" s="305" t="n">
        <v>0.685807656395892</v>
      </c>
      <c r="I53" s="81" t="n">
        <v>63</v>
      </c>
      <c r="J53" s="58" t="n">
        <v>14994</v>
      </c>
      <c r="K53" s="82">
        <f>E53/(I53+E53)</f>
        <v/>
      </c>
      <c r="L53" s="306">
        <f>I53/(E53/2.1)</f>
        <v/>
      </c>
      <c r="N53" s="56" t="inlineStr">
        <is>
          <t>Running Series</t>
        </is>
      </c>
      <c r="O53" s="81" t="inlineStr">
        <is>
          <t>Tank top</t>
        </is>
      </c>
      <c r="P53" s="81" t="inlineStr">
        <is>
          <t>111302205\72</t>
        </is>
      </c>
      <c r="Q53" s="81" t="n">
        <v>258</v>
      </c>
      <c r="R53" s="94" t="n">
        <v>1</v>
      </c>
      <c r="S53" s="58" t="n">
        <v>258</v>
      </c>
      <c r="T53" s="58" t="n">
        <v>245.1</v>
      </c>
      <c r="U53" s="305" t="n">
        <v>0.95</v>
      </c>
      <c r="V53" s="81" t="n">
        <v>43</v>
      </c>
      <c r="W53" s="58" t="n">
        <v>11094</v>
      </c>
      <c r="X53" s="85">
        <f>R53/(V53+R53)</f>
        <v/>
      </c>
      <c r="Y53" s="260">
        <f>V53/(R53/2.1)</f>
        <v/>
      </c>
    </row>
    <row r="54" ht="13.5" customHeight="1" s="245">
      <c r="A54" s="60" t="inlineStr">
        <is>
          <t>Running Series</t>
        </is>
      </c>
      <c r="B54" s="61" t="inlineStr">
        <is>
          <t>Six-Fourth Pants</t>
        </is>
      </c>
      <c r="C54" s="183" t="inlineStr">
        <is>
          <t>111322701\83</t>
        </is>
      </c>
      <c r="D54" s="183" t="n">
        <v>238</v>
      </c>
      <c r="E54" s="183" t="n">
        <v>7</v>
      </c>
      <c r="F54" s="117" t="n">
        <v>1666</v>
      </c>
      <c r="G54" s="117" t="n">
        <v>1152</v>
      </c>
      <c r="H54" s="285" t="n">
        <v>0.691476590636255</v>
      </c>
      <c r="I54" s="183" t="n">
        <v>35</v>
      </c>
      <c r="J54" s="117" t="n">
        <v>8330</v>
      </c>
      <c r="K54" s="85">
        <f>E54/(I54+E54)</f>
        <v/>
      </c>
      <c r="L54" s="260">
        <f>I54/(E54/2.1)</f>
        <v/>
      </c>
      <c r="N54" s="60" t="inlineStr">
        <is>
          <t>Running Series</t>
        </is>
      </c>
      <c r="O54" s="61" t="inlineStr">
        <is>
          <t>Tank top</t>
        </is>
      </c>
      <c r="P54" s="183" t="inlineStr">
        <is>
          <t>111302206\93</t>
        </is>
      </c>
      <c r="Q54" s="183" t="n">
        <v>258</v>
      </c>
      <c r="R54" s="92" t="n">
        <v>1</v>
      </c>
      <c r="S54" s="117" t="n">
        <v>258</v>
      </c>
      <c r="T54" s="117" t="n">
        <v>258</v>
      </c>
      <c r="U54" s="285" t="n">
        <v>1</v>
      </c>
      <c r="V54" s="183" t="n">
        <v>35</v>
      </c>
      <c r="W54" s="117" t="n">
        <v>9030</v>
      </c>
      <c r="X54" s="85">
        <f>R54/(V54+R54)</f>
        <v/>
      </c>
      <c r="Y54" s="260">
        <f>V54/(R54/2.1)</f>
        <v/>
      </c>
    </row>
    <row r="55" ht="13.5" customHeight="1" s="245">
      <c r="A55" s="60" t="inlineStr">
        <is>
          <t>Running Series</t>
        </is>
      </c>
      <c r="B55" s="61" t="inlineStr">
        <is>
          <t>Woven Cardigan Coat</t>
        </is>
      </c>
      <c r="C55" s="183" t="inlineStr">
        <is>
          <t>114905201\40</t>
        </is>
      </c>
      <c r="D55" s="183" t="n">
        <v>568</v>
      </c>
      <c r="E55" s="183" t="n">
        <v>6</v>
      </c>
      <c r="F55" s="117" t="n">
        <v>3408</v>
      </c>
      <c r="G55" s="117" t="n">
        <v>2895.8</v>
      </c>
      <c r="H55" s="285" t="n">
        <v>0.849706572769953</v>
      </c>
      <c r="I55" s="183" t="n">
        <v>12</v>
      </c>
      <c r="J55" s="117" t="n">
        <v>6816</v>
      </c>
      <c r="K55" s="85">
        <f>E55/(I55+E55)</f>
        <v/>
      </c>
      <c r="L55" s="260">
        <f>I55/(E55/2.1)</f>
        <v/>
      </c>
      <c r="N55" s="60" t="inlineStr">
        <is>
          <t>Running Series</t>
        </is>
      </c>
      <c r="O55" s="61" t="inlineStr">
        <is>
          <t>Shorts</t>
        </is>
      </c>
      <c r="P55" s="183" t="inlineStr">
        <is>
          <t>110332203\64</t>
        </is>
      </c>
      <c r="Q55" s="183" t="n">
        <v>218</v>
      </c>
      <c r="R55" s="92" t="n">
        <v>1</v>
      </c>
      <c r="S55" s="117" t="n">
        <v>218</v>
      </c>
      <c r="T55" s="117" t="n">
        <v>196.2</v>
      </c>
      <c r="U55" s="285" t="n">
        <v>0.9</v>
      </c>
      <c r="V55" s="183" t="n">
        <v>37</v>
      </c>
      <c r="W55" s="117" t="n">
        <v>8066</v>
      </c>
      <c r="X55" s="85">
        <f>R55/(V55+R55)</f>
        <v/>
      </c>
      <c r="Y55" s="260">
        <f>V55/(R55/2.1)</f>
        <v/>
      </c>
    </row>
    <row r="56" ht="13.5" customHeight="1" s="245">
      <c r="A56" s="60" t="inlineStr">
        <is>
          <t>Running Series</t>
        </is>
      </c>
      <c r="B56" s="61" t="inlineStr">
        <is>
          <t>Short-sleeve T-shirt</t>
        </is>
      </c>
      <c r="C56" s="183" t="inlineStr">
        <is>
          <t>114302402\37</t>
        </is>
      </c>
      <c r="D56" s="183" t="n">
        <v>298</v>
      </c>
      <c r="E56" s="183" t="n">
        <v>5</v>
      </c>
      <c r="F56" s="117" t="n">
        <v>1490</v>
      </c>
      <c r="G56" s="117" t="n">
        <v>1250.4</v>
      </c>
      <c r="H56" s="285" t="n">
        <v>0.839194630872483</v>
      </c>
      <c r="I56" s="183" t="n">
        <v>25</v>
      </c>
      <c r="J56" s="117" t="n">
        <v>7450</v>
      </c>
      <c r="K56" s="85">
        <f>E56/(I56+E56)</f>
        <v/>
      </c>
      <c r="L56" s="260">
        <f>I56/(E56/2.1)</f>
        <v/>
      </c>
      <c r="N56" s="60" t="inlineStr">
        <is>
          <t>Running Series</t>
        </is>
      </c>
      <c r="O56" s="61" t="inlineStr">
        <is>
          <t>Shorts</t>
        </is>
      </c>
      <c r="P56" s="183" t="inlineStr">
        <is>
          <t>111332502\80</t>
        </is>
      </c>
      <c r="Q56" s="183" t="n">
        <v>238</v>
      </c>
      <c r="R56" s="92" t="n">
        <v>1</v>
      </c>
      <c r="S56" s="117" t="n">
        <v>238</v>
      </c>
      <c r="T56" s="117" t="n">
        <v>167</v>
      </c>
      <c r="U56" s="285" t="n">
        <v>0.701680672268908</v>
      </c>
      <c r="V56" s="183" t="n">
        <v>15</v>
      </c>
      <c r="W56" s="117" t="n">
        <v>3570</v>
      </c>
      <c r="X56" s="85">
        <f>R56/(V56+R56)</f>
        <v/>
      </c>
      <c r="Y56" s="260">
        <f>V56/(R56/2.1)</f>
        <v/>
      </c>
    </row>
    <row r="57" ht="13.5" customHeight="1" s="245">
      <c r="A57" s="60" t="inlineStr">
        <is>
          <t>Running Series</t>
        </is>
      </c>
      <c r="B57" s="61" t="inlineStr">
        <is>
          <t>Woven Cardigan Coat</t>
        </is>
      </c>
      <c r="C57" s="183" t="inlineStr">
        <is>
          <t>114905201\93</t>
        </is>
      </c>
      <c r="D57" s="183" t="n">
        <v>568</v>
      </c>
      <c r="E57" s="183" t="n">
        <v>5</v>
      </c>
      <c r="F57" s="117" t="n">
        <v>2840</v>
      </c>
      <c r="G57" s="117" t="n">
        <v>2384.8</v>
      </c>
      <c r="H57" s="285" t="n">
        <v>0.839718309859155</v>
      </c>
      <c r="I57" s="183" t="n">
        <v>17</v>
      </c>
      <c r="J57" s="117" t="n">
        <v>9656</v>
      </c>
      <c r="K57" s="85">
        <f>E57/(I57+E57)</f>
        <v/>
      </c>
      <c r="L57" s="260">
        <f>I57/(E57/2.1)</f>
        <v/>
      </c>
      <c r="N57" s="60" t="inlineStr">
        <is>
          <t>Running Series</t>
        </is>
      </c>
      <c r="O57" s="61" t="inlineStr">
        <is>
          <t>Short sleeve</t>
        </is>
      </c>
      <c r="P57" s="183" t="inlineStr">
        <is>
          <t>113302401\94</t>
        </is>
      </c>
      <c r="Q57" s="183" t="n">
        <v>168</v>
      </c>
      <c r="R57" s="92" t="n">
        <v>1</v>
      </c>
      <c r="S57" s="117" t="n">
        <v>168</v>
      </c>
      <c r="T57" s="117" t="n">
        <v>160</v>
      </c>
      <c r="U57" s="285" t="n">
        <v>0.952380952380952</v>
      </c>
      <c r="V57" s="183" t="n">
        <v>45</v>
      </c>
      <c r="W57" s="117" t="n">
        <v>7560</v>
      </c>
      <c r="X57" s="85">
        <f>R57/(V57+R57)</f>
        <v/>
      </c>
      <c r="Y57" s="260">
        <f>V57/(R57/2.1)</f>
        <v/>
      </c>
    </row>
    <row r="58" ht="13.5" customHeight="1" s="245">
      <c r="A58" s="60" t="inlineStr">
        <is>
          <t>Running Series</t>
        </is>
      </c>
      <c r="B58" s="61" t="inlineStr">
        <is>
          <t>Tank top</t>
        </is>
      </c>
      <c r="C58" s="183" t="inlineStr">
        <is>
          <t>318001\10</t>
        </is>
      </c>
      <c r="D58" s="183" t="n">
        <v>168</v>
      </c>
      <c r="E58" s="183" t="n">
        <v>4</v>
      </c>
      <c r="F58" s="117" t="n">
        <v>672</v>
      </c>
      <c r="G58" s="117" t="n">
        <v>472</v>
      </c>
      <c r="H58" s="285" t="n">
        <v>0.702380952380952</v>
      </c>
      <c r="I58" s="183" t="n">
        <v>86</v>
      </c>
      <c r="J58" s="117" t="n">
        <v>14448</v>
      </c>
      <c r="K58" s="85">
        <f>E58/(I58+E58)</f>
        <v/>
      </c>
      <c r="L58" s="260">
        <f>I58/(E58/2.1)</f>
        <v/>
      </c>
      <c r="N58" s="60" t="inlineStr">
        <is>
          <t>Running Series</t>
        </is>
      </c>
      <c r="O58" s="61" t="inlineStr">
        <is>
          <t>Nine-Tenths Pant</t>
        </is>
      </c>
      <c r="P58" s="183" t="inlineStr">
        <is>
          <t>111322901\64</t>
        </is>
      </c>
      <c r="Q58" s="183" t="n">
        <v>198</v>
      </c>
      <c r="R58" s="92" t="n">
        <v>1</v>
      </c>
      <c r="S58" s="117" t="n">
        <v>198</v>
      </c>
      <c r="T58" s="117" t="n">
        <v>188.1</v>
      </c>
      <c r="U58" s="285" t="n">
        <v>0.95</v>
      </c>
      <c r="V58" s="183" t="n">
        <v>16</v>
      </c>
      <c r="W58" s="117" t="n">
        <v>3168</v>
      </c>
      <c r="X58" s="85">
        <f>R58/(V58+R58)</f>
        <v/>
      </c>
      <c r="Y58" s="260">
        <f>V58/(R58/2.1)</f>
        <v/>
      </c>
    </row>
    <row r="59" ht="13.5" customHeight="1" s="245">
      <c r="A59" s="60" t="inlineStr">
        <is>
          <t>Running Series</t>
        </is>
      </c>
      <c r="B59" s="61" t="inlineStr">
        <is>
          <t>Short-sleeve T-shirt</t>
        </is>
      </c>
      <c r="C59" s="183" t="inlineStr">
        <is>
          <t>114302402\10</t>
        </is>
      </c>
      <c r="D59" s="183" t="n">
        <v>298</v>
      </c>
      <c r="E59" s="183" t="n">
        <v>4</v>
      </c>
      <c r="F59" s="117" t="n">
        <v>1192</v>
      </c>
      <c r="G59" s="117" t="n">
        <v>1042</v>
      </c>
      <c r="H59" s="285" t="n">
        <v>0.874161073825503</v>
      </c>
      <c r="I59" s="183" t="n">
        <v>27</v>
      </c>
      <c r="J59" s="117" t="n">
        <v>8046</v>
      </c>
      <c r="K59" s="85">
        <f>E59/(I59+E59)</f>
        <v/>
      </c>
      <c r="L59" s="260">
        <f>I59/(E59/2.1)</f>
        <v/>
      </c>
      <c r="N59" s="60" t="inlineStr">
        <is>
          <t>Running Series</t>
        </is>
      </c>
      <c r="O59" s="61" t="inlineStr">
        <is>
          <t>Nine-Tenths Pant</t>
        </is>
      </c>
      <c r="P59" s="183" t="inlineStr">
        <is>
          <t>111322901\80</t>
        </is>
      </c>
      <c r="Q59" s="183" t="n">
        <v>198</v>
      </c>
      <c r="R59" s="92" t="n">
        <v>1</v>
      </c>
      <c r="S59" s="117" t="n">
        <v>198</v>
      </c>
      <c r="T59" s="117" t="n">
        <v>188.1</v>
      </c>
      <c r="U59" s="285" t="n">
        <v>0.95</v>
      </c>
      <c r="V59" s="183" t="n">
        <v>35</v>
      </c>
      <c r="W59" s="117" t="n">
        <v>6930</v>
      </c>
      <c r="X59" s="85">
        <f>R59/(V59+R59)</f>
        <v/>
      </c>
      <c r="Y59" s="260">
        <f>V59/(R59/2.1)</f>
        <v/>
      </c>
    </row>
    <row r="60" ht="13.5" customHeight="1" s="245">
      <c r="A60" s="60" t="inlineStr">
        <is>
          <t>Running Series</t>
        </is>
      </c>
      <c r="B60" s="61" t="inlineStr">
        <is>
          <t>Seven-Eighths Pants</t>
        </is>
      </c>
      <c r="C60" s="183" t="inlineStr">
        <is>
          <t>114322701\95</t>
        </is>
      </c>
      <c r="D60" s="183" t="n">
        <v>398</v>
      </c>
      <c r="E60" s="183" t="n">
        <v>4</v>
      </c>
      <c r="F60" s="117" t="n">
        <v>1592</v>
      </c>
      <c r="G60" s="117" t="n">
        <v>1432</v>
      </c>
      <c r="H60" s="285" t="n">
        <v>0.899497487437186</v>
      </c>
      <c r="I60" s="183" t="n">
        <v>21</v>
      </c>
      <c r="J60" s="117" t="n">
        <v>8358</v>
      </c>
      <c r="K60" s="85">
        <f>E60/(I60+E60)</f>
        <v/>
      </c>
      <c r="L60" s="260">
        <f>I60/(E60/2.1)</f>
        <v/>
      </c>
      <c r="N60" s="60" t="inlineStr">
        <is>
          <t>Running Series</t>
        </is>
      </c>
      <c r="O60" s="61" t="inlineStr">
        <is>
          <t>Seven-Eighths Pants</t>
        </is>
      </c>
      <c r="P60" s="183" t="inlineStr">
        <is>
          <t>111322703\77</t>
        </is>
      </c>
      <c r="Q60" s="183" t="n">
        <v>138</v>
      </c>
      <c r="R60" s="92" t="n">
        <v>1</v>
      </c>
      <c r="S60" s="117" t="n">
        <v>138</v>
      </c>
      <c r="T60" s="117" t="n">
        <v>138</v>
      </c>
      <c r="U60" s="285" t="n">
        <v>1</v>
      </c>
      <c r="V60" s="183" t="n">
        <v>52</v>
      </c>
      <c r="W60" s="117" t="n">
        <v>7176</v>
      </c>
      <c r="X60" s="85">
        <f>R60/(V60+R60)</f>
        <v/>
      </c>
      <c r="Y60" s="260">
        <f>V60/(R60/2.1)</f>
        <v/>
      </c>
    </row>
    <row r="61" ht="13.5" customHeight="1" s="245">
      <c r="A61" s="60" t="inlineStr">
        <is>
          <t>Running Series</t>
        </is>
      </c>
      <c r="B61" s="183" t="inlineStr">
        <is>
          <t>Short-sleeve T-shirt</t>
        </is>
      </c>
      <c r="C61" s="183" t="inlineStr">
        <is>
          <t>114302402\93</t>
        </is>
      </c>
      <c r="D61" s="183" t="n">
        <v>298</v>
      </c>
      <c r="E61" s="183" t="n">
        <v>3</v>
      </c>
      <c r="F61" s="117" t="n">
        <v>894</v>
      </c>
      <c r="G61" s="117" t="n">
        <v>714</v>
      </c>
      <c r="H61" s="285" t="n">
        <v>0.798657718120805</v>
      </c>
      <c r="I61" s="183" t="n">
        <v>27</v>
      </c>
      <c r="J61" s="117" t="n">
        <v>8046</v>
      </c>
      <c r="K61" s="85">
        <f>E61/(I61+E61)</f>
        <v/>
      </c>
      <c r="L61" s="260">
        <f>I61/(E61/2.1)</f>
        <v/>
      </c>
      <c r="N61" s="60" t="inlineStr">
        <is>
          <t>Running Series</t>
        </is>
      </c>
      <c r="O61" s="183" t="inlineStr">
        <is>
          <t>Five-pocket pants</t>
        </is>
      </c>
      <c r="P61" s="183" t="inlineStr">
        <is>
          <t>110332204\64</t>
        </is>
      </c>
      <c r="Q61" s="183" t="n">
        <v>218</v>
      </c>
      <c r="R61" s="92" t="n">
        <v>1</v>
      </c>
      <c r="S61" s="117" t="n">
        <v>218</v>
      </c>
      <c r="T61" s="117" t="n">
        <v>196.2</v>
      </c>
      <c r="U61" s="285" t="n">
        <v>0.9</v>
      </c>
      <c r="V61" s="183" t="n">
        <v>65</v>
      </c>
      <c r="W61" s="117" t="n">
        <v>14170</v>
      </c>
      <c r="X61" s="85">
        <f>R61/(V61+R61)</f>
        <v/>
      </c>
      <c r="Y61" s="260">
        <f>V61/(R61/2.1)</f>
        <v/>
      </c>
    </row>
    <row r="62" ht="13.5" customHeight="1" s="245">
      <c r="A62" s="65" t="inlineStr">
        <is>
          <t>Running Series</t>
        </is>
      </c>
      <c r="B62" s="66" t="inlineStr">
        <is>
          <t>Tank top</t>
        </is>
      </c>
      <c r="C62" s="87" t="inlineStr">
        <is>
          <t>318001\90</t>
        </is>
      </c>
      <c r="D62" s="87" t="n">
        <v>168</v>
      </c>
      <c r="E62" s="87" t="n">
        <v>2</v>
      </c>
      <c r="F62" s="131" t="n">
        <v>336</v>
      </c>
      <c r="G62" s="131" t="n">
        <v>244</v>
      </c>
      <c r="H62" s="303" t="n">
        <v>0.7261904761904761</v>
      </c>
      <c r="I62" s="87" t="n">
        <v>88</v>
      </c>
      <c r="J62" s="131" t="n">
        <v>14784</v>
      </c>
      <c r="K62" s="88">
        <f>E62/(I62+E62)</f>
        <v/>
      </c>
      <c r="L62" s="304">
        <f>I62/(E62/2.1)</f>
        <v/>
      </c>
      <c r="N62" s="65" t="inlineStr">
        <is>
          <t>Running Series</t>
        </is>
      </c>
      <c r="O62" s="66" t="inlineStr">
        <is>
          <t>Shorts</t>
        </is>
      </c>
      <c r="P62" s="87" t="inlineStr">
        <is>
          <t>113322201\42</t>
        </is>
      </c>
      <c r="Q62" s="87" t="n">
        <v>368</v>
      </c>
      <c r="R62" s="93" t="n">
        <v>2</v>
      </c>
      <c r="S62" s="131" t="n">
        <v>736</v>
      </c>
      <c r="T62" s="131" t="n">
        <v>662.4</v>
      </c>
      <c r="U62" s="303" t="n">
        <v>0.9</v>
      </c>
      <c r="V62" s="87" t="n">
        <v>23</v>
      </c>
      <c r="W62" s="131" t="n">
        <v>8464</v>
      </c>
      <c r="X62" s="85">
        <f>R62/(V62+R62)</f>
        <v/>
      </c>
      <c r="Y62" s="260">
        <f>V62/(R62/2.1)</f>
        <v/>
      </c>
    </row>
    <row r="63" ht="13.5" customHeight="1" s="245">
      <c r="A63" s="56" t="inlineStr">
        <is>
          <t>Children's swim trunks</t>
        </is>
      </c>
      <c r="B63" s="81" t="inlineStr">
        <is>
          <t>Flat mouth</t>
        </is>
      </c>
      <c r="C63" s="81" t="inlineStr">
        <is>
          <t>113151602\75</t>
        </is>
      </c>
      <c r="D63" s="81" t="n">
        <v>158</v>
      </c>
      <c r="E63" s="81" t="n">
        <v>27</v>
      </c>
      <c r="F63" s="58" t="n">
        <v>4266</v>
      </c>
      <c r="G63" s="58" t="n">
        <v>3422.3</v>
      </c>
      <c r="H63" s="305" t="n">
        <v>0.802226910454759</v>
      </c>
      <c r="I63" s="81" t="n">
        <v>639</v>
      </c>
      <c r="J63" s="58" t="n">
        <v>100962</v>
      </c>
      <c r="K63" s="82">
        <f>E63/(I63+E63)</f>
        <v/>
      </c>
      <c r="L63" s="306">
        <f>I63/(E63/2.1)</f>
        <v/>
      </c>
      <c r="N63" s="56" t="inlineStr">
        <is>
          <t>Children's swim trunks</t>
        </is>
      </c>
      <c r="O63" s="81" t="inlineStr">
        <is>
          <t>Flat mouth</t>
        </is>
      </c>
      <c r="P63" s="81" t="inlineStr">
        <is>
          <t>112151608\80</t>
        </is>
      </c>
      <c r="Q63" s="81" t="n">
        <v>128</v>
      </c>
      <c r="R63" s="94" t="n">
        <v>1</v>
      </c>
      <c r="S63" s="58" t="n">
        <v>128</v>
      </c>
      <c r="T63" s="58" t="n">
        <v>96</v>
      </c>
      <c r="U63" s="305" t="n">
        <v>0.75</v>
      </c>
      <c r="V63" s="81" t="n">
        <v>325</v>
      </c>
      <c r="W63" s="58" t="n">
        <v>41600</v>
      </c>
      <c r="X63" s="85">
        <f>R63/(V63+R63)</f>
        <v/>
      </c>
      <c r="Y63" s="260">
        <f>V63/(R63/2.1)</f>
        <v/>
      </c>
    </row>
    <row r="64" ht="13.5" customHeight="1" s="245">
      <c r="A64" s="60" t="inlineStr">
        <is>
          <t>Children's swim trunks</t>
        </is>
      </c>
      <c r="B64" s="61" t="inlineStr">
        <is>
          <t>Flat mouth</t>
        </is>
      </c>
      <c r="C64" s="183" t="inlineStr">
        <is>
          <t>113151602\68</t>
        </is>
      </c>
      <c r="D64" s="183" t="n">
        <v>158</v>
      </c>
      <c r="E64" s="183" t="n">
        <v>26</v>
      </c>
      <c r="F64" s="117" t="n">
        <v>4108</v>
      </c>
      <c r="G64" s="117" t="n">
        <v>3091.6</v>
      </c>
      <c r="H64" s="285" t="n">
        <v>0.752580331061344</v>
      </c>
      <c r="I64" s="183" t="n">
        <v>618</v>
      </c>
      <c r="J64" s="117" t="n">
        <v>97644</v>
      </c>
      <c r="K64" s="85">
        <f>E64/(I64+E64)</f>
        <v/>
      </c>
      <c r="L64" s="260">
        <f>I64/(E64/2.1)</f>
        <v/>
      </c>
      <c r="N64" s="60" t="inlineStr">
        <is>
          <t>Children's swim trunks</t>
        </is>
      </c>
      <c r="O64" s="61" t="inlineStr">
        <is>
          <t>Flat mouth</t>
        </is>
      </c>
      <c r="P64" s="183" t="inlineStr">
        <is>
          <t>111151601\76</t>
        </is>
      </c>
      <c r="Q64" s="183" t="n">
        <v>108</v>
      </c>
      <c r="R64" s="92" t="n">
        <v>2</v>
      </c>
      <c r="S64" s="117" t="n">
        <v>216</v>
      </c>
      <c r="T64" s="117" t="n">
        <v>162</v>
      </c>
      <c r="U64" s="285" t="n">
        <v>0.75</v>
      </c>
      <c r="V64" s="183" t="n">
        <v>26</v>
      </c>
      <c r="W64" s="117" t="n">
        <v>2808</v>
      </c>
      <c r="X64" s="85">
        <f>R64/(V64+R64)</f>
        <v/>
      </c>
      <c r="Y64" s="260">
        <f>V64/(R64/2.1)</f>
        <v/>
      </c>
    </row>
    <row r="65" ht="13.5" customHeight="1" s="245">
      <c r="A65" s="60" t="inlineStr">
        <is>
          <t>Children's swim trunks</t>
        </is>
      </c>
      <c r="B65" s="61" t="inlineStr">
        <is>
          <t>Flat mouth</t>
        </is>
      </c>
      <c r="C65" s="183" t="inlineStr">
        <is>
          <t>111151602\75</t>
        </is>
      </c>
      <c r="D65" s="183" t="n">
        <v>108</v>
      </c>
      <c r="E65" s="183" t="n">
        <v>24</v>
      </c>
      <c r="F65" s="117" t="n">
        <v>2592</v>
      </c>
      <c r="G65" s="117" t="n">
        <v>1943.04</v>
      </c>
      <c r="H65" s="285" t="n">
        <v>0.74962962962963</v>
      </c>
      <c r="I65" s="183" t="n">
        <v>394</v>
      </c>
      <c r="J65" s="117" t="n">
        <v>42552</v>
      </c>
      <c r="K65" s="85">
        <f>E65/(I65+E65)</f>
        <v/>
      </c>
      <c r="L65" s="260">
        <f>I65/(E65/2.1)</f>
        <v/>
      </c>
      <c r="N65" s="60" t="inlineStr">
        <is>
          <t>Children's swim trunks</t>
        </is>
      </c>
      <c r="O65" s="61" t="inlineStr">
        <is>
          <t>Flat mouth</t>
        </is>
      </c>
      <c r="P65" s="183" t="inlineStr">
        <is>
          <t>111151604\75</t>
        </is>
      </c>
      <c r="Q65" s="183" t="n">
        <v>108</v>
      </c>
      <c r="R65" s="92" t="n">
        <v>3</v>
      </c>
      <c r="S65" s="117" t="n">
        <v>324</v>
      </c>
      <c r="T65" s="117" t="n">
        <v>258</v>
      </c>
      <c r="U65" s="285" t="n">
        <v>0.7962962962962959</v>
      </c>
      <c r="V65" s="183" t="n">
        <v>7</v>
      </c>
      <c r="W65" s="117" t="n">
        <v>756</v>
      </c>
      <c r="X65" s="85">
        <f>R65/(V65+R65)</f>
        <v/>
      </c>
      <c r="Y65" s="260">
        <f>V65/(R65/2.1)</f>
        <v/>
      </c>
    </row>
    <row r="66" ht="13.5" customHeight="1" s="245">
      <c r="A66" s="60" t="inlineStr">
        <is>
          <t>Children's swim trunks</t>
        </is>
      </c>
      <c r="B66" s="61" t="inlineStr">
        <is>
          <t>Flat mouth</t>
        </is>
      </c>
      <c r="C66" s="183" t="inlineStr">
        <is>
          <t>112151602\75</t>
        </is>
      </c>
      <c r="D66" s="183" t="n">
        <v>138</v>
      </c>
      <c r="E66" s="183" t="n">
        <v>19</v>
      </c>
      <c r="F66" s="117" t="n">
        <v>2622</v>
      </c>
      <c r="G66" s="117" t="n">
        <v>2140.4</v>
      </c>
      <c r="H66" s="285" t="n">
        <v>0.816323417238749</v>
      </c>
      <c r="I66" s="183" t="n">
        <v>236</v>
      </c>
      <c r="J66" s="117" t="n">
        <v>32568</v>
      </c>
      <c r="K66" s="85">
        <f>E66/(I66+E66)</f>
        <v/>
      </c>
      <c r="L66" s="260">
        <f>I66/(E66/2.1)</f>
        <v/>
      </c>
      <c r="N66" s="60" t="inlineStr">
        <is>
          <t>Children's swim trunks</t>
        </is>
      </c>
      <c r="O66" s="61" t="inlineStr">
        <is>
          <t>Flat mouth</t>
        </is>
      </c>
      <c r="P66" s="183" t="inlineStr">
        <is>
          <t>112151608\75</t>
        </is>
      </c>
      <c r="Q66" s="183" t="n">
        <v>128</v>
      </c>
      <c r="R66" s="92" t="n">
        <v>4</v>
      </c>
      <c r="S66" s="117" t="n">
        <v>512</v>
      </c>
      <c r="T66" s="117" t="n">
        <v>380.8</v>
      </c>
      <c r="U66" s="285" t="n">
        <v>0.74375</v>
      </c>
      <c r="V66" s="183" t="n">
        <v>248</v>
      </c>
      <c r="W66" s="117" t="n">
        <v>31744</v>
      </c>
      <c r="X66" s="85">
        <f>R66/(V66+R66)</f>
        <v/>
      </c>
      <c r="Y66" s="260">
        <f>V66/(R66/2.1)</f>
        <v/>
      </c>
    </row>
    <row r="67" ht="13.5" customHeight="1" s="245">
      <c r="A67" s="60" t="inlineStr">
        <is>
          <t>Children's swim trunks</t>
        </is>
      </c>
      <c r="B67" s="61" t="inlineStr">
        <is>
          <t>Flat mouth</t>
        </is>
      </c>
      <c r="C67" s="183" t="inlineStr">
        <is>
          <t>113151606\75</t>
        </is>
      </c>
      <c r="D67" s="183" t="n">
        <v>128</v>
      </c>
      <c r="E67" s="183" t="n">
        <v>17</v>
      </c>
      <c r="F67" s="117" t="n">
        <v>2176</v>
      </c>
      <c r="G67" s="117" t="n">
        <v>1865.6</v>
      </c>
      <c r="H67" s="285" t="n">
        <v>0.857352941176471</v>
      </c>
      <c r="I67" s="183" t="n">
        <v>473</v>
      </c>
      <c r="J67" s="117" t="n">
        <v>60544</v>
      </c>
      <c r="K67" s="85">
        <f>E67/(I67+E67)</f>
        <v/>
      </c>
      <c r="L67" s="260">
        <f>I67/(E67/2.1)</f>
        <v/>
      </c>
      <c r="N67" s="60" t="inlineStr">
        <is>
          <t>Children's swim trunks</t>
        </is>
      </c>
      <c r="O67" s="61" t="inlineStr">
        <is>
          <t>Flat mouth</t>
        </is>
      </c>
      <c r="P67" s="183" t="inlineStr">
        <is>
          <t>112151603\75</t>
        </is>
      </c>
      <c r="Q67" s="183" t="n">
        <v>138</v>
      </c>
      <c r="R67" s="92" t="n">
        <v>6</v>
      </c>
      <c r="S67" s="117" t="n">
        <v>828</v>
      </c>
      <c r="T67" s="117" t="n">
        <v>610.5</v>
      </c>
      <c r="U67" s="285" t="n">
        <v>0.73731884057971</v>
      </c>
      <c r="V67" s="183" t="n">
        <v>581</v>
      </c>
      <c r="W67" s="117" t="n">
        <v>80178</v>
      </c>
      <c r="X67" s="85">
        <f>R67/(V67+R67)</f>
        <v/>
      </c>
      <c r="Y67" s="260">
        <f>V67/(R67/2.1)</f>
        <v/>
      </c>
    </row>
    <row r="68" ht="13.5" customHeight="1" s="245">
      <c r="A68" s="65" t="inlineStr">
        <is>
          <t>Children's swim trunks</t>
        </is>
      </c>
      <c r="B68" s="66" t="inlineStr">
        <is>
          <t>Flat mouth</t>
        </is>
      </c>
      <c r="C68" s="87" t="inlineStr">
        <is>
          <t>112151602\90</t>
        </is>
      </c>
      <c r="D68" s="87" t="n">
        <v>138</v>
      </c>
      <c r="E68" s="87" t="n">
        <v>11</v>
      </c>
      <c r="F68" s="131" t="n">
        <v>1518</v>
      </c>
      <c r="G68" s="131" t="n">
        <v>1163.8</v>
      </c>
      <c r="H68" s="303" t="n">
        <v>0.7666666666666671</v>
      </c>
      <c r="I68" s="87" t="n">
        <v>343</v>
      </c>
      <c r="J68" s="131" t="n">
        <v>47334</v>
      </c>
      <c r="K68" s="88">
        <f>E68/(I68+E68)</f>
        <v/>
      </c>
      <c r="L68" s="304">
        <f>I68/(E68/2.1)</f>
        <v/>
      </c>
      <c r="N68" s="65" t="inlineStr">
        <is>
          <t>Children's swim trunks</t>
        </is>
      </c>
      <c r="O68" s="66" t="inlineStr">
        <is>
          <t>Flat mouth</t>
        </is>
      </c>
      <c r="P68" s="87" t="inlineStr">
        <is>
          <t>113151605\73</t>
        </is>
      </c>
      <c r="Q68" s="87" t="n">
        <v>128</v>
      </c>
      <c r="R68" s="93" t="n">
        <v>10</v>
      </c>
      <c r="S68" s="131" t="n">
        <v>1280</v>
      </c>
      <c r="T68" s="131" t="n">
        <v>1017.8</v>
      </c>
      <c r="U68" s="303" t="n">
        <v>0.79515625</v>
      </c>
      <c r="V68" s="87" t="n">
        <v>164</v>
      </c>
      <c r="W68" s="131" t="n">
        <v>20992</v>
      </c>
      <c r="X68" s="85">
        <f>R68/(V68+R68)</f>
        <v/>
      </c>
      <c r="Y68" s="260">
        <f>V68/(R68/2.1)</f>
        <v/>
      </c>
    </row>
    <row r="69" ht="13.5" customHeight="1" s="245">
      <c r="A69" s="56" t="inlineStr">
        <is>
          <t>Children's swimsuit</t>
        </is>
      </c>
      <c r="B69" s="81" t="inlineStr">
        <is>
          <t>One-piece Long Dress</t>
        </is>
      </c>
      <c r="C69" s="81" t="inlineStr">
        <is>
          <t>113121105\90</t>
        </is>
      </c>
      <c r="D69" s="81" t="n">
        <v>208</v>
      </c>
      <c r="E69" s="81" t="n">
        <v>27</v>
      </c>
      <c r="F69" s="58" t="n">
        <v>5616</v>
      </c>
      <c r="G69" s="58" t="n">
        <v>4464.8</v>
      </c>
      <c r="H69" s="305" t="n">
        <v>0.795014245014245</v>
      </c>
      <c r="I69" s="81" t="n">
        <v>281</v>
      </c>
      <c r="J69" s="58" t="n">
        <v>58448</v>
      </c>
      <c r="K69" s="82">
        <f>E69/(I69+E69)</f>
        <v/>
      </c>
      <c r="L69" s="306">
        <f>I69/(E69/2.1)</f>
        <v/>
      </c>
      <c r="N69" s="56" t="inlineStr">
        <is>
          <t>Children's swimsuit</t>
        </is>
      </c>
      <c r="O69" s="81" t="inlineStr">
        <is>
          <t>One-piece Long Dress</t>
        </is>
      </c>
      <c r="P69" s="81" t="inlineStr">
        <is>
          <t>113121102\92</t>
        </is>
      </c>
      <c r="Q69" s="81" t="n">
        <v>238</v>
      </c>
      <c r="R69" s="94" t="n">
        <v>1</v>
      </c>
      <c r="S69" s="58" t="n">
        <v>238</v>
      </c>
      <c r="T69" s="58" t="n">
        <v>166</v>
      </c>
      <c r="U69" s="305" t="n">
        <v>0.697478991596639</v>
      </c>
      <c r="V69" s="81" t="n">
        <v>350</v>
      </c>
      <c r="W69" s="58" t="n">
        <v>83300</v>
      </c>
      <c r="X69" s="85">
        <f>R69/(V69+R69)</f>
        <v/>
      </c>
      <c r="Y69" s="260">
        <f>V69/(R69/2.1)</f>
        <v/>
      </c>
    </row>
    <row r="70" ht="13.5" customHeight="1" s="245">
      <c r="A70" s="60" t="inlineStr">
        <is>
          <t>Children's swimsuit</t>
        </is>
      </c>
      <c r="B70" s="61" t="inlineStr">
        <is>
          <t>One-piece Long Dress</t>
        </is>
      </c>
      <c r="C70" s="183" t="inlineStr">
        <is>
          <t>113121105\75</t>
        </is>
      </c>
      <c r="D70" s="183" t="n">
        <v>208</v>
      </c>
      <c r="E70" s="183" t="n">
        <v>17</v>
      </c>
      <c r="F70" s="117" t="n">
        <v>3536</v>
      </c>
      <c r="G70" s="117" t="n">
        <v>2716.1</v>
      </c>
      <c r="H70" s="285" t="n">
        <v>0.768127828054299</v>
      </c>
      <c r="I70" s="183" t="n">
        <v>327</v>
      </c>
      <c r="J70" s="117" t="n">
        <v>68016</v>
      </c>
      <c r="K70" s="85">
        <f>E70/(I70+E70)</f>
        <v/>
      </c>
      <c r="L70" s="260">
        <f>I70/(E70/2.1)</f>
        <v/>
      </c>
      <c r="N70" s="60" t="inlineStr">
        <is>
          <t>Children's swimsuit</t>
        </is>
      </c>
      <c r="O70" s="61" t="inlineStr">
        <is>
          <t>Two-piece Separate Dress</t>
        </is>
      </c>
      <c r="P70" s="183" t="inlineStr">
        <is>
          <t>112121204\75</t>
        </is>
      </c>
      <c r="Q70" s="183" t="n">
        <v>198</v>
      </c>
      <c r="R70" s="92" t="n">
        <v>2</v>
      </c>
      <c r="S70" s="117" t="n">
        <v>396</v>
      </c>
      <c r="T70" s="117" t="n">
        <v>278</v>
      </c>
      <c r="U70" s="285" t="n">
        <v>0.702020202020202</v>
      </c>
      <c r="V70" s="183" t="n">
        <v>2</v>
      </c>
      <c r="W70" s="117" t="n">
        <v>396</v>
      </c>
      <c r="X70" s="85">
        <f>R70/(V70+R70)</f>
        <v/>
      </c>
      <c r="Y70" s="260">
        <f>V70/(R70/2.1)</f>
        <v/>
      </c>
    </row>
    <row r="71" ht="13.5" customHeight="1" s="245">
      <c r="A71" s="60" t="inlineStr">
        <is>
          <t>Children's swimsuit</t>
        </is>
      </c>
      <c r="B71" s="61" t="inlineStr">
        <is>
          <t>One-piece Long Dress</t>
        </is>
      </c>
      <c r="C71" s="183" t="inlineStr">
        <is>
          <t>114121101\92</t>
        </is>
      </c>
      <c r="D71" s="183" t="n">
        <v>198</v>
      </c>
      <c r="E71" s="183" t="n">
        <v>12</v>
      </c>
      <c r="F71" s="117" t="n">
        <v>2376</v>
      </c>
      <c r="G71" s="117" t="n">
        <v>1661.4</v>
      </c>
      <c r="H71" s="285" t="n">
        <v>0.699242424242424</v>
      </c>
      <c r="I71" s="183" t="n">
        <v>181</v>
      </c>
      <c r="J71" s="117" t="n">
        <v>35838</v>
      </c>
      <c r="K71" s="85">
        <f>E71/(I71+E71)</f>
        <v/>
      </c>
      <c r="L71" s="260">
        <f>I71/(E71/2.1)</f>
        <v/>
      </c>
      <c r="N71" s="60" t="inlineStr">
        <is>
          <t>Children's swimsuit</t>
        </is>
      </c>
      <c r="O71" s="61" t="inlineStr">
        <is>
          <t>One-piece Triangle</t>
        </is>
      </c>
      <c r="P71" s="183" t="inlineStr">
        <is>
          <t>112121306\75</t>
        </is>
      </c>
      <c r="Q71" s="183" t="n">
        <v>218</v>
      </c>
      <c r="R71" s="92" t="n">
        <v>3</v>
      </c>
      <c r="S71" s="117" t="n">
        <v>654</v>
      </c>
      <c r="T71" s="117" t="n">
        <v>525.9</v>
      </c>
      <c r="U71" s="285" t="n">
        <v>0.804128440366972</v>
      </c>
      <c r="V71" s="183" t="n">
        <v>376</v>
      </c>
      <c r="W71" s="117" t="n">
        <v>81968</v>
      </c>
      <c r="X71" s="85">
        <f>R71/(V71+R71)</f>
        <v/>
      </c>
      <c r="Y71" s="260">
        <f>V71/(R71/2.1)</f>
        <v/>
      </c>
    </row>
    <row r="72" ht="13.5" customHeight="1" s="245">
      <c r="A72" s="60" t="inlineStr">
        <is>
          <t>Children's swimsuit</t>
        </is>
      </c>
      <c r="B72" s="61" t="inlineStr">
        <is>
          <t>Two-piece separates pants</t>
        </is>
      </c>
      <c r="C72" s="183" t="inlineStr">
        <is>
          <t>114121202\97</t>
        </is>
      </c>
      <c r="D72" s="183" t="n">
        <v>198</v>
      </c>
      <c r="E72" s="183" t="n">
        <v>12</v>
      </c>
      <c r="F72" s="117" t="n">
        <v>2376</v>
      </c>
      <c r="G72" s="117" t="n">
        <v>1910.6</v>
      </c>
      <c r="H72" s="285" t="n">
        <v>0.804124579124579</v>
      </c>
      <c r="I72" s="183" t="n">
        <v>157</v>
      </c>
      <c r="J72" s="117" t="n">
        <v>31086</v>
      </c>
      <c r="K72" s="85">
        <f>E72/(I72+E72)</f>
        <v/>
      </c>
      <c r="L72" s="260">
        <f>I72/(E72/2.1)</f>
        <v/>
      </c>
      <c r="N72" s="60" t="inlineStr">
        <is>
          <t>Children's swimsuit</t>
        </is>
      </c>
      <c r="O72" s="61" t="inlineStr">
        <is>
          <t>One-piece Long Dress</t>
        </is>
      </c>
      <c r="P72" s="183" t="inlineStr">
        <is>
          <t>114121101\32</t>
        </is>
      </c>
      <c r="Q72" s="183" t="n">
        <v>198</v>
      </c>
      <c r="R72" s="92" t="n">
        <v>4</v>
      </c>
      <c r="S72" s="117" t="n">
        <v>792</v>
      </c>
      <c r="T72" s="117" t="n">
        <v>728.2</v>
      </c>
      <c r="U72" s="285" t="n">
        <v>0.919444444444445</v>
      </c>
      <c r="V72" s="183" t="n">
        <v>179</v>
      </c>
      <c r="W72" s="117" t="n">
        <v>35442</v>
      </c>
      <c r="X72" s="85">
        <f>R72/(V72+R72)</f>
        <v/>
      </c>
      <c r="Y72" s="260">
        <f>V72/(R72/2.1)</f>
        <v/>
      </c>
    </row>
    <row r="73" ht="13.5" customHeight="1" s="245">
      <c r="A73" s="60" t="inlineStr">
        <is>
          <t>Children's swimsuit</t>
        </is>
      </c>
      <c r="B73" s="61" t="inlineStr">
        <is>
          <t>One-piece Triangle</t>
        </is>
      </c>
      <c r="C73" s="183" t="inlineStr">
        <is>
          <t>112121306\97</t>
        </is>
      </c>
      <c r="D73" s="183" t="n">
        <v>218</v>
      </c>
      <c r="E73" s="183" t="n">
        <v>10</v>
      </c>
      <c r="F73" s="117" t="n">
        <v>2180</v>
      </c>
      <c r="G73" s="117" t="n">
        <v>1534.2</v>
      </c>
      <c r="H73" s="285" t="n">
        <v>0.703761467889908</v>
      </c>
      <c r="I73" s="183" t="n">
        <v>200</v>
      </c>
      <c r="J73" s="117" t="n">
        <v>43600</v>
      </c>
      <c r="K73" s="85">
        <f>E73/(I73+E73)</f>
        <v/>
      </c>
      <c r="L73" s="260">
        <f>I73/(E73/2.1)</f>
        <v/>
      </c>
      <c r="N73" s="60" t="inlineStr">
        <is>
          <t>Children's swimsuit</t>
        </is>
      </c>
      <c r="O73" s="61" t="inlineStr">
        <is>
          <t>Two-piece Separate Dress</t>
        </is>
      </c>
      <c r="P73" s="183" t="inlineStr">
        <is>
          <t>111121204\75</t>
        </is>
      </c>
      <c r="Q73" s="183" t="n">
        <v>129</v>
      </c>
      <c r="R73" s="92" t="n">
        <v>5</v>
      </c>
      <c r="S73" s="117" t="n">
        <v>645</v>
      </c>
      <c r="T73" s="117" t="n">
        <v>500.5</v>
      </c>
      <c r="U73" s="285" t="n">
        <v>0.775968992248062</v>
      </c>
      <c r="V73" s="183" t="n">
        <v>248</v>
      </c>
      <c r="W73" s="117" t="n">
        <v>31992</v>
      </c>
      <c r="X73" s="85">
        <f>R73/(V73+R73)</f>
        <v/>
      </c>
      <c r="Y73" s="260">
        <f>V73/(R73/2.1)</f>
        <v/>
      </c>
    </row>
    <row r="74" ht="13.5" customHeight="1" s="245">
      <c r="A74" s="65" t="inlineStr">
        <is>
          <t>Children's swimsuit</t>
        </is>
      </c>
      <c r="B74" s="66" t="inlineStr">
        <is>
          <t>One-piece Long Dress</t>
        </is>
      </c>
      <c r="C74" s="87" t="inlineStr">
        <is>
          <t>113121106\92</t>
        </is>
      </c>
      <c r="D74" s="87" t="n">
        <v>198</v>
      </c>
      <c r="E74" s="87" t="n">
        <v>9</v>
      </c>
      <c r="F74" s="131" t="n">
        <v>1782</v>
      </c>
      <c r="G74" s="131" t="n">
        <v>1411.3</v>
      </c>
      <c r="H74" s="303" t="n">
        <v>0.791975308641975</v>
      </c>
      <c r="I74" s="87" t="n">
        <v>201</v>
      </c>
      <c r="J74" s="131" t="n">
        <v>39798</v>
      </c>
      <c r="K74" s="88">
        <f>E74/(I74+E74)</f>
        <v/>
      </c>
      <c r="L74" s="304">
        <f>I74/(E74/2.1)</f>
        <v/>
      </c>
      <c r="N74" s="65" t="inlineStr">
        <is>
          <t>Children's swimsuit</t>
        </is>
      </c>
      <c r="O74" s="66" t="inlineStr">
        <is>
          <t>One-piece Long Dress</t>
        </is>
      </c>
      <c r="P74" s="87" t="inlineStr">
        <is>
          <t>113121104\41</t>
        </is>
      </c>
      <c r="Q74" s="87" t="n">
        <v>238</v>
      </c>
      <c r="R74" s="93" t="n">
        <v>6</v>
      </c>
      <c r="S74" s="131" t="n">
        <v>1428</v>
      </c>
      <c r="T74" s="131" t="n">
        <v>1137.7</v>
      </c>
      <c r="U74" s="303" t="n">
        <v>0.796708683473389</v>
      </c>
      <c r="V74" s="87" t="n">
        <v>295</v>
      </c>
      <c r="W74" s="131" t="n">
        <v>70210</v>
      </c>
      <c r="X74" s="85">
        <f>R74/(V74+R74)</f>
        <v/>
      </c>
      <c r="Y74" s="260">
        <f>V74/(R74/2.1)</f>
        <v/>
      </c>
    </row>
    <row r="75" ht="13.5" customHeight="1" s="245">
      <c r="A75" s="56" t="inlineStr">
        <is>
          <t>Swim Trunks</t>
        </is>
      </c>
      <c r="B75" s="81" t="inlineStr">
        <is>
          <t>Flat mouth</t>
        </is>
      </c>
      <c r="C75" s="81" t="inlineStr">
        <is>
          <t>112141618\75</t>
        </is>
      </c>
      <c r="D75" s="81" t="n">
        <v>128</v>
      </c>
      <c r="E75" s="81" t="n">
        <v>114</v>
      </c>
      <c r="F75" s="58" t="n">
        <v>14592</v>
      </c>
      <c r="G75" s="58" t="n">
        <v>12107.28</v>
      </c>
      <c r="H75" s="305" t="n">
        <v>0.829720394736842</v>
      </c>
      <c r="I75" s="81" t="n">
        <v>790</v>
      </c>
      <c r="J75" s="58" t="n">
        <v>101120</v>
      </c>
      <c r="K75" s="82">
        <f>E75/(I75+E75)</f>
        <v/>
      </c>
      <c r="L75" s="306">
        <f>I75/(E75/2.1)</f>
        <v/>
      </c>
      <c r="N75" s="56" t="inlineStr">
        <is>
          <t>Swim Trunks</t>
        </is>
      </c>
      <c r="O75" s="81" t="inlineStr">
        <is>
          <t>Flat mouth</t>
        </is>
      </c>
      <c r="P75" s="81" t="inlineStr">
        <is>
          <t>112141601\80</t>
        </is>
      </c>
      <c r="Q75" s="81" t="n">
        <v>158</v>
      </c>
      <c r="R75" s="94" t="n">
        <v>1</v>
      </c>
      <c r="S75" s="58" t="n">
        <v>158</v>
      </c>
      <c r="T75" s="58" t="n">
        <v>158</v>
      </c>
      <c r="U75" s="305" t="n">
        <v>1</v>
      </c>
      <c r="V75" s="81" t="n">
        <v>42</v>
      </c>
      <c r="W75" s="58" t="n">
        <v>6636</v>
      </c>
      <c r="X75" s="85">
        <f>R75/(V75+R75)</f>
        <v/>
      </c>
      <c r="Y75" s="260">
        <f>V75/(R75/2.1)</f>
        <v/>
      </c>
    </row>
    <row r="76" ht="13.5" customHeight="1" s="245">
      <c r="A76" s="60" t="inlineStr">
        <is>
          <t>Swim Trunks</t>
        </is>
      </c>
      <c r="B76" s="61" t="inlineStr">
        <is>
          <t>Flat mouth</t>
        </is>
      </c>
      <c r="C76" s="183" t="inlineStr">
        <is>
          <t>112141618\80</t>
        </is>
      </c>
      <c r="D76" s="183" t="n">
        <v>128</v>
      </c>
      <c r="E76" s="183" t="n">
        <v>113</v>
      </c>
      <c r="F76" s="117" t="n">
        <v>14464</v>
      </c>
      <c r="G76" s="117" t="n">
        <v>11821.9</v>
      </c>
      <c r="H76" s="285" t="n">
        <v>0.817332688053097</v>
      </c>
      <c r="I76" s="183" t="n">
        <v>773</v>
      </c>
      <c r="J76" s="117" t="n">
        <v>98944</v>
      </c>
      <c r="K76" s="85">
        <f>E76/(I76+E76)</f>
        <v/>
      </c>
      <c r="L76" s="260">
        <f>I76/(E76/2.1)</f>
        <v/>
      </c>
      <c r="N76" s="60" t="inlineStr">
        <is>
          <t>Swim Trunks</t>
        </is>
      </c>
      <c r="O76" s="61" t="inlineStr">
        <is>
          <t>Flat mouth</t>
        </is>
      </c>
      <c r="P76" s="183" t="inlineStr">
        <is>
          <t>112141608\75</t>
        </is>
      </c>
      <c r="Q76" s="183" t="n">
        <v>198</v>
      </c>
      <c r="R76" s="92" t="n">
        <v>1</v>
      </c>
      <c r="S76" s="117" t="n">
        <v>198</v>
      </c>
      <c r="T76" s="117" t="n">
        <v>178.2</v>
      </c>
      <c r="U76" s="285" t="n">
        <v>0.9</v>
      </c>
      <c r="V76" s="183" t="n">
        <v>35</v>
      </c>
      <c r="W76" s="117" t="n">
        <v>6930</v>
      </c>
      <c r="X76" s="85">
        <f>R76/(V76+R76)</f>
        <v/>
      </c>
      <c r="Y76" s="260">
        <f>V76/(R76/2.1)</f>
        <v/>
      </c>
    </row>
    <row r="77" ht="13.5" customHeight="1" s="245">
      <c r="A77" s="60" t="inlineStr">
        <is>
          <t>Swim Trunks</t>
        </is>
      </c>
      <c r="B77" s="61" t="inlineStr">
        <is>
          <t>Five-minute pants</t>
        </is>
      </c>
      <c r="C77" s="183" t="inlineStr">
        <is>
          <t>113141502\80</t>
        </is>
      </c>
      <c r="D77" s="183" t="n">
        <v>198</v>
      </c>
      <c r="E77" s="183" t="n">
        <v>103</v>
      </c>
      <c r="F77" s="117" t="n">
        <v>20394</v>
      </c>
      <c r="G77" s="117" t="n">
        <v>17143.74</v>
      </c>
      <c r="H77" s="285" t="n">
        <v>0.8406266548985</v>
      </c>
      <c r="I77" s="183" t="n">
        <v>480</v>
      </c>
      <c r="J77" s="117" t="n">
        <v>95040</v>
      </c>
      <c r="K77" s="85">
        <f>E77/(I77+E77)</f>
        <v/>
      </c>
      <c r="L77" s="260">
        <f>I77/(E77/2.1)</f>
        <v/>
      </c>
      <c r="N77" s="60" t="inlineStr">
        <is>
          <t>Swim Trunks</t>
        </is>
      </c>
      <c r="O77" s="61" t="inlineStr">
        <is>
          <t>Flat mouth</t>
        </is>
      </c>
      <c r="P77" s="183" t="inlineStr">
        <is>
          <t>113141604\75</t>
        </is>
      </c>
      <c r="Q77" s="183" t="n">
        <v>158</v>
      </c>
      <c r="R77" s="92" t="n">
        <v>1</v>
      </c>
      <c r="S77" s="117" t="n">
        <v>158</v>
      </c>
      <c r="T77" s="117" t="n">
        <v>111</v>
      </c>
      <c r="U77" s="285" t="n">
        <v>0.70253164556962</v>
      </c>
      <c r="V77" s="183" t="n">
        <v>10</v>
      </c>
      <c r="W77" s="117" t="n">
        <v>1580</v>
      </c>
      <c r="X77" s="85">
        <f>R77/(V77+R77)</f>
        <v/>
      </c>
      <c r="Y77" s="260">
        <f>V77/(R77/2.1)</f>
        <v/>
      </c>
    </row>
    <row r="78" ht="13.5" customHeight="1" s="245">
      <c r="A78" s="60" t="inlineStr">
        <is>
          <t>Swim Trunks</t>
        </is>
      </c>
      <c r="B78" s="61" t="inlineStr">
        <is>
          <t>Flat mouth</t>
        </is>
      </c>
      <c r="C78" s="183" t="inlineStr">
        <is>
          <t>113141612\74</t>
        </is>
      </c>
      <c r="D78" s="183" t="n">
        <v>198</v>
      </c>
      <c r="E78" s="183" t="n">
        <v>91</v>
      </c>
      <c r="F78" s="117" t="n">
        <v>18018</v>
      </c>
      <c r="G78" s="117" t="n">
        <v>14163.04</v>
      </c>
      <c r="H78" s="285" t="n">
        <v>0.786049506049506</v>
      </c>
      <c r="I78" s="183" t="n">
        <v>714</v>
      </c>
      <c r="J78" s="117" t="n">
        <v>141372</v>
      </c>
      <c r="K78" s="85">
        <f>E78/(I78+E78)</f>
        <v/>
      </c>
      <c r="L78" s="260">
        <f>I78/(E78/2.1)</f>
        <v/>
      </c>
      <c r="N78" s="60" t="inlineStr">
        <is>
          <t>Swim Trunks</t>
        </is>
      </c>
      <c r="O78" s="61" t="inlineStr">
        <is>
          <t>Flat mouth</t>
        </is>
      </c>
      <c r="P78" s="183" t="inlineStr">
        <is>
          <t>113141606\75</t>
        </is>
      </c>
      <c r="Q78" s="183" t="n">
        <v>398</v>
      </c>
      <c r="R78" s="92" t="n">
        <v>1</v>
      </c>
      <c r="S78" s="117" t="n">
        <v>398</v>
      </c>
      <c r="T78" s="117" t="n">
        <v>358.2</v>
      </c>
      <c r="U78" s="285" t="n">
        <v>0.9</v>
      </c>
      <c r="V78" s="183" t="n">
        <v>478</v>
      </c>
      <c r="W78" s="117" t="n">
        <v>190244</v>
      </c>
      <c r="X78" s="85">
        <f>R78/(V78+R78)</f>
        <v/>
      </c>
      <c r="Y78" s="260">
        <f>V78/(R78/2.1)</f>
        <v/>
      </c>
    </row>
    <row r="79" ht="13.5" customHeight="1" s="245">
      <c r="A79" s="60" t="inlineStr">
        <is>
          <t>Swim Trunks</t>
        </is>
      </c>
      <c r="B79" s="61" t="inlineStr">
        <is>
          <t>Flat mouth</t>
        </is>
      </c>
      <c r="C79" s="183" t="inlineStr">
        <is>
          <t>113141611\75</t>
        </is>
      </c>
      <c r="D79" s="183" t="n">
        <v>158</v>
      </c>
      <c r="E79" s="183" t="n">
        <v>77</v>
      </c>
      <c r="F79" s="117" t="n">
        <v>12166</v>
      </c>
      <c r="G79" s="117" t="n">
        <v>10061.1</v>
      </c>
      <c r="H79" s="285" t="n">
        <v>0.826985040276179</v>
      </c>
      <c r="I79" s="183" t="n">
        <v>644</v>
      </c>
      <c r="J79" s="117" t="n">
        <v>101752</v>
      </c>
      <c r="K79" s="85">
        <f>E79/(I79+E79)</f>
        <v/>
      </c>
      <c r="L79" s="260">
        <f>I79/(E79/2.1)</f>
        <v/>
      </c>
      <c r="N79" s="60" t="inlineStr">
        <is>
          <t>Swim Trunks</t>
        </is>
      </c>
      <c r="O79" s="61" t="inlineStr">
        <is>
          <t>Triangle</t>
        </is>
      </c>
      <c r="P79" s="183" t="inlineStr">
        <is>
          <t>113141803\68</t>
        </is>
      </c>
      <c r="Q79" s="183" t="n">
        <v>298</v>
      </c>
      <c r="R79" s="92" t="n">
        <v>1</v>
      </c>
      <c r="S79" s="117" t="n">
        <v>298</v>
      </c>
      <c r="T79" s="117" t="n">
        <v>253</v>
      </c>
      <c r="U79" s="285" t="n">
        <v>0.848993288590604</v>
      </c>
      <c r="V79" s="183" t="n">
        <v>83</v>
      </c>
      <c r="W79" s="117" t="n">
        <v>24734</v>
      </c>
      <c r="X79" s="85">
        <f>R79/(V79+R79)</f>
        <v/>
      </c>
      <c r="Y79" s="260">
        <f>V79/(R79/2.1)</f>
        <v/>
      </c>
    </row>
    <row r="80" ht="13.5" customHeight="1" s="245">
      <c r="A80" s="60" t="inlineStr">
        <is>
          <t>Swim Trunks</t>
        </is>
      </c>
      <c r="B80" s="61" t="inlineStr">
        <is>
          <t>Flat mouth</t>
        </is>
      </c>
      <c r="C80" s="183" t="inlineStr">
        <is>
          <t>113141609\74</t>
        </is>
      </c>
      <c r="D80" s="183" t="n">
        <v>158</v>
      </c>
      <c r="E80" s="183" t="n">
        <v>76</v>
      </c>
      <c r="F80" s="117" t="n">
        <v>12008</v>
      </c>
      <c r="G80" s="117" t="n">
        <v>9525.9</v>
      </c>
      <c r="H80" s="285" t="n">
        <v>0.793296135909394</v>
      </c>
      <c r="I80" s="183" t="n">
        <v>677</v>
      </c>
      <c r="J80" s="117" t="n">
        <v>106966</v>
      </c>
      <c r="K80" s="85">
        <f>E80/(I80+E80)</f>
        <v/>
      </c>
      <c r="L80" s="260">
        <f>I80/(E80/2.1)</f>
        <v/>
      </c>
      <c r="N80" s="60" t="inlineStr">
        <is>
          <t>Swim Trunks</t>
        </is>
      </c>
      <c r="O80" s="61" t="inlineStr">
        <is>
          <t>Five-minute pants</t>
        </is>
      </c>
      <c r="P80" s="183" t="inlineStr">
        <is>
          <t>112141501\75</t>
        </is>
      </c>
      <c r="Q80" s="183" t="n">
        <v>298</v>
      </c>
      <c r="R80" s="92" t="n">
        <v>1</v>
      </c>
      <c r="S80" s="117" t="n">
        <v>298</v>
      </c>
      <c r="T80" s="117" t="n">
        <v>209</v>
      </c>
      <c r="U80" s="285" t="n">
        <v>0.701342281879195</v>
      </c>
      <c r="V80" s="183" t="n">
        <v>14</v>
      </c>
      <c r="W80" s="117" t="n">
        <v>4172</v>
      </c>
      <c r="X80" s="85">
        <f>R80/(V80+R80)</f>
        <v/>
      </c>
      <c r="Y80" s="260">
        <f>V80/(R80/2.1)</f>
        <v/>
      </c>
    </row>
    <row r="81" ht="13.5" customHeight="1" s="245">
      <c r="A81" s="60" t="inlineStr">
        <is>
          <t>Swim Trunks</t>
        </is>
      </c>
      <c r="B81" s="61" t="inlineStr">
        <is>
          <t>Flat mouth</t>
        </is>
      </c>
      <c r="C81" s="183" t="inlineStr">
        <is>
          <t>113141611\67</t>
        </is>
      </c>
      <c r="D81" s="183" t="n">
        <v>158</v>
      </c>
      <c r="E81" s="183" t="n">
        <v>43</v>
      </c>
      <c r="F81" s="117" t="n">
        <v>6794</v>
      </c>
      <c r="G81" s="117" t="n">
        <v>5676.04</v>
      </c>
      <c r="H81" s="285" t="n">
        <v>0.83544892552252</v>
      </c>
      <c r="I81" s="183" t="n">
        <v>475</v>
      </c>
      <c r="J81" s="117" t="n">
        <v>75050</v>
      </c>
      <c r="K81" s="85">
        <f>E81/(I81+E81)</f>
        <v/>
      </c>
      <c r="L81" s="260">
        <f>I81/(E81/2.1)</f>
        <v/>
      </c>
      <c r="N81" s="60" t="inlineStr">
        <is>
          <t>Swim Trunks</t>
        </is>
      </c>
      <c r="O81" s="61" t="inlineStr">
        <is>
          <t>Five-minute pants</t>
        </is>
      </c>
      <c r="P81" s="183" t="inlineStr">
        <is>
          <t>112141505\80</t>
        </is>
      </c>
      <c r="Q81" s="183" t="n">
        <v>398</v>
      </c>
      <c r="R81" s="92" t="n">
        <v>1</v>
      </c>
      <c r="S81" s="117" t="n">
        <v>398</v>
      </c>
      <c r="T81" s="117" t="n">
        <v>358.2</v>
      </c>
      <c r="U81" s="285" t="n">
        <v>0.9</v>
      </c>
      <c r="V81" s="183" t="n">
        <v>55</v>
      </c>
      <c r="W81" s="117" t="n">
        <v>21890</v>
      </c>
      <c r="X81" s="85">
        <f>R81/(V81+R81)</f>
        <v/>
      </c>
      <c r="Y81" s="260">
        <f>V81/(R81/2.1)</f>
        <v/>
      </c>
    </row>
    <row r="82" ht="13.5" customHeight="1" s="245">
      <c r="A82" s="60" t="inlineStr">
        <is>
          <t>Swim Trunks</t>
        </is>
      </c>
      <c r="B82" s="61" t="inlineStr">
        <is>
          <t>Flat mouth</t>
        </is>
      </c>
      <c r="C82" s="183" t="inlineStr">
        <is>
          <t>113141609\50</t>
        </is>
      </c>
      <c r="D82" s="183" t="n">
        <v>158</v>
      </c>
      <c r="E82" s="183" t="n">
        <v>40</v>
      </c>
      <c r="F82" s="117" t="n">
        <v>6320</v>
      </c>
      <c r="G82" s="117" t="n">
        <v>5099.1</v>
      </c>
      <c r="H82" s="285" t="n">
        <v>0.806819620253165</v>
      </c>
      <c r="I82" s="183" t="n">
        <v>551</v>
      </c>
      <c r="J82" s="117" t="n">
        <v>87058</v>
      </c>
      <c r="K82" s="85">
        <f>E82/(I82+E82)</f>
        <v/>
      </c>
      <c r="L82" s="260">
        <f>I82/(E82/2.1)</f>
        <v/>
      </c>
      <c r="N82" s="60" t="inlineStr">
        <is>
          <t>Swim Trunks</t>
        </is>
      </c>
      <c r="O82" s="61" t="inlineStr">
        <is>
          <t>Flat mouth</t>
        </is>
      </c>
      <c r="P82" s="183" t="inlineStr">
        <is>
          <t>109141614\71</t>
        </is>
      </c>
      <c r="Q82" s="183" t="n">
        <v>159</v>
      </c>
      <c r="R82" s="92" t="n">
        <v>2</v>
      </c>
      <c r="S82" s="117" t="n">
        <v>318</v>
      </c>
      <c r="T82" s="117" t="n">
        <v>318</v>
      </c>
      <c r="U82" s="285" t="n">
        <v>1</v>
      </c>
      <c r="V82" s="183" t="n">
        <v>17</v>
      </c>
      <c r="W82" s="117" t="n">
        <v>2703</v>
      </c>
      <c r="X82" s="85">
        <f>R82/(V82+R82)</f>
        <v/>
      </c>
      <c r="Y82" s="260">
        <f>V82/(R82/2.1)</f>
        <v/>
      </c>
    </row>
    <row r="83" ht="13.5" customHeight="1" s="245">
      <c r="A83" s="60" t="inlineStr">
        <is>
          <t>Swim Trunks</t>
        </is>
      </c>
      <c r="B83" s="61" t="inlineStr">
        <is>
          <t>Flat mouth</t>
        </is>
      </c>
      <c r="C83" s="183" t="inlineStr">
        <is>
          <t>113141603\68</t>
        </is>
      </c>
      <c r="D83" s="183" t="n">
        <v>198</v>
      </c>
      <c r="E83" s="183" t="n">
        <v>39</v>
      </c>
      <c r="F83" s="117" t="n">
        <v>7722</v>
      </c>
      <c r="G83" s="117" t="n">
        <v>5801.1</v>
      </c>
      <c r="H83" s="285" t="n">
        <v>0.751243201243201</v>
      </c>
      <c r="I83" s="183" t="n">
        <v>313</v>
      </c>
      <c r="J83" s="117" t="n">
        <v>61974</v>
      </c>
      <c r="K83" s="85">
        <f>E83/(I83+E83)</f>
        <v/>
      </c>
      <c r="L83" s="260">
        <f>I83/(E83/2.1)</f>
        <v/>
      </c>
      <c r="N83" s="60" t="inlineStr">
        <is>
          <t>Swim Trunks</t>
        </is>
      </c>
      <c r="O83" s="61" t="inlineStr">
        <is>
          <t>Flat mouth</t>
        </is>
      </c>
      <c r="P83" s="183" t="inlineStr">
        <is>
          <t>109141615\64</t>
        </is>
      </c>
      <c r="Q83" s="183" t="n">
        <v>129</v>
      </c>
      <c r="R83" s="92" t="n">
        <v>2</v>
      </c>
      <c r="S83" s="117" t="n">
        <v>258</v>
      </c>
      <c r="T83" s="117" t="n">
        <v>258</v>
      </c>
      <c r="U83" s="285" t="n">
        <v>1</v>
      </c>
      <c r="V83" s="183" t="n">
        <v>6</v>
      </c>
      <c r="W83" s="117" t="n">
        <v>774</v>
      </c>
      <c r="X83" s="85">
        <f>R83/(V83+R83)</f>
        <v/>
      </c>
      <c r="Y83" s="260">
        <f>V83/(R83/2.1)</f>
        <v/>
      </c>
    </row>
    <row r="84" ht="13.5" customHeight="1" s="245">
      <c r="A84" s="65" t="inlineStr">
        <is>
          <t>Swim Trunks</t>
        </is>
      </c>
      <c r="B84" s="66" t="inlineStr">
        <is>
          <t>Flat mouth</t>
        </is>
      </c>
      <c r="C84" s="87" t="inlineStr">
        <is>
          <t>113141612\97</t>
        </is>
      </c>
      <c r="D84" s="87" t="n">
        <v>198</v>
      </c>
      <c r="E84" s="87" t="n">
        <v>35</v>
      </c>
      <c r="F84" s="131" t="n">
        <v>6930</v>
      </c>
      <c r="G84" s="131" t="n">
        <v>5626.04</v>
      </c>
      <c r="H84" s="303" t="n">
        <v>0.811838383838384</v>
      </c>
      <c r="I84" s="87" t="n">
        <v>310</v>
      </c>
      <c r="J84" s="131" t="n">
        <v>61380</v>
      </c>
      <c r="K84" s="88">
        <f>E84/(I84+E84)</f>
        <v/>
      </c>
      <c r="L84" s="304">
        <f>I84/(E84/2.1)</f>
        <v/>
      </c>
      <c r="N84" s="65" t="inlineStr">
        <is>
          <t>Swim Trunks</t>
        </is>
      </c>
      <c r="O84" s="66" t="inlineStr">
        <is>
          <t>Flat mouth</t>
        </is>
      </c>
      <c r="P84" s="87" t="inlineStr">
        <is>
          <t>112141601\75</t>
        </is>
      </c>
      <c r="Q84" s="87" t="n">
        <v>158</v>
      </c>
      <c r="R84" s="93" t="n">
        <v>2</v>
      </c>
      <c r="S84" s="131" t="n">
        <v>316</v>
      </c>
      <c r="T84" s="131" t="n">
        <v>316</v>
      </c>
      <c r="U84" s="303" t="n">
        <v>1</v>
      </c>
      <c r="V84" s="87" t="n">
        <v>40</v>
      </c>
      <c r="W84" s="131" t="n">
        <v>6320</v>
      </c>
      <c r="X84" s="85">
        <f>R84/(V84+R84)</f>
        <v/>
      </c>
      <c r="Y84" s="260">
        <f>V84/(R84/2.1)</f>
        <v/>
      </c>
    </row>
    <row r="85" ht="13.5" customHeight="1" s="245">
      <c r="A85" s="56" t="inlineStr">
        <is>
          <t>Swimwear</t>
        </is>
      </c>
      <c r="B85" s="81" t="inlineStr">
        <is>
          <t>One-piece Long Dress</t>
        </is>
      </c>
      <c r="C85" s="81" t="inlineStr">
        <is>
          <t>113111104\80</t>
        </is>
      </c>
      <c r="D85" s="81" t="n">
        <v>398</v>
      </c>
      <c r="E85" s="81" t="n">
        <v>46</v>
      </c>
      <c r="F85" s="58" t="n">
        <v>18308</v>
      </c>
      <c r="G85" s="58" t="n">
        <v>14621.9</v>
      </c>
      <c r="H85" s="305" t="n">
        <v>0.798661787196854</v>
      </c>
      <c r="I85" s="81" t="n">
        <v>344</v>
      </c>
      <c r="J85" s="58" t="n">
        <v>136912</v>
      </c>
      <c r="K85" s="82">
        <f>E85/(I85+E85)</f>
        <v/>
      </c>
      <c r="L85" s="306">
        <f>I85/(E85/2.1)</f>
        <v/>
      </c>
      <c r="N85" s="56" t="inlineStr">
        <is>
          <t>Swimwear</t>
        </is>
      </c>
      <c r="O85" s="81" t="inlineStr">
        <is>
          <t>One-piece Long Dress</t>
        </is>
      </c>
      <c r="P85" s="81" t="inlineStr">
        <is>
          <t>112111128\80</t>
        </is>
      </c>
      <c r="Q85" s="81" t="n">
        <v>528</v>
      </c>
      <c r="R85" s="94" t="n">
        <v>1</v>
      </c>
      <c r="S85" s="58" t="n">
        <v>528</v>
      </c>
      <c r="T85" s="58" t="n">
        <v>370</v>
      </c>
      <c r="U85" s="305" t="n">
        <v>0.700757575757576</v>
      </c>
      <c r="V85" s="81" t="n">
        <v>23</v>
      </c>
      <c r="W85" s="58" t="n">
        <v>12144</v>
      </c>
      <c r="X85" s="85">
        <f>R85/(V85+R85)</f>
        <v/>
      </c>
      <c r="Y85" s="260">
        <f>V85/(R85/2.1)</f>
        <v/>
      </c>
    </row>
    <row r="86" ht="13.5" customHeight="1" s="245">
      <c r="A86" s="60" t="inlineStr">
        <is>
          <t>Swimwear</t>
        </is>
      </c>
      <c r="B86" s="61" t="inlineStr">
        <is>
          <t>One-piece straight waistband</t>
        </is>
      </c>
      <c r="C86" s="183" t="inlineStr">
        <is>
          <t>113111602\75</t>
        </is>
      </c>
      <c r="D86" s="183" t="n">
        <v>398</v>
      </c>
      <c r="E86" s="183" t="n">
        <v>37</v>
      </c>
      <c r="F86" s="117" t="n">
        <v>14726</v>
      </c>
      <c r="G86" s="117" t="n">
        <v>11058.6</v>
      </c>
      <c r="H86" s="285" t="n">
        <v>0.75095749015347</v>
      </c>
      <c r="I86" s="183" t="n">
        <v>298</v>
      </c>
      <c r="J86" s="117" t="n">
        <v>118604</v>
      </c>
      <c r="K86" s="85">
        <f>E86/(I86+E86)</f>
        <v/>
      </c>
      <c r="L86" s="260">
        <f>I86/(E86/2.1)</f>
        <v/>
      </c>
      <c r="N86" s="60" t="inlineStr">
        <is>
          <t>Swimwear</t>
        </is>
      </c>
      <c r="O86" s="61" t="inlineStr">
        <is>
          <t>One-piece Long Dress</t>
        </is>
      </c>
      <c r="P86" s="183" t="inlineStr">
        <is>
          <t>113111119\92</t>
        </is>
      </c>
      <c r="Q86" s="183" t="n">
        <v>499</v>
      </c>
      <c r="R86" s="92" t="n">
        <v>1</v>
      </c>
      <c r="S86" s="117" t="n">
        <v>499</v>
      </c>
      <c r="T86" s="117" t="n">
        <v>399</v>
      </c>
      <c r="U86" s="285" t="n">
        <v>0.7995991983967941</v>
      </c>
      <c r="V86" s="183" t="n">
        <v>241</v>
      </c>
      <c r="W86" s="117" t="n">
        <v>120259</v>
      </c>
      <c r="X86" s="85">
        <f>R86/(V86+R86)</f>
        <v/>
      </c>
      <c r="Y86" s="260">
        <f>V86/(R86/2.1)</f>
        <v/>
      </c>
    </row>
    <row r="87" ht="13.5" customHeight="1" s="245">
      <c r="A87" s="60" t="inlineStr">
        <is>
          <t>Swimwear</t>
        </is>
      </c>
      <c r="B87" s="61" t="inlineStr">
        <is>
          <t>Two-piece separates pants</t>
        </is>
      </c>
      <c r="C87" s="183" t="inlineStr">
        <is>
          <t>113111227\80</t>
        </is>
      </c>
      <c r="D87" s="183" t="n">
        <v>398</v>
      </c>
      <c r="E87" s="183" t="n">
        <v>37</v>
      </c>
      <c r="F87" s="117" t="n">
        <v>14726</v>
      </c>
      <c r="G87" s="117" t="n">
        <v>11288.9</v>
      </c>
      <c r="H87" s="285" t="n">
        <v>0.766596495993481</v>
      </c>
      <c r="I87" s="183" t="n">
        <v>230</v>
      </c>
      <c r="J87" s="117" t="n">
        <v>91540</v>
      </c>
      <c r="K87" s="85">
        <f>E87/(I87+E87)</f>
        <v/>
      </c>
      <c r="L87" s="260">
        <f>I87/(E87/2.1)</f>
        <v/>
      </c>
      <c r="N87" s="60" t="inlineStr">
        <is>
          <t>Swimwear</t>
        </is>
      </c>
      <c r="O87" s="61" t="inlineStr">
        <is>
          <t>One-piece Triangle</t>
        </is>
      </c>
      <c r="P87" s="183" t="inlineStr">
        <is>
          <t>112111308\80</t>
        </is>
      </c>
      <c r="Q87" s="183" t="n">
        <v>398</v>
      </c>
      <c r="R87" s="92" t="n">
        <v>1</v>
      </c>
      <c r="S87" s="117" t="n">
        <v>398</v>
      </c>
      <c r="T87" s="117" t="n">
        <v>278.6</v>
      </c>
      <c r="U87" s="285" t="n">
        <v>0.7</v>
      </c>
      <c r="V87" s="183" t="n">
        <v>2</v>
      </c>
      <c r="W87" s="117" t="n">
        <v>796</v>
      </c>
      <c r="X87" s="85">
        <f>R87/(V87+R87)</f>
        <v/>
      </c>
      <c r="Y87" s="260">
        <f>V87/(R87/2.1)</f>
        <v/>
      </c>
    </row>
    <row r="88" ht="13.5" customHeight="1" s="245">
      <c r="A88" s="60" t="inlineStr">
        <is>
          <t>Swimwear</t>
        </is>
      </c>
      <c r="B88" s="61" t="inlineStr">
        <is>
          <t>One-piece Long Dress</t>
        </is>
      </c>
      <c r="C88" s="183" t="inlineStr">
        <is>
          <t>113111104\75</t>
        </is>
      </c>
      <c r="D88" s="183" t="n">
        <v>398</v>
      </c>
      <c r="E88" s="183" t="n">
        <v>34</v>
      </c>
      <c r="F88" s="117" t="n">
        <v>13532</v>
      </c>
      <c r="G88" s="117" t="n">
        <v>10294.9</v>
      </c>
      <c r="H88" s="285" t="n">
        <v>0.760781850428614</v>
      </c>
      <c r="I88" s="183" t="n">
        <v>82</v>
      </c>
      <c r="J88" s="117" t="n">
        <v>32636</v>
      </c>
      <c r="K88" s="85">
        <f>E88/(I88+E88)</f>
        <v/>
      </c>
      <c r="L88" s="260">
        <f>I88/(E88/2.1)</f>
        <v/>
      </c>
      <c r="N88" s="60" t="inlineStr">
        <is>
          <t>Swimwear</t>
        </is>
      </c>
      <c r="O88" s="61" t="inlineStr">
        <is>
          <t>One-piece Triangle</t>
        </is>
      </c>
      <c r="P88" s="183" t="inlineStr">
        <is>
          <t>112111311\80</t>
        </is>
      </c>
      <c r="Q88" s="183" t="n">
        <v>398</v>
      </c>
      <c r="R88" s="92" t="n">
        <v>1</v>
      </c>
      <c r="S88" s="117" t="n">
        <v>398</v>
      </c>
      <c r="T88" s="117" t="n">
        <v>350.2</v>
      </c>
      <c r="U88" s="285" t="n">
        <v>0.879899497487437</v>
      </c>
      <c r="V88" s="183" t="n">
        <v>9</v>
      </c>
      <c r="W88" s="117" t="n">
        <v>3582</v>
      </c>
      <c r="X88" s="85">
        <f>R88/(V88+R88)</f>
        <v/>
      </c>
      <c r="Y88" s="260">
        <f>V88/(R88/2.1)</f>
        <v/>
      </c>
    </row>
    <row r="89" ht="13.5" customHeight="1" s="245">
      <c r="A89" s="60" t="inlineStr">
        <is>
          <t>Swimwear</t>
        </is>
      </c>
      <c r="B89" s="61" t="inlineStr">
        <is>
          <t>One-piece Long Dress</t>
        </is>
      </c>
      <c r="C89" s="183" t="inlineStr">
        <is>
          <t>113111113\75</t>
        </is>
      </c>
      <c r="D89" s="183" t="n">
        <v>398</v>
      </c>
      <c r="E89" s="183" t="n">
        <v>30</v>
      </c>
      <c r="F89" s="117" t="n">
        <v>11940</v>
      </c>
      <c r="G89" s="117" t="n">
        <v>8451</v>
      </c>
      <c r="H89" s="285" t="n">
        <v>0.707788944723618</v>
      </c>
      <c r="I89" s="183" t="n">
        <v>180</v>
      </c>
      <c r="J89" s="117" t="n">
        <v>71640</v>
      </c>
      <c r="K89" s="85">
        <f>E89/(I89+E89)</f>
        <v/>
      </c>
      <c r="L89" s="260">
        <f>I89/(E89/2.1)</f>
        <v/>
      </c>
      <c r="N89" s="60" t="inlineStr">
        <is>
          <t>Swimwear</t>
        </is>
      </c>
      <c r="O89" s="61" t="inlineStr">
        <is>
          <t>Two-piece separates pants</t>
        </is>
      </c>
      <c r="P89" s="183" t="inlineStr">
        <is>
          <t>112111220\75</t>
        </is>
      </c>
      <c r="Q89" s="183" t="n">
        <v>398</v>
      </c>
      <c r="R89" s="92" t="n">
        <v>1</v>
      </c>
      <c r="S89" s="117" t="n">
        <v>398</v>
      </c>
      <c r="T89" s="117" t="n">
        <v>358.2</v>
      </c>
      <c r="U89" s="285" t="n">
        <v>0.9</v>
      </c>
      <c r="V89" s="183" t="n">
        <v>10</v>
      </c>
      <c r="W89" s="117" t="n">
        <v>3980</v>
      </c>
      <c r="X89" s="85">
        <f>R89/(V89+R89)</f>
        <v/>
      </c>
      <c r="Y89" s="260">
        <f>V89/(R89/2.1)</f>
        <v/>
      </c>
    </row>
    <row r="90" ht="13.5" customHeight="1" s="245">
      <c r="A90" s="60" t="inlineStr">
        <is>
          <t>Swimwear</t>
        </is>
      </c>
      <c r="B90" s="61" t="inlineStr">
        <is>
          <t>Two-piece separates pants</t>
        </is>
      </c>
      <c r="C90" s="183" t="inlineStr">
        <is>
          <t>113111227\97</t>
        </is>
      </c>
      <c r="D90" s="183" t="n">
        <v>398</v>
      </c>
      <c r="E90" s="183" t="n">
        <v>27</v>
      </c>
      <c r="F90" s="117" t="n">
        <v>10746</v>
      </c>
      <c r="G90" s="117" t="n">
        <v>7733.9</v>
      </c>
      <c r="H90" s="285" t="n">
        <v>0.719700353619952</v>
      </c>
      <c r="I90" s="183" t="n">
        <v>219</v>
      </c>
      <c r="J90" s="117" t="n">
        <v>87162</v>
      </c>
      <c r="K90" s="85">
        <f>E90/(I90+E90)</f>
        <v/>
      </c>
      <c r="L90" s="260">
        <f>I90/(E90/2.1)</f>
        <v/>
      </c>
      <c r="N90" s="60" t="inlineStr">
        <is>
          <t>Swimwear</t>
        </is>
      </c>
      <c r="O90" s="61" t="inlineStr">
        <is>
          <t>Two-piece separates pants</t>
        </is>
      </c>
      <c r="P90" s="183" t="inlineStr">
        <is>
          <t>112111233\80</t>
        </is>
      </c>
      <c r="Q90" s="183" t="n">
        <v>328</v>
      </c>
      <c r="R90" s="92" t="n">
        <v>1</v>
      </c>
      <c r="S90" s="117" t="n">
        <v>328</v>
      </c>
      <c r="T90" s="117" t="n">
        <v>229.6</v>
      </c>
      <c r="U90" s="285" t="n">
        <v>0.7</v>
      </c>
      <c r="V90" s="183" t="n">
        <v>66</v>
      </c>
      <c r="W90" s="117" t="n">
        <v>21648</v>
      </c>
      <c r="X90" s="85">
        <f>R90/(V90+R90)</f>
        <v/>
      </c>
      <c r="Y90" s="260">
        <f>V90/(R90/2.1)</f>
        <v/>
      </c>
    </row>
    <row r="91" ht="13.5" customHeight="1" s="245">
      <c r="A91" s="60" t="inlineStr">
        <is>
          <t>Swimwear</t>
        </is>
      </c>
      <c r="B91" s="61" t="inlineStr">
        <is>
          <t>One-piece Long Dress</t>
        </is>
      </c>
      <c r="C91" s="183" t="inlineStr">
        <is>
          <t>112111102\28</t>
        </is>
      </c>
      <c r="D91" s="183" t="n">
        <v>498</v>
      </c>
      <c r="E91" s="183" t="n">
        <v>25</v>
      </c>
      <c r="F91" s="117" t="n">
        <v>12450</v>
      </c>
      <c r="G91" s="117" t="n">
        <v>8590</v>
      </c>
      <c r="H91" s="285" t="n">
        <v>0.68995983935743</v>
      </c>
      <c r="I91" s="183" t="n">
        <v>64</v>
      </c>
      <c r="J91" s="117" t="n">
        <v>31872</v>
      </c>
      <c r="K91" s="85">
        <f>E91/(I91+E91)</f>
        <v/>
      </c>
      <c r="L91" s="260">
        <f>I91/(E91/2.1)</f>
        <v/>
      </c>
      <c r="N91" s="60" t="inlineStr">
        <is>
          <t>Swimwear</t>
        </is>
      </c>
      <c r="O91" s="61" t="inlineStr">
        <is>
          <t>Two-piece dress set</t>
        </is>
      </c>
      <c r="P91" s="183" t="inlineStr">
        <is>
          <t>113111323\95</t>
        </is>
      </c>
      <c r="Q91" s="183" t="n">
        <v>998</v>
      </c>
      <c r="R91" s="92" t="n">
        <v>1</v>
      </c>
      <c r="S91" s="117" t="n">
        <v>998</v>
      </c>
      <c r="T91" s="117" t="n">
        <v>878</v>
      </c>
      <c r="U91" s="285" t="n">
        <v>0.879759519038076</v>
      </c>
      <c r="V91" s="183" t="n">
        <v>104</v>
      </c>
      <c r="W91" s="117" t="n">
        <v>103792</v>
      </c>
      <c r="X91" s="85">
        <f>R91/(V91+R91)</f>
        <v/>
      </c>
      <c r="Y91" s="260">
        <f>V91/(R91/2.1)</f>
        <v/>
      </c>
    </row>
    <row r="92" ht="13.5" customHeight="1" s="245">
      <c r="A92" s="60" t="inlineStr">
        <is>
          <t>Swimwear</t>
        </is>
      </c>
      <c r="B92" s="61" t="inlineStr">
        <is>
          <t>One-piece straight waistband</t>
        </is>
      </c>
      <c r="C92" s="183" t="inlineStr">
        <is>
          <t>113111602\63</t>
        </is>
      </c>
      <c r="D92" s="183" t="n">
        <v>398</v>
      </c>
      <c r="E92" s="183" t="n">
        <v>21</v>
      </c>
      <c r="F92" s="117" t="n">
        <v>8358</v>
      </c>
      <c r="G92" s="117" t="n">
        <v>6498.6</v>
      </c>
      <c r="H92" s="285" t="n">
        <v>0.777530509691314</v>
      </c>
      <c r="I92" s="183" t="n">
        <v>304</v>
      </c>
      <c r="J92" s="117" t="n">
        <v>120992</v>
      </c>
      <c r="K92" s="85">
        <f>E92/(I92+E92)</f>
        <v/>
      </c>
      <c r="L92" s="260">
        <f>I92/(E92/2.1)</f>
        <v/>
      </c>
      <c r="N92" s="60" t="inlineStr">
        <is>
          <t>Swimwear</t>
        </is>
      </c>
      <c r="O92" s="61" t="inlineStr">
        <is>
          <t>Three-piece Separate Dress</t>
        </is>
      </c>
      <c r="P92" s="183" t="inlineStr">
        <is>
          <t>112111205\97</t>
        </is>
      </c>
      <c r="Q92" s="183" t="n">
        <v>398</v>
      </c>
      <c r="R92" s="92" t="n">
        <v>1</v>
      </c>
      <c r="S92" s="117" t="n">
        <v>398</v>
      </c>
      <c r="T92" s="117" t="n">
        <v>398</v>
      </c>
      <c r="U92" s="285" t="n">
        <v>1</v>
      </c>
      <c r="V92" s="183" t="n">
        <v>7</v>
      </c>
      <c r="W92" s="117" t="n">
        <v>2786</v>
      </c>
      <c r="X92" s="85">
        <f>R92/(V92+R92)</f>
        <v/>
      </c>
      <c r="Y92" s="260">
        <f>V92/(R92/2.1)</f>
        <v/>
      </c>
    </row>
    <row r="93" ht="13.5" customHeight="1" s="245">
      <c r="A93" s="60" t="inlineStr">
        <is>
          <t>Swimwear</t>
        </is>
      </c>
      <c r="B93" s="61" t="inlineStr">
        <is>
          <t>One-piece straight waistband</t>
        </is>
      </c>
      <c r="C93" s="183" t="inlineStr">
        <is>
          <t>113111602\80</t>
        </is>
      </c>
      <c r="D93" s="183" t="n">
        <v>398</v>
      </c>
      <c r="E93" s="183" t="n">
        <v>21</v>
      </c>
      <c r="F93" s="117" t="n">
        <v>8358</v>
      </c>
      <c r="G93" s="117" t="n">
        <v>6593.3</v>
      </c>
      <c r="H93" s="285" t="n">
        <v>0.788860971524288</v>
      </c>
      <c r="I93" s="183" t="n">
        <v>296</v>
      </c>
      <c r="J93" s="117" t="n">
        <v>117808</v>
      </c>
      <c r="K93" s="85">
        <f>E93/(I93+E93)</f>
        <v/>
      </c>
      <c r="L93" s="260">
        <f>I93/(E93/2.1)</f>
        <v/>
      </c>
      <c r="N93" s="60" t="inlineStr">
        <is>
          <t>Swimwear</t>
        </is>
      </c>
      <c r="O93" s="61" t="inlineStr">
        <is>
          <t>Three-piece Separate Dress</t>
        </is>
      </c>
      <c r="P93" s="183" t="inlineStr">
        <is>
          <t>112111206\75</t>
        </is>
      </c>
      <c r="Q93" s="183" t="n">
        <v>498</v>
      </c>
      <c r="R93" s="92" t="n">
        <v>1</v>
      </c>
      <c r="S93" s="117" t="n">
        <v>498</v>
      </c>
      <c r="T93" s="117" t="n">
        <v>438.2</v>
      </c>
      <c r="U93" s="285" t="n">
        <v>0.879919678714859</v>
      </c>
      <c r="V93" s="183" t="n"/>
      <c r="W93" s="117" t="n"/>
      <c r="X93" s="85">
        <f>R93/(V93+R93)</f>
        <v/>
      </c>
      <c r="Y93" s="260">
        <f>V93/(R93/2.1)</f>
        <v/>
      </c>
    </row>
    <row r="94" ht="13.5" customHeight="1" s="245">
      <c r="A94" s="65" t="inlineStr">
        <is>
          <t>Swimwear</t>
        </is>
      </c>
      <c r="B94" s="66" t="inlineStr">
        <is>
          <t>Two-piece separates pants</t>
        </is>
      </c>
      <c r="C94" s="87" t="inlineStr">
        <is>
          <t>113111226\80</t>
        </is>
      </c>
      <c r="D94" s="87" t="n">
        <v>398</v>
      </c>
      <c r="E94" s="87" t="n">
        <v>21</v>
      </c>
      <c r="F94" s="131" t="n">
        <v>8358</v>
      </c>
      <c r="G94" s="131" t="n">
        <v>6238.6</v>
      </c>
      <c r="H94" s="303" t="n">
        <v>0.746422589136157</v>
      </c>
      <c r="I94" s="87" t="n">
        <v>178</v>
      </c>
      <c r="J94" s="131" t="n">
        <v>70844</v>
      </c>
      <c r="K94" s="88">
        <f>E94/(I94+E94)</f>
        <v/>
      </c>
      <c r="L94" s="304">
        <f>I94/(E94/2.1)</f>
        <v/>
      </c>
      <c r="N94" s="65" t="inlineStr">
        <is>
          <t>Swimwear</t>
        </is>
      </c>
      <c r="O94" s="66" t="inlineStr">
        <is>
          <t>Three-piece Separate Dress</t>
        </is>
      </c>
      <c r="P94" s="87" t="inlineStr">
        <is>
          <t>112111209\75</t>
        </is>
      </c>
      <c r="Q94" s="87" t="n">
        <v>498</v>
      </c>
      <c r="R94" s="93" t="n">
        <v>1</v>
      </c>
      <c r="S94" s="131" t="n">
        <v>498</v>
      </c>
      <c r="T94" s="131" t="n">
        <v>349</v>
      </c>
      <c r="U94" s="303" t="n">
        <v>0.700803212851406</v>
      </c>
      <c r="V94" s="87" t="n">
        <v>5</v>
      </c>
      <c r="W94" s="131" t="n">
        <v>2490</v>
      </c>
      <c r="X94" s="85">
        <f>R94/(V94+R94)</f>
        <v/>
      </c>
      <c r="Y94" s="260">
        <f>V94/(R94/2.1)</f>
        <v/>
      </c>
    </row>
    <row r="95" ht="13.5" customHeight="1" s="245">
      <c r="A95" s="56" t="inlineStr">
        <is>
          <t>Swim Accessories</t>
        </is>
      </c>
      <c r="B95" s="81" t="inlineStr">
        <is>
          <t>Children's Swimming Goggles</t>
        </is>
      </c>
      <c r="C95" s="81" t="inlineStr">
        <is>
          <t>110161201\71</t>
        </is>
      </c>
      <c r="D95" s="81" t="n">
        <v>118</v>
      </c>
      <c r="E95" s="81" t="n">
        <v>23</v>
      </c>
      <c r="F95" s="58" t="n">
        <v>2714</v>
      </c>
      <c r="G95" s="58" t="n">
        <v>2420.54</v>
      </c>
      <c r="H95" s="305" t="n">
        <v>0.891871775976419</v>
      </c>
      <c r="I95" s="81" t="n">
        <v>187</v>
      </c>
      <c r="J95" s="58" t="n">
        <v>22066</v>
      </c>
      <c r="K95" s="82">
        <f>E95/(I95+E95)</f>
        <v/>
      </c>
      <c r="L95" s="306">
        <f>I95/(E95/2.1)</f>
        <v/>
      </c>
      <c r="N95" s="56" t="inlineStr">
        <is>
          <t>Swim Accessories</t>
        </is>
      </c>
      <c r="O95" s="81" t="inlineStr">
        <is>
          <t>Children's Swimming Goggles</t>
        </is>
      </c>
      <c r="P95" s="81" t="inlineStr">
        <is>
          <t>110161201\80</t>
        </is>
      </c>
      <c r="Q95" s="81" t="n">
        <v>118</v>
      </c>
      <c r="R95" s="94" t="n">
        <v>1</v>
      </c>
      <c r="S95" s="58" t="n">
        <v>118</v>
      </c>
      <c r="T95" s="58" t="n">
        <v>103.8</v>
      </c>
      <c r="U95" s="305" t="n">
        <v>0.879661016949153</v>
      </c>
      <c r="V95" s="81" t="n">
        <v>21</v>
      </c>
      <c r="W95" s="58" t="n">
        <v>2478</v>
      </c>
      <c r="X95" s="85">
        <f>R95/(V95+R95)</f>
        <v/>
      </c>
      <c r="Y95" s="260">
        <f>V95/(R95/2.1)</f>
        <v/>
      </c>
    </row>
    <row r="96" ht="13.5" customHeight="1" s="245">
      <c r="A96" s="60" t="inlineStr">
        <is>
          <t>Swim Accessories</t>
        </is>
      </c>
      <c r="B96" s="61" t="inlineStr">
        <is>
          <t>Children's Swimming Goggles</t>
        </is>
      </c>
      <c r="C96" s="183" t="inlineStr">
        <is>
          <t>066201\92</t>
        </is>
      </c>
      <c r="D96" s="183" t="n">
        <v>88</v>
      </c>
      <c r="E96" s="183" t="n">
        <v>21</v>
      </c>
      <c r="F96" s="117" t="n">
        <v>1848</v>
      </c>
      <c r="G96" s="117" t="n">
        <v>1578.8</v>
      </c>
      <c r="H96" s="285" t="n">
        <v>0.854329004329004</v>
      </c>
      <c r="I96" s="183" t="n">
        <v>217</v>
      </c>
      <c r="J96" s="117" t="n">
        <v>19096</v>
      </c>
      <c r="K96" s="85">
        <f>E96/(I96+E96)</f>
        <v/>
      </c>
      <c r="L96" s="260">
        <f>I96/(E96/2.1)</f>
        <v/>
      </c>
      <c r="N96" s="60" t="inlineStr">
        <is>
          <t>Swim Accessories</t>
        </is>
      </c>
      <c r="O96" s="61" t="inlineStr">
        <is>
          <t>Children's Swimming Goggles</t>
        </is>
      </c>
      <c r="P96" s="183" t="inlineStr">
        <is>
          <t>10920003\92</t>
        </is>
      </c>
      <c r="Q96" s="183" t="n">
        <v>60</v>
      </c>
      <c r="R96" s="92" t="n">
        <v>2</v>
      </c>
      <c r="S96" s="117" t="n">
        <v>120</v>
      </c>
      <c r="T96" s="117" t="n">
        <v>114</v>
      </c>
      <c r="U96" s="285" t="n">
        <v>0.95</v>
      </c>
      <c r="V96" s="183" t="n">
        <v>91</v>
      </c>
      <c r="W96" s="117" t="n">
        <v>5460</v>
      </c>
      <c r="X96" s="85">
        <f>R96/(V96+R96)</f>
        <v/>
      </c>
      <c r="Y96" s="260">
        <f>V96/(R96/2.1)</f>
        <v/>
      </c>
    </row>
    <row r="97" ht="13.5" customHeight="1" s="245">
      <c r="A97" s="60" t="inlineStr">
        <is>
          <t>Swim Accessories</t>
        </is>
      </c>
      <c r="B97" s="61" t="inlineStr">
        <is>
          <t>Children's Swimming Goggles</t>
        </is>
      </c>
      <c r="C97" s="183" t="inlineStr">
        <is>
          <t>110161201\74</t>
        </is>
      </c>
      <c r="D97" s="183" t="n">
        <v>118</v>
      </c>
      <c r="E97" s="183" t="n">
        <v>20</v>
      </c>
      <c r="F97" s="117" t="n">
        <v>2360</v>
      </c>
      <c r="G97" s="117" t="n">
        <v>1977</v>
      </c>
      <c r="H97" s="285" t="n">
        <v>0.83771186440678</v>
      </c>
      <c r="I97" s="183" t="n">
        <v>220</v>
      </c>
      <c r="J97" s="117" t="n">
        <v>25960</v>
      </c>
      <c r="K97" s="85">
        <f>E97/(I97+E97)</f>
        <v/>
      </c>
      <c r="L97" s="260">
        <f>I97/(E97/2.1)</f>
        <v/>
      </c>
      <c r="N97" s="60" t="inlineStr">
        <is>
          <t>Swim Accessories</t>
        </is>
      </c>
      <c r="O97" s="61" t="inlineStr">
        <is>
          <t>Children's Swimming Goggles</t>
        </is>
      </c>
      <c r="P97" s="183" t="inlineStr">
        <is>
          <t>110161202\71</t>
        </is>
      </c>
      <c r="Q97" s="183" t="n">
        <v>88</v>
      </c>
      <c r="R97" s="92" t="n">
        <v>2</v>
      </c>
      <c r="S97" s="117" t="n">
        <v>176</v>
      </c>
      <c r="T97" s="117" t="n">
        <v>176</v>
      </c>
      <c r="U97" s="285" t="n">
        <v>1</v>
      </c>
      <c r="V97" s="183" t="n">
        <v>15</v>
      </c>
      <c r="W97" s="117" t="n">
        <v>1320</v>
      </c>
      <c r="X97" s="85">
        <f>R97/(V97+R97)</f>
        <v/>
      </c>
      <c r="Y97" s="260">
        <f>V97/(R97/2.1)</f>
        <v/>
      </c>
    </row>
    <row r="98" ht="13.5" customHeight="1" s="245">
      <c r="A98" s="60" t="inlineStr">
        <is>
          <t>Swim Accessories</t>
        </is>
      </c>
      <c r="B98" s="61" t="inlineStr">
        <is>
          <t>Children's Swimming Goggles</t>
        </is>
      </c>
      <c r="C98" s="183" t="inlineStr">
        <is>
          <t>066201\50</t>
        </is>
      </c>
      <c r="D98" s="183" t="n">
        <v>88</v>
      </c>
      <c r="E98" s="183" t="n">
        <v>19</v>
      </c>
      <c r="F98" s="117" t="n">
        <v>1672</v>
      </c>
      <c r="G98" s="117" t="n">
        <v>1475.84</v>
      </c>
      <c r="H98" s="285" t="n">
        <v>0.882679425837321</v>
      </c>
      <c r="I98" s="183" t="n">
        <v>220</v>
      </c>
      <c r="J98" s="117" t="n">
        <v>19360</v>
      </c>
      <c r="K98" s="85">
        <f>E98/(I98+E98)</f>
        <v/>
      </c>
      <c r="L98" s="260">
        <f>I98/(E98/2.1)</f>
        <v/>
      </c>
      <c r="N98" s="60" t="inlineStr">
        <is>
          <t>Swim Accessories</t>
        </is>
      </c>
      <c r="O98" s="61" t="inlineStr">
        <is>
          <t>Children's Swimming Goggles</t>
        </is>
      </c>
      <c r="P98" s="183" t="inlineStr">
        <is>
          <t>111161201\70</t>
        </is>
      </c>
      <c r="Q98" s="183" t="n">
        <v>88</v>
      </c>
      <c r="R98" s="92" t="n">
        <v>2</v>
      </c>
      <c r="S98" s="117" t="n">
        <v>176</v>
      </c>
      <c r="T98" s="117" t="n">
        <v>167</v>
      </c>
      <c r="U98" s="285" t="n">
        <v>0.948863636363636</v>
      </c>
      <c r="V98" s="183" t="n">
        <v>19</v>
      </c>
      <c r="W98" s="117" t="n">
        <v>1672</v>
      </c>
      <c r="X98" s="85">
        <f>R98/(V98+R98)</f>
        <v/>
      </c>
      <c r="Y98" s="260">
        <f>V98/(R98/2.1)</f>
        <v/>
      </c>
    </row>
    <row r="99" ht="13.5" customHeight="1" s="245">
      <c r="A99" s="60" t="inlineStr">
        <is>
          <t>Swim Accessories</t>
        </is>
      </c>
      <c r="B99" s="61" t="inlineStr">
        <is>
          <t>Children's Swimming Goggles</t>
        </is>
      </c>
      <c r="C99" s="183" t="inlineStr">
        <is>
          <t>066201\35</t>
        </is>
      </c>
      <c r="D99" s="183" t="n">
        <v>88</v>
      </c>
      <c r="E99" s="183" t="n">
        <v>15</v>
      </c>
      <c r="F99" s="117" t="n">
        <v>1320</v>
      </c>
      <c r="G99" s="117" t="n">
        <v>1091.8</v>
      </c>
      <c r="H99" s="285" t="n">
        <v>0.827121212121212</v>
      </c>
      <c r="I99" s="183" t="n">
        <v>233</v>
      </c>
      <c r="J99" s="117" t="n">
        <v>20504</v>
      </c>
      <c r="K99" s="85">
        <f>E99/(I99+E99)</f>
        <v/>
      </c>
      <c r="L99" s="260">
        <f>I99/(E99/2.1)</f>
        <v/>
      </c>
      <c r="N99" s="60" t="inlineStr">
        <is>
          <t>Swim Accessories</t>
        </is>
      </c>
      <c r="O99" s="61" t="inlineStr">
        <is>
          <t>Children's Swimming Goggles</t>
        </is>
      </c>
      <c r="P99" s="183" t="inlineStr">
        <is>
          <t>111161202\64</t>
        </is>
      </c>
      <c r="Q99" s="183" t="n">
        <v>118</v>
      </c>
      <c r="R99" s="92" t="n">
        <v>2</v>
      </c>
      <c r="S99" s="117" t="n">
        <v>236</v>
      </c>
      <c r="T99" s="117" t="n">
        <v>236</v>
      </c>
      <c r="U99" s="285" t="n">
        <v>1</v>
      </c>
      <c r="V99" s="183" t="n">
        <v>40</v>
      </c>
      <c r="W99" s="117" t="n">
        <v>4720</v>
      </c>
      <c r="X99" s="85">
        <f>R99/(V99+R99)</f>
        <v/>
      </c>
      <c r="Y99" s="260">
        <f>V99/(R99/2.1)</f>
        <v/>
      </c>
    </row>
    <row r="100" ht="13.5" customHeight="1" s="245">
      <c r="A100" s="60" t="inlineStr">
        <is>
          <t>Swim Accessories</t>
        </is>
      </c>
      <c r="B100" s="61" t="inlineStr">
        <is>
          <t>Children's Swimming Goggles</t>
        </is>
      </c>
      <c r="C100" s="183" t="inlineStr">
        <is>
          <t>113161203\74</t>
        </is>
      </c>
      <c r="D100" s="183" t="n">
        <v>88</v>
      </c>
      <c r="E100" s="183" t="n">
        <v>14</v>
      </c>
      <c r="F100" s="117" t="n">
        <v>1232</v>
      </c>
      <c r="G100" s="117" t="n">
        <v>1158.4</v>
      </c>
      <c r="H100" s="285" t="n">
        <v>0.94025974025974</v>
      </c>
      <c r="I100" s="183" t="n">
        <v>215</v>
      </c>
      <c r="J100" s="117" t="n">
        <v>18920</v>
      </c>
      <c r="K100" s="85">
        <f>E100/(I100+E100)</f>
        <v/>
      </c>
      <c r="L100" s="260">
        <f>I100/(E100/2.1)</f>
        <v/>
      </c>
      <c r="N100" s="60" t="inlineStr">
        <is>
          <t>Swim Accessories</t>
        </is>
      </c>
      <c r="O100" s="61" t="inlineStr">
        <is>
          <t>Children's Swimming Goggles</t>
        </is>
      </c>
      <c r="P100" s="183" t="inlineStr">
        <is>
          <t>10920003\93</t>
        </is>
      </c>
      <c r="Q100" s="183" t="n">
        <v>60</v>
      </c>
      <c r="R100" s="92" t="n">
        <v>3</v>
      </c>
      <c r="S100" s="117" t="n">
        <v>180</v>
      </c>
      <c r="T100" s="117" t="n">
        <v>156</v>
      </c>
      <c r="U100" s="285" t="n">
        <v>0.866666666666667</v>
      </c>
      <c r="V100" s="183" t="n">
        <v>31</v>
      </c>
      <c r="W100" s="117" t="n">
        <v>1860</v>
      </c>
      <c r="X100" s="85">
        <f>R100/(V100+R100)</f>
        <v/>
      </c>
      <c r="Y100" s="260">
        <f>V100/(R100/2.1)</f>
        <v/>
      </c>
    </row>
    <row r="101" ht="13.5" customHeight="1" s="245">
      <c r="A101" s="60" t="inlineStr">
        <is>
          <t>Swim Accessories</t>
        </is>
      </c>
      <c r="B101" s="61" t="inlineStr">
        <is>
          <t>Children's Swimming Goggles</t>
        </is>
      </c>
      <c r="C101" s="183" t="inlineStr">
        <is>
          <t>113161202\93</t>
        </is>
      </c>
      <c r="D101" s="183" t="n">
        <v>158</v>
      </c>
      <c r="E101" s="183" t="n">
        <v>11</v>
      </c>
      <c r="F101" s="117" t="n">
        <v>1738</v>
      </c>
      <c r="G101" s="117" t="n">
        <v>1428.7</v>
      </c>
      <c r="H101" s="285" t="n">
        <v>0.822036823935558</v>
      </c>
      <c r="I101" s="183" t="n">
        <v>248</v>
      </c>
      <c r="J101" s="117" t="n">
        <v>39184</v>
      </c>
      <c r="K101" s="85">
        <f>E101/(I101+E101)</f>
        <v/>
      </c>
      <c r="L101" s="260">
        <f>I101/(E101/2.1)</f>
        <v/>
      </c>
      <c r="N101" s="60" t="inlineStr">
        <is>
          <t>Swim Accessories</t>
        </is>
      </c>
      <c r="O101" s="61" t="inlineStr">
        <is>
          <t>Children's Swimming Goggles</t>
        </is>
      </c>
      <c r="P101" s="183" t="inlineStr">
        <is>
          <t>111161201\30</t>
        </is>
      </c>
      <c r="Q101" s="183" t="n">
        <v>88</v>
      </c>
      <c r="R101" s="92" t="n">
        <v>3</v>
      </c>
      <c r="S101" s="117" t="n">
        <v>264</v>
      </c>
      <c r="T101" s="117" t="n">
        <v>253.4</v>
      </c>
      <c r="U101" s="285" t="n">
        <v>0.959848484848485</v>
      </c>
      <c r="V101" s="183" t="n">
        <v>99</v>
      </c>
      <c r="W101" s="117" t="n">
        <v>8712</v>
      </c>
      <c r="X101" s="85">
        <f>R101/(V101+R101)</f>
        <v/>
      </c>
      <c r="Y101" s="260">
        <f>V101/(R101/2.1)</f>
        <v/>
      </c>
    </row>
    <row r="102" ht="13.5" customHeight="1" s="245">
      <c r="A102" s="60" t="inlineStr">
        <is>
          <t>Swim Accessories</t>
        </is>
      </c>
      <c r="B102" s="61" t="inlineStr">
        <is>
          <t>Children's Swimming Goggles</t>
        </is>
      </c>
      <c r="C102" s="183" t="inlineStr">
        <is>
          <t>113161203\97</t>
        </is>
      </c>
      <c r="D102" s="183" t="n">
        <v>88</v>
      </c>
      <c r="E102" s="183" t="n">
        <v>11</v>
      </c>
      <c r="F102" s="117" t="n">
        <v>968</v>
      </c>
      <c r="G102" s="117" t="n">
        <v>887.6</v>
      </c>
      <c r="H102" s="285" t="n">
        <v>0.916942148760331</v>
      </c>
      <c r="I102" s="183" t="n">
        <v>48</v>
      </c>
      <c r="J102" s="117" t="n">
        <v>4224</v>
      </c>
      <c r="K102" s="85">
        <f>E102/(I102+E102)</f>
        <v/>
      </c>
      <c r="L102" s="260">
        <f>I102/(E102/2.1)</f>
        <v/>
      </c>
      <c r="N102" s="60" t="inlineStr">
        <is>
          <t>Swim Accessories</t>
        </is>
      </c>
      <c r="O102" s="61" t="inlineStr">
        <is>
          <t>Children's Swimming Goggles</t>
        </is>
      </c>
      <c r="P102" s="183" t="inlineStr">
        <is>
          <t>111161201\80</t>
        </is>
      </c>
      <c r="Q102" s="183" t="n">
        <v>88</v>
      </c>
      <c r="R102" s="92" t="n">
        <v>3</v>
      </c>
      <c r="S102" s="117" t="n">
        <v>264</v>
      </c>
      <c r="T102" s="117" t="n">
        <v>264</v>
      </c>
      <c r="U102" s="285" t="n">
        <v>1</v>
      </c>
      <c r="V102" s="183" t="n">
        <v>50</v>
      </c>
      <c r="W102" s="117" t="n">
        <v>4400</v>
      </c>
      <c r="X102" s="85">
        <f>R102/(V102+R102)</f>
        <v/>
      </c>
      <c r="Y102" s="260">
        <f>V102/(R102/2.1)</f>
        <v/>
      </c>
    </row>
    <row r="103" ht="13.5" customHeight="1" s="245">
      <c r="A103" s="60" t="inlineStr">
        <is>
          <t>Swim Accessories</t>
        </is>
      </c>
      <c r="B103" s="61" t="inlineStr">
        <is>
          <t>Children's Swimming Goggles</t>
        </is>
      </c>
      <c r="C103" s="183" t="inlineStr">
        <is>
          <t>066201\72</t>
        </is>
      </c>
      <c r="D103" s="183" t="n">
        <v>88</v>
      </c>
      <c r="E103" s="183" t="n">
        <v>10</v>
      </c>
      <c r="F103" s="117" t="n">
        <v>880</v>
      </c>
      <c r="G103" s="117" t="n">
        <v>798.8</v>
      </c>
      <c r="H103" s="285" t="n">
        <v>0.907727272727273</v>
      </c>
      <c r="I103" s="183" t="n">
        <v>241</v>
      </c>
      <c r="J103" s="117" t="n">
        <v>21208</v>
      </c>
      <c r="K103" s="85">
        <f>E103/(I103+E103)</f>
        <v/>
      </c>
      <c r="L103" s="260">
        <f>I103/(E103/2.1)</f>
        <v/>
      </c>
      <c r="N103" s="60" t="inlineStr">
        <is>
          <t>Swim Accessories</t>
        </is>
      </c>
      <c r="O103" s="61" t="inlineStr">
        <is>
          <t>Children's Swimming Goggles</t>
        </is>
      </c>
      <c r="P103" s="183" t="inlineStr">
        <is>
          <t>110161202\92</t>
        </is>
      </c>
      <c r="Q103" s="183" t="n">
        <v>88</v>
      </c>
      <c r="R103" s="92" t="n">
        <v>4</v>
      </c>
      <c r="S103" s="117" t="n">
        <v>352</v>
      </c>
      <c r="T103" s="117" t="n">
        <v>322</v>
      </c>
      <c r="U103" s="285" t="n">
        <v>0.914772727272727</v>
      </c>
      <c r="V103" s="183" t="n">
        <v>38</v>
      </c>
      <c r="W103" s="117" t="n">
        <v>3344</v>
      </c>
      <c r="X103" s="85">
        <f>R103/(V103+R103)</f>
        <v/>
      </c>
      <c r="Y103" s="260">
        <f>V103/(R103/2.1)</f>
        <v/>
      </c>
    </row>
    <row r="104" ht="13.5" customHeight="1" s="245">
      <c r="A104" s="65" t="inlineStr">
        <is>
          <t>Swim Accessories</t>
        </is>
      </c>
      <c r="B104" s="66" t="inlineStr">
        <is>
          <t>Children's Swimming Goggles</t>
        </is>
      </c>
      <c r="C104" s="87" t="inlineStr">
        <is>
          <t>111161201\92</t>
        </is>
      </c>
      <c r="D104" s="87" t="n">
        <v>88</v>
      </c>
      <c r="E104" s="87" t="n">
        <v>10</v>
      </c>
      <c r="F104" s="131" t="n">
        <v>880</v>
      </c>
      <c r="G104" s="131" t="n">
        <v>788</v>
      </c>
      <c r="H104" s="303" t="n">
        <v>0.8954545454545459</v>
      </c>
      <c r="I104" s="87" t="n">
        <v>68</v>
      </c>
      <c r="J104" s="131" t="n">
        <v>5984</v>
      </c>
      <c r="K104" s="88">
        <f>E104/(I104+E104)</f>
        <v/>
      </c>
      <c r="L104" s="304">
        <f>I104/(E104/2.1)</f>
        <v/>
      </c>
      <c r="N104" s="65" t="inlineStr">
        <is>
          <t>Swim Accessories</t>
        </is>
      </c>
      <c r="O104" s="66" t="inlineStr">
        <is>
          <t>Children's Swimming Goggles</t>
        </is>
      </c>
      <c r="P104" s="87" t="inlineStr">
        <is>
          <t>111161203\94</t>
        </is>
      </c>
      <c r="Q104" s="87" t="n">
        <v>118</v>
      </c>
      <c r="R104" s="93" t="n">
        <v>4</v>
      </c>
      <c r="S104" s="131" t="n">
        <v>472</v>
      </c>
      <c r="T104" s="131" t="n">
        <v>424.3</v>
      </c>
      <c r="U104" s="303" t="n">
        <v>0.898940677966102</v>
      </c>
      <c r="V104" s="87" t="n">
        <v>45</v>
      </c>
      <c r="W104" s="131" t="n">
        <v>5310</v>
      </c>
      <c r="X104" s="85">
        <f>R104/(V104+R104)</f>
        <v/>
      </c>
      <c r="Y104" s="260">
        <f>V104/(R104/2.1)</f>
        <v/>
      </c>
    </row>
    <row r="105" ht="13.5" customHeight="1" s="245">
      <c r="A105" s="56" t="inlineStr">
        <is>
          <t>Swim Accessories</t>
        </is>
      </c>
      <c r="B105" s="81" t="inlineStr">
        <is>
          <t>Children's Swim Cap</t>
        </is>
      </c>
      <c r="C105" s="81" t="inlineStr">
        <is>
          <t>111171202\92</t>
        </is>
      </c>
      <c r="D105" s="81" t="n">
        <v>28</v>
      </c>
      <c r="E105" s="81" t="n">
        <v>7</v>
      </c>
      <c r="F105" s="58" t="n">
        <v>196</v>
      </c>
      <c r="G105" s="58" t="n">
        <v>181.8</v>
      </c>
      <c r="H105" s="305" t="n">
        <v>0.927551020408163</v>
      </c>
      <c r="I105" s="81" t="n">
        <v>109</v>
      </c>
      <c r="J105" s="58" t="n">
        <v>3052</v>
      </c>
      <c r="K105" s="82">
        <f>E105/(I105+E105)</f>
        <v/>
      </c>
      <c r="L105" s="306">
        <f>I105/(E105/2.1)</f>
        <v/>
      </c>
      <c r="N105" s="56" t="inlineStr">
        <is>
          <t>Swim Accessories</t>
        </is>
      </c>
      <c r="O105" s="81" t="inlineStr">
        <is>
          <t>Children's Swim Cap</t>
        </is>
      </c>
      <c r="P105" s="81" t="inlineStr">
        <is>
          <t>074201\97</t>
        </is>
      </c>
      <c r="Q105" s="81" t="n">
        <v>20</v>
      </c>
      <c r="R105" s="94" t="n">
        <v>1</v>
      </c>
      <c r="S105" s="58" t="n">
        <v>20</v>
      </c>
      <c r="T105" s="58" t="n">
        <v>18</v>
      </c>
      <c r="U105" s="305" t="n">
        <v>0.9</v>
      </c>
      <c r="V105" s="81" t="n">
        <v>19</v>
      </c>
      <c r="W105" s="58" t="n">
        <v>380</v>
      </c>
      <c r="X105" s="85">
        <f>R105/(V105+R105)</f>
        <v/>
      </c>
      <c r="Y105" s="260">
        <f>V105/(R105/2.1)</f>
        <v/>
      </c>
    </row>
    <row r="106" ht="13.5" customHeight="1" s="245">
      <c r="A106" s="60" t="inlineStr">
        <is>
          <t>Swim Accessories</t>
        </is>
      </c>
      <c r="B106" s="61" t="inlineStr">
        <is>
          <t>Children's Swim Cap</t>
        </is>
      </c>
      <c r="C106" s="183" t="inlineStr">
        <is>
          <t>074201\52</t>
        </is>
      </c>
      <c r="D106" s="183" t="n">
        <v>20</v>
      </c>
      <c r="E106" s="183" t="n">
        <v>5</v>
      </c>
      <c r="F106" s="117" t="n">
        <v>100</v>
      </c>
      <c r="G106" s="117" t="n">
        <v>95.8</v>
      </c>
      <c r="H106" s="285" t="n">
        <v>0.958</v>
      </c>
      <c r="I106" s="183" t="n">
        <v>116</v>
      </c>
      <c r="J106" s="117" t="n">
        <v>2320</v>
      </c>
      <c r="K106" s="85">
        <f>E106/(I106+E106)</f>
        <v/>
      </c>
      <c r="L106" s="260">
        <f>I106/(E106/2.1)</f>
        <v/>
      </c>
      <c r="N106" s="60" t="inlineStr">
        <is>
          <t>Swim Accessories</t>
        </is>
      </c>
      <c r="O106" s="61" t="inlineStr">
        <is>
          <t>Children's Swim Cap</t>
        </is>
      </c>
      <c r="P106" s="183" t="inlineStr">
        <is>
          <t>10921002\10</t>
        </is>
      </c>
      <c r="Q106" s="183" t="n">
        <v>60</v>
      </c>
      <c r="R106" s="92" t="n">
        <v>1</v>
      </c>
      <c r="S106" s="117" t="n">
        <v>60</v>
      </c>
      <c r="T106" s="117" t="n">
        <v>60</v>
      </c>
      <c r="U106" s="285" t="n">
        <v>1</v>
      </c>
      <c r="V106" s="183" t="n">
        <v>10</v>
      </c>
      <c r="W106" s="117" t="n">
        <v>600</v>
      </c>
      <c r="X106" s="85">
        <f>R106/(V106+R106)</f>
        <v/>
      </c>
      <c r="Y106" s="260">
        <f>V106/(R106/2.1)</f>
        <v/>
      </c>
    </row>
    <row r="107" ht="13.5" customHeight="1" s="245">
      <c r="A107" s="60" t="inlineStr">
        <is>
          <t>Swim Accessories</t>
        </is>
      </c>
      <c r="B107" s="61" t="inlineStr">
        <is>
          <t>Children's Swim Cap</t>
        </is>
      </c>
      <c r="C107" s="183" t="inlineStr">
        <is>
          <t>074201\92</t>
        </is>
      </c>
      <c r="D107" s="183" t="n">
        <v>20</v>
      </c>
      <c r="E107" s="183" t="n">
        <v>5</v>
      </c>
      <c r="F107" s="117" t="n">
        <v>100</v>
      </c>
      <c r="G107" s="117" t="n">
        <v>98</v>
      </c>
      <c r="H107" s="285" t="n">
        <v>0.98</v>
      </c>
      <c r="I107" s="183" t="n">
        <v>60</v>
      </c>
      <c r="J107" s="117" t="n">
        <v>1200</v>
      </c>
      <c r="K107" s="85">
        <f>E107/(I107+E107)</f>
        <v/>
      </c>
      <c r="L107" s="260">
        <f>I107/(E107/2.1)</f>
        <v/>
      </c>
      <c r="N107" s="60" t="inlineStr">
        <is>
          <t>Swim Accessories</t>
        </is>
      </c>
      <c r="O107" s="61" t="inlineStr">
        <is>
          <t>Children's Swim Cap</t>
        </is>
      </c>
      <c r="P107" s="183" t="inlineStr">
        <is>
          <t>111171202\72</t>
        </is>
      </c>
      <c r="Q107" s="183" t="n">
        <v>28</v>
      </c>
      <c r="R107" s="92" t="n">
        <v>1</v>
      </c>
      <c r="S107" s="117" t="n">
        <v>28</v>
      </c>
      <c r="T107" s="117" t="n">
        <v>28</v>
      </c>
      <c r="U107" s="285" t="n">
        <v>1</v>
      </c>
      <c r="V107" s="183" t="n">
        <v>230</v>
      </c>
      <c r="W107" s="117" t="n">
        <v>6440</v>
      </c>
      <c r="X107" s="85">
        <f>R107/(V107+R107)</f>
        <v/>
      </c>
      <c r="Y107" s="260">
        <f>V107/(R107/2.1)</f>
        <v/>
      </c>
    </row>
    <row r="108" ht="13.5" customHeight="1" s="245">
      <c r="A108" s="60" t="inlineStr">
        <is>
          <t>Swim Accessories</t>
        </is>
      </c>
      <c r="B108" s="61" t="inlineStr">
        <is>
          <t>Children's Swim Cap</t>
        </is>
      </c>
      <c r="C108" s="183" t="inlineStr">
        <is>
          <t>113171301\97</t>
        </is>
      </c>
      <c r="D108" s="183" t="n">
        <v>88</v>
      </c>
      <c r="E108" s="183" t="n">
        <v>5</v>
      </c>
      <c r="F108" s="117" t="n">
        <v>440</v>
      </c>
      <c r="G108" s="117" t="n">
        <v>396.2</v>
      </c>
      <c r="H108" s="285" t="n">
        <v>0.900454545454545</v>
      </c>
      <c r="I108" s="183" t="n">
        <v>41</v>
      </c>
      <c r="J108" s="117" t="n">
        <v>3608</v>
      </c>
      <c r="K108" s="85">
        <f>E108/(I108+E108)</f>
        <v/>
      </c>
      <c r="L108" s="260">
        <f>I108/(E108/2.1)</f>
        <v/>
      </c>
      <c r="N108" s="60" t="inlineStr">
        <is>
          <t>Swim Accessories</t>
        </is>
      </c>
      <c r="O108" s="61" t="inlineStr">
        <is>
          <t>Children's Swim Cap</t>
        </is>
      </c>
      <c r="P108" s="183" t="inlineStr">
        <is>
          <t>111171204\75</t>
        </is>
      </c>
      <c r="Q108" s="183" t="n">
        <v>28</v>
      </c>
      <c r="R108" s="92" t="n">
        <v>1</v>
      </c>
      <c r="S108" s="117" t="n">
        <v>28</v>
      </c>
      <c r="T108" s="117" t="n">
        <v>28</v>
      </c>
      <c r="U108" s="285" t="n">
        <v>1</v>
      </c>
      <c r="V108" s="183" t="n">
        <v>116</v>
      </c>
      <c r="W108" s="117" t="n">
        <v>3248</v>
      </c>
      <c r="X108" s="85">
        <f>R108/(V108+R108)</f>
        <v/>
      </c>
      <c r="Y108" s="260">
        <f>V108/(R108/2.1)</f>
        <v/>
      </c>
    </row>
    <row r="109" ht="13.5" customHeight="1" s="245">
      <c r="A109" s="60" t="inlineStr">
        <is>
          <t>Swim Accessories</t>
        </is>
      </c>
      <c r="B109" s="61" t="inlineStr">
        <is>
          <t>Children's Swim Cap</t>
        </is>
      </c>
      <c r="C109" s="183" t="inlineStr">
        <is>
          <t>074201\90</t>
        </is>
      </c>
      <c r="D109" s="183" t="n">
        <v>20</v>
      </c>
      <c r="E109" s="183" t="n">
        <v>4</v>
      </c>
      <c r="F109" s="117" t="n">
        <v>80</v>
      </c>
      <c r="G109" s="117" t="n">
        <v>78</v>
      </c>
      <c r="H109" s="285" t="n">
        <v>0.975</v>
      </c>
      <c r="I109" s="183" t="n">
        <v>66</v>
      </c>
      <c r="J109" s="117" t="n">
        <v>1320</v>
      </c>
      <c r="K109" s="85">
        <f>E109/(I109+E109)</f>
        <v/>
      </c>
      <c r="L109" s="260">
        <f>I109/(E109/2.1)</f>
        <v/>
      </c>
      <c r="N109" s="60" t="inlineStr">
        <is>
          <t>Swim Accessories</t>
        </is>
      </c>
      <c r="O109" s="61" t="inlineStr">
        <is>
          <t>Children's Swim Cap</t>
        </is>
      </c>
      <c r="P109" s="183" t="inlineStr">
        <is>
          <t>111171499\75</t>
        </is>
      </c>
      <c r="Q109" s="183" t="n">
        <v>58</v>
      </c>
      <c r="R109" s="92" t="n">
        <v>1</v>
      </c>
      <c r="S109" s="117" t="n">
        <v>58</v>
      </c>
      <c r="T109" s="117" t="n">
        <v>52.2</v>
      </c>
      <c r="U109" s="285" t="n">
        <v>0.9</v>
      </c>
      <c r="V109" s="183" t="n">
        <v>33</v>
      </c>
      <c r="W109" s="117" t="n">
        <v>1914</v>
      </c>
      <c r="X109" s="85">
        <f>R109/(V109+R109)</f>
        <v/>
      </c>
      <c r="Y109" s="260">
        <f>V109/(R109/2.1)</f>
        <v/>
      </c>
    </row>
    <row r="110" ht="13.5" customHeight="1" s="245">
      <c r="A110" s="60" t="inlineStr">
        <is>
          <t>Swim Accessories</t>
        </is>
      </c>
      <c r="B110" s="61" t="inlineStr">
        <is>
          <t>Children's Swim Cap</t>
        </is>
      </c>
      <c r="C110" s="183" t="inlineStr">
        <is>
          <t>113171203\72</t>
        </is>
      </c>
      <c r="D110" s="183" t="n">
        <v>28</v>
      </c>
      <c r="E110" s="183" t="n">
        <v>4</v>
      </c>
      <c r="F110" s="117" t="n">
        <v>112</v>
      </c>
      <c r="G110" s="117" t="n">
        <v>99.8</v>
      </c>
      <c r="H110" s="285" t="n">
        <v>0.891071428571429</v>
      </c>
      <c r="I110" s="183" t="n">
        <v>276</v>
      </c>
      <c r="J110" s="117" t="n">
        <v>7728</v>
      </c>
      <c r="K110" s="85">
        <f>E110/(I110+E110)</f>
        <v/>
      </c>
      <c r="L110" s="260">
        <f>I110/(E110/2.1)</f>
        <v/>
      </c>
      <c r="N110" s="60" t="inlineStr">
        <is>
          <t>Swim Accessories</t>
        </is>
      </c>
      <c r="O110" s="61" t="inlineStr">
        <is>
          <t>Children's Swim Cap</t>
        </is>
      </c>
      <c r="P110" s="183" t="inlineStr">
        <is>
          <t>111171499\80</t>
        </is>
      </c>
      <c r="Q110" s="183" t="n">
        <v>58</v>
      </c>
      <c r="R110" s="92" t="n">
        <v>1</v>
      </c>
      <c r="S110" s="117" t="n">
        <v>58</v>
      </c>
      <c r="T110" s="117" t="n">
        <v>58</v>
      </c>
      <c r="U110" s="285" t="n">
        <v>1</v>
      </c>
      <c r="V110" s="183" t="n">
        <v>112</v>
      </c>
      <c r="W110" s="117" t="n">
        <v>6496</v>
      </c>
      <c r="X110" s="85">
        <f>R110/(V110+R110)</f>
        <v/>
      </c>
      <c r="Y110" s="260">
        <f>V110/(R110/2.1)</f>
        <v/>
      </c>
    </row>
    <row r="111" ht="13.5" customHeight="1" s="245">
      <c r="A111" s="60" t="inlineStr">
        <is>
          <t>Swim Accessories</t>
        </is>
      </c>
      <c r="B111" s="61" t="inlineStr">
        <is>
          <t>Children's Swim Cap</t>
        </is>
      </c>
      <c r="C111" s="183" t="inlineStr">
        <is>
          <t>074201\53</t>
        </is>
      </c>
      <c r="D111" s="183" t="n">
        <v>20</v>
      </c>
      <c r="E111" s="183" t="n">
        <v>3</v>
      </c>
      <c r="F111" s="117" t="n">
        <v>60</v>
      </c>
      <c r="G111" s="117" t="n">
        <v>56</v>
      </c>
      <c r="H111" s="285" t="n">
        <v>0.933333333333333</v>
      </c>
      <c r="I111" s="183" t="n">
        <v>60</v>
      </c>
      <c r="J111" s="117" t="n">
        <v>1200</v>
      </c>
      <c r="K111" s="85">
        <f>E111/(I111+E111)</f>
        <v/>
      </c>
      <c r="L111" s="260">
        <f>I111/(E111/2.1)</f>
        <v/>
      </c>
      <c r="N111" s="60" t="inlineStr">
        <is>
          <t>Swim Accessories</t>
        </is>
      </c>
      <c r="O111" s="61" t="inlineStr">
        <is>
          <t>Children's Swim Cap</t>
        </is>
      </c>
      <c r="P111" s="183" t="inlineStr">
        <is>
          <t>113171201\53</t>
        </is>
      </c>
      <c r="Q111" s="183" t="n">
        <v>28</v>
      </c>
      <c r="R111" s="92" t="n">
        <v>1</v>
      </c>
      <c r="S111" s="117" t="n">
        <v>28</v>
      </c>
      <c r="T111" s="117" t="n">
        <v>28</v>
      </c>
      <c r="U111" s="285" t="n">
        <v>1</v>
      </c>
      <c r="V111" s="183" t="n">
        <v>146</v>
      </c>
      <c r="W111" s="117" t="n">
        <v>4088</v>
      </c>
      <c r="X111" s="85">
        <f>R111/(V111+R111)</f>
        <v/>
      </c>
      <c r="Y111" s="260">
        <f>V111/(R111/2.1)</f>
        <v/>
      </c>
    </row>
    <row r="112" ht="13.5" customHeight="1" s="245">
      <c r="A112" s="60" t="inlineStr">
        <is>
          <t>Swim Accessories</t>
        </is>
      </c>
      <c r="B112" s="61" t="inlineStr">
        <is>
          <t>Children's Swim Cap</t>
        </is>
      </c>
      <c r="C112" s="183" t="inlineStr">
        <is>
          <t>074201\80</t>
        </is>
      </c>
      <c r="D112" s="183" t="n">
        <v>20</v>
      </c>
      <c r="E112" s="183" t="n">
        <v>3</v>
      </c>
      <c r="F112" s="117" t="n">
        <v>60</v>
      </c>
      <c r="G112" s="117" t="n">
        <v>60</v>
      </c>
      <c r="H112" s="285" t="n">
        <v>1</v>
      </c>
      <c r="I112" s="183" t="n">
        <v>152</v>
      </c>
      <c r="J112" s="117" t="n">
        <v>3040</v>
      </c>
      <c r="K112" s="85">
        <f>E112/(I112+E112)</f>
        <v/>
      </c>
      <c r="L112" s="260">
        <f>I112/(E112/2.1)</f>
        <v/>
      </c>
      <c r="N112" s="60" t="inlineStr">
        <is>
          <t>Swim Accessories</t>
        </is>
      </c>
      <c r="O112" s="61" t="inlineStr">
        <is>
          <t>Children's Swim Cap</t>
        </is>
      </c>
      <c r="P112" s="183" t="inlineStr">
        <is>
          <t>113171203\75</t>
        </is>
      </c>
      <c r="Q112" s="183" t="n">
        <v>28</v>
      </c>
      <c r="R112" s="92" t="n">
        <v>1</v>
      </c>
      <c r="S112" s="117" t="n">
        <v>28</v>
      </c>
      <c r="T112" s="117" t="n">
        <v>28</v>
      </c>
      <c r="U112" s="285" t="n">
        <v>1</v>
      </c>
      <c r="V112" s="183" t="n">
        <v>184</v>
      </c>
      <c r="W112" s="117" t="n">
        <v>5152</v>
      </c>
      <c r="X112" s="85">
        <f>R112/(V112+R112)</f>
        <v/>
      </c>
      <c r="Y112" s="260">
        <f>V112/(R112/2.1)</f>
        <v/>
      </c>
    </row>
    <row r="113" ht="13.5" customHeight="1" s="245">
      <c r="A113" s="60" t="inlineStr">
        <is>
          <t>Swim Accessories</t>
        </is>
      </c>
      <c r="B113" s="61" t="inlineStr">
        <is>
          <t>Children's Swim Cap</t>
        </is>
      </c>
      <c r="C113" s="183" t="inlineStr">
        <is>
          <t>10921002\70</t>
        </is>
      </c>
      <c r="D113" s="183" t="n">
        <v>60</v>
      </c>
      <c r="E113" s="183" t="n">
        <v>3</v>
      </c>
      <c r="F113" s="117" t="n">
        <v>180</v>
      </c>
      <c r="G113" s="117" t="n">
        <v>150</v>
      </c>
      <c r="H113" s="285" t="n">
        <v>0.833333333333333</v>
      </c>
      <c r="I113" s="183" t="n">
        <v>48</v>
      </c>
      <c r="J113" s="117" t="n">
        <v>2880</v>
      </c>
      <c r="K113" s="85">
        <f>E113/(I113+E113)</f>
        <v/>
      </c>
      <c r="L113" s="260">
        <f>I113/(E113/2.1)</f>
        <v/>
      </c>
      <c r="N113" s="60" t="inlineStr">
        <is>
          <t>Swim Accessories</t>
        </is>
      </c>
      <c r="O113" s="61" t="inlineStr">
        <is>
          <t>Children's Swim Cap</t>
        </is>
      </c>
      <c r="P113" s="183" t="inlineStr">
        <is>
          <t>113171203\90</t>
        </is>
      </c>
      <c r="Q113" s="183" t="n">
        <v>28</v>
      </c>
      <c r="R113" s="92" t="n">
        <v>1</v>
      </c>
      <c r="S113" s="117" t="n">
        <v>28</v>
      </c>
      <c r="T113" s="117" t="n">
        <v>25.2</v>
      </c>
      <c r="U113" s="285" t="n">
        <v>0.9</v>
      </c>
      <c r="V113" s="183" t="n">
        <v>65</v>
      </c>
      <c r="W113" s="117" t="n">
        <v>1820</v>
      </c>
      <c r="X113" s="85">
        <f>R113/(V113+R113)</f>
        <v/>
      </c>
      <c r="Y113" s="260">
        <f>V113/(R113/2.1)</f>
        <v/>
      </c>
    </row>
    <row r="114" ht="13.5" customHeight="1" s="245">
      <c r="A114" s="65" t="inlineStr">
        <is>
          <t>Swim Accessories</t>
        </is>
      </c>
      <c r="B114" s="66" t="inlineStr">
        <is>
          <t>Children's Swim Cap</t>
        </is>
      </c>
      <c r="C114" s="87" t="inlineStr">
        <is>
          <t>074201\71</t>
        </is>
      </c>
      <c r="D114" s="87" t="n">
        <v>20</v>
      </c>
      <c r="E114" s="87" t="n">
        <v>2</v>
      </c>
      <c r="F114" s="131" t="n">
        <v>40</v>
      </c>
      <c r="G114" s="131" t="n">
        <v>48</v>
      </c>
      <c r="H114" s="303" t="n">
        <v>1.2</v>
      </c>
      <c r="I114" s="87" t="n">
        <v>183</v>
      </c>
      <c r="J114" s="131" t="n">
        <v>3660</v>
      </c>
      <c r="K114" s="88">
        <f>E114/(I114+E114)</f>
        <v/>
      </c>
      <c r="L114" s="304">
        <f>I114/(E114/2.1)</f>
        <v/>
      </c>
      <c r="N114" s="65" t="inlineStr">
        <is>
          <t>Swim Accessories</t>
        </is>
      </c>
      <c r="O114" s="66" t="inlineStr">
        <is>
          <t>Children's Swim Cap</t>
        </is>
      </c>
      <c r="P114" s="87" t="inlineStr">
        <is>
          <t>178301\61</t>
        </is>
      </c>
      <c r="Q114" s="87" t="n">
        <v>58</v>
      </c>
      <c r="R114" s="93" t="n">
        <v>1</v>
      </c>
      <c r="S114" s="131" t="n">
        <v>58</v>
      </c>
      <c r="T114" s="131" t="n">
        <v>55.1</v>
      </c>
      <c r="U114" s="303" t="n">
        <v>0.95</v>
      </c>
      <c r="V114" s="87" t="n">
        <v>34</v>
      </c>
      <c r="W114" s="131" t="n">
        <v>1972</v>
      </c>
      <c r="X114" s="85">
        <f>R114/(V114+R114)</f>
        <v/>
      </c>
      <c r="Y114" s="260">
        <f>V114/(R114/2.1)</f>
        <v/>
      </c>
    </row>
    <row r="115" ht="13.5" customHeight="1" s="245">
      <c r="A115" s="56" t="inlineStr">
        <is>
          <t>Swim Accessories</t>
        </is>
      </c>
      <c r="B115" s="81" t="inlineStr">
        <is>
          <t>Adult Swim Goggles</t>
        </is>
      </c>
      <c r="C115" s="81" t="inlineStr">
        <is>
          <t>065107\76</t>
        </is>
      </c>
      <c r="D115" s="81" t="n">
        <v>158</v>
      </c>
      <c r="E115" s="81" t="n">
        <v>50</v>
      </c>
      <c r="F115" s="58" t="n">
        <v>7900</v>
      </c>
      <c r="G115" s="58" t="n">
        <v>10394.4</v>
      </c>
      <c r="H115" s="305" t="n">
        <v>1.31574683544304</v>
      </c>
      <c r="I115" s="81" t="n">
        <v>310</v>
      </c>
      <c r="J115" s="58" t="n">
        <v>48980</v>
      </c>
      <c r="K115" s="82">
        <f>E115/(I115+E115)</f>
        <v/>
      </c>
      <c r="L115" s="306">
        <f>I115/(E115/2.1)</f>
        <v/>
      </c>
      <c r="N115" s="56" t="inlineStr">
        <is>
          <t>Swim Accessories</t>
        </is>
      </c>
      <c r="O115" s="81" t="inlineStr">
        <is>
          <t>Adult Swim Goggles</t>
        </is>
      </c>
      <c r="P115" s="81" t="inlineStr">
        <is>
          <t>064101\80</t>
        </is>
      </c>
      <c r="Q115" s="81" t="n">
        <v>179</v>
      </c>
      <c r="R115" s="94" t="n">
        <v>1</v>
      </c>
      <c r="S115" s="58" t="n">
        <v>179</v>
      </c>
      <c r="T115" s="58" t="n">
        <v>179</v>
      </c>
      <c r="U115" s="305" t="n">
        <v>1</v>
      </c>
      <c r="V115" s="81" t="n">
        <v>49</v>
      </c>
      <c r="W115" s="58" t="n">
        <v>8771</v>
      </c>
      <c r="X115" s="85">
        <f>R115/(V115+R115)</f>
        <v/>
      </c>
      <c r="Y115" s="260">
        <f>V115/(R115/2.1)</f>
        <v/>
      </c>
    </row>
    <row r="116" ht="13.5" customHeight="1" s="245">
      <c r="A116" s="60" t="inlineStr">
        <is>
          <t>Swim Accessories</t>
        </is>
      </c>
      <c r="B116" s="61" t="inlineStr">
        <is>
          <t>Adult Swim Goggles</t>
        </is>
      </c>
      <c r="C116" s="183" t="inlineStr">
        <is>
          <t>113161113\80</t>
        </is>
      </c>
      <c r="D116" s="183" t="n">
        <v>238</v>
      </c>
      <c r="E116" s="183" t="n">
        <v>28</v>
      </c>
      <c r="F116" s="117" t="n">
        <v>6664</v>
      </c>
      <c r="G116" s="117" t="n">
        <v>5979.24</v>
      </c>
      <c r="H116" s="285" t="n">
        <v>0.8972448979591841</v>
      </c>
      <c r="I116" s="183" t="n">
        <v>177</v>
      </c>
      <c r="J116" s="117" t="n">
        <v>42126</v>
      </c>
      <c r="K116" s="85">
        <f>E116/(I116+E116)</f>
        <v/>
      </c>
      <c r="L116" s="260">
        <f>I116/(E116/2.1)</f>
        <v/>
      </c>
      <c r="N116" s="60" t="inlineStr">
        <is>
          <t>Swim Accessories</t>
        </is>
      </c>
      <c r="O116" s="61" t="inlineStr">
        <is>
          <t>Adult Swim Goggles</t>
        </is>
      </c>
      <c r="P116" s="183" t="inlineStr">
        <is>
          <t>064109\72</t>
        </is>
      </c>
      <c r="Q116" s="183" t="n">
        <v>178</v>
      </c>
      <c r="R116" s="92" t="n">
        <v>1</v>
      </c>
      <c r="S116" s="117" t="n">
        <v>178</v>
      </c>
      <c r="T116" s="117" t="n">
        <v>125</v>
      </c>
      <c r="U116" s="285" t="n">
        <v>0.702247191011236</v>
      </c>
      <c r="V116" s="183" t="n">
        <v>137</v>
      </c>
      <c r="W116" s="117" t="n">
        <v>24386</v>
      </c>
      <c r="X116" s="85">
        <f>R116/(V116+R116)</f>
        <v/>
      </c>
      <c r="Y116" s="260">
        <f>V116/(R116/2.1)</f>
        <v/>
      </c>
    </row>
    <row r="117" ht="13.5" customHeight="1" s="245">
      <c r="A117" s="60" t="inlineStr">
        <is>
          <t>Swim Accessories</t>
        </is>
      </c>
      <c r="B117" s="61" t="inlineStr">
        <is>
          <t>Adult Swim Goggles</t>
        </is>
      </c>
      <c r="C117" s="183" t="inlineStr">
        <is>
          <t>113161113\72</t>
        </is>
      </c>
      <c r="D117" s="183" t="n">
        <v>238</v>
      </c>
      <c r="E117" s="183" t="n">
        <v>27</v>
      </c>
      <c r="F117" s="117" t="n">
        <v>6426</v>
      </c>
      <c r="G117" s="117" t="n">
        <v>5552.14</v>
      </c>
      <c r="H117" s="285" t="n">
        <v>0.864011826953003</v>
      </c>
      <c r="I117" s="183" t="n">
        <v>177</v>
      </c>
      <c r="J117" s="117" t="n">
        <v>42126</v>
      </c>
      <c r="K117" s="85">
        <f>E117/(I117+E117)</f>
        <v/>
      </c>
      <c r="L117" s="260">
        <f>I117/(E117/2.1)</f>
        <v/>
      </c>
      <c r="N117" s="60" t="inlineStr">
        <is>
          <t>Swim Accessories</t>
        </is>
      </c>
      <c r="O117" s="61" t="inlineStr">
        <is>
          <t>Adult Swim Goggles</t>
        </is>
      </c>
      <c r="P117" s="183" t="inlineStr">
        <is>
          <t>066101\74</t>
        </is>
      </c>
      <c r="Q117" s="183" t="n">
        <v>298</v>
      </c>
      <c r="R117" s="92" t="n">
        <v>1</v>
      </c>
      <c r="S117" s="117" t="n">
        <v>298</v>
      </c>
      <c r="T117" s="117" t="n">
        <v>298</v>
      </c>
      <c r="U117" s="285" t="n">
        <v>1</v>
      </c>
      <c r="V117" s="183" t="n">
        <v>18</v>
      </c>
      <c r="W117" s="117" t="n">
        <v>5364</v>
      </c>
      <c r="X117" s="85">
        <f>R117/(V117+R117)</f>
        <v/>
      </c>
      <c r="Y117" s="260">
        <f>V117/(R117/2.1)</f>
        <v/>
      </c>
    </row>
    <row r="118" ht="13.5" customHeight="1" s="245">
      <c r="A118" s="60" t="inlineStr">
        <is>
          <t>Swim Accessories</t>
        </is>
      </c>
      <c r="B118" s="61" t="inlineStr">
        <is>
          <t>Adult Swim Goggles</t>
        </is>
      </c>
      <c r="C118" s="183" t="inlineStr">
        <is>
          <t>113161107\80</t>
        </is>
      </c>
      <c r="D118" s="183" t="n">
        <v>238</v>
      </c>
      <c r="E118" s="183" t="n">
        <v>25</v>
      </c>
      <c r="F118" s="117" t="n">
        <v>5950</v>
      </c>
      <c r="G118" s="117" t="n">
        <v>5218.3</v>
      </c>
      <c r="H118" s="285" t="n">
        <v>0.877025210084034</v>
      </c>
      <c r="I118" s="183" t="n">
        <v>152</v>
      </c>
      <c r="J118" s="117" t="n">
        <v>36176</v>
      </c>
      <c r="K118" s="85">
        <f>E118/(I118+E118)</f>
        <v/>
      </c>
      <c r="L118" s="260">
        <f>I118/(E118/2.1)</f>
        <v/>
      </c>
      <c r="N118" s="60" t="inlineStr">
        <is>
          <t>Swim Accessories</t>
        </is>
      </c>
      <c r="O118" s="61" t="inlineStr">
        <is>
          <t>Adult Swim Goggles</t>
        </is>
      </c>
      <c r="P118" s="183" t="inlineStr">
        <is>
          <t>066115\26</t>
        </is>
      </c>
      <c r="Q118" s="183" t="n">
        <v>368</v>
      </c>
      <c r="R118" s="92" t="n">
        <v>1</v>
      </c>
      <c r="S118" s="117" t="n">
        <v>368</v>
      </c>
      <c r="T118" s="117" t="n">
        <v>258</v>
      </c>
      <c r="U118" s="285" t="n">
        <v>0.701086956521739</v>
      </c>
      <c r="V118" s="183" t="n">
        <v>3</v>
      </c>
      <c r="W118" s="117" t="n">
        <v>1104</v>
      </c>
      <c r="X118" s="85">
        <f>R118/(V118+R118)</f>
        <v/>
      </c>
      <c r="Y118" s="260">
        <f>V118/(R118/2.1)</f>
        <v/>
      </c>
    </row>
    <row r="119" ht="13.5" customHeight="1" s="245">
      <c r="A119" s="60" t="inlineStr">
        <is>
          <t>Swim Accessories</t>
        </is>
      </c>
      <c r="B119" s="61" t="inlineStr">
        <is>
          <t>Adult Swim Goggles</t>
        </is>
      </c>
      <c r="C119" s="183" t="inlineStr">
        <is>
          <t>113161113\91</t>
        </is>
      </c>
      <c r="D119" s="183" t="n">
        <v>238</v>
      </c>
      <c r="E119" s="183" t="n">
        <v>25</v>
      </c>
      <c r="F119" s="117" t="n">
        <v>5950</v>
      </c>
      <c r="G119" s="117" t="n">
        <v>5105.98</v>
      </c>
      <c r="H119" s="285" t="n">
        <v>0.8581478991596641</v>
      </c>
      <c r="I119" s="183" t="n">
        <v>228</v>
      </c>
      <c r="J119" s="117" t="n">
        <v>54264</v>
      </c>
      <c r="K119" s="85">
        <f>E119/(I119+E119)</f>
        <v/>
      </c>
      <c r="L119" s="260">
        <f>I119/(E119/2.1)</f>
        <v/>
      </c>
      <c r="N119" s="60" t="inlineStr">
        <is>
          <t>Swim Accessories</t>
        </is>
      </c>
      <c r="O119" s="61" t="inlineStr">
        <is>
          <t>Adult Swim Goggles</t>
        </is>
      </c>
      <c r="P119" s="183" t="inlineStr">
        <is>
          <t>10920004\71</t>
        </is>
      </c>
      <c r="Q119" s="183" t="n">
        <v>218</v>
      </c>
      <c r="R119" s="92" t="n">
        <v>1</v>
      </c>
      <c r="S119" s="117" t="n">
        <v>218</v>
      </c>
      <c r="T119" s="117" t="n">
        <v>196.2</v>
      </c>
      <c r="U119" s="285" t="n">
        <v>0.9</v>
      </c>
      <c r="V119" s="183" t="n">
        <v>94</v>
      </c>
      <c r="W119" s="117" t="n">
        <v>20492</v>
      </c>
      <c r="X119" s="85">
        <f>R119/(V119+R119)</f>
        <v/>
      </c>
      <c r="Y119" s="260">
        <f>V119/(R119/2.1)</f>
        <v/>
      </c>
    </row>
    <row r="120" ht="13.5" customHeight="1" s="245">
      <c r="A120" s="60" t="inlineStr">
        <is>
          <t>Swim Accessories</t>
        </is>
      </c>
      <c r="B120" s="61" t="inlineStr">
        <is>
          <t>Adult Swim Goggles</t>
        </is>
      </c>
      <c r="C120" s="183" t="inlineStr">
        <is>
          <t>113161104\67</t>
        </is>
      </c>
      <c r="D120" s="183" t="n">
        <v>328</v>
      </c>
      <c r="E120" s="183" t="n">
        <v>23</v>
      </c>
      <c r="F120" s="117" t="n">
        <v>7544</v>
      </c>
      <c r="G120" s="117" t="n">
        <v>6722.78</v>
      </c>
      <c r="H120" s="285" t="n">
        <v>0.8911426299045599</v>
      </c>
      <c r="I120" s="183" t="n">
        <v>122</v>
      </c>
      <c r="J120" s="117" t="n">
        <v>40016</v>
      </c>
      <c r="K120" s="85">
        <f>E120/(I120+E120)</f>
        <v/>
      </c>
      <c r="L120" s="260">
        <f>I120/(E120/2.1)</f>
        <v/>
      </c>
      <c r="N120" s="60" t="inlineStr">
        <is>
          <t>Swim Accessories</t>
        </is>
      </c>
      <c r="O120" s="61" t="inlineStr">
        <is>
          <t>Adult Swim Goggles</t>
        </is>
      </c>
      <c r="P120" s="183" t="inlineStr">
        <is>
          <t>10920004\92</t>
        </is>
      </c>
      <c r="Q120" s="183" t="n">
        <v>218</v>
      </c>
      <c r="R120" s="92" t="n">
        <v>1</v>
      </c>
      <c r="S120" s="117" t="n">
        <v>218</v>
      </c>
      <c r="T120" s="117" t="n">
        <v>218</v>
      </c>
      <c r="U120" s="285" t="n">
        <v>1</v>
      </c>
      <c r="V120" s="183" t="n">
        <v>51</v>
      </c>
      <c r="W120" s="117" t="n">
        <v>11118</v>
      </c>
      <c r="X120" s="85">
        <f>R120/(V120+R120)</f>
        <v/>
      </c>
      <c r="Y120" s="260">
        <f>V120/(R120/2.1)</f>
        <v/>
      </c>
    </row>
    <row r="121" ht="13.5" customHeight="1" s="245">
      <c r="A121" s="60" t="inlineStr">
        <is>
          <t>Swim Accessories</t>
        </is>
      </c>
      <c r="B121" s="61" t="inlineStr">
        <is>
          <t>Adult Swim Goggles</t>
        </is>
      </c>
      <c r="C121" s="183" t="inlineStr">
        <is>
          <t>113161109\45</t>
        </is>
      </c>
      <c r="D121" s="183" t="n">
        <v>328</v>
      </c>
      <c r="E121" s="183" t="n">
        <v>21</v>
      </c>
      <c r="F121" s="117" t="n">
        <v>6888</v>
      </c>
      <c r="G121" s="117" t="n">
        <v>6100.08</v>
      </c>
      <c r="H121" s="285" t="n">
        <v>0.885609756097561</v>
      </c>
      <c r="I121" s="183" t="n">
        <v>62</v>
      </c>
      <c r="J121" s="117" t="n">
        <v>20336</v>
      </c>
      <c r="K121" s="85">
        <f>E121/(I121+E121)</f>
        <v/>
      </c>
      <c r="L121" s="260">
        <f>I121/(E121/2.1)</f>
        <v/>
      </c>
      <c r="N121" s="60" t="inlineStr">
        <is>
          <t>Swim Accessories</t>
        </is>
      </c>
      <c r="O121" s="61" t="inlineStr">
        <is>
          <t>Adult Swim Goggles</t>
        </is>
      </c>
      <c r="P121" s="183" t="inlineStr">
        <is>
          <t>111161104\80</t>
        </is>
      </c>
      <c r="Q121" s="183" t="n">
        <v>368</v>
      </c>
      <c r="R121" s="92" t="n">
        <v>1</v>
      </c>
      <c r="S121" s="117" t="n">
        <v>368</v>
      </c>
      <c r="T121" s="117" t="n">
        <v>294.4</v>
      </c>
      <c r="U121" s="285" t="n">
        <v>0.8</v>
      </c>
      <c r="V121" s="183" t="n">
        <v>11</v>
      </c>
      <c r="W121" s="117" t="n">
        <v>4048</v>
      </c>
      <c r="X121" s="85">
        <f>R121/(V121+R121)</f>
        <v/>
      </c>
      <c r="Y121" s="260">
        <f>V121/(R121/2.1)</f>
        <v/>
      </c>
    </row>
    <row r="122" ht="13.5" customHeight="1" s="245">
      <c r="A122" s="60" t="inlineStr">
        <is>
          <t>Swim Accessories</t>
        </is>
      </c>
      <c r="B122" s="61" t="inlineStr">
        <is>
          <t>Adult Swim Goggles</t>
        </is>
      </c>
      <c r="C122" s="183" t="inlineStr">
        <is>
          <t>113161109\90</t>
        </is>
      </c>
      <c r="D122" s="183" t="n">
        <v>328</v>
      </c>
      <c r="E122" s="183" t="n">
        <v>19</v>
      </c>
      <c r="F122" s="117" t="n">
        <v>6232</v>
      </c>
      <c r="G122" s="117" t="n">
        <v>5594.9</v>
      </c>
      <c r="H122" s="285" t="n">
        <v>0.897769576379974</v>
      </c>
      <c r="I122" s="183" t="n">
        <v>173</v>
      </c>
      <c r="J122" s="117" t="n">
        <v>56744</v>
      </c>
      <c r="K122" s="85">
        <f>E122/(I122+E122)</f>
        <v/>
      </c>
      <c r="L122" s="260">
        <f>I122/(E122/2.1)</f>
        <v/>
      </c>
      <c r="N122" s="60" t="inlineStr">
        <is>
          <t>Swim Accessories</t>
        </is>
      </c>
      <c r="O122" s="61" t="inlineStr">
        <is>
          <t>Adult Swim Goggles</t>
        </is>
      </c>
      <c r="P122" s="183" t="inlineStr">
        <is>
          <t>111161108\64</t>
        </is>
      </c>
      <c r="Q122" s="183" t="n">
        <v>158</v>
      </c>
      <c r="R122" s="92" t="n">
        <v>1</v>
      </c>
      <c r="S122" s="117" t="n">
        <v>158</v>
      </c>
      <c r="T122" s="117" t="n">
        <v>214.4</v>
      </c>
      <c r="U122" s="285" t="n">
        <v>1.35696202531646</v>
      </c>
      <c r="V122" s="183" t="n">
        <v>15</v>
      </c>
      <c r="W122" s="117" t="n">
        <v>2370</v>
      </c>
      <c r="X122" s="85">
        <f>R122/(V122+R122)</f>
        <v/>
      </c>
      <c r="Y122" s="260">
        <f>V122/(R122/2.1)</f>
        <v/>
      </c>
    </row>
    <row r="123" ht="13.5" customHeight="1" s="245">
      <c r="A123" s="60" t="inlineStr">
        <is>
          <t>Swim Accessories</t>
        </is>
      </c>
      <c r="B123" s="61" t="inlineStr">
        <is>
          <t>Adult Swim Goggles</t>
        </is>
      </c>
      <c r="C123" s="183" t="inlineStr">
        <is>
          <t>065107\72</t>
        </is>
      </c>
      <c r="D123" s="183" t="n">
        <v>158</v>
      </c>
      <c r="E123" s="183" t="n">
        <v>14</v>
      </c>
      <c r="F123" s="117" t="n">
        <v>2212</v>
      </c>
      <c r="G123" s="117" t="n">
        <v>2884.6</v>
      </c>
      <c r="H123" s="285" t="n">
        <v>1.30406871609403</v>
      </c>
      <c r="I123" s="183" t="n">
        <v>131</v>
      </c>
      <c r="J123" s="117" t="n">
        <v>20698</v>
      </c>
      <c r="K123" s="85">
        <f>E123/(I123+E123)</f>
        <v/>
      </c>
      <c r="L123" s="260">
        <f>I123/(E123/2.1)</f>
        <v/>
      </c>
      <c r="N123" s="60" t="inlineStr">
        <is>
          <t>Swim Accessories</t>
        </is>
      </c>
      <c r="O123" s="61" t="inlineStr">
        <is>
          <t>Adult Swim Goggles</t>
        </is>
      </c>
      <c r="P123" s="183" t="inlineStr">
        <is>
          <t>111161112\97</t>
        </is>
      </c>
      <c r="Q123" s="183" t="n">
        <v>128</v>
      </c>
      <c r="R123" s="92" t="n">
        <v>1</v>
      </c>
      <c r="S123" s="117" t="n">
        <v>128</v>
      </c>
      <c r="T123" s="117" t="n">
        <v>89</v>
      </c>
      <c r="U123" s="285" t="n">
        <v>0.6953125</v>
      </c>
      <c r="V123" s="183" t="n">
        <v>95</v>
      </c>
      <c r="W123" s="117" t="n">
        <v>12160</v>
      </c>
      <c r="X123" s="85">
        <f>R123/(V123+R123)</f>
        <v/>
      </c>
      <c r="Y123" s="260">
        <f>V123/(R123/2.1)</f>
        <v/>
      </c>
    </row>
    <row r="124" ht="13.5" customHeight="1" s="245">
      <c r="A124" s="65" t="inlineStr">
        <is>
          <t>Swim Accessories</t>
        </is>
      </c>
      <c r="B124" s="66" t="inlineStr">
        <is>
          <t>Adult Swim Goggles</t>
        </is>
      </c>
      <c r="C124" s="87" t="inlineStr">
        <is>
          <t>112161103\80</t>
        </is>
      </c>
      <c r="D124" s="87" t="n">
        <v>238</v>
      </c>
      <c r="E124" s="87" t="n">
        <v>14</v>
      </c>
      <c r="F124" s="131" t="n">
        <v>3332</v>
      </c>
      <c r="G124" s="131" t="n">
        <v>2913</v>
      </c>
      <c r="H124" s="303" t="n">
        <v>0.874249699879952</v>
      </c>
      <c r="I124" s="87" t="n">
        <v>74</v>
      </c>
      <c r="J124" s="131" t="n">
        <v>17612</v>
      </c>
      <c r="K124" s="88">
        <f>E124/(I124+E124)</f>
        <v/>
      </c>
      <c r="L124" s="304">
        <f>I124/(E124/2.1)</f>
        <v/>
      </c>
      <c r="N124" s="65" t="inlineStr">
        <is>
          <t>Swim Accessories</t>
        </is>
      </c>
      <c r="O124" s="66" t="inlineStr">
        <is>
          <t>Adult Swim Goggles</t>
        </is>
      </c>
      <c r="P124" s="87" t="inlineStr">
        <is>
          <t>112161107\98</t>
        </is>
      </c>
      <c r="Q124" s="87" t="n">
        <v>298</v>
      </c>
      <c r="R124" s="93" t="n">
        <v>1</v>
      </c>
      <c r="S124" s="131" t="n">
        <v>298</v>
      </c>
      <c r="T124" s="131" t="n">
        <v>253.3</v>
      </c>
      <c r="U124" s="303" t="n">
        <v>0.85</v>
      </c>
      <c r="V124" s="87" t="n">
        <v>99</v>
      </c>
      <c r="W124" s="131" t="n">
        <v>29502</v>
      </c>
      <c r="X124" s="85">
        <f>R124/(V124+R124)</f>
        <v/>
      </c>
      <c r="Y124" s="260">
        <f>V124/(R124/2.1)</f>
        <v/>
      </c>
    </row>
    <row r="125" ht="13.5" customHeight="1" s="245">
      <c r="A125" s="56" t="inlineStr">
        <is>
          <t>Swim Accessories</t>
        </is>
      </c>
      <c r="B125" s="81" t="inlineStr">
        <is>
          <t>Adult Swim Cap</t>
        </is>
      </c>
      <c r="C125" s="81" t="inlineStr">
        <is>
          <t>113171101\75</t>
        </is>
      </c>
      <c r="D125" s="81" t="n">
        <v>48</v>
      </c>
      <c r="E125" s="81" t="n">
        <v>53</v>
      </c>
      <c r="F125" s="58" t="n">
        <v>2544</v>
      </c>
      <c r="G125" s="58" t="n">
        <v>2323.2</v>
      </c>
      <c r="H125" s="305" t="n">
        <v>0.913207547169811</v>
      </c>
      <c r="I125" s="81" t="n">
        <v>188</v>
      </c>
      <c r="J125" s="58" t="n">
        <v>9024</v>
      </c>
      <c r="K125" s="82">
        <f>E125/(I125+E125)</f>
        <v/>
      </c>
      <c r="L125" s="306">
        <f>I125/(E125/2.1)</f>
        <v/>
      </c>
      <c r="N125" s="61" t="inlineStr">
        <is>
          <t>Swim Accessories</t>
        </is>
      </c>
      <c r="O125" s="183" t="inlineStr">
        <is>
          <t>Adult Swim Cap</t>
        </is>
      </c>
      <c r="P125" s="183" t="inlineStr">
        <is>
          <t>074401\10</t>
        </is>
      </c>
      <c r="Q125" s="183" t="n">
        <v>50</v>
      </c>
      <c r="R125" s="92" t="n">
        <v>1</v>
      </c>
      <c r="S125" s="117" t="n">
        <v>50</v>
      </c>
      <c r="T125" s="117" t="n">
        <v>50</v>
      </c>
      <c r="U125" s="285" t="n">
        <v>1</v>
      </c>
      <c r="V125" s="183" t="n">
        <v>2</v>
      </c>
      <c r="W125" s="117" t="n">
        <v>100</v>
      </c>
      <c r="X125" s="85">
        <f>R125/(V125+R125)</f>
        <v/>
      </c>
      <c r="Y125" s="260">
        <f>V125/(R125/2.1)</f>
        <v/>
      </c>
    </row>
    <row r="126" ht="13.5" customHeight="1" s="245">
      <c r="A126" s="60" t="inlineStr">
        <is>
          <t>Swim Accessories</t>
        </is>
      </c>
      <c r="B126" s="61" t="inlineStr">
        <is>
          <t>Adult Swim Cap</t>
        </is>
      </c>
      <c r="C126" s="183" t="inlineStr">
        <is>
          <t>113171101\80</t>
        </is>
      </c>
      <c r="D126" s="183" t="n">
        <v>48</v>
      </c>
      <c r="E126" s="183" t="n">
        <v>37</v>
      </c>
      <c r="F126" s="117" t="n">
        <v>1776</v>
      </c>
      <c r="G126" s="117" t="n">
        <v>1663.04</v>
      </c>
      <c r="H126" s="285" t="n">
        <v>0.936396396396396</v>
      </c>
      <c r="I126" s="183" t="n">
        <v>195</v>
      </c>
      <c r="J126" s="117" t="n">
        <v>9360</v>
      </c>
      <c r="K126" s="85">
        <f>E126/(I126+E126)</f>
        <v/>
      </c>
      <c r="L126" s="260">
        <f>I126/(E126/2.1)</f>
        <v/>
      </c>
      <c r="N126" s="61" t="inlineStr">
        <is>
          <t>Swim Accessories</t>
        </is>
      </c>
      <c r="O126" s="61" t="inlineStr">
        <is>
          <t>Adult Swim Cap</t>
        </is>
      </c>
      <c r="P126" s="183" t="inlineStr">
        <is>
          <t>110171104\92</t>
        </is>
      </c>
      <c r="Q126" s="183" t="n">
        <v>38</v>
      </c>
      <c r="R126" s="92" t="n">
        <v>1</v>
      </c>
      <c r="S126" s="117" t="n">
        <v>38</v>
      </c>
      <c r="T126" s="117" t="n">
        <v>34.2</v>
      </c>
      <c r="U126" s="285" t="n">
        <v>0.9</v>
      </c>
      <c r="V126" s="183" t="n">
        <v>10</v>
      </c>
      <c r="W126" s="117" t="n">
        <v>380</v>
      </c>
      <c r="X126" s="85">
        <f>R126/(V126+R126)</f>
        <v/>
      </c>
      <c r="Y126" s="260">
        <f>V126/(R126/2.1)</f>
        <v/>
      </c>
    </row>
    <row r="127" ht="13.5" customHeight="1" s="245">
      <c r="A127" s="60" t="inlineStr">
        <is>
          <t>Swim Accessories</t>
        </is>
      </c>
      <c r="B127" s="61" t="inlineStr">
        <is>
          <t>Adult Swim Cap</t>
        </is>
      </c>
      <c r="C127" s="183" t="inlineStr">
        <is>
          <t>077701\75</t>
        </is>
      </c>
      <c r="D127" s="183" t="n">
        <v>158</v>
      </c>
      <c r="E127" s="183" t="n">
        <v>31</v>
      </c>
      <c r="F127" s="117" t="n">
        <v>4898</v>
      </c>
      <c r="G127" s="117" t="n">
        <v>4309</v>
      </c>
      <c r="H127" s="285" t="n">
        <v>0.879746835443038</v>
      </c>
      <c r="I127" s="183" t="n">
        <v>134</v>
      </c>
      <c r="J127" s="117" t="n">
        <v>21172</v>
      </c>
      <c r="K127" s="85">
        <f>E127/(I127+E127)</f>
        <v/>
      </c>
      <c r="L127" s="260">
        <f>I127/(E127/2.1)</f>
        <v/>
      </c>
      <c r="N127" s="61" t="inlineStr">
        <is>
          <t>Swim Accessories</t>
        </is>
      </c>
      <c r="O127" s="61" t="inlineStr">
        <is>
          <t>Adult Swim Cap</t>
        </is>
      </c>
      <c r="P127" s="183" t="inlineStr">
        <is>
          <t>111171103\34</t>
        </is>
      </c>
      <c r="Q127" s="183" t="n">
        <v>38</v>
      </c>
      <c r="R127" s="92" t="n">
        <v>1</v>
      </c>
      <c r="S127" s="117" t="n">
        <v>38</v>
      </c>
      <c r="T127" s="117" t="n">
        <v>38</v>
      </c>
      <c r="U127" s="285" t="n">
        <v>1</v>
      </c>
      <c r="V127" s="183" t="n">
        <v>125</v>
      </c>
      <c r="W127" s="117" t="n">
        <v>4750</v>
      </c>
      <c r="X127" s="85">
        <f>R127/(V127+R127)</f>
        <v/>
      </c>
      <c r="Y127" s="260">
        <f>V127/(R127/2.1)</f>
        <v/>
      </c>
    </row>
    <row r="128" ht="13.5" customHeight="1" s="245">
      <c r="A128" s="60" t="inlineStr">
        <is>
          <t>Swim Accessories</t>
        </is>
      </c>
      <c r="B128" s="61" t="inlineStr">
        <is>
          <t>Adult Swim Cap</t>
        </is>
      </c>
      <c r="C128" s="183" t="inlineStr">
        <is>
          <t>178403\92</t>
        </is>
      </c>
      <c r="D128" s="183" t="n">
        <v>158</v>
      </c>
      <c r="E128" s="183" t="n">
        <v>31</v>
      </c>
      <c r="F128" s="117" t="n">
        <v>4898</v>
      </c>
      <c r="G128" s="117" t="n">
        <v>4251.74</v>
      </c>
      <c r="H128" s="285" t="n">
        <v>0.868056349530421</v>
      </c>
      <c r="I128" s="183" t="n">
        <v>230</v>
      </c>
      <c r="J128" s="117" t="n">
        <v>36340</v>
      </c>
      <c r="K128" s="85">
        <f>E128/(I128+E128)</f>
        <v/>
      </c>
      <c r="L128" s="260">
        <f>I128/(E128/2.1)</f>
        <v/>
      </c>
      <c r="N128" s="61" t="inlineStr">
        <is>
          <t>Swim Accessories</t>
        </is>
      </c>
      <c r="O128" s="61" t="inlineStr">
        <is>
          <t>Adult Swim Cap</t>
        </is>
      </c>
      <c r="P128" s="183" t="inlineStr">
        <is>
          <t>111171104\31</t>
        </is>
      </c>
      <c r="Q128" s="183" t="n">
        <v>38</v>
      </c>
      <c r="R128" s="92" t="n">
        <v>1</v>
      </c>
      <c r="S128" s="117" t="n">
        <v>38</v>
      </c>
      <c r="T128" s="117" t="n">
        <v>32.3</v>
      </c>
      <c r="U128" s="285" t="n">
        <v>0.85</v>
      </c>
      <c r="V128" s="183" t="n">
        <v>23</v>
      </c>
      <c r="W128" s="117" t="n">
        <v>874</v>
      </c>
      <c r="X128" s="85">
        <f>R128/(V128+R128)</f>
        <v/>
      </c>
      <c r="Y128" s="260">
        <f>V128/(R128/2.1)</f>
        <v/>
      </c>
    </row>
    <row r="129" ht="13.5" customHeight="1" s="245">
      <c r="A129" s="60" t="inlineStr">
        <is>
          <t>Swim Accessories</t>
        </is>
      </c>
      <c r="B129" s="61" t="inlineStr">
        <is>
          <t>Adult Swim Cap</t>
        </is>
      </c>
      <c r="C129" s="183" t="inlineStr">
        <is>
          <t>074501\69</t>
        </is>
      </c>
      <c r="D129" s="183" t="n">
        <v>60</v>
      </c>
      <c r="E129" s="183" t="n">
        <v>29</v>
      </c>
      <c r="F129" s="117" t="n">
        <v>1740</v>
      </c>
      <c r="G129" s="117" t="n">
        <v>1618.6</v>
      </c>
      <c r="H129" s="285" t="n">
        <v>0.930229885057471</v>
      </c>
      <c r="I129" s="183" t="n">
        <v>227</v>
      </c>
      <c r="J129" s="117" t="n">
        <v>13620</v>
      </c>
      <c r="K129" s="85">
        <f>E129/(I129+E129)</f>
        <v/>
      </c>
      <c r="L129" s="260">
        <f>I129/(E129/2.1)</f>
        <v/>
      </c>
      <c r="N129" s="61" t="inlineStr">
        <is>
          <t>Swim Accessories</t>
        </is>
      </c>
      <c r="O129" s="61" t="inlineStr">
        <is>
          <t>Adult Swim Cap</t>
        </is>
      </c>
      <c r="P129" s="183" t="inlineStr">
        <is>
          <t>111171127\75</t>
        </is>
      </c>
      <c r="Q129" s="183" t="n">
        <v>38</v>
      </c>
      <c r="R129" s="92" t="n">
        <v>1</v>
      </c>
      <c r="S129" s="117" t="n">
        <v>38</v>
      </c>
      <c r="T129" s="117" t="n">
        <v>38</v>
      </c>
      <c r="U129" s="285" t="n">
        <v>1</v>
      </c>
      <c r="V129" s="183" t="n">
        <v>6</v>
      </c>
      <c r="W129" s="117" t="n">
        <v>228</v>
      </c>
      <c r="X129" s="85">
        <f>R129/(V129+R129)</f>
        <v/>
      </c>
      <c r="Y129" s="260">
        <f>V129/(R129/2.1)</f>
        <v/>
      </c>
    </row>
    <row r="130" ht="13.5" customHeight="1" s="245">
      <c r="A130" s="60" t="inlineStr">
        <is>
          <t>Swim Accessories</t>
        </is>
      </c>
      <c r="B130" s="61" t="inlineStr">
        <is>
          <t>Adult Swim Cap</t>
        </is>
      </c>
      <c r="C130" s="183" t="inlineStr">
        <is>
          <t>074501\76</t>
        </is>
      </c>
      <c r="D130" s="183" t="n">
        <v>60</v>
      </c>
      <c r="E130" s="183" t="n">
        <v>29</v>
      </c>
      <c r="F130" s="117" t="n">
        <v>1740</v>
      </c>
      <c r="G130" s="117" t="n">
        <v>1566.8</v>
      </c>
      <c r="H130" s="285" t="n">
        <v>0.900459770114942</v>
      </c>
      <c r="I130" s="183" t="n">
        <v>221</v>
      </c>
      <c r="J130" s="117" t="n">
        <v>13260</v>
      </c>
      <c r="K130" s="85">
        <f>E130/(I130+E130)</f>
        <v/>
      </c>
      <c r="L130" s="260">
        <f>I130/(E130/2.1)</f>
        <v/>
      </c>
      <c r="N130" s="61" t="inlineStr">
        <is>
          <t>Swim Accessories</t>
        </is>
      </c>
      <c r="O130" s="61" t="inlineStr">
        <is>
          <t>Adult Swim Cap</t>
        </is>
      </c>
      <c r="P130" s="183" t="inlineStr">
        <is>
          <t>111171130\70</t>
        </is>
      </c>
      <c r="Q130" s="183" t="n">
        <v>38</v>
      </c>
      <c r="R130" s="92" t="n">
        <v>1</v>
      </c>
      <c r="S130" s="117" t="n">
        <v>38</v>
      </c>
      <c r="T130" s="117" t="n">
        <v>38</v>
      </c>
      <c r="U130" s="285" t="n">
        <v>1</v>
      </c>
      <c r="V130" s="183" t="n">
        <v>8</v>
      </c>
      <c r="W130" s="117" t="n">
        <v>304</v>
      </c>
      <c r="X130" s="85">
        <f>R130/(V130+R130)</f>
        <v/>
      </c>
      <c r="Y130" s="260">
        <f>V130/(R130/2.1)</f>
        <v/>
      </c>
    </row>
    <row r="131" ht="13.5" customHeight="1" s="245">
      <c r="A131" s="60" t="inlineStr">
        <is>
          <t>Swim Accessories</t>
        </is>
      </c>
      <c r="B131" s="61" t="inlineStr">
        <is>
          <t>Adult Swim Cap</t>
        </is>
      </c>
      <c r="C131" s="183" t="inlineStr">
        <is>
          <t>077701\69</t>
        </is>
      </c>
      <c r="D131" s="183" t="n">
        <v>158</v>
      </c>
      <c r="E131" s="183" t="n">
        <v>28</v>
      </c>
      <c r="F131" s="117" t="n">
        <v>4424</v>
      </c>
      <c r="G131" s="117" t="n">
        <v>3833.6</v>
      </c>
      <c r="H131" s="285" t="n">
        <v>0.866546112115732</v>
      </c>
      <c r="I131" s="183" t="n">
        <v>313</v>
      </c>
      <c r="J131" s="117" t="n">
        <v>49454</v>
      </c>
      <c r="K131" s="85">
        <f>E131/(I131+E131)</f>
        <v/>
      </c>
      <c r="L131" s="260">
        <f>I131/(E131/2.1)</f>
        <v/>
      </c>
      <c r="N131" s="61" t="inlineStr">
        <is>
          <t>Swim Accessories</t>
        </is>
      </c>
      <c r="O131" s="61" t="inlineStr">
        <is>
          <t>Adult Swim Cap</t>
        </is>
      </c>
      <c r="P131" s="183" t="inlineStr">
        <is>
          <t>111171401\80</t>
        </is>
      </c>
      <c r="Q131" s="183" t="n">
        <v>78</v>
      </c>
      <c r="R131" s="92" t="n">
        <v>1</v>
      </c>
      <c r="S131" s="117" t="n">
        <v>78</v>
      </c>
      <c r="T131" s="117" t="n">
        <v>63.2</v>
      </c>
      <c r="U131" s="285" t="n">
        <v>0.81025641025641</v>
      </c>
      <c r="V131" s="183" t="n">
        <v>79</v>
      </c>
      <c r="W131" s="117" t="n">
        <v>6162</v>
      </c>
      <c r="X131" s="85">
        <f>R131/(V131+R131)</f>
        <v/>
      </c>
      <c r="Y131" s="260">
        <f>V131/(R131/2.1)</f>
        <v/>
      </c>
    </row>
    <row r="132" ht="13.5" customHeight="1" s="245">
      <c r="A132" s="60" t="inlineStr">
        <is>
          <t>Swim Accessories</t>
        </is>
      </c>
      <c r="B132" s="61" t="inlineStr">
        <is>
          <t>Adult Swim Cap</t>
        </is>
      </c>
      <c r="C132" s="183" t="inlineStr">
        <is>
          <t>074101\80</t>
        </is>
      </c>
      <c r="D132" s="183" t="n">
        <v>30</v>
      </c>
      <c r="E132" s="183" t="n">
        <v>24</v>
      </c>
      <c r="F132" s="117" t="n">
        <v>720</v>
      </c>
      <c r="G132" s="117" t="n">
        <v>657.8</v>
      </c>
      <c r="H132" s="285" t="n">
        <v>0.913611111111111</v>
      </c>
      <c r="I132" s="183" t="n">
        <v>85</v>
      </c>
      <c r="J132" s="117" t="n">
        <v>2550</v>
      </c>
      <c r="K132" s="85">
        <f>E132/(I132+E132)</f>
        <v/>
      </c>
      <c r="L132" s="260">
        <f>I132/(E132/2.1)</f>
        <v/>
      </c>
      <c r="N132" s="61" t="inlineStr">
        <is>
          <t>Swim Accessories</t>
        </is>
      </c>
      <c r="O132" s="61" t="inlineStr">
        <is>
          <t>Adult Swim Cap</t>
        </is>
      </c>
      <c r="P132" s="183" t="inlineStr">
        <is>
          <t>111171501\75</t>
        </is>
      </c>
      <c r="Q132" s="183" t="n">
        <v>98</v>
      </c>
      <c r="R132" s="92" t="n">
        <v>1</v>
      </c>
      <c r="S132" s="117" t="n">
        <v>98</v>
      </c>
      <c r="T132" s="117" t="n">
        <v>88.2</v>
      </c>
      <c r="U132" s="285" t="n">
        <v>0.9</v>
      </c>
      <c r="V132" s="183" t="n">
        <v>45</v>
      </c>
      <c r="W132" s="117" t="n">
        <v>4410</v>
      </c>
      <c r="X132" s="85">
        <f>R132/(V132+R132)</f>
        <v/>
      </c>
      <c r="Y132" s="260">
        <f>V132/(R132/2.1)</f>
        <v/>
      </c>
    </row>
    <row r="133" ht="13.5" customHeight="1" s="245">
      <c r="A133" s="60" t="inlineStr">
        <is>
          <t>Swim Accessories</t>
        </is>
      </c>
      <c r="B133" s="61" t="inlineStr">
        <is>
          <t>Adult Swim Cap</t>
        </is>
      </c>
      <c r="C133" s="183" t="inlineStr">
        <is>
          <t>074501\92</t>
        </is>
      </c>
      <c r="D133" s="183" t="n">
        <v>60</v>
      </c>
      <c r="E133" s="183" t="n">
        <v>24</v>
      </c>
      <c r="F133" s="117" t="n">
        <v>1440</v>
      </c>
      <c r="G133" s="117" t="n">
        <v>1306.4</v>
      </c>
      <c r="H133" s="285" t="n">
        <v>0.907222222222222</v>
      </c>
      <c r="I133" s="183" t="n">
        <v>217</v>
      </c>
      <c r="J133" s="117" t="n">
        <v>13020</v>
      </c>
      <c r="K133" s="85">
        <f>E133/(I133+E133)</f>
        <v/>
      </c>
      <c r="L133" s="260">
        <f>I133/(E133/2.1)</f>
        <v/>
      </c>
      <c r="N133" s="61" t="inlineStr">
        <is>
          <t>Swim Accessories</t>
        </is>
      </c>
      <c r="O133" s="61" t="inlineStr">
        <is>
          <t>Adult Swim Cap</t>
        </is>
      </c>
      <c r="P133" s="183" t="inlineStr">
        <is>
          <t>111171501\92</t>
        </is>
      </c>
      <c r="Q133" s="183" t="n">
        <v>98</v>
      </c>
      <c r="R133" s="92" t="n">
        <v>1</v>
      </c>
      <c r="S133" s="117" t="n">
        <v>98</v>
      </c>
      <c r="T133" s="117" t="n">
        <v>67</v>
      </c>
      <c r="U133" s="285" t="n">
        <v>0.683673469387755</v>
      </c>
      <c r="V133" s="183" t="n">
        <v>5</v>
      </c>
      <c r="W133" s="117" t="n">
        <v>490</v>
      </c>
      <c r="X133" s="85">
        <f>R133/(V133+R133)</f>
        <v/>
      </c>
      <c r="Y133" s="260">
        <f>V133/(R133/2.1)</f>
        <v/>
      </c>
    </row>
    <row r="134" ht="13.5" customHeight="1" s="245">
      <c r="A134" s="65" t="inlineStr">
        <is>
          <t>Swim Accessories</t>
        </is>
      </c>
      <c r="B134" s="66" t="inlineStr">
        <is>
          <t>Adult Swim Cap</t>
        </is>
      </c>
      <c r="C134" s="87" t="inlineStr">
        <is>
          <t>113171101\74</t>
        </is>
      </c>
      <c r="D134" s="87" t="n">
        <v>48</v>
      </c>
      <c r="E134" s="87" t="n">
        <v>24</v>
      </c>
      <c r="F134" s="131" t="n">
        <v>1152</v>
      </c>
      <c r="G134" s="131" t="n">
        <v>1049.78</v>
      </c>
      <c r="H134" s="303" t="n">
        <v>0.911267361111111</v>
      </c>
      <c r="I134" s="87" t="n">
        <v>179</v>
      </c>
      <c r="J134" s="131" t="n">
        <v>8592</v>
      </c>
      <c r="K134" s="88">
        <f>E134/(I134+E134)</f>
        <v/>
      </c>
      <c r="L134" s="304">
        <f>I134/(E134/2.1)</f>
        <v/>
      </c>
      <c r="N134" s="61" t="inlineStr">
        <is>
          <t>Swim Accessories</t>
        </is>
      </c>
      <c r="O134" s="61" t="inlineStr">
        <is>
          <t>Adult Swim Cap</t>
        </is>
      </c>
      <c r="P134" s="183" t="inlineStr">
        <is>
          <t>112171101\92</t>
        </is>
      </c>
      <c r="Q134" s="183" t="n">
        <v>38</v>
      </c>
      <c r="R134" s="92" t="n">
        <v>1</v>
      </c>
      <c r="S134" s="117" t="n">
        <v>38</v>
      </c>
      <c r="T134" s="117" t="n">
        <v>38</v>
      </c>
      <c r="U134" s="285" t="n">
        <v>1</v>
      </c>
      <c r="V134" s="183" t="n">
        <v>31</v>
      </c>
      <c r="W134" s="117" t="n">
        <v>1178</v>
      </c>
      <c r="X134" s="85">
        <f>R134/(V134+R134)</f>
        <v/>
      </c>
      <c r="Y134" s="260">
        <f>V134/(R134/2.1)</f>
        <v/>
      </c>
    </row>
    <row r="135" ht="13.5" customHeight="1" s="245">
      <c r="A135" s="56" t="inlineStr">
        <is>
          <t>Sports Bra</t>
        </is>
      </c>
      <c r="B135" s="81" t="inlineStr">
        <is>
          <t>Canshou</t>
        </is>
      </c>
      <c r="C135" s="81" t="inlineStr">
        <is>
          <t>110431301\61</t>
        </is>
      </c>
      <c r="D135" s="81" t="n">
        <v>108</v>
      </c>
      <c r="E135" s="81" t="n">
        <v>134</v>
      </c>
      <c r="F135" s="58" t="n">
        <v>14472</v>
      </c>
      <c r="G135" s="58" t="n">
        <v>10910.2</v>
      </c>
      <c r="H135" s="305" t="n">
        <v>0.753883360972913</v>
      </c>
      <c r="I135" s="81" t="n">
        <v>389</v>
      </c>
      <c r="J135" s="58" t="n">
        <v>42012</v>
      </c>
      <c r="K135" s="82">
        <f>E135/(I135+E135)</f>
        <v/>
      </c>
      <c r="L135" s="306">
        <f>I135/(E135/2.1)</f>
        <v/>
      </c>
      <c r="N135" s="56" t="inlineStr">
        <is>
          <t>Sports Bra</t>
        </is>
      </c>
      <c r="O135" s="81" t="inlineStr">
        <is>
          <t>Tank top</t>
        </is>
      </c>
      <c r="P135" s="81" t="inlineStr">
        <is>
          <t>111431204\80</t>
        </is>
      </c>
      <c r="Q135" s="81" t="n">
        <v>138</v>
      </c>
      <c r="R135" s="94" t="n">
        <v>1</v>
      </c>
      <c r="S135" s="58" t="n">
        <v>138</v>
      </c>
      <c r="T135" s="58" t="n">
        <v>97</v>
      </c>
      <c r="U135" s="305" t="n">
        <v>0.702898550724638</v>
      </c>
      <c r="V135" s="81" t="n">
        <v>45</v>
      </c>
      <c r="W135" s="58" t="n">
        <v>6210</v>
      </c>
      <c r="X135" s="85">
        <f>R135/(V135+R135)</f>
        <v/>
      </c>
      <c r="Y135" s="260">
        <f>V135/(R135/2.1)</f>
        <v/>
      </c>
    </row>
    <row r="136" ht="13.5" customHeight="1" s="245">
      <c r="A136" s="60" t="inlineStr">
        <is>
          <t>Sports Bra</t>
        </is>
      </c>
      <c r="B136" s="61" t="inlineStr">
        <is>
          <t>Canshou</t>
        </is>
      </c>
      <c r="C136" s="183" t="inlineStr">
        <is>
          <t>110431301\10</t>
        </is>
      </c>
      <c r="D136" s="183" t="n">
        <v>108</v>
      </c>
      <c r="E136" s="183" t="n">
        <v>118</v>
      </c>
      <c r="F136" s="117" t="n">
        <v>12744</v>
      </c>
      <c r="G136" s="117" t="n">
        <v>9785.139999999999</v>
      </c>
      <c r="H136" s="285" t="n">
        <v>0.767823289391086</v>
      </c>
      <c r="I136" s="183" t="n">
        <v>274</v>
      </c>
      <c r="J136" s="117" t="n">
        <v>29592</v>
      </c>
      <c r="K136" s="85">
        <f>E136/(I136+E136)</f>
        <v/>
      </c>
      <c r="L136" s="260">
        <f>I136/(E136/2.1)</f>
        <v/>
      </c>
      <c r="N136" s="60" t="inlineStr">
        <is>
          <t>Sports Bra</t>
        </is>
      </c>
      <c r="O136" s="61" t="inlineStr">
        <is>
          <t>Long sleeve</t>
        </is>
      </c>
      <c r="P136" s="183" t="inlineStr">
        <is>
          <t>111421503\70</t>
        </is>
      </c>
      <c r="Q136" s="183" t="n">
        <v>238</v>
      </c>
      <c r="R136" s="92" t="n">
        <v>1</v>
      </c>
      <c r="S136" s="117" t="n">
        <v>238</v>
      </c>
      <c r="T136" s="117" t="n">
        <v>167</v>
      </c>
      <c r="U136" s="285" t="n">
        <v>0.701680672268908</v>
      </c>
      <c r="V136" s="183" t="n">
        <v>49</v>
      </c>
      <c r="W136" s="117" t="n">
        <v>11662</v>
      </c>
      <c r="X136" s="85">
        <f>R136/(V136+R136)</f>
        <v/>
      </c>
      <c r="Y136" s="260">
        <f>V136/(R136/2.1)</f>
        <v/>
      </c>
    </row>
    <row r="137" ht="13.5" customHeight="1" s="245">
      <c r="A137" s="60" t="inlineStr">
        <is>
          <t>Sports Bra</t>
        </is>
      </c>
      <c r="B137" s="61" t="inlineStr">
        <is>
          <t>Canshou</t>
        </is>
      </c>
      <c r="C137" s="183" t="inlineStr">
        <is>
          <t>110431301\80</t>
        </is>
      </c>
      <c r="D137" s="183" t="n">
        <v>108</v>
      </c>
      <c r="E137" s="183" t="n">
        <v>94</v>
      </c>
      <c r="F137" s="117" t="n">
        <v>10152</v>
      </c>
      <c r="G137" s="117" t="n">
        <v>7981.3</v>
      </c>
      <c r="H137" s="285" t="n">
        <v>0.786180063041765</v>
      </c>
      <c r="I137" s="183" t="n">
        <v>548</v>
      </c>
      <c r="J137" s="117" t="n">
        <v>59184</v>
      </c>
      <c r="K137" s="85">
        <f>E137/(I137+E137)</f>
        <v/>
      </c>
      <c r="L137" s="260">
        <f>I137/(E137/2.1)</f>
        <v/>
      </c>
      <c r="N137" s="60" t="inlineStr">
        <is>
          <t>Sports Bra</t>
        </is>
      </c>
      <c r="O137" s="61" t="inlineStr">
        <is>
          <t>Long sleeve</t>
        </is>
      </c>
      <c r="P137" s="183" t="inlineStr">
        <is>
          <t>111421503\80</t>
        </is>
      </c>
      <c r="Q137" s="183" t="n">
        <v>238</v>
      </c>
      <c r="R137" s="92" t="n">
        <v>1</v>
      </c>
      <c r="S137" s="117" t="n">
        <v>238</v>
      </c>
      <c r="T137" s="117" t="n">
        <v>167</v>
      </c>
      <c r="U137" s="285" t="n">
        <v>0.701680672268908</v>
      </c>
      <c r="V137" s="183" t="n">
        <v>17</v>
      </c>
      <c r="W137" s="117" t="n">
        <v>4046</v>
      </c>
      <c r="X137" s="85">
        <f>R137/(V137+R137)</f>
        <v/>
      </c>
      <c r="Y137" s="260">
        <f>V137/(R137/2.1)</f>
        <v/>
      </c>
    </row>
    <row r="138" ht="13.5" customHeight="1" s="245">
      <c r="A138" s="60" t="inlineStr">
        <is>
          <t>Sports Bra</t>
        </is>
      </c>
      <c r="B138" s="61" t="inlineStr">
        <is>
          <t>Tank top</t>
        </is>
      </c>
      <c r="C138" s="183" t="inlineStr">
        <is>
          <t>110431201\61</t>
        </is>
      </c>
      <c r="D138" s="183" t="n">
        <v>78</v>
      </c>
      <c r="E138" s="183" t="n">
        <v>86</v>
      </c>
      <c r="F138" s="117" t="n">
        <v>6708</v>
      </c>
      <c r="G138" s="117" t="n">
        <v>5231.9</v>
      </c>
      <c r="H138" s="285" t="n">
        <v>0.77994931425164</v>
      </c>
      <c r="I138" s="183" t="n">
        <v>605</v>
      </c>
      <c r="J138" s="117" t="n">
        <v>47190</v>
      </c>
      <c r="K138" s="85">
        <f>E138/(I138+E138)</f>
        <v/>
      </c>
      <c r="L138" s="260">
        <f>I138/(E138/2.1)</f>
        <v/>
      </c>
      <c r="N138" s="60" t="inlineStr">
        <is>
          <t>Sports Bra</t>
        </is>
      </c>
      <c r="O138" s="61" t="inlineStr">
        <is>
          <t>Long sleeve</t>
        </is>
      </c>
      <c r="P138" s="183" t="inlineStr">
        <is>
          <t>111431501\83</t>
        </is>
      </c>
      <c r="Q138" s="183" t="n">
        <v>238</v>
      </c>
      <c r="R138" s="92" t="n">
        <v>1</v>
      </c>
      <c r="S138" s="117" t="n">
        <v>238</v>
      </c>
      <c r="T138" s="117" t="n">
        <v>190</v>
      </c>
      <c r="U138" s="285" t="n">
        <v>0.798319327731092</v>
      </c>
      <c r="V138" s="183" t="n">
        <v>58</v>
      </c>
      <c r="W138" s="117" t="n">
        <v>13804</v>
      </c>
      <c r="X138" s="85">
        <f>R138/(V138+R138)</f>
        <v/>
      </c>
      <c r="Y138" s="260">
        <f>V138/(R138/2.1)</f>
        <v/>
      </c>
    </row>
    <row r="139" ht="13.5" customHeight="1" s="245">
      <c r="A139" s="60" t="inlineStr">
        <is>
          <t>Sports Bra</t>
        </is>
      </c>
      <c r="B139" s="61" t="inlineStr">
        <is>
          <t>Tank top</t>
        </is>
      </c>
      <c r="C139" s="183" t="inlineStr">
        <is>
          <t>110431201\10</t>
        </is>
      </c>
      <c r="D139" s="183" t="n">
        <v>78</v>
      </c>
      <c r="E139" s="183" t="n">
        <v>84</v>
      </c>
      <c r="F139" s="117" t="n">
        <v>6552</v>
      </c>
      <c r="G139" s="117" t="n">
        <v>5089.8</v>
      </c>
      <c r="H139" s="285" t="n">
        <v>0.776831501831502</v>
      </c>
      <c r="I139" s="183" t="n">
        <v>556</v>
      </c>
      <c r="J139" s="117" t="n">
        <v>43368</v>
      </c>
      <c r="K139" s="85">
        <f>E139/(I139+E139)</f>
        <v/>
      </c>
      <c r="L139" s="260">
        <f>I139/(E139/2.1)</f>
        <v/>
      </c>
      <c r="N139" s="60" t="inlineStr">
        <is>
          <t>Sports Bra</t>
        </is>
      </c>
      <c r="O139" s="61" t="inlineStr">
        <is>
          <t>Short sleeve</t>
        </is>
      </c>
      <c r="P139" s="183" t="inlineStr">
        <is>
          <t>111431402\95</t>
        </is>
      </c>
      <c r="Q139" s="183" t="n">
        <v>198</v>
      </c>
      <c r="R139" s="92" t="n">
        <v>1</v>
      </c>
      <c r="S139" s="117" t="n">
        <v>198</v>
      </c>
      <c r="T139" s="117" t="n">
        <v>139</v>
      </c>
      <c r="U139" s="285" t="n">
        <v>0.702020202020202</v>
      </c>
      <c r="V139" s="183" t="n">
        <v>48</v>
      </c>
      <c r="W139" s="117" t="n">
        <v>9504</v>
      </c>
      <c r="X139" s="85">
        <f>R139/(V139+R139)</f>
        <v/>
      </c>
      <c r="Y139" s="260">
        <f>V139/(R139/2.1)</f>
        <v/>
      </c>
    </row>
    <row r="140" ht="13.5" customHeight="1" s="245">
      <c r="A140" s="60" t="inlineStr">
        <is>
          <t>Sports Bra</t>
        </is>
      </c>
      <c r="B140" s="61" t="inlineStr">
        <is>
          <t>Short sleeve</t>
        </is>
      </c>
      <c r="C140" s="183" t="inlineStr">
        <is>
          <t>110421401\61</t>
        </is>
      </c>
      <c r="D140" s="183" t="n">
        <v>108</v>
      </c>
      <c r="E140" s="183" t="n">
        <v>83</v>
      </c>
      <c r="F140" s="117" t="n">
        <v>8964</v>
      </c>
      <c r="G140" s="117" t="n">
        <v>7213.5</v>
      </c>
      <c r="H140" s="285" t="n">
        <v>0.804718875502008</v>
      </c>
      <c r="I140" s="183" t="n">
        <v>413</v>
      </c>
      <c r="J140" s="117" t="n">
        <v>44604</v>
      </c>
      <c r="K140" s="85">
        <f>E140/(I140+E140)</f>
        <v/>
      </c>
      <c r="L140" s="260">
        <f>I140/(E140/2.1)</f>
        <v/>
      </c>
      <c r="N140" s="60" t="inlineStr">
        <is>
          <t>Sports Bra</t>
        </is>
      </c>
      <c r="O140" s="61" t="inlineStr">
        <is>
          <t>Short sleeve</t>
        </is>
      </c>
      <c r="P140" s="183" t="inlineStr">
        <is>
          <t>111431403\80</t>
        </is>
      </c>
      <c r="Q140" s="183" t="n">
        <v>198</v>
      </c>
      <c r="R140" s="92" t="n">
        <v>1</v>
      </c>
      <c r="S140" s="117" t="n">
        <v>198</v>
      </c>
      <c r="T140" s="117" t="n">
        <v>139</v>
      </c>
      <c r="U140" s="285" t="n">
        <v>0.702020202020202</v>
      </c>
      <c r="V140" s="183" t="n">
        <v>45</v>
      </c>
      <c r="W140" s="117" t="n">
        <v>8910</v>
      </c>
      <c r="X140" s="85">
        <f>R140/(V140+R140)</f>
        <v/>
      </c>
      <c r="Y140" s="260">
        <f>V140/(R140/2.1)</f>
        <v/>
      </c>
    </row>
    <row r="141" ht="13.5" customHeight="1" s="245">
      <c r="A141" s="60" t="inlineStr">
        <is>
          <t>Sports Bra</t>
        </is>
      </c>
      <c r="B141" s="61" t="inlineStr">
        <is>
          <t>Tank top</t>
        </is>
      </c>
      <c r="C141" s="183" t="inlineStr">
        <is>
          <t>110431201\80</t>
        </is>
      </c>
      <c r="D141" s="183" t="n">
        <v>78</v>
      </c>
      <c r="E141" s="183" t="n">
        <v>75</v>
      </c>
      <c r="F141" s="117" t="n">
        <v>5850</v>
      </c>
      <c r="G141" s="117" t="n">
        <v>4558.8</v>
      </c>
      <c r="H141" s="285" t="n">
        <v>0.779282051282051</v>
      </c>
      <c r="I141" s="183" t="n">
        <v>752</v>
      </c>
      <c r="J141" s="117" t="n">
        <v>58656</v>
      </c>
      <c r="K141" s="85">
        <f>E141/(I141+E141)</f>
        <v/>
      </c>
      <c r="L141" s="260">
        <f>I141/(E141/2.1)</f>
        <v/>
      </c>
      <c r="N141" s="60" t="inlineStr">
        <is>
          <t>Sports Bra</t>
        </is>
      </c>
      <c r="O141" s="61" t="inlineStr">
        <is>
          <t>Nine-Tenths Pant</t>
        </is>
      </c>
      <c r="P141" s="183" t="inlineStr">
        <is>
          <t>111402902\80</t>
        </is>
      </c>
      <c r="Q141" s="183" t="n">
        <v>198</v>
      </c>
      <c r="R141" s="92" t="n">
        <v>1</v>
      </c>
      <c r="S141" s="117" t="n">
        <v>198</v>
      </c>
      <c r="T141" s="117" t="n">
        <v>139</v>
      </c>
      <c r="U141" s="285" t="n">
        <v>0.702020202020202</v>
      </c>
      <c r="V141" s="183" t="n">
        <v>18</v>
      </c>
      <c r="W141" s="117" t="n">
        <v>3564</v>
      </c>
      <c r="X141" s="85">
        <f>R141/(V141+R141)</f>
        <v/>
      </c>
      <c r="Y141" s="260">
        <f>V141/(R141/2.1)</f>
        <v/>
      </c>
    </row>
    <row r="142" ht="13.5" customHeight="1" s="245">
      <c r="A142" s="60" t="inlineStr">
        <is>
          <t>Sports Bra</t>
        </is>
      </c>
      <c r="B142" s="183" t="inlineStr">
        <is>
          <t>Short sleeve</t>
        </is>
      </c>
      <c r="C142" s="183" t="inlineStr">
        <is>
          <t>110421401\10</t>
        </is>
      </c>
      <c r="D142" s="183" t="n">
        <v>108</v>
      </c>
      <c r="E142" s="183" t="n">
        <v>73</v>
      </c>
      <c r="F142" s="117" t="n">
        <v>7884</v>
      </c>
      <c r="G142" s="117" t="n">
        <v>6079.6</v>
      </c>
      <c r="H142" s="285" t="n">
        <v>0.771131405377981</v>
      </c>
      <c r="I142" s="183" t="n">
        <v>420</v>
      </c>
      <c r="J142" s="117" t="n">
        <v>45360</v>
      </c>
      <c r="K142" s="85">
        <f>E142/(I142+E142)</f>
        <v/>
      </c>
      <c r="L142" s="260">
        <f>I142/(E142/2.1)</f>
        <v/>
      </c>
      <c r="N142" s="60" t="inlineStr">
        <is>
          <t>Sports Bra</t>
        </is>
      </c>
      <c r="O142" s="183" t="inlineStr">
        <is>
          <t>Underwear</t>
        </is>
      </c>
      <c r="P142" s="183" t="inlineStr">
        <is>
          <t>111401203\80</t>
        </is>
      </c>
      <c r="Q142" s="183" t="n">
        <v>59</v>
      </c>
      <c r="R142" s="92" t="n">
        <v>1</v>
      </c>
      <c r="S142" s="117" t="n">
        <v>59</v>
      </c>
      <c r="T142" s="117" t="n">
        <v>52</v>
      </c>
      <c r="U142" s="285" t="n">
        <v>0.88135593220339</v>
      </c>
      <c r="V142" s="183" t="n">
        <v>333</v>
      </c>
      <c r="W142" s="117" t="n">
        <v>19647</v>
      </c>
      <c r="X142" s="85">
        <f>R142/(V142+R142)</f>
        <v/>
      </c>
      <c r="Y142" s="260">
        <f>V142/(R142/2.1)</f>
        <v/>
      </c>
    </row>
    <row r="143" ht="13.5" customHeight="1" s="245">
      <c r="A143" s="60" t="inlineStr">
        <is>
          <t>Sports Bra</t>
        </is>
      </c>
      <c r="B143" s="61" t="inlineStr">
        <is>
          <t>Short sleeve</t>
        </is>
      </c>
      <c r="C143" s="183" t="inlineStr">
        <is>
          <t>110421401\80</t>
        </is>
      </c>
      <c r="D143" s="183" t="n">
        <v>108</v>
      </c>
      <c r="E143" s="183" t="n">
        <v>70</v>
      </c>
      <c r="F143" s="117" t="n">
        <v>7560</v>
      </c>
      <c r="G143" s="117" t="n">
        <v>5698.4</v>
      </c>
      <c r="H143" s="285" t="n">
        <v>0.753756613756614</v>
      </c>
      <c r="I143" s="183" t="n">
        <v>447</v>
      </c>
      <c r="J143" s="117" t="n">
        <v>48276</v>
      </c>
      <c r="K143" s="85">
        <f>E143/(I143+E143)</f>
        <v/>
      </c>
      <c r="L143" s="260">
        <f>I143/(E143/2.1)</f>
        <v/>
      </c>
      <c r="N143" s="60" t="inlineStr">
        <is>
          <t>Sports Bra</t>
        </is>
      </c>
      <c r="O143" s="61" t="inlineStr">
        <is>
          <t>Bra</t>
        </is>
      </c>
      <c r="P143" s="183" t="inlineStr">
        <is>
          <t>110421213\80</t>
        </is>
      </c>
      <c r="Q143" s="183" t="n">
        <v>138</v>
      </c>
      <c r="R143" s="92" t="n">
        <v>1</v>
      </c>
      <c r="S143" s="117" t="n">
        <v>138</v>
      </c>
      <c r="T143" s="117" t="n">
        <v>97</v>
      </c>
      <c r="U143" s="285" t="n">
        <v>0.702898550724638</v>
      </c>
      <c r="V143" s="183" t="n">
        <v>16</v>
      </c>
      <c r="W143" s="117" t="n">
        <v>2208</v>
      </c>
      <c r="X143" s="85">
        <f>R143/(V143+R143)</f>
        <v/>
      </c>
      <c r="Y143" s="260">
        <f>V143/(R143/2.1)</f>
        <v/>
      </c>
    </row>
    <row r="144" ht="13.5" customHeight="1" s="245">
      <c r="A144" s="65" t="inlineStr">
        <is>
          <t>Sports Bra</t>
        </is>
      </c>
      <c r="B144" s="66" t="inlineStr">
        <is>
          <t>Canshou</t>
        </is>
      </c>
      <c r="C144" s="87" t="inlineStr">
        <is>
          <t>114431301\61</t>
        </is>
      </c>
      <c r="D144" s="87" t="n">
        <v>138</v>
      </c>
      <c r="E144" s="87" t="n">
        <v>43</v>
      </c>
      <c r="F144" s="131" t="n">
        <v>5934</v>
      </c>
      <c r="G144" s="131" t="n">
        <v>5176.5</v>
      </c>
      <c r="H144" s="303" t="n">
        <v>0.872345803842265</v>
      </c>
      <c r="I144" s="87" t="n">
        <v>203</v>
      </c>
      <c r="J144" s="131" t="n">
        <v>28014</v>
      </c>
      <c r="K144" s="88">
        <f>E144/(I144+E144)</f>
        <v/>
      </c>
      <c r="L144" s="304">
        <f>I144/(E144/2.1)</f>
        <v/>
      </c>
      <c r="N144" s="65" t="inlineStr">
        <is>
          <t>Sports Bra</t>
        </is>
      </c>
      <c r="O144" s="66" t="inlineStr">
        <is>
          <t>Tank top</t>
        </is>
      </c>
      <c r="P144" s="87" t="inlineStr">
        <is>
          <t>110421205\61</t>
        </is>
      </c>
      <c r="Q144" s="87" t="n">
        <v>108</v>
      </c>
      <c r="R144" s="93" t="n">
        <v>1</v>
      </c>
      <c r="S144" s="131" t="n">
        <v>108</v>
      </c>
      <c r="T144" s="131" t="n">
        <v>92</v>
      </c>
      <c r="U144" s="303" t="n">
        <v>0.851851851851852</v>
      </c>
      <c r="V144" s="87" t="n">
        <v>146</v>
      </c>
      <c r="W144" s="131" t="n">
        <v>15768</v>
      </c>
      <c r="X144" s="85">
        <f>R144/(V144+R144)</f>
        <v/>
      </c>
      <c r="Y144" s="260">
        <f>V144/(R144/2.1)</f>
        <v/>
      </c>
    </row>
  </sheetData>
  <mergeCells count="6">
    <mergeCell ref="A1:L1"/>
    <mergeCell ref="N1:Y1"/>
    <mergeCell ref="X2:X3"/>
    <mergeCell ref="K2:K3"/>
    <mergeCell ref="Y2:Y3"/>
    <mergeCell ref="L2:L3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K26" sqref="K26"/>
    </sheetView>
  </sheetViews>
  <sheetFormatPr baseColWidth="8" defaultColWidth="9.00390625" defaultRowHeight="15" customHeight="1"/>
  <cols>
    <col width="10.50390625" customWidth="1" style="19" min="1" max="1"/>
    <col width="6.375" customWidth="1" style="19" min="2" max="3"/>
    <col width="5.875" customWidth="1" style="19" min="4" max="5"/>
    <col width="8.00390625" customWidth="1" style="19" min="6" max="6"/>
    <col width="6.375" customWidth="1" style="19" min="7" max="7"/>
    <col width="5.875" customWidth="1" style="19" min="8" max="9"/>
    <col width="8.00390625" customWidth="1" style="19" min="10" max="10"/>
    <col width="6.375" customWidth="1" style="19" min="11" max="11"/>
    <col width="5.00390625" customWidth="1" style="19" min="12" max="13"/>
    <col width="8.00390625" customWidth="1" style="19" min="14" max="14"/>
    <col width="6.375" customWidth="1" style="19" min="15" max="15"/>
    <col width="5.00390625" customWidth="1" style="19" min="16" max="17"/>
    <col width="8.00390625" customWidth="1" style="19" min="18" max="18"/>
    <col width="6.375" customWidth="1" style="19" min="19" max="19"/>
    <col width="9.25390625" customWidth="1" style="19" min="20" max="21"/>
    <col width="11.375" customWidth="1" style="19" min="22" max="22"/>
    <col width="5.25390625" customWidth="1" style="19" min="23" max="23"/>
    <col width="9.75390625" customWidth="1" style="19" min="24" max="26"/>
    <col width="13.125" customWidth="1" style="19" min="27" max="27"/>
    <col width="9.75390625" customWidth="1" style="19" min="28" max="31"/>
    <col width="10.875" customWidth="1" style="19" min="32" max="32"/>
    <col width="9.75390625" customWidth="1" style="19" min="33" max="36"/>
    <col width="11.50390625" customWidth="1" style="19" min="37" max="37"/>
    <col width="8.50390625" customWidth="1" style="19" min="38" max="38"/>
    <col width="9.00390625" customWidth="1" style="19" min="39" max="16384"/>
  </cols>
  <sheetData>
    <row r="1" ht="15" customHeight="1" s="245">
      <c r="A1" s="2" t="n"/>
      <c r="B1" s="307" t="inlineStr">
        <is>
          <t>Total</t>
        </is>
      </c>
      <c r="C1" s="270" t="n"/>
      <c r="D1" s="307" t="inlineStr">
        <is>
          <t>50% discount</t>
        </is>
      </c>
      <c r="E1" s="269" t="n"/>
      <c r="F1" s="269" t="n"/>
      <c r="G1" s="270" t="n"/>
      <c r="H1" s="307" t="inlineStr">
        <is>
          <t>Fixed Price</t>
        </is>
      </c>
      <c r="I1" s="269" t="n"/>
      <c r="J1" s="269" t="n"/>
      <c r="K1" s="270" t="n"/>
      <c r="L1" s="307" t="inlineStr">
        <is>
          <t>100 yuan for 4 pieces</t>
        </is>
      </c>
      <c r="M1" s="269" t="n"/>
      <c r="N1" s="269" t="n"/>
      <c r="O1" s="270" t="n"/>
      <c r="P1" s="307" t="inlineStr">
        <is>
          <t>110 Yuan for 3 pieces</t>
        </is>
      </c>
      <c r="Q1" s="269" t="n"/>
      <c r="R1" s="269" t="n"/>
      <c r="S1" s="270" t="n"/>
    </row>
    <row r="2" ht="15" customHeight="1" s="245">
      <c r="A2" s="7" t="inlineStr">
        <is>
          <t>Series</t>
        </is>
      </c>
      <c r="B2" s="8" t="inlineStr">
        <is>
          <t>Warehouse stock</t>
        </is>
      </c>
      <c r="C2" s="9" t="inlineStr">
        <is>
          <t>Sales</t>
        </is>
      </c>
      <c r="D2" s="10" t="inlineStr">
        <is>
          <t>Warehouse stock</t>
        </is>
      </c>
      <c r="E2" s="10" t="inlineStr">
        <is>
          <t>Store stock</t>
        </is>
      </c>
      <c r="F2" s="10" t="inlineStr">
        <is>
          <t>Cumulative Sales</t>
        </is>
      </c>
      <c r="G2" s="11" t="inlineStr">
        <is>
          <t>Clearance Rate</t>
        </is>
      </c>
      <c r="H2" s="11" t="inlineStr">
        <is>
          <t>Warehouse stock</t>
        </is>
      </c>
      <c r="I2" s="10" t="inlineStr">
        <is>
          <t>Store stock</t>
        </is>
      </c>
      <c r="J2" s="10" t="inlineStr">
        <is>
          <t>Cumulative Sales</t>
        </is>
      </c>
      <c r="K2" s="11" t="inlineStr">
        <is>
          <t>Clearance Rate</t>
        </is>
      </c>
      <c r="L2" s="11" t="inlineStr">
        <is>
          <t>Warehouse stock</t>
        </is>
      </c>
      <c r="M2" s="10" t="inlineStr">
        <is>
          <t>Store stock</t>
        </is>
      </c>
      <c r="N2" s="10" t="inlineStr">
        <is>
          <t>Cumulative Sales</t>
        </is>
      </c>
      <c r="O2" s="11" t="inlineStr">
        <is>
          <t>Clearance Rate</t>
        </is>
      </c>
      <c r="P2" s="11" t="inlineStr">
        <is>
          <t>Warehouse stock</t>
        </is>
      </c>
      <c r="Q2" s="10" t="inlineStr">
        <is>
          <t>Store stock</t>
        </is>
      </c>
      <c r="R2" s="10" t="inlineStr">
        <is>
          <t>Cumulative Sales</t>
        </is>
      </c>
      <c r="S2" s="26" t="inlineStr">
        <is>
          <t>Clearance Rate</t>
        </is>
      </c>
    </row>
    <row r="3" ht="15" customHeight="1" s="245">
      <c r="A3" s="15" t="inlineStr">
        <is>
          <t>Spring and Summer Home</t>
        </is>
      </c>
      <c r="B3" s="13" t="n">
        <v>15086</v>
      </c>
      <c r="C3" s="18">
        <f>F3+J3+N3+R3</f>
        <v/>
      </c>
      <c r="D3" s="15" t="n">
        <v>2901</v>
      </c>
      <c r="E3" s="16" t="n">
        <v>3897</v>
      </c>
      <c r="F3" s="16" t="n">
        <v>1055</v>
      </c>
      <c r="G3" s="17">
        <f>F3/(D3+E3+F3)</f>
        <v/>
      </c>
      <c r="H3" s="15" t="n">
        <v>3758</v>
      </c>
      <c r="I3" s="16" t="n">
        <v>2043</v>
      </c>
      <c r="J3" s="16" t="n">
        <v>1432</v>
      </c>
      <c r="K3" s="17">
        <f>J3/(H3+I3+J3)</f>
        <v/>
      </c>
      <c r="L3" s="15" t="n"/>
      <c r="M3" s="16" t="n"/>
      <c r="N3" s="16" t="n"/>
      <c r="O3" s="15" t="n"/>
      <c r="P3" s="15" t="n"/>
      <c r="Q3" s="16" t="n"/>
      <c r="R3" s="16" t="n"/>
      <c r="S3" s="27" t="n"/>
    </row>
    <row r="4" ht="15" customHeight="1" s="245">
      <c r="A4" s="18" t="inlineStr">
        <is>
          <t>Spring and Summer Underwear</t>
        </is>
      </c>
      <c r="B4" s="13" t="n">
        <v>5016</v>
      </c>
      <c r="C4" s="18">
        <f>F4+J4+N4+R4</f>
        <v/>
      </c>
      <c r="D4" s="18" t="n">
        <v>418</v>
      </c>
      <c r="E4" s="19" t="n">
        <v>409</v>
      </c>
      <c r="F4" s="19" t="n">
        <v>89</v>
      </c>
      <c r="G4" s="20">
        <f>F4/(D4+E4+F4)</f>
        <v/>
      </c>
      <c r="H4" s="18" t="n">
        <v>2138</v>
      </c>
      <c r="I4" s="19" t="n">
        <v>1440</v>
      </c>
      <c r="J4" s="19" t="n">
        <v>522</v>
      </c>
      <c r="K4" s="20">
        <f>J4/(H4+I4+J4)</f>
        <v/>
      </c>
      <c r="L4" s="18" t="n"/>
      <c r="M4" s="19" t="n"/>
      <c r="N4" s="19" t="n"/>
      <c r="O4" s="18" t="n"/>
      <c r="P4" s="18" t="n"/>
      <c r="Q4" s="19" t="n"/>
      <c r="R4" s="19" t="n"/>
      <c r="S4" s="28" t="n"/>
    </row>
    <row r="5" ht="15" customHeight="1" s="245">
      <c r="A5" s="18" t="inlineStr">
        <is>
          <t>Active pants</t>
        </is>
      </c>
      <c r="B5" s="13" t="n">
        <v>14698</v>
      </c>
      <c r="C5" s="18">
        <f>F5+J5+N5+R5</f>
        <v/>
      </c>
      <c r="D5" s="18" t="n">
        <v>15</v>
      </c>
      <c r="E5" s="19" t="n">
        <v>54</v>
      </c>
      <c r="F5" s="19" t="n">
        <v>26</v>
      </c>
      <c r="G5" s="20">
        <f>F5/(D5+E5+F5)</f>
        <v/>
      </c>
      <c r="H5" s="18" t="n">
        <v>7705</v>
      </c>
      <c r="I5" s="19" t="n">
        <v>2157</v>
      </c>
      <c r="J5" s="19" t="n">
        <v>188</v>
      </c>
      <c r="K5" s="20">
        <f>J5/(H5+I5+J5)</f>
        <v/>
      </c>
      <c r="L5" s="18" t="n"/>
      <c r="M5" s="19" t="n"/>
      <c r="N5" s="19" t="n"/>
      <c r="O5" s="18" t="n"/>
      <c r="P5" s="18" t="n">
        <v>3355</v>
      </c>
      <c r="Q5" s="19" t="n">
        <v>1076</v>
      </c>
      <c r="R5" s="19" t="n">
        <v>122</v>
      </c>
      <c r="S5" s="29">
        <f>R5/(P5+Q5+R5)</f>
        <v/>
      </c>
    </row>
    <row r="6" ht="15" customHeight="1" s="245">
      <c r="A6" s="18" t="inlineStr">
        <is>
          <t>Fitness Accessories</t>
        </is>
      </c>
      <c r="B6" s="13" t="n">
        <v>287</v>
      </c>
      <c r="C6" s="18">
        <f>F6+J6+N6+R6</f>
        <v/>
      </c>
      <c r="D6" s="18" t="n">
        <v>269</v>
      </c>
      <c r="E6" s="19" t="n">
        <v>18</v>
      </c>
      <c r="F6" s="19" t="n"/>
      <c r="G6" s="20">
        <f>F6/(D6+E6+F6)</f>
        <v/>
      </c>
      <c r="H6" s="18" t="n"/>
      <c r="I6" s="19" t="n"/>
      <c r="J6" s="19" t="n"/>
      <c r="K6" s="20" t="n"/>
      <c r="L6" s="18" t="n"/>
      <c r="M6" s="19" t="n"/>
      <c r="N6" s="19" t="n"/>
      <c r="O6" s="18" t="n"/>
      <c r="P6" s="18" t="n"/>
      <c r="Q6" s="19" t="n"/>
      <c r="R6" s="19" t="n"/>
      <c r="S6" s="28" t="n"/>
    </row>
    <row r="7" ht="15" customHeight="1" s="245">
      <c r="A7" s="18" t="inlineStr">
        <is>
          <t>Fitness Yoga</t>
        </is>
      </c>
      <c r="B7" s="13" t="n">
        <v>4367</v>
      </c>
      <c r="C7" s="18">
        <f>F7+J7+N7+R7</f>
        <v/>
      </c>
      <c r="D7" s="18" t="n">
        <v>495</v>
      </c>
      <c r="E7" s="19" t="n">
        <v>396</v>
      </c>
      <c r="F7" s="19" t="n">
        <v>128</v>
      </c>
      <c r="G7" s="20">
        <f>F7/(D7+E7+F7)</f>
        <v/>
      </c>
      <c r="H7" s="18" t="n">
        <v>1388</v>
      </c>
      <c r="I7" s="19" t="n">
        <v>1578</v>
      </c>
      <c r="J7" s="19" t="n">
        <v>382</v>
      </c>
      <c r="K7" s="20">
        <f>J7/(H7+I7+J7)</f>
        <v/>
      </c>
      <c r="L7" s="18" t="n"/>
      <c r="M7" s="19" t="n"/>
      <c r="N7" s="19" t="n"/>
      <c r="O7" s="18" t="n"/>
      <c r="P7" s="18" t="n"/>
      <c r="Q7" s="19" t="n"/>
      <c r="R7" s="19" t="n"/>
      <c r="S7" s="28" t="n"/>
    </row>
    <row r="8" ht="15" customHeight="1" s="245">
      <c r="A8" s="18" t="inlineStr">
        <is>
          <t>Fitness Yoga Life</t>
        </is>
      </c>
      <c r="B8" s="13" t="n">
        <v>218</v>
      </c>
      <c r="C8" s="18">
        <f>F8+J8+N8+R8</f>
        <v/>
      </c>
      <c r="D8" s="18" t="n">
        <v>15</v>
      </c>
      <c r="E8" s="19" t="n"/>
      <c r="F8" s="19" t="n">
        <v>1</v>
      </c>
      <c r="G8" s="20">
        <f>F8/(D8+E8+F8)</f>
        <v/>
      </c>
      <c r="H8" s="18" t="n">
        <v>135</v>
      </c>
      <c r="I8" s="19" t="n">
        <v>51</v>
      </c>
      <c r="J8" s="19" t="n">
        <v>16</v>
      </c>
      <c r="K8" s="20">
        <f>J8/(H8+I8+J8)</f>
        <v/>
      </c>
      <c r="L8" s="18" t="n"/>
      <c r="M8" s="19" t="n"/>
      <c r="N8" s="19" t="n"/>
      <c r="O8" s="18" t="n"/>
      <c r="P8" s="18" t="n"/>
      <c r="Q8" s="19" t="n"/>
      <c r="R8" s="19" t="n"/>
      <c r="S8" s="28" t="n"/>
    </row>
    <row r="9" ht="15" customHeight="1" s="245">
      <c r="A9" s="18" t="inlineStr">
        <is>
          <t>Club</t>
        </is>
      </c>
      <c r="B9" s="13" t="n">
        <v>94</v>
      </c>
      <c r="C9" s="18">
        <f>F9+J9+N9+R9</f>
        <v/>
      </c>
      <c r="D9" s="18" t="n">
        <v>28</v>
      </c>
      <c r="E9" s="19" t="n">
        <v>64</v>
      </c>
      <c r="F9" s="19" t="n"/>
      <c r="G9" s="20">
        <f>F9/(D9+E9+F9)</f>
        <v/>
      </c>
      <c r="H9" s="18" t="n">
        <v>2</v>
      </c>
      <c r="I9" s="19" t="n"/>
      <c r="J9" s="19" t="n"/>
      <c r="K9" s="20">
        <f>J9/(H9+I9+J9)</f>
        <v/>
      </c>
      <c r="L9" s="18" t="n"/>
      <c r="M9" s="19" t="n"/>
      <c r="N9" s="19" t="n"/>
      <c r="O9" s="18" t="n"/>
      <c r="P9" s="18" t="n"/>
      <c r="Q9" s="19" t="n"/>
      <c r="R9" s="19" t="n"/>
      <c r="S9" s="28" t="n"/>
    </row>
    <row r="10" ht="15" customHeight="1" s="245">
      <c r="A10" s="18" t="inlineStr">
        <is>
          <t>Underwear</t>
        </is>
      </c>
      <c r="B10" s="13" t="n">
        <v>20797</v>
      </c>
      <c r="C10" s="18">
        <f>F10+J10+N10+R10</f>
        <v/>
      </c>
      <c r="D10" s="18" t="n">
        <v>4562</v>
      </c>
      <c r="E10" s="19" t="n">
        <v>2984</v>
      </c>
      <c r="F10" s="19" t="n">
        <v>296</v>
      </c>
      <c r="G10" s="20">
        <f>F10/(D10+E10+F10)</f>
        <v/>
      </c>
      <c r="H10" s="18" t="n">
        <v>412</v>
      </c>
      <c r="I10" s="19" t="n">
        <v>303</v>
      </c>
      <c r="J10" s="19" t="n">
        <v>49</v>
      </c>
      <c r="K10" s="20">
        <f>J10/(H10+I10+J10)</f>
        <v/>
      </c>
      <c r="L10" s="18" t="n">
        <v>7421</v>
      </c>
      <c r="M10" s="19" t="n">
        <v>3475</v>
      </c>
      <c r="N10" s="19" t="n">
        <v>1295</v>
      </c>
      <c r="O10" s="20">
        <f>N10/(L10+M10+N10)</f>
        <v/>
      </c>
      <c r="P10" s="18" t="n"/>
      <c r="Q10" s="19" t="n"/>
      <c r="R10" s="19" t="n"/>
      <c r="S10" s="28" t="n"/>
    </row>
    <row r="11" ht="15" customHeight="1" s="245">
      <c r="A11" s="18" t="inlineStr">
        <is>
          <t>Underwear</t>
        </is>
      </c>
      <c r="B11" s="13" t="n">
        <v>594</v>
      </c>
      <c r="C11" s="18">
        <f>F11+J11+N11+R11</f>
        <v/>
      </c>
      <c r="D11" s="18" t="n"/>
      <c r="E11" s="19" t="n"/>
      <c r="F11" s="19" t="n"/>
      <c r="G11" s="20" t="n"/>
      <c r="H11" s="18" t="n">
        <v>120</v>
      </c>
      <c r="I11" s="19" t="n">
        <v>18</v>
      </c>
      <c r="J11" s="19" t="n">
        <v>1</v>
      </c>
      <c r="K11" s="20">
        <f>J11/(H11+I11+J11)</f>
        <v/>
      </c>
      <c r="L11" s="18" t="n">
        <v>407</v>
      </c>
      <c r="M11" s="19" t="n">
        <v>38</v>
      </c>
      <c r="N11" s="19" t="n">
        <v>10</v>
      </c>
      <c r="O11" s="20">
        <f>N11/(L11+M11+N11)</f>
        <v/>
      </c>
      <c r="P11" s="18" t="n"/>
      <c r="Q11" s="19" t="n"/>
      <c r="R11" s="19" t="n"/>
      <c r="S11" s="28" t="n"/>
    </row>
    <row r="12" ht="15" customHeight="1" s="245">
      <c r="A12" s="18" t="inlineStr">
        <is>
          <t>Underwear Accessories</t>
        </is>
      </c>
      <c r="B12" s="13" t="n">
        <v>5</v>
      </c>
      <c r="C12" s="18">
        <f>F12+J12+N12+R12</f>
        <v/>
      </c>
      <c r="D12" s="18" t="n"/>
      <c r="E12" s="19" t="n"/>
      <c r="F12" s="19" t="n"/>
      <c r="G12" s="20" t="n"/>
      <c r="H12" s="18" t="n">
        <v>1</v>
      </c>
      <c r="I12" s="19" t="n">
        <v>4</v>
      </c>
      <c r="J12" s="19" t="n"/>
      <c r="K12" s="20">
        <f>J12/(H12+I12+J12)</f>
        <v/>
      </c>
      <c r="L12" s="18" t="n"/>
      <c r="M12" s="19" t="n"/>
      <c r="N12" s="19" t="n"/>
      <c r="O12" s="18" t="n"/>
      <c r="P12" s="18" t="n"/>
      <c r="Q12" s="19" t="n"/>
      <c r="R12" s="19" t="n"/>
      <c r="S12" s="28" t="n"/>
    </row>
    <row r="13" ht="15" customHeight="1" s="245">
      <c r="A13" s="18" t="inlineStr">
        <is>
          <t>Running Series</t>
        </is>
      </c>
      <c r="B13" s="13" t="n">
        <v>1197</v>
      </c>
      <c r="C13" s="18">
        <f>F13+J13+N13+R13</f>
        <v/>
      </c>
      <c r="D13" s="18" t="n">
        <v>303</v>
      </c>
      <c r="E13" s="19" t="n">
        <v>129</v>
      </c>
      <c r="F13" s="19" t="n">
        <v>19</v>
      </c>
      <c r="G13" s="20">
        <f>F13/(D13+E13+F13)</f>
        <v/>
      </c>
      <c r="H13" s="18" t="n">
        <v>417</v>
      </c>
      <c r="I13" s="19" t="n">
        <v>279</v>
      </c>
      <c r="J13" s="19" t="n">
        <v>50</v>
      </c>
      <c r="K13" s="20">
        <f>J13/(H13+I13+J13)</f>
        <v/>
      </c>
      <c r="L13" s="18" t="n"/>
      <c r="M13" s="19" t="n"/>
      <c r="N13" s="19" t="n"/>
      <c r="O13" s="18" t="n"/>
      <c r="P13" s="18" t="n"/>
      <c r="Q13" s="19" t="n"/>
      <c r="R13" s="19" t="n"/>
      <c r="S13" s="28" t="n"/>
    </row>
    <row r="14" ht="15" customHeight="1" s="245">
      <c r="A14" s="18" t="inlineStr">
        <is>
          <t>Beach</t>
        </is>
      </c>
      <c r="B14" s="13" t="n">
        <v>1818</v>
      </c>
      <c r="C14" s="18">
        <f>F14+J14+N14+R14</f>
        <v/>
      </c>
      <c r="D14" s="18" t="n"/>
      <c r="E14" s="19" t="n"/>
      <c r="F14" s="19" t="n"/>
      <c r="G14" s="20" t="n"/>
      <c r="H14" s="18" t="n">
        <v>878</v>
      </c>
      <c r="I14" s="19" t="n">
        <v>909</v>
      </c>
      <c r="J14" s="19" t="n">
        <v>31</v>
      </c>
      <c r="K14" s="20">
        <f>J14/(H14+I14+J14)</f>
        <v/>
      </c>
      <c r="L14" s="18" t="n"/>
      <c r="M14" s="19" t="n"/>
      <c r="N14" s="19" t="n"/>
      <c r="O14" s="18" t="n"/>
      <c r="P14" s="18" t="n"/>
      <c r="Q14" s="19" t="n"/>
      <c r="R14" s="19" t="n"/>
      <c r="S14" s="28" t="n"/>
    </row>
    <row r="15" ht="15" customHeight="1" s="245">
      <c r="A15" s="18" t="inlineStr">
        <is>
          <t>Beach Accessories</t>
        </is>
      </c>
      <c r="B15" s="13" t="n">
        <v>1952</v>
      </c>
      <c r="C15" s="18">
        <f>F15+J15+N15+R15</f>
        <v/>
      </c>
      <c r="D15" s="18" t="n">
        <v>16</v>
      </c>
      <c r="E15" s="19" t="n">
        <v>36</v>
      </c>
      <c r="F15" s="19" t="n"/>
      <c r="G15" s="20">
        <f>F15/(D15+E15+F15)</f>
        <v/>
      </c>
      <c r="H15" s="18" t="n">
        <v>914</v>
      </c>
      <c r="I15" s="19" t="n">
        <v>942</v>
      </c>
      <c r="J15" s="19" t="n">
        <v>44</v>
      </c>
      <c r="K15" s="20">
        <f>J15/(H15+I15+J15)</f>
        <v/>
      </c>
      <c r="L15" s="18" t="n"/>
      <c r="M15" s="19" t="n"/>
      <c r="N15" s="19" t="n"/>
      <c r="O15" s="18" t="n"/>
      <c r="P15" s="18" t="n"/>
      <c r="Q15" s="19" t="n"/>
      <c r="R15" s="19" t="n"/>
      <c r="S15" s="28" t="n"/>
    </row>
    <row r="16" ht="15" customHeight="1" s="245">
      <c r="A16" s="18" t="inlineStr">
        <is>
          <t>Children's swim trunks</t>
        </is>
      </c>
      <c r="B16" s="13" t="n">
        <v>1840</v>
      </c>
      <c r="C16" s="18">
        <f>F16+J16+N16+R16</f>
        <v/>
      </c>
      <c r="D16" s="18" t="n"/>
      <c r="E16" s="19" t="n"/>
      <c r="F16" s="19" t="n"/>
      <c r="G16" s="20" t="n"/>
      <c r="H16" s="18" t="n">
        <v>1026</v>
      </c>
      <c r="I16" s="19" t="n">
        <v>714</v>
      </c>
      <c r="J16" s="19" t="n">
        <v>100</v>
      </c>
      <c r="K16" s="20">
        <f>J16/(H16+I16+J16)</f>
        <v/>
      </c>
      <c r="L16" s="18" t="n"/>
      <c r="M16" s="19" t="n"/>
      <c r="N16" s="19" t="n"/>
      <c r="O16" s="18" t="n"/>
      <c r="P16" s="18" t="n"/>
      <c r="Q16" s="19" t="n"/>
      <c r="R16" s="19" t="n"/>
      <c r="S16" s="28" t="n"/>
    </row>
    <row r="17" ht="15" customHeight="1" s="245">
      <c r="A17" s="18" t="inlineStr">
        <is>
          <t>Children's swimsuit</t>
        </is>
      </c>
      <c r="B17" s="13" t="n">
        <v>4080</v>
      </c>
      <c r="C17" s="18">
        <f>F17+J17+N17+R17</f>
        <v/>
      </c>
      <c r="D17" s="18" t="n">
        <v>1965</v>
      </c>
      <c r="E17" s="19" t="n">
        <v>725</v>
      </c>
      <c r="F17" s="19" t="n">
        <v>62</v>
      </c>
      <c r="G17" s="20">
        <f>F17/(D17+E17+F17)</f>
        <v/>
      </c>
      <c r="H17" s="18" t="n">
        <v>988</v>
      </c>
      <c r="I17" s="19" t="n">
        <v>296</v>
      </c>
      <c r="J17" s="19" t="n">
        <v>44</v>
      </c>
      <c r="K17" s="20">
        <f>J17/(H17+I17+J17)</f>
        <v/>
      </c>
      <c r="L17" s="18" t="n"/>
      <c r="M17" s="19" t="n"/>
      <c r="N17" s="19" t="n"/>
      <c r="O17" s="18" t="n"/>
      <c r="P17" s="18" t="n"/>
      <c r="Q17" s="19" t="n"/>
      <c r="R17" s="19" t="n"/>
      <c r="S17" s="28" t="n"/>
    </row>
    <row r="18" ht="15" customHeight="1" s="245">
      <c r="A18" s="18" t="inlineStr">
        <is>
          <t>Swim Trunks</t>
        </is>
      </c>
      <c r="B18" s="13" t="n">
        <v>4918</v>
      </c>
      <c r="C18" s="18">
        <f>F18+J18+N18+R18</f>
        <v/>
      </c>
      <c r="D18" s="18" t="n">
        <v>418</v>
      </c>
      <c r="E18" s="19" t="n">
        <v>589</v>
      </c>
      <c r="F18" s="19" t="n">
        <v>32</v>
      </c>
      <c r="G18" s="20">
        <f>F18/(D18+E18+F18)</f>
        <v/>
      </c>
      <c r="H18" s="18" t="n">
        <v>1784</v>
      </c>
      <c r="I18" s="19" t="n">
        <v>1941</v>
      </c>
      <c r="J18" s="19" t="n">
        <v>154</v>
      </c>
      <c r="K18" s="20">
        <f>J18/(H18+I18+J18)</f>
        <v/>
      </c>
      <c r="L18" s="18" t="n"/>
      <c r="M18" s="19" t="n"/>
      <c r="N18" s="19" t="n"/>
      <c r="O18" s="18" t="n"/>
      <c r="P18" s="18" t="n"/>
      <c r="Q18" s="19" t="n"/>
      <c r="R18" s="19" t="n"/>
      <c r="S18" s="28" t="n"/>
    </row>
    <row r="19" ht="15" customHeight="1" s="245">
      <c r="A19" s="18" t="inlineStr">
        <is>
          <t>Swimwear</t>
        </is>
      </c>
      <c r="B19" s="13" t="n">
        <v>15169</v>
      </c>
      <c r="C19" s="18">
        <f>F19+J19+N19+R19</f>
        <v/>
      </c>
      <c r="D19" s="18" t="n">
        <v>2238</v>
      </c>
      <c r="E19" s="19" t="n">
        <v>2927</v>
      </c>
      <c r="F19" s="19" t="n">
        <v>216</v>
      </c>
      <c r="G19" s="20">
        <f>F19/(D19+E19+F19)</f>
        <v/>
      </c>
      <c r="H19" s="18" t="n">
        <v>5135</v>
      </c>
      <c r="I19" s="19" t="n">
        <v>4310</v>
      </c>
      <c r="J19" s="19" t="n">
        <v>343</v>
      </c>
      <c r="K19" s="20">
        <f>J19/(H19+I19+J19)</f>
        <v/>
      </c>
      <c r="L19" s="18" t="n"/>
      <c r="M19" s="19" t="n"/>
      <c r="N19" s="19" t="n"/>
      <c r="O19" s="18" t="n"/>
      <c r="P19" s="18" t="n"/>
      <c r="Q19" s="19" t="n"/>
      <c r="R19" s="19" t="n"/>
      <c r="S19" s="28" t="n"/>
    </row>
    <row r="20" ht="15" customHeight="1" s="245">
      <c r="A20" s="18" t="inlineStr">
        <is>
          <t>Swimming</t>
        </is>
      </c>
      <c r="B20" s="13" t="n">
        <v>1513</v>
      </c>
      <c r="C20" s="18">
        <f>F20+J20+N20+R20</f>
        <v/>
      </c>
      <c r="D20" s="18" t="n">
        <v>944</v>
      </c>
      <c r="E20" s="19" t="n">
        <v>369</v>
      </c>
      <c r="F20" s="19" t="n">
        <v>51</v>
      </c>
      <c r="G20" s="20">
        <f>F20/(D20+E20+F20)</f>
        <v/>
      </c>
      <c r="H20" s="18" t="n">
        <v>109</v>
      </c>
      <c r="I20" s="19" t="n">
        <v>40</v>
      </c>
      <c r="J20" s="19" t="n"/>
      <c r="K20" s="20">
        <f>J20/(H20+I20+J20)</f>
        <v/>
      </c>
      <c r="L20" s="18" t="n"/>
      <c r="M20" s="19" t="n"/>
      <c r="N20" s="19" t="n"/>
      <c r="O20" s="18" t="n"/>
      <c r="P20" s="18" t="n"/>
      <c r="Q20" s="19" t="n"/>
      <c r="R20" s="19" t="n"/>
      <c r="S20" s="28" t="n"/>
    </row>
    <row r="21" ht="15" customHeight="1" s="245">
      <c r="A21" s="18" t="inlineStr">
        <is>
          <t>Swim Accessories</t>
        </is>
      </c>
      <c r="B21" s="13" t="n">
        <v>250</v>
      </c>
      <c r="C21" s="18">
        <f>F21+J21+N21+R21</f>
        <v/>
      </c>
      <c r="D21" s="18" t="n">
        <v>133</v>
      </c>
      <c r="E21" s="19" t="n">
        <v>112</v>
      </c>
      <c r="F21" s="19" t="n">
        <v>5</v>
      </c>
      <c r="G21" s="20">
        <f>F21/(D21+E21+F21)</f>
        <v/>
      </c>
      <c r="H21" s="18" t="n"/>
      <c r="I21" s="19" t="n"/>
      <c r="J21" s="19" t="n"/>
      <c r="K21" s="20" t="n"/>
      <c r="L21" s="18" t="n"/>
      <c r="M21" s="19" t="n"/>
      <c r="N21" s="19" t="n"/>
      <c r="O21" s="18" t="n"/>
      <c r="P21" s="18" t="n"/>
      <c r="Q21" s="19" t="n"/>
      <c r="R21" s="19" t="n"/>
      <c r="S21" s="28" t="n"/>
    </row>
    <row r="22" ht="15" customHeight="1" s="245">
      <c r="A22" s="18" t="inlineStr">
        <is>
          <t>Sports Bra</t>
        </is>
      </c>
      <c r="B22" s="13" t="n">
        <v>4596</v>
      </c>
      <c r="C22" s="18">
        <f>F22+J22+N22+R22</f>
        <v/>
      </c>
      <c r="D22" s="18" t="n">
        <v>2921</v>
      </c>
      <c r="E22" s="19" t="n">
        <v>1178</v>
      </c>
      <c r="F22" s="19" t="n">
        <v>72</v>
      </c>
      <c r="G22" s="20">
        <f>F22/(D22+E22+F22)</f>
        <v/>
      </c>
      <c r="H22" s="18" t="n">
        <v>327</v>
      </c>
      <c r="I22" s="19" t="n">
        <v>85</v>
      </c>
      <c r="J22" s="19" t="n">
        <v>13</v>
      </c>
      <c r="K22" s="20">
        <f>J22/(H22+I22+J22)</f>
        <v/>
      </c>
      <c r="L22" s="18" t="n"/>
      <c r="M22" s="19" t="n"/>
      <c r="N22" s="19" t="n"/>
      <c r="O22" s="18" t="n"/>
      <c r="P22" s="18" t="n"/>
      <c r="Q22" s="19" t="n"/>
      <c r="R22" s="19" t="n"/>
      <c r="S22" s="28" t="n"/>
    </row>
    <row r="23" ht="15" customHeight="1" s="245">
      <c r="A23" s="23" t="inlineStr">
        <is>
          <t>Total</t>
        </is>
      </c>
      <c r="B23" s="22" t="n">
        <v>98495</v>
      </c>
      <c r="C23" s="23">
        <f>F23+J23+N23+R23</f>
        <v/>
      </c>
      <c r="D23" s="23" t="n">
        <v>17641</v>
      </c>
      <c r="E23" s="24" t="n">
        <v>13887</v>
      </c>
      <c r="F23" s="24" t="n">
        <v>2052</v>
      </c>
      <c r="G23" s="25">
        <f>F23/(D23+E23+F23)</f>
        <v/>
      </c>
      <c r="H23" s="23" t="n">
        <v>27237</v>
      </c>
      <c r="I23" s="24" t="n">
        <v>17110</v>
      </c>
      <c r="J23" s="24" t="n">
        <v>3369</v>
      </c>
      <c r="K23" s="25">
        <f>J23/(H23+I23+J23)</f>
        <v/>
      </c>
      <c r="L23" s="23" t="n">
        <v>7828</v>
      </c>
      <c r="M23" s="24" t="n">
        <v>3513</v>
      </c>
      <c r="N23" s="24" t="n">
        <v>1305</v>
      </c>
      <c r="O23" s="25">
        <f>N23/(L23+M23+N23)</f>
        <v/>
      </c>
      <c r="P23" s="23" t="n">
        <v>3355</v>
      </c>
      <c r="Q23" s="24" t="n">
        <v>1076</v>
      </c>
      <c r="R23" s="24" t="n">
        <v>122</v>
      </c>
      <c r="S23" s="30">
        <f>R23/(P23+Q23+R23)</f>
        <v/>
      </c>
    </row>
  </sheetData>
  <mergeCells count="5">
    <mergeCell ref="D1:G1"/>
    <mergeCell ref="H1:K1"/>
    <mergeCell ref="L1:O1"/>
    <mergeCell ref="P1:S1"/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2006-09-13T11:21:00Z</dcterms:created>
  <dcterms:modified xsi:type="dcterms:W3CDTF">2025-07-07T17:53:32Z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8E584B7084244B82B4FD778EBCC12AEA_12</vt:lpwstr>
  </property>
  <property name="KSOProductBuildVer" fmtid="{D5CDD505-2E9C-101B-9397-08002B2CF9AE}" pid="3">
    <vt:lpwstr>2052-12.1.0.16250</vt:lpwstr>
  </property>
</Properties>
</file>