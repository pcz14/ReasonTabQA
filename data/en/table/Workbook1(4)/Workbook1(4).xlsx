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m/d;@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黑体"/>
      <family val="2"/>
      <color theme="0"/>
      <sz val="12"/>
    </font>
    <font>
      <name val="黑体"/>
      <family val="2"/>
      <color theme="1" tint="0.2499800026416779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5A70CE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/>
      <top/>
      <bottom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33" borderId="9" applyAlignment="1" pivotButton="0" quotePrefix="0" xfId="0">
      <alignment horizontal="center" vertical="center"/>
    </xf>
    <xf numFmtId="0" fontId="2" fillId="33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2" fillId="33" borderId="1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0">
    <dxf>
      <fill>
        <patternFill patternType="solid">
          <bgColor rgb="FFEDEFF9"/>
        </patternFill>
      </fill>
      <border/>
    </dxf>
    <dxf>
      <fill>
        <patternFill/>
      </fill>
      <border/>
    </dxf>
    <dxf>
      <fill>
        <patternFill patternType="solid">
          <bgColor rgb="FFFFDDDD"/>
        </patternFill>
      </fill>
      <border/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opLeftCell="A1" workbookViewId="0">
      <selection activeCell="L9" sqref="L9"/>
    </sheetView>
  </sheetViews>
  <sheetFormatPr baseColWidth="8" defaultColWidth="9.00390625" defaultRowHeight="15" outlineLevelRow="7"/>
  <cols>
    <col width="14.8515625" customWidth="1" min="3" max="3"/>
    <col width="33.7109375" customWidth="1" min="4" max="4"/>
    <col width="14.7109375" customWidth="1" min="10" max="10"/>
  </cols>
  <sheetData>
    <row r="1" ht="14.25" customHeight="1" s="10">
      <c r="A1" s="1" t="inlineStr">
        <is>
          <t>Serial Number</t>
        </is>
      </c>
      <c r="B1" s="2" t="inlineStr">
        <is>
          <t>Student ID</t>
        </is>
      </c>
      <c r="C1" s="2" t="inlineStr">
        <is>
          <t>Name</t>
        </is>
      </c>
      <c r="D1" s="2" t="inlineStr">
        <is>
          <t>ID Number</t>
        </is>
      </c>
      <c r="E1" s="2" t="inlineStr">
        <is>
          <t>Gender</t>
        </is>
      </c>
      <c r="F1" s="2" t="inlineStr">
        <is>
          <t>Age</t>
        </is>
      </c>
      <c r="G1" s="2" t="inlineStr">
        <is>
          <t>Enrollment Academic Year</t>
        </is>
      </c>
      <c r="H1" s="2" t="inlineStr">
        <is>
          <t>Graduation Date</t>
        </is>
      </c>
      <c r="I1" s="2" t="inlineStr">
        <is>
          <t>Grade Level</t>
        </is>
      </c>
      <c r="J1" s="6" t="inlineStr">
        <is>
          <t>Learning status</t>
        </is>
      </c>
    </row>
    <row r="2" ht="14.25" customHeight="1" s="10">
      <c r="A2" s="3" t="n">
        <v>1</v>
      </c>
      <c r="B2" s="3" t="inlineStr">
        <is>
          <t>KJ25XXX1</t>
        </is>
      </c>
      <c r="C2" s="3" t="inlineStr">
        <is>
          <t>Feng</t>
        </is>
      </c>
      <c r="D2" s="11" t="inlineStr">
        <is>
          <t>XXXXXX20160215XX32</t>
        </is>
      </c>
      <c r="E2" s="3">
        <f>IF(D2="","",IF(MOD(MID(D2,17,1),2),"男","女"))</f>
        <v/>
      </c>
      <c r="F2" s="3">
        <f>IF(D2="","",YEAR(TODAY())-MID(D2,7,4))</f>
        <v/>
      </c>
      <c r="G2" s="12" t="n">
        <v>44805</v>
      </c>
      <c r="H2" s="12">
        <f>IF(G2="","",EDATE(G2,72))</f>
        <v/>
      </c>
      <c r="I2" s="3" t="inlineStr">
        <is>
          <t>First Grade</t>
        </is>
      </c>
      <c r="J2" s="3" t="inlineStr">
        <is>
          <t>In-school study</t>
        </is>
      </c>
    </row>
    <row r="3" ht="14.25" customHeight="1" s="10">
      <c r="A3" s="3" t="n">
        <v>2</v>
      </c>
      <c r="B3" s="3" t="inlineStr">
        <is>
          <t>KJ25XXX2</t>
        </is>
      </c>
      <c r="C3" s="3" t="inlineStr">
        <is>
          <t>Zou Lei</t>
        </is>
      </c>
      <c r="D3" s="11" t="inlineStr">
        <is>
          <t>XXXXXX2016215XX73</t>
        </is>
      </c>
      <c r="E3" s="3">
        <f>IF(D3="","",IF(MOD(MID(D3,17,1),2),"男","女"))</f>
        <v/>
      </c>
      <c r="F3" s="3">
        <f>IF(D3="","",YEAR(TODAY())-MID(D3,7,4))</f>
        <v/>
      </c>
      <c r="G3" s="12" t="n">
        <v>44805</v>
      </c>
      <c r="H3" s="12">
        <f>IF(G3="","",EDATE(G3,72))</f>
        <v/>
      </c>
      <c r="I3" s="3" t="inlineStr">
        <is>
          <t>First Grade</t>
        </is>
      </c>
      <c r="J3" s="3" t="inlineStr">
        <is>
          <t>In-school study</t>
        </is>
      </c>
    </row>
    <row r="4" ht="14.25" customHeight="1" s="10">
      <c r="A4" s="3" t="n">
        <v>3</v>
      </c>
      <c r="B4" s="3" t="inlineStr">
        <is>
          <t>KJ25XXX3</t>
        </is>
      </c>
      <c r="C4" s="3" t="inlineStr">
        <is>
          <t>Baoyang</t>
        </is>
      </c>
      <c r="D4" s="11" t="inlineStr">
        <is>
          <t>XXXXXX2015215XX54</t>
        </is>
      </c>
      <c r="E4" s="3">
        <f>IF(D4="","",IF(MOD(MID(D4,17,1),2),"男","女"))</f>
        <v/>
      </c>
      <c r="F4" s="3">
        <f>IF(D4="","",YEAR(TODAY())-MID(D4,7,4))</f>
        <v/>
      </c>
      <c r="G4" s="12" t="n">
        <v>44805</v>
      </c>
      <c r="H4" s="12">
        <f>IF(G4="","",EDATE(G4,72))</f>
        <v/>
      </c>
      <c r="I4" s="3" t="inlineStr">
        <is>
          <t>First Grade</t>
        </is>
      </c>
      <c r="J4" s="3" t="inlineStr">
        <is>
          <t>In-school study</t>
        </is>
      </c>
    </row>
    <row r="5" ht="14.25" customHeight="1" s="10">
      <c r="A5" s="3" t="n">
        <v>4</v>
      </c>
      <c r="B5" s="3" t="inlineStr">
        <is>
          <t>KJ25XXX4</t>
        </is>
      </c>
      <c r="C5" s="3" t="inlineStr">
        <is>
          <t>Wang Xue</t>
        </is>
      </c>
      <c r="D5" s="11" t="inlineStr">
        <is>
          <t>XXXXXX2014215XX45</t>
        </is>
      </c>
      <c r="E5" s="3">
        <f>IF(D5="","",IF(MOD(MID(D5,17,1),2),"男","女"))</f>
        <v/>
      </c>
      <c r="F5" s="3">
        <f>IF(D5="","",YEAR(TODAY())-MID(D5,7,4))</f>
        <v/>
      </c>
      <c r="G5" s="12" t="n">
        <v>44440</v>
      </c>
      <c r="H5" s="12">
        <f>IF(G5="","",EDATE(G5,72))</f>
        <v/>
      </c>
      <c r="I5" s="3" t="inlineStr">
        <is>
          <t>Second Grade</t>
        </is>
      </c>
      <c r="J5" s="3" t="inlineStr">
        <is>
          <t>In-school study</t>
        </is>
      </c>
    </row>
    <row r="6" ht="14.25" customHeight="1" s="10">
      <c r="A6" s="3" t="n">
        <v>5</v>
      </c>
      <c r="B6" s="3" t="inlineStr">
        <is>
          <t>KJ25XXX5</t>
        </is>
      </c>
      <c r="C6" s="3" t="inlineStr">
        <is>
          <t>Fan Jie</t>
        </is>
      </c>
      <c r="D6" s="11" t="inlineStr">
        <is>
          <t>XXXXXX2014215XX66</t>
        </is>
      </c>
      <c r="E6" s="3">
        <f>IF(D6="","",IF(MOD(MID(D6,17,1),2),"男","女"))</f>
        <v/>
      </c>
      <c r="F6" s="3">
        <f>IF(D6="","",YEAR(TODAY())-MID(D6,7,4))</f>
        <v/>
      </c>
      <c r="G6" s="12" t="n">
        <v>44440</v>
      </c>
      <c r="H6" s="12">
        <f>IF(G6="","",EDATE(G6,72))</f>
        <v/>
      </c>
      <c r="I6" s="3" t="inlineStr">
        <is>
          <t>Second Grade</t>
        </is>
      </c>
      <c r="J6" s="3" t="inlineStr">
        <is>
          <t>In-school study</t>
        </is>
      </c>
    </row>
    <row r="7" ht="14.25" customHeight="1" s="10">
      <c r="A7" s="3" t="n">
        <v>6</v>
      </c>
      <c r="B7" s="3" t="inlineStr">
        <is>
          <t>KJ25XXX6</t>
        </is>
      </c>
      <c r="C7" s="3" t="inlineStr">
        <is>
          <t>Jiang Bo</t>
        </is>
      </c>
      <c r="D7" s="11" t="inlineStr">
        <is>
          <t>XXXXXX2013215XX37</t>
        </is>
      </c>
      <c r="E7" s="3">
        <f>IF(D7="","",IF(MOD(MID(D7,17,1),2),"男","女"))</f>
        <v/>
      </c>
      <c r="F7" s="3">
        <f>IF(D7="","",YEAR(TODAY())-MID(D7,7,4))</f>
        <v/>
      </c>
      <c r="G7" s="12" t="n">
        <v>44075</v>
      </c>
      <c r="H7" s="12">
        <f>IF(G7="","",EDATE(G7,72))</f>
        <v/>
      </c>
      <c r="I7" s="3" t="inlineStr">
        <is>
          <t>Third Grade</t>
        </is>
      </c>
      <c r="J7" s="3" t="inlineStr">
        <is>
          <t>Transfer out</t>
        </is>
      </c>
    </row>
    <row r="8" ht="14.25" customHeight="1" s="10">
      <c r="A8" s="3" t="n">
        <v>7</v>
      </c>
      <c r="B8" s="3" t="inlineStr">
        <is>
          <t>KJ25XXX7</t>
        </is>
      </c>
      <c r="C8" s="3" t="inlineStr">
        <is>
          <t>Jiang Tao</t>
        </is>
      </c>
      <c r="D8" s="11" t="inlineStr">
        <is>
          <t>XXXXXX20130215XX28</t>
        </is>
      </c>
      <c r="E8" s="3">
        <f>IF(D8="","",IF(MOD(MID(D8,17,1),2),"男","女"))</f>
        <v/>
      </c>
      <c r="F8" s="3">
        <f>IF(D8="","",YEAR(TODAY())-MID(D8,7,4))</f>
        <v/>
      </c>
      <c r="G8" s="12" t="n">
        <v>44075</v>
      </c>
      <c r="H8" s="12">
        <f>IF(G8="","",EDATE(G8,72))</f>
        <v/>
      </c>
      <c r="I8" s="3" t="inlineStr">
        <is>
          <t>Third Grade</t>
        </is>
      </c>
      <c r="J8" s="3" t="inlineStr">
        <is>
          <t>In-school study</t>
        </is>
      </c>
    </row>
  </sheetData>
  <conditionalFormatting sqref="A2:J8">
    <cfRule type="expression" priority="3" dxfId="0">
      <formula>MOD(ROW(),2)=1</formula>
    </cfRule>
    <cfRule type="expression" priority="2" dxfId="1">
      <formula>$B2=""</formula>
    </cfRule>
    <cfRule type="expression" priority="1" dxfId="2">
      <formula>$C2=$E$13</formula>
    </cfRule>
  </conditionalFormatting>
  <dataValidations count="1">
    <dataValidation sqref="J2:J8" showDropDown="0" showInputMessage="1" showErrorMessage="1" allowBlank="1" type="list">
      <formula1>$M$16:$M$30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2024-02-05T13:33:00Z</dcterms:created>
  <dcterms:modified xsi:type="dcterms:W3CDTF">2025-07-08T21:18:26Z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8645FF2E84AA4D71AC847AD12B3063E7_11</vt:lpwstr>
  </property>
  <property name="KSOProductBuildVer" fmtid="{D5CDD505-2E9C-101B-9397-08002B2CF9AE}" pid="3">
    <vt:lpwstr>2052-12.1.0.16250</vt:lpwstr>
  </property>
</Properties>
</file>