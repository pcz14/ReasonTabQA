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2188" windowHeight="10500" tabRatio="600" firstSheet="2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_ * #,##0_ ;_ * \-#,##0_ ;_ * &quot;-&quot;_ ;_ @_ "/>
    <numFmt numFmtId="166" formatCode="_ * #,##0_ ;_ * \-#,##0_ ;_ * &quot;-&quot;??_ ;_ @_ "/>
  </numFmts>
  <fonts count="36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0"/>
      <scheme val="minor"/>
    </font>
    <font>
      <name val="微软雅黑"/>
      <family val="2"/>
      <color theme="1"/>
      <sz val="11"/>
    </font>
    <font>
      <name val="微软雅黑"/>
      <family val="2"/>
      <b val="1"/>
      <color theme="0"/>
      <sz val="18"/>
    </font>
    <font>
      <name val="微软雅黑"/>
      <family val="2"/>
      <sz val="10"/>
    </font>
    <font>
      <name val="微软雅黑"/>
      <family val="2"/>
      <sz val="8"/>
    </font>
    <font>
      <name val="微软雅黑"/>
      <family val="2"/>
      <b val="1"/>
      <color theme="0"/>
      <sz val="10"/>
    </font>
    <font>
      <name val="微软雅黑"/>
      <family val="2"/>
      <b val="1"/>
      <sz val="12"/>
    </font>
    <font>
      <name val="微软雅黑"/>
      <family val="2"/>
      <b val="1"/>
      <color indexed="8"/>
      <sz val="12"/>
    </font>
    <font>
      <name val="微软雅黑"/>
      <family val="2"/>
      <sz val="12"/>
    </font>
    <font>
      <name val="微软雅黑"/>
      <family val="2"/>
      <color indexed="14"/>
      <sz val="12"/>
    </font>
    <font>
      <name val="微软雅黑"/>
      <family val="2"/>
      <b val="1"/>
      <sz val="16"/>
    </font>
    <font>
      <name val="微软雅黑"/>
      <family val="2"/>
      <b val="1"/>
      <sz val="10"/>
    </font>
    <font>
      <name val="微软雅黑"/>
      <family val="2"/>
      <b val="1"/>
      <color theme="1"/>
      <sz val="10"/>
    </font>
    <font>
      <name val="微软雅黑"/>
      <family val="2"/>
      <color theme="1"/>
      <sz val="10"/>
    </font>
    <font>
      <name val="微软雅黑"/>
      <family val="2"/>
      <color indexed="17"/>
      <sz val="12"/>
    </font>
    <font>
      <name val="微软雅黑"/>
      <family val="2"/>
      <b val="1"/>
      <color indexed="17"/>
      <sz val="12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3" tint="0.79997998476028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34A50"/>
        <bgColor indexed="64"/>
      </patternFill>
    </fill>
  </fills>
  <borders count="4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  <border>
      <left style="medium"/>
      <right style="thin">
        <color theme="0" tint="-0.2499900013208389"/>
      </right>
      <top style="medium"/>
      <bottom style="thin">
        <color theme="0" tint="-0.2499900013208389"/>
      </bottom>
    </border>
    <border>
      <left style="thin">
        <color theme="0" tint="-0.2499900013208389"/>
      </left>
      <right style="thin">
        <color theme="0" tint="-0.2499900013208389"/>
      </right>
      <top style="medium"/>
      <bottom style="thin">
        <color theme="0" tint="-0.2499900013208389"/>
      </bottom>
    </border>
    <border>
      <left style="medium"/>
      <right style="thin">
        <color theme="0" tint="-0.2499900013208389"/>
      </right>
      <top style="thin">
        <color theme="0" tint="-0.2499900013208389"/>
      </top>
      <bottom style="thin">
        <color theme="0" tint="-0.2499900013208389"/>
      </bottom>
    </border>
    <border>
      <left style="thin">
        <color theme="0" tint="-0.2499900013208389"/>
      </left>
      <right style="thin">
        <color theme="0" tint="-0.2499900013208389"/>
      </right>
      <top style="thin">
        <color theme="0" tint="-0.2499900013208389"/>
      </top>
      <bottom style="thin">
        <color theme="0" tint="-0.2499900013208389"/>
      </bottom>
    </border>
    <border>
      <left style="medium"/>
      <right style="thin">
        <color theme="0" tint="-0.2499900013208389"/>
      </right>
      <top style="thin">
        <color theme="0" tint="-0.2499900013208389"/>
      </top>
      <bottom style="medium"/>
    </border>
    <border>
      <left style="thin">
        <color theme="0" tint="-0.2499900013208389"/>
      </left>
      <right style="thin">
        <color theme="0" tint="-0.2499900013208389"/>
      </right>
      <top style="thin">
        <color theme="0" tint="-0.2499900013208389"/>
      </top>
      <bottom style="medium"/>
    </border>
    <border>
      <left style="thin"/>
      <right/>
      <top style="thin"/>
      <bottom style="thin"/>
    </border>
    <border>
      <left/>
      <right style="thin"/>
      <top style="thin"/>
      <bottom style="thin"/>
    </border>
    <border>
      <left style="thin">
        <color theme="0" tint="-0.2499900013208389"/>
      </left>
      <right style="medium"/>
      <top style="medium"/>
      <bottom style="thin">
        <color theme="0" tint="-0.2499900013208389"/>
      </bottom>
    </border>
    <border>
      <left style="thin">
        <color theme="0" tint="-0.2499900013208389"/>
      </left>
      <right style="medium"/>
      <top style="thin">
        <color theme="0" tint="-0.2499900013208389"/>
      </top>
      <bottom style="thin">
        <color theme="0" tint="-0.2499900013208389"/>
      </bottom>
    </border>
    <border>
      <left style="thin">
        <color theme="0" tint="-0.2499900013208389"/>
      </left>
      <right style="medium"/>
      <top style="thin">
        <color theme="0" tint="-0.2499900013208389"/>
      </top>
      <bottom style="medium"/>
    </border>
    <border>
      <left/>
      <right/>
      <top/>
      <bottom style="thin"/>
    </border>
    <border>
      <left/>
      <right/>
      <top style="medium"/>
      <bottom/>
      <diagonal/>
    </border>
    <border>
      <left/>
      <right style="thin">
        <color theme="0" tint="-0.2499900013208389"/>
      </right>
      <top style="medium"/>
      <bottom/>
      <diagonal/>
    </border>
    <border>
      <left/>
      <right/>
      <top style="medium"/>
      <bottom style="thin">
        <color theme="0" tint="-0.2499900013208389"/>
      </bottom>
      <diagonal/>
    </border>
    <border>
      <left/>
      <right style="thin">
        <color theme="0" tint="-0.2499900013208389"/>
      </right>
      <top style="medium"/>
      <bottom style="thin">
        <color theme="0" tint="-0.2499900013208389"/>
      </bottom>
      <diagonal/>
    </border>
    <border>
      <left/>
      <right/>
      <top style="thin">
        <color theme="0" tint="-0.2499900013208389"/>
      </top>
      <bottom/>
      <diagonal/>
    </border>
    <border>
      <left/>
      <right style="thin">
        <color theme="0" tint="-0.2499900013208389"/>
      </right>
      <top style="thin">
        <color theme="0" tint="-0.2499900013208389"/>
      </top>
      <bottom/>
      <diagonal/>
    </border>
    <border>
      <left/>
      <right/>
      <top style="thin">
        <color theme="0" tint="-0.2499900013208389"/>
      </top>
      <bottom style="thin">
        <color theme="0" tint="-0.2499900013208389"/>
      </bottom>
      <diagonal/>
    </border>
    <border>
      <left/>
      <right style="thin">
        <color theme="0" tint="-0.2499900013208389"/>
      </right>
      <top style="thin">
        <color theme="0" tint="-0.2499900013208389"/>
      </top>
      <bottom style="thin">
        <color theme="0" tint="-0.2499900013208389"/>
      </bottom>
      <diagonal/>
    </border>
    <border>
      <left/>
      <right/>
      <top style="thin">
        <color theme="0" tint="-0.2499900013208389"/>
      </top>
      <bottom style="medium"/>
      <diagonal/>
    </border>
    <border>
      <left/>
      <right style="thin">
        <color theme="0" tint="-0.2499900013208389"/>
      </right>
      <top style="thin">
        <color theme="0" tint="-0.2499900013208389"/>
      </top>
      <bottom style="medium"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medium"/>
      <right/>
      <top/>
      <bottom/>
      <diagonal/>
    </border>
    <border>
      <left style="medium"/>
      <right style="thin">
        <color theme="0" tint="-0.2499900013208389"/>
      </right>
      <top/>
      <bottom/>
      <diagonal/>
    </border>
    <border>
      <left style="medium"/>
      <right style="thin">
        <color theme="0" tint="-0.2499900013208389"/>
      </right>
      <top/>
      <bottom style="thin">
        <color theme="0" tint="-0.2499900013208389"/>
      </bottom>
      <diagonal/>
    </border>
    <border>
      <left style="thin">
        <color theme="0" tint="-0.2499900013208389"/>
      </left>
      <right/>
      <top/>
      <bottom/>
      <diagonal/>
    </border>
    <border>
      <left style="thin">
        <color theme="0" tint="-0.2499900013208389"/>
      </left>
      <right style="thin">
        <color theme="0" tint="-0.2499900013208389"/>
      </right>
      <top/>
      <bottom/>
      <diagonal/>
    </border>
    <border>
      <left style="thin">
        <color theme="0" tint="-0.2499900013208389"/>
      </left>
      <right style="thin">
        <color theme="0" tint="-0.2499900013208389"/>
      </right>
      <top/>
      <bottom style="thin">
        <color theme="0" tint="-0.2499900013208389"/>
      </bottom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18" fillId="0" borderId="0"/>
    <xf numFmtId="0" fontId="19" fillId="0" borderId="0"/>
    <xf numFmtId="0" fontId="0" fillId="2" borderId="1"/>
    <xf numFmtId="0" fontId="20" fillId="0" borderId="0"/>
    <xf numFmtId="0" fontId="21" fillId="0" borderId="0"/>
    <xf numFmtId="0" fontId="22" fillId="0" borderId="0"/>
    <xf numFmtId="0" fontId="23" fillId="0" borderId="2"/>
    <xf numFmtId="0" fontId="24" fillId="0" borderId="2"/>
    <xf numFmtId="0" fontId="25" fillId="0" borderId="3"/>
    <xf numFmtId="0" fontId="25" fillId="0" borderId="0"/>
    <xf numFmtId="0" fontId="26" fillId="3" borderId="4"/>
    <xf numFmtId="0" fontId="27" fillId="4" borderId="5"/>
    <xf numFmtId="0" fontId="28" fillId="4" borderId="4"/>
    <xf numFmtId="0" fontId="29" fillId="5" borderId="6"/>
    <xf numFmtId="0" fontId="30" fillId="0" borderId="7"/>
    <xf numFmtId="0" fontId="31" fillId="0" borderId="8"/>
    <xf numFmtId="0" fontId="32" fillId="6" borderId="0"/>
    <xf numFmtId="0" fontId="33" fillId="7" borderId="0"/>
    <xf numFmtId="0" fontId="34" fillId="8" borderId="0"/>
    <xf numFmtId="0" fontId="35" fillId="9" borderId="0"/>
    <xf numFmtId="0" fontId="0" fillId="10" borderId="0"/>
    <xf numFmtId="0" fontId="0" fillId="11" borderId="0"/>
    <xf numFmtId="0" fontId="35" fillId="12" borderId="0"/>
    <xf numFmtId="0" fontId="35" fillId="13" borderId="0"/>
    <xf numFmtId="0" fontId="0" fillId="14" borderId="0"/>
    <xf numFmtId="0" fontId="0" fillId="15" borderId="0"/>
    <xf numFmtId="0" fontId="35" fillId="16" borderId="0"/>
    <xf numFmtId="0" fontId="35" fillId="17" borderId="0"/>
    <xf numFmtId="0" fontId="0" fillId="18" borderId="0"/>
    <xf numFmtId="0" fontId="0" fillId="19" borderId="0"/>
    <xf numFmtId="0" fontId="35" fillId="20" borderId="0"/>
    <xf numFmtId="0" fontId="35" fillId="21" borderId="0"/>
    <xf numFmtId="0" fontId="0" fillId="22" borderId="0"/>
    <xf numFmtId="0" fontId="0" fillId="23" borderId="0"/>
    <xf numFmtId="0" fontId="35" fillId="24" borderId="0"/>
    <xf numFmtId="0" fontId="35" fillId="25" borderId="0"/>
    <xf numFmtId="0" fontId="0" fillId="26" borderId="0"/>
    <xf numFmtId="0" fontId="0" fillId="27" borderId="0"/>
    <xf numFmtId="0" fontId="35" fillId="28" borderId="0"/>
    <xf numFmtId="0" fontId="35" fillId="29" borderId="0"/>
    <xf numFmtId="0" fontId="0" fillId="30" borderId="0"/>
    <xf numFmtId="0" fontId="0" fillId="31" borderId="0"/>
    <xf numFmtId="0" fontId="35" fillId="32" borderId="0"/>
    <xf numFmtId="0" fontId="18" fillId="0" borderId="0" applyAlignment="1">
      <alignment vertical="center"/>
    </xf>
  </cellStyleXfs>
  <cellXfs count="123">
    <xf numFmtId="0" fontId="0" fillId="0" borderId="0" applyAlignment="1" pivotButton="0" quotePrefix="0" xfId="0">
      <alignment vertical="center"/>
    </xf>
    <xf numFmtId="164" fontId="2" fillId="33" borderId="9" applyAlignment="1" pivotButton="0" quotePrefix="0" xfId="0">
      <alignment horizontal="center" vertical="center"/>
    </xf>
    <xf numFmtId="0" fontId="2" fillId="33" borderId="9" applyAlignment="1" pivotButton="0" quotePrefix="0" xfId="0">
      <alignment horizontal="center" vertical="center"/>
    </xf>
    <xf numFmtId="164" fontId="2" fillId="33" borderId="9" applyAlignment="1" pivotButton="0" quotePrefix="0" xfId="0">
      <alignment horizontal="right" vertical="center"/>
    </xf>
    <xf numFmtId="0" fontId="3" fillId="34" borderId="0" applyAlignment="1" pivotButton="0" quotePrefix="0" xfId="0">
      <alignment vertical="center"/>
    </xf>
    <xf numFmtId="0" fontId="3" fillId="34" borderId="0" applyAlignment="1" pivotButton="0" quotePrefix="0" xfId="0">
      <alignment vertical="center"/>
    </xf>
    <xf numFmtId="0" fontId="3" fillId="34" borderId="0" applyAlignment="1" pivotButton="0" quotePrefix="0" xfId="0">
      <alignment horizontal="right" vertical="center"/>
    </xf>
    <xf numFmtId="165" fontId="4" fillId="35" borderId="10" applyAlignment="1" pivotButton="0" quotePrefix="0" xfId="0">
      <alignment horizontal="center" vertical="center"/>
    </xf>
    <xf numFmtId="165" fontId="4" fillId="35" borderId="11" applyAlignment="1" pivotButton="0" quotePrefix="0" xfId="0">
      <alignment horizontal="center" vertical="center"/>
    </xf>
    <xf numFmtId="165" fontId="5" fillId="34" borderId="12" applyAlignment="1" pivotButton="0" quotePrefix="0" xfId="0">
      <alignment horizontal="left" vertical="center" wrapText="1"/>
    </xf>
    <xf numFmtId="165" fontId="5" fillId="34" borderId="13" applyAlignment="1" pivotButton="0" quotePrefix="0" xfId="0">
      <alignment horizontal="left" vertical="center" wrapText="1"/>
    </xf>
    <xf numFmtId="14" fontId="6" fillId="34" borderId="12" applyAlignment="1" pivotButton="0" quotePrefix="0" xfId="0">
      <alignment horizontal="right" vertical="center"/>
    </xf>
    <xf numFmtId="165" fontId="6" fillId="34" borderId="13" applyAlignment="1" pivotButton="0" quotePrefix="0" xfId="0">
      <alignment horizontal="right" vertical="center"/>
    </xf>
    <xf numFmtId="165" fontId="7" fillId="35" borderId="12" applyAlignment="1" pivotButton="0" quotePrefix="0" xfId="0">
      <alignment horizontal="center" vertical="center" textRotation="255"/>
    </xf>
    <xf numFmtId="165" fontId="7" fillId="35" borderId="13" applyAlignment="1" pivotButton="0" quotePrefix="0" xfId="0">
      <alignment horizontal="center" vertical="center"/>
    </xf>
    <xf numFmtId="165" fontId="8" fillId="34" borderId="12" applyAlignment="1" pivotButton="0" quotePrefix="0" xfId="0">
      <alignment horizontal="center" vertical="center" wrapText="1"/>
    </xf>
    <xf numFmtId="165" fontId="8" fillId="34" borderId="13" applyAlignment="1" pivotButton="0" quotePrefix="0" xfId="0">
      <alignment horizontal="center" vertical="center" wrapText="1"/>
    </xf>
    <xf numFmtId="0" fontId="9" fillId="34" borderId="13" applyAlignment="1" pivotButton="0" quotePrefix="0" xfId="0">
      <alignment horizontal="center" vertical="center" wrapText="1"/>
    </xf>
    <xf numFmtId="165" fontId="10" fillId="34" borderId="13" applyAlignment="1" pivotButton="0" quotePrefix="0" xfId="0">
      <alignment horizontal="center" vertical="center" wrapText="1"/>
    </xf>
    <xf numFmtId="165" fontId="10" fillId="34" borderId="13" applyAlignment="1" pivotButton="0" quotePrefix="0" xfId="0">
      <alignment vertical="center" wrapText="1"/>
    </xf>
    <xf numFmtId="165" fontId="11" fillId="34" borderId="13" applyAlignment="1" pivotButton="0" quotePrefix="0" xfId="0">
      <alignment vertical="center" wrapText="1"/>
    </xf>
    <xf numFmtId="165" fontId="10" fillId="34" borderId="13" applyAlignment="1" pivotButton="0" quotePrefix="0" xfId="0">
      <alignment horizontal="left" vertical="center" wrapText="1"/>
    </xf>
    <xf numFmtId="165" fontId="8" fillId="34" borderId="13" applyAlignment="1" pivotButton="0" quotePrefix="0" xfId="0">
      <alignment horizontal="left" vertical="center" wrapText="1"/>
    </xf>
    <xf numFmtId="165" fontId="8" fillId="34" borderId="14" applyAlignment="1" pivotButton="0" quotePrefix="0" xfId="0">
      <alignment horizontal="center" vertical="center" wrapText="1"/>
    </xf>
    <xf numFmtId="165" fontId="8" fillId="34" borderId="15" applyAlignment="1" pivotButton="0" quotePrefix="0" xfId="0">
      <alignment horizontal="center" vertical="center" wrapText="1"/>
    </xf>
    <xf numFmtId="165" fontId="5" fillId="34" borderId="0" applyAlignment="1" pivotButton="0" quotePrefix="0" xfId="0">
      <alignment horizontal="center" vertical="center"/>
    </xf>
    <xf numFmtId="165" fontId="10" fillId="34" borderId="0" applyAlignment="1" pivotButton="0" quotePrefix="0" xfId="0">
      <alignment horizontal="center" vertical="center"/>
    </xf>
    <xf numFmtId="165" fontId="10" fillId="34" borderId="0" applyAlignment="1" pivotButton="0" quotePrefix="0" xfId="0">
      <alignment vertical="center"/>
    </xf>
    <xf numFmtId="165" fontId="5" fillId="34" borderId="0" applyAlignment="1" pivotButton="0" quotePrefix="0" xfId="0">
      <alignment horizontal="left" vertical="center"/>
    </xf>
    <xf numFmtId="165" fontId="12" fillId="34" borderId="0" applyAlignment="1" pivotButton="0" quotePrefix="0" xfId="0">
      <alignment horizontal="center" vertical="center"/>
    </xf>
    <xf numFmtId="165" fontId="5" fillId="34" borderId="0" applyAlignment="1" pivotButton="0" quotePrefix="0" xfId="0">
      <alignment vertical="center"/>
    </xf>
    <xf numFmtId="165" fontId="13" fillId="34" borderId="9" applyAlignment="1" pivotButton="0" quotePrefix="0" xfId="0">
      <alignment horizontal="center" vertical="center"/>
    </xf>
    <xf numFmtId="164" fontId="14" fillId="34" borderId="9" applyAlignment="1" pivotButton="0" quotePrefix="0" xfId="0">
      <alignment horizontal="center" vertical="center"/>
    </xf>
    <xf numFmtId="165" fontId="5" fillId="34" borderId="9" applyAlignment="1" pivotButton="0" quotePrefix="0" xfId="0">
      <alignment vertical="center"/>
    </xf>
    <xf numFmtId="164" fontId="15" fillId="34" borderId="9" applyAlignment="1" pivotButton="0" quotePrefix="0" xfId="0">
      <alignment horizontal="center" vertical="center"/>
    </xf>
    <xf numFmtId="0" fontId="15" fillId="34" borderId="9" applyAlignment="1" pivotButton="0" quotePrefix="0" xfId="0">
      <alignment horizontal="center" vertical="center"/>
    </xf>
    <xf numFmtId="164" fontId="15" fillId="34" borderId="9" applyAlignment="1" pivotButton="0" quotePrefix="0" xfId="0">
      <alignment horizontal="right" vertical="center"/>
    </xf>
    <xf numFmtId="164" fontId="14" fillId="34" borderId="16" applyAlignment="1" pivotButton="0" quotePrefix="0" xfId="0">
      <alignment horizontal="center" vertical="center"/>
    </xf>
    <xf numFmtId="164" fontId="14" fillId="34" borderId="17" applyAlignment="1" pivotButton="0" quotePrefix="0" xfId="0">
      <alignment horizontal="center" vertical="center"/>
    </xf>
    <xf numFmtId="164" fontId="15" fillId="34" borderId="0" applyAlignment="1" pivotButton="0" quotePrefix="0" xfId="0">
      <alignment horizontal="center" vertical="center"/>
    </xf>
    <xf numFmtId="164" fontId="15" fillId="34" borderId="0" applyAlignment="1" pivotButton="0" quotePrefix="0" xfId="0">
      <alignment horizontal="right" vertical="center"/>
    </xf>
    <xf numFmtId="0" fontId="14" fillId="34" borderId="9" applyAlignment="1" pivotButton="0" quotePrefix="0" xfId="0">
      <alignment horizontal="center" vertical="center"/>
    </xf>
    <xf numFmtId="0" fontId="15" fillId="34" borderId="9" applyAlignment="1" pivotButton="0" quotePrefix="0" xfId="0">
      <alignment horizontal="center" vertical="center"/>
    </xf>
    <xf numFmtId="164" fontId="15" fillId="34" borderId="16" applyAlignment="1" pivotButton="0" quotePrefix="0" xfId="0">
      <alignment horizontal="center" vertical="center"/>
    </xf>
    <xf numFmtId="164" fontId="15" fillId="34" borderId="17" applyAlignment="1" pivotButton="0" quotePrefix="0" xfId="0">
      <alignment horizontal="center" vertical="center"/>
    </xf>
    <xf numFmtId="165" fontId="4" fillId="35" borderId="18" applyAlignment="1" pivotButton="0" quotePrefix="0" xfId="0">
      <alignment horizontal="center" vertical="center"/>
    </xf>
    <xf numFmtId="165" fontId="5" fillId="34" borderId="19" applyAlignment="1" pivotButton="0" quotePrefix="0" xfId="0">
      <alignment horizontal="left" vertical="center" wrapText="1"/>
    </xf>
    <xf numFmtId="165" fontId="6" fillId="34" borderId="19" applyAlignment="1" pivotButton="0" quotePrefix="0" xfId="0">
      <alignment horizontal="right" vertical="center"/>
    </xf>
    <xf numFmtId="165" fontId="7" fillId="35" borderId="13" applyAlignment="1" pivotButton="0" quotePrefix="0" xfId="0">
      <alignment horizontal="right" vertical="center"/>
    </xf>
    <xf numFmtId="165" fontId="7" fillId="35" borderId="19" applyAlignment="1" pivotButton="0" quotePrefix="0" xfId="0">
      <alignment horizontal="center" vertical="center"/>
    </xf>
    <xf numFmtId="165" fontId="8" fillId="34" borderId="13" applyAlignment="1" pivotButton="0" quotePrefix="0" xfId="0">
      <alignment horizontal="right" vertical="center" wrapText="1"/>
    </xf>
    <xf numFmtId="165" fontId="10" fillId="34" borderId="19" applyAlignment="1" pivotButton="0" quotePrefix="0" xfId="0">
      <alignment horizontal="center" vertical="center" wrapText="1"/>
    </xf>
    <xf numFmtId="165" fontId="10" fillId="34" borderId="19" applyAlignment="1" pivotButton="0" quotePrefix="0" xfId="0">
      <alignment horizontal="left" vertical="center" wrapText="1"/>
    </xf>
    <xf numFmtId="165" fontId="16" fillId="34" borderId="19" applyAlignment="1" pivotButton="0" quotePrefix="0" xfId="0">
      <alignment horizontal="left" vertical="center" wrapText="1"/>
    </xf>
    <xf numFmtId="166" fontId="8" fillId="34" borderId="13" applyAlignment="1" pivotButton="0" quotePrefix="0" xfId="20">
      <alignment horizontal="right" vertical="center" wrapText="1"/>
    </xf>
    <xf numFmtId="165" fontId="17" fillId="34" borderId="19" applyAlignment="1" pivotButton="0" quotePrefix="0" xfId="0">
      <alignment horizontal="left" vertical="center" wrapText="1"/>
    </xf>
    <xf numFmtId="165" fontId="10" fillId="34" borderId="13" applyAlignment="1" pivotButton="0" quotePrefix="0" xfId="0">
      <alignment horizontal="right" vertical="center" wrapText="1"/>
    </xf>
    <xf numFmtId="166" fontId="8" fillId="34" borderId="15" applyAlignment="1" pivotButton="0" quotePrefix="0" xfId="20">
      <alignment horizontal="right" vertical="center" wrapText="1"/>
    </xf>
    <xf numFmtId="165" fontId="17" fillId="34" borderId="20" applyAlignment="1" pivotButton="0" quotePrefix="0" xfId="0">
      <alignment horizontal="left" vertical="center" wrapText="1"/>
    </xf>
    <xf numFmtId="165" fontId="10" fillId="34" borderId="0" applyAlignment="1" pivotButton="0" quotePrefix="0" xfId="0">
      <alignment horizontal="right" vertical="center"/>
    </xf>
    <xf numFmtId="165" fontId="5" fillId="34" borderId="21" applyAlignment="1" pivotButton="0" quotePrefix="0" xfId="0">
      <alignment horizontal="center" vertical="center"/>
    </xf>
    <xf numFmtId="165" fontId="5" fillId="34" borderId="9" applyAlignment="1" pivotButton="0" quotePrefix="0" xfId="0">
      <alignment horizontal="right" vertical="center"/>
    </xf>
    <xf numFmtId="0" fontId="15" fillId="34" borderId="9" applyAlignment="1" pivotButton="0" quotePrefix="0" xfId="0">
      <alignment horizontal="right" vertical="center"/>
    </xf>
    <xf numFmtId="0" fontId="15" fillId="34" borderId="0" applyAlignment="1" pivotButton="0" quotePrefix="0" xfId="0">
      <alignment vertical="center"/>
    </xf>
    <xf numFmtId="0" fontId="3" fillId="34" borderId="9" applyAlignment="1" pivotButton="0" quotePrefix="0" xfId="0">
      <alignment horizontal="right" vertical="center"/>
    </xf>
    <xf numFmtId="0" fontId="3" fillId="34" borderId="0" applyAlignment="1" pivotButton="0" quotePrefix="0" xfId="0">
      <alignment horizontal="right" vertical="center"/>
    </xf>
    <xf numFmtId="0" fontId="31" fillId="0" borderId="0" applyAlignment="1" pivotButton="0" quotePrefix="0" xfId="0">
      <alignment vertical="center"/>
    </xf>
    <xf numFmtId="0" fontId="18" fillId="0" borderId="0" applyAlignment="1" pivotButton="0" quotePrefix="0" xfId="68">
      <alignment vertical="center"/>
    </xf>
    <xf numFmtId="0" fontId="18" fillId="0" borderId="0" applyAlignment="1" pivotButton="0" quotePrefix="0" xfId="0">
      <alignment vertical="center"/>
    </xf>
    <xf numFmtId="0" fontId="0" fillId="0" borderId="0" pivotButton="0" quotePrefix="0" xfId="0"/>
    <xf numFmtId="165" fontId="4" fillId="35" borderId="10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165" fontId="5" fillId="34" borderId="12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29" pivotButton="0" quotePrefix="0" xfId="0"/>
    <xf numFmtId="165" fontId="7" fillId="35" borderId="12" applyAlignment="1" pivotButton="0" quotePrefix="0" xfId="0">
      <alignment horizontal="center" vertical="center" textRotation="255"/>
    </xf>
    <xf numFmtId="165" fontId="7" fillId="35" borderId="13" applyAlignment="1" pivotButton="0" quotePrefix="0" xfId="0">
      <alignment horizontal="center" vertical="center"/>
    </xf>
    <xf numFmtId="165" fontId="7" fillId="35" borderId="13" applyAlignment="1" pivotButton="0" quotePrefix="0" xfId="0">
      <alignment horizontal="right" vertical="center"/>
    </xf>
    <xf numFmtId="165" fontId="7" fillId="35" borderId="19" applyAlignment="1" pivotButton="0" quotePrefix="0" xfId="0">
      <alignment horizontal="center" vertical="center"/>
    </xf>
    <xf numFmtId="165" fontId="8" fillId="34" borderId="12" applyAlignment="1" pivotButton="0" quotePrefix="0" xfId="0">
      <alignment horizontal="center" vertical="center" wrapText="1"/>
    </xf>
    <xf numFmtId="165" fontId="8" fillId="34" borderId="13" applyAlignment="1" pivotButton="0" quotePrefix="0" xfId="0">
      <alignment horizontal="center" vertical="center" wrapText="1"/>
    </xf>
    <xf numFmtId="165" fontId="10" fillId="34" borderId="13" applyAlignment="1" pivotButton="0" quotePrefix="0" xfId="0">
      <alignment horizontal="center" vertical="center" wrapText="1"/>
    </xf>
    <xf numFmtId="165" fontId="10" fillId="34" borderId="13" applyAlignment="1" pivotButton="0" quotePrefix="0" xfId="0">
      <alignment vertical="center" wrapText="1"/>
    </xf>
    <xf numFmtId="165" fontId="8" fillId="34" borderId="13" applyAlignment="1" pivotButton="0" quotePrefix="0" xfId="0">
      <alignment horizontal="right" vertical="center" wrapText="1"/>
    </xf>
    <xf numFmtId="165" fontId="10" fillId="34" borderId="19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41" pivotButton="0" quotePrefix="0" xfId="0"/>
    <xf numFmtId="165" fontId="11" fillId="34" borderId="13" applyAlignment="1" pivotButton="0" quotePrefix="0" xfId="0">
      <alignment vertical="center" wrapText="1"/>
    </xf>
    <xf numFmtId="165" fontId="10" fillId="34" borderId="19" applyAlignment="1" pivotButton="0" quotePrefix="0" xfId="0">
      <alignment horizontal="left" vertical="center" wrapText="1"/>
    </xf>
    <xf numFmtId="165" fontId="10" fillId="34" borderId="13" applyAlignment="1" pivotButton="0" quotePrefix="0" xfId="0">
      <alignment horizontal="left" vertical="center" wrapText="1"/>
    </xf>
    <xf numFmtId="165" fontId="16" fillId="34" borderId="19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40" pivotButton="0" quotePrefix="0" xfId="0"/>
    <xf numFmtId="165" fontId="8" fillId="34" borderId="13" applyAlignment="1" pivotButton="0" quotePrefix="0" xfId="0">
      <alignment horizontal="left" vertical="center" wrapText="1"/>
    </xf>
    <xf numFmtId="166" fontId="8" fillId="34" borderId="13" applyAlignment="1" pivotButton="0" quotePrefix="0" xfId="20">
      <alignment horizontal="right" vertical="center" wrapText="1"/>
    </xf>
    <xf numFmtId="165" fontId="17" fillId="34" borderId="19" applyAlignment="1" pivotButton="0" quotePrefix="0" xfId="0">
      <alignment horizontal="left" vertical="center" wrapText="1"/>
    </xf>
    <xf numFmtId="165" fontId="10" fillId="34" borderId="13" applyAlignment="1" pivotButton="0" quotePrefix="0" xfId="0">
      <alignment horizontal="right" vertical="center" wrapText="1"/>
    </xf>
    <xf numFmtId="165" fontId="8" fillId="34" borderId="14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166" fontId="8" fillId="34" borderId="15" applyAlignment="1" pivotButton="0" quotePrefix="0" xfId="20">
      <alignment horizontal="right" vertical="center" wrapText="1"/>
    </xf>
    <xf numFmtId="165" fontId="17" fillId="34" borderId="20" applyAlignment="1" pivotButton="0" quotePrefix="0" xfId="0">
      <alignment horizontal="left" vertical="center" wrapText="1"/>
    </xf>
    <xf numFmtId="165" fontId="5" fillId="34" borderId="0" applyAlignment="1" pivotButton="0" quotePrefix="0" xfId="0">
      <alignment horizontal="center" vertical="center"/>
    </xf>
    <xf numFmtId="165" fontId="10" fillId="34" borderId="0" applyAlignment="1" pivotButton="0" quotePrefix="0" xfId="0">
      <alignment horizontal="center" vertical="center"/>
    </xf>
    <xf numFmtId="165" fontId="10" fillId="34" borderId="0" applyAlignment="1" pivotButton="0" quotePrefix="0" xfId="0">
      <alignment vertical="center"/>
    </xf>
    <xf numFmtId="165" fontId="10" fillId="34" borderId="0" applyAlignment="1" pivotButton="0" quotePrefix="0" xfId="0">
      <alignment horizontal="right" vertical="center"/>
    </xf>
    <xf numFmtId="165" fontId="5" fillId="34" borderId="0" applyAlignment="1" pivotButton="0" quotePrefix="0" xfId="0">
      <alignment horizontal="left" vertical="center"/>
    </xf>
    <xf numFmtId="165" fontId="12" fillId="34" borderId="0" applyAlignment="1" pivotButton="0" quotePrefix="0" xfId="0">
      <alignment horizontal="center" vertical="center"/>
    </xf>
    <xf numFmtId="165" fontId="5" fillId="34" borderId="0" applyAlignment="1" pivotButton="0" quotePrefix="0" xfId="0">
      <alignment vertical="center"/>
    </xf>
    <xf numFmtId="165" fontId="5" fillId="34" borderId="21" applyAlignment="1" pivotButton="0" quotePrefix="0" xfId="0">
      <alignment horizontal="center" vertical="center"/>
    </xf>
    <xf numFmtId="0" fontId="0" fillId="0" borderId="32" pivotButton="0" quotePrefix="0" xfId="0"/>
    <xf numFmtId="165" fontId="13" fillId="34" borderId="9" applyAlignment="1" pivotButton="0" quotePrefix="0" xfId="0">
      <alignment horizontal="center" vertical="center"/>
    </xf>
    <xf numFmtId="164" fontId="14" fillId="34" borderId="9" applyAlignment="1" pivotButton="0" quotePrefix="0" xfId="0">
      <alignment horizontal="center" vertical="center"/>
    </xf>
    <xf numFmtId="165" fontId="5" fillId="34" borderId="9" applyAlignment="1" pivotButton="0" quotePrefix="0" xfId="0">
      <alignment vertical="center"/>
    </xf>
    <xf numFmtId="164" fontId="15" fillId="34" borderId="9" applyAlignment="1" pivotButton="0" quotePrefix="0" xfId="0">
      <alignment horizontal="center" vertical="center"/>
    </xf>
    <xf numFmtId="164" fontId="15" fillId="34" borderId="9" applyAlignment="1" pivotButton="0" quotePrefix="0" xfId="0">
      <alignment horizontal="right" vertical="center"/>
    </xf>
    <xf numFmtId="165" fontId="5" fillId="34" borderId="9" applyAlignment="1" pivotButton="0" quotePrefix="0" xfId="0">
      <alignment horizontal="right" vertical="center"/>
    </xf>
    <xf numFmtId="0" fontId="0" fillId="0" borderId="35" pivotButton="0" quotePrefix="0" xfId="0"/>
    <xf numFmtId="164" fontId="15" fillId="34" borderId="0" applyAlignment="1" pivotButton="0" quotePrefix="0" xfId="0">
      <alignment horizontal="center" vertical="center"/>
    </xf>
    <xf numFmtId="164" fontId="15" fillId="34" borderId="0" applyAlignment="1" pivotButton="0" quotePrefix="0" xfId="0">
      <alignment horizontal="right" vertical="center"/>
    </xf>
    <xf numFmtId="164" fontId="2" fillId="33" borderId="9" applyAlignment="1" pivotButton="0" quotePrefix="0" xfId="0">
      <alignment horizontal="center" vertical="center"/>
    </xf>
    <xf numFmtId="164" fontId="2" fillId="33" borderId="9" applyAlignment="1" pivotButton="0" quotePrefix="0" xfId="0">
      <alignment horizontal="right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50"/>
  <sheetViews>
    <sheetView topLeftCell="A1" workbookViewId="0">
      <selection activeCell="N8" sqref="N8"/>
    </sheetView>
  </sheetViews>
  <sheetFormatPr baseColWidth="8" defaultColWidth="9.00390625" defaultRowHeight="15"/>
  <cols>
    <col width="9.00390625" customWidth="1" style="5" min="1" max="2"/>
    <col width="11.28125" customWidth="1" style="5" min="3" max="3"/>
    <col width="14.28125" customWidth="1" style="5" min="4" max="5"/>
    <col width="14.28125" customWidth="1" style="5" min="6" max="6"/>
    <col width="14.28125" customWidth="1" style="5" min="7" max="9"/>
    <col width="14.28125" customWidth="1" style="65" min="10" max="10"/>
    <col width="9.00390625" customWidth="1" style="5" min="11" max="13"/>
    <col width="21.421875" customWidth="1" style="5" min="14" max="14"/>
    <col width="9.00390625" customWidth="1" style="5" min="15" max="16384"/>
  </cols>
  <sheetData>
    <row r="1" ht="15" customHeight="1" s="69"/>
    <row r="2" ht="42.75" customHeight="1" s="69">
      <c r="B2" s="70" t="inlineStr">
        <is>
          <t>Team Building Fund Budget (Estimated)</t>
        </is>
      </c>
      <c r="C2" s="71" t="n"/>
      <c r="D2" s="71" t="n"/>
      <c r="E2" s="71" t="n"/>
      <c r="F2" s="71" t="n"/>
      <c r="G2" s="71" t="n"/>
      <c r="H2" s="71" t="n"/>
      <c r="I2" s="71" t="n"/>
      <c r="J2" s="71" t="n"/>
      <c r="K2" s="72" t="n"/>
    </row>
    <row r="3" ht="15" customHeight="1" s="69">
      <c r="B3" s="73" t="inlineStr">
        <is>
          <t>Based on the estimated expenses budget for the spring training in xx year.</t>
        </is>
      </c>
      <c r="C3" s="74" t="n"/>
      <c r="D3" s="74" t="n"/>
      <c r="E3" s="74" t="n"/>
      <c r="F3" s="74" t="n"/>
      <c r="G3" s="74" t="n"/>
      <c r="H3" s="74" t="n"/>
      <c r="I3" s="74" t="n"/>
      <c r="J3" s="74" t="n"/>
      <c r="K3" s="75" t="n"/>
    </row>
    <row r="4" ht="15" customHeight="1" s="69">
      <c r="B4" s="73" t="inlineStr">
        <is>
          <t>One, the number of participants is temporarily calculated as x people;</t>
        </is>
      </c>
      <c r="C4" s="74" t="n"/>
      <c r="D4" s="74" t="n"/>
      <c r="E4" s="74" t="n"/>
      <c r="F4" s="74" t="n"/>
      <c r="G4" s="74" t="n"/>
      <c r="H4" s="74" t="n"/>
      <c r="I4" s="74" t="n"/>
      <c r="J4" s="74" t="n"/>
      <c r="K4" s="75" t="n"/>
    </row>
    <row r="5" ht="15" customHeight="1" s="69">
      <c r="B5" s="73" t="inlineStr">
        <is>
          <t>II. Meeting Dates: May 21-22, 20xx (a total of 2 days), November 15-16, 20xx (a total of 2 days)</t>
        </is>
      </c>
      <c r="C5" s="74" t="n"/>
      <c r="D5" s="74" t="n"/>
      <c r="E5" s="74" t="n"/>
      <c r="F5" s="74" t="n"/>
      <c r="G5" s="74" t="n"/>
      <c r="H5" s="74" t="n"/>
      <c r="I5" s="74" t="n"/>
      <c r="J5" s="74" t="n"/>
      <c r="K5" s="75" t="n"/>
    </row>
    <row r="6" ht="15" customHeight="1" s="69">
      <c r="B6" s="73" t="inlineStr">
        <is>
          <t>Three. Conference Location: Hotel</t>
        </is>
      </c>
      <c r="C6" s="74" t="n"/>
      <c r="D6" s="74" t="n"/>
      <c r="E6" s="74" t="n"/>
      <c r="F6" s="74" t="n"/>
      <c r="G6" s="74" t="n"/>
      <c r="H6" s="74" t="n"/>
      <c r="I6" s="74" t="n"/>
      <c r="J6" s="74" t="n"/>
      <c r="K6" s="75" t="n"/>
    </row>
    <row r="7" ht="15" customHeight="1" s="69">
      <c r="B7" s="11">
        <f>TODAY()</f>
        <v/>
      </c>
      <c r="C7" s="74" t="n"/>
      <c r="D7" s="74" t="n"/>
      <c r="E7" s="74" t="n"/>
      <c r="F7" s="74" t="n"/>
      <c r="G7" s="74" t="n"/>
      <c r="H7" s="74" t="n"/>
      <c r="I7" s="74" t="n"/>
      <c r="J7" s="74" t="n"/>
      <c r="K7" s="75" t="n"/>
    </row>
    <row r="8" ht="63.75" customHeight="1" s="69">
      <c r="B8" s="76" t="inlineStr">
        <is>
          <t>Number</t>
        </is>
      </c>
      <c r="C8" s="77" t="inlineStr">
        <is>
          <t>Item</t>
        </is>
      </c>
      <c r="D8" s="77" t="inlineStr">
        <is>
          <t>Project Description</t>
        </is>
      </c>
      <c r="E8" s="77" t="inlineStr">
        <is>
          <t>Basis for Calculation</t>
        </is>
      </c>
      <c r="F8" s="74" t="n"/>
      <c r="G8" s="74" t="n"/>
      <c r="H8" s="74" t="n"/>
      <c r="I8" s="75" t="n"/>
      <c r="J8" s="78" t="inlineStr">
        <is>
          <t>Subtotal of Budget Expenses</t>
        </is>
      </c>
      <c r="K8" s="79" t="inlineStr">
        <is>
          <t>Notes</t>
        </is>
      </c>
    </row>
    <row r="9" ht="17.25" customHeight="1" s="69">
      <c r="B9" s="80" t="n">
        <v>1</v>
      </c>
      <c r="C9" s="81" t="inlineStr">
        <is>
          <t>Accommodation Cost</t>
        </is>
      </c>
      <c r="D9" s="17" t="inlineStr">
        <is>
          <t>Unit</t>
        </is>
      </c>
      <c r="E9" s="82" t="inlineStr">
        <is>
          <t>Amount</t>
        </is>
      </c>
      <c r="F9" s="83" t="inlineStr">
        <is>
          <t>Set/Room</t>
        </is>
      </c>
      <c r="G9" s="82" t="inlineStr">
        <is>
          <t>Day</t>
        </is>
      </c>
      <c r="H9" s="82" t="inlineStr">
        <is>
          <t>Person</t>
        </is>
      </c>
      <c r="I9" s="82" t="inlineStr">
        <is>
          <t>Time(s)</t>
        </is>
      </c>
      <c r="J9" s="84" t="n"/>
      <c r="K9" s="85" t="n"/>
    </row>
    <row r="10" ht="17.25" customHeight="1" s="69">
      <c r="B10" s="86" t="n"/>
      <c r="C10" s="87" t="n"/>
      <c r="D10" s="83" t="inlineStr">
        <is>
          <t>Double bed room</t>
        </is>
      </c>
      <c r="E10" s="82" t="n">
        <v>150</v>
      </c>
      <c r="F10" s="88" t="n">
        <v>1</v>
      </c>
      <c r="G10" s="82" t="n">
        <v>1</v>
      </c>
      <c r="H10" s="82" t="n">
        <v>1</v>
      </c>
      <c r="I10" s="82" t="n">
        <v>2</v>
      </c>
      <c r="J10" s="84">
        <f>E10*G10*H10*I10</f>
        <v/>
      </c>
      <c r="K10" s="89" t="inlineStr">
        <is>
          <t>Includes breakfast</t>
        </is>
      </c>
    </row>
    <row r="11" ht="17.25" customHeight="1" s="69">
      <c r="B11" s="80" t="n">
        <v>2</v>
      </c>
      <c r="C11" s="81" t="inlineStr">
        <is>
          <t>Venue Rental Fee</t>
        </is>
      </c>
      <c r="D11" s="90" t="inlineStr">
        <is>
          <t>Teahouse Restaurant</t>
        </is>
      </c>
      <c r="E11" s="82" t="n">
        <v>50</v>
      </c>
      <c r="F11" s="83" t="n">
        <v>1</v>
      </c>
      <c r="G11" s="82" t="n">
        <v>1</v>
      </c>
      <c r="H11" s="82" t="n">
        <v>1</v>
      </c>
      <c r="I11" s="82" t="n">
        <v>2</v>
      </c>
      <c r="J11" s="84">
        <f>E11*G11*H11*I11</f>
        <v/>
      </c>
      <c r="K11" s="91" t="n"/>
    </row>
    <row r="12" ht="17.25" customHeight="1" s="69">
      <c r="B12" s="80" t="n">
        <v>3</v>
      </c>
      <c r="C12" s="81" t="inlineStr">
        <is>
          <t>Meal expenses</t>
        </is>
      </c>
      <c r="D12" s="90" t="inlineStr">
        <is>
          <t>Lunch</t>
        </is>
      </c>
      <c r="E12" s="82" t="n">
        <v>80</v>
      </c>
      <c r="F12" s="88" t="n"/>
      <c r="G12" s="82" t="n">
        <v>1</v>
      </c>
      <c r="H12" s="82" t="n">
        <v>1</v>
      </c>
      <c r="I12" s="82" t="n">
        <v>2</v>
      </c>
      <c r="J12" s="84">
        <f>E12*G12*H12*I12</f>
        <v/>
      </c>
      <c r="K12" s="91" t="n"/>
    </row>
    <row r="13" ht="17.25" customHeight="1" s="69">
      <c r="B13" s="92" t="n"/>
      <c r="C13" s="93" t="n"/>
      <c r="D13" s="90" t="inlineStr">
        <is>
          <t>Dinner</t>
        </is>
      </c>
      <c r="E13" s="82" t="n">
        <v>100</v>
      </c>
      <c r="F13" s="88" t="n"/>
      <c r="G13" s="82" t="n">
        <v>1</v>
      </c>
      <c r="H13" s="82" t="n">
        <v>1</v>
      </c>
      <c r="I13" s="82" t="n">
        <v>2</v>
      </c>
      <c r="J13" s="84">
        <f>E13*G13*H13*I13</f>
        <v/>
      </c>
      <c r="K13" s="91" t="n"/>
    </row>
    <row r="14" ht="22.5" customHeight="1" s="69">
      <c r="B14" s="92" t="n"/>
      <c r="C14" s="93" t="n"/>
      <c r="D14" s="90" t="inlineStr">
        <is>
          <t>Tea Break</t>
        </is>
      </c>
      <c r="E14" s="82" t="n">
        <v>20</v>
      </c>
      <c r="F14" s="83" t="n"/>
      <c r="G14" s="82" t="n">
        <v>1</v>
      </c>
      <c r="H14" s="82" t="n">
        <v>1</v>
      </c>
      <c r="I14" s="82" t="n">
        <v>2</v>
      </c>
      <c r="J14" s="84">
        <f>E14*G14*H14*I14</f>
        <v/>
      </c>
      <c r="K14" s="91" t="n"/>
    </row>
    <row r="15" ht="15.75" customHeight="1" s="69">
      <c r="B15" s="92" t="n"/>
      <c r="C15" s="93" t="n"/>
      <c r="D15" s="90" t="inlineStr">
        <is>
          <t>Beverages and drinks</t>
        </is>
      </c>
      <c r="E15" s="82" t="n">
        <v>50</v>
      </c>
      <c r="F15" s="83" t="n"/>
      <c r="G15" s="82" t="n">
        <v>1</v>
      </c>
      <c r="H15" s="82" t="n">
        <v>1</v>
      </c>
      <c r="I15" s="82" t="n">
        <v>2</v>
      </c>
      <c r="J15" s="84">
        <f>E15*G15*H15*I15</f>
        <v/>
      </c>
      <c r="K15" s="91" t="inlineStr">
        <is>
          <t>Bring your own alcohol, fruits, and melons.</t>
        </is>
      </c>
    </row>
    <row r="16" ht="17.25" customHeight="1" s="69">
      <c r="B16" s="86" t="n"/>
      <c r="C16" s="87" t="n"/>
      <c r="D16" s="94" t="inlineStr">
        <is>
          <t>Subtotal</t>
        </is>
      </c>
      <c r="E16" s="74" t="n"/>
      <c r="F16" s="74" t="n"/>
      <c r="G16" s="74" t="n"/>
      <c r="H16" s="74" t="n"/>
      <c r="I16" s="75" t="n"/>
      <c r="J16" s="95">
        <f>SUM(J12:J15)</f>
        <v/>
      </c>
      <c r="K16" s="96" t="n"/>
    </row>
    <row r="17" ht="17.25" customHeight="1" s="69">
      <c r="B17" s="80" t="n">
        <v>4</v>
      </c>
      <c r="C17" s="81" t="inlineStr">
        <is>
          <t>Photography</t>
        </is>
      </c>
      <c r="D17" s="90" t="inlineStr">
        <is>
          <t>Photography</t>
        </is>
      </c>
      <c r="E17" s="82" t="n">
        <v>10</v>
      </c>
      <c r="F17" s="83" t="n"/>
      <c r="G17" s="82" t="n">
        <v>1</v>
      </c>
      <c r="H17" s="82" t="n">
        <v>1</v>
      </c>
      <c r="I17" s="82" t="n">
        <v>2</v>
      </c>
      <c r="J17" s="97">
        <f>E17*G17*H17*I17</f>
        <v/>
      </c>
      <c r="K17" s="89" t="n"/>
    </row>
    <row r="18" ht="17.25" customHeight="1" s="69">
      <c r="B18" s="80" t="n">
        <v>5</v>
      </c>
      <c r="C18" s="81" t="inlineStr">
        <is>
          <t>Office Supplies</t>
        </is>
      </c>
      <c r="D18" s="90" t="inlineStr">
        <is>
          <t>Office Supplies</t>
        </is>
      </c>
      <c r="E18" s="82" t="n">
        <v>5</v>
      </c>
      <c r="F18" s="83" t="n"/>
      <c r="G18" s="82" t="n">
        <v>1</v>
      </c>
      <c r="H18" s="82" t="n">
        <v>1</v>
      </c>
      <c r="I18" s="82" t="n">
        <v>2</v>
      </c>
      <c r="J18" s="97">
        <f>E18*G18*H18*I18</f>
        <v/>
      </c>
      <c r="K18" s="91" t="n"/>
    </row>
    <row r="19" ht="17.25" customHeight="1" s="69">
      <c r="B19" s="92" t="n"/>
      <c r="C19" s="93" t="n"/>
      <c r="D19" s="90" t="inlineStr">
        <is>
          <t>Drinking water</t>
        </is>
      </c>
      <c r="E19" s="82" t="n">
        <v>5</v>
      </c>
      <c r="F19" s="83" t="n"/>
      <c r="G19" s="82" t="n">
        <v>1</v>
      </c>
      <c r="H19" s="82" t="n">
        <v>1</v>
      </c>
      <c r="I19" s="82" t="n">
        <v>2</v>
      </c>
      <c r="J19" s="97">
        <f>E19*G19*H19*I19</f>
        <v/>
      </c>
      <c r="K19" s="91" t="n"/>
    </row>
    <row r="20" ht="17.25" customHeight="1" s="69">
      <c r="B20" s="92" t="n"/>
      <c r="C20" s="93" t="n"/>
      <c r="D20" s="90" t="inlineStr">
        <is>
          <t>Food</t>
        </is>
      </c>
      <c r="E20" s="82" t="n">
        <v>20</v>
      </c>
      <c r="F20" s="83" t="n"/>
      <c r="G20" s="82" t="n">
        <v>1</v>
      </c>
      <c r="H20" s="82" t="n">
        <v>1</v>
      </c>
      <c r="I20" s="82" t="n">
        <v>2</v>
      </c>
      <c r="J20" s="97">
        <f>E20*G20*H20*I20</f>
        <v/>
      </c>
      <c r="K20" s="91" t="n"/>
    </row>
    <row r="21" ht="17.25" customHeight="1" s="69">
      <c r="B21" s="86" t="n"/>
      <c r="C21" s="87" t="n"/>
      <c r="D21" s="94" t="inlineStr">
        <is>
          <t>Subtotal</t>
        </is>
      </c>
      <c r="E21" s="74" t="n"/>
      <c r="F21" s="74" t="n"/>
      <c r="G21" s="74" t="n"/>
      <c r="H21" s="74" t="n"/>
      <c r="I21" s="75" t="n"/>
      <c r="J21" s="95">
        <f>SUM(J17:J20)</f>
        <v/>
      </c>
      <c r="K21" s="96" t="n"/>
    </row>
    <row r="22" ht="17.25" customHeight="1" s="69">
      <c r="B22" s="80" t="n">
        <v>6</v>
      </c>
      <c r="C22" s="81" t="inlineStr">
        <is>
          <t>Souvenir</t>
        </is>
      </c>
      <c r="D22" s="90" t="inlineStr">
        <is>
          <t>Water cups, etc.</t>
        </is>
      </c>
      <c r="E22" s="82" t="n">
        <v>50</v>
      </c>
      <c r="F22" s="83" t="n"/>
      <c r="G22" s="82" t="n">
        <v>1</v>
      </c>
      <c r="H22" s="82" t="n">
        <v>1</v>
      </c>
      <c r="I22" s="82" t="n">
        <v>2</v>
      </c>
      <c r="J22" s="97">
        <f>E22*G22*H22*I22</f>
        <v/>
      </c>
      <c r="K22" s="91" t="n"/>
    </row>
    <row r="23" ht="34.5" customHeight="1" s="69">
      <c r="B23" s="80" t="n">
        <v>7</v>
      </c>
      <c r="C23" s="81" t="inlineStr">
        <is>
          <t>Other</t>
        </is>
      </c>
      <c r="D23" s="90" t="inlineStr">
        <is>
          <t>Other unforeseen expenses</t>
        </is>
      </c>
      <c r="E23" s="82" t="n">
        <v>10</v>
      </c>
      <c r="F23" s="83" t="n"/>
      <c r="G23" s="82" t="n">
        <v>1</v>
      </c>
      <c r="H23" s="82" t="n">
        <v>1</v>
      </c>
      <c r="I23" s="82" t="n">
        <v>2</v>
      </c>
      <c r="J23" s="97">
        <f>E23*G23*H23*I23</f>
        <v/>
      </c>
      <c r="K23" s="91" t="n"/>
    </row>
    <row r="24" ht="17.25" customHeight="1" s="69">
      <c r="B24" s="86" t="n"/>
      <c r="C24" s="87" t="n"/>
      <c r="D24" s="94" t="inlineStr">
        <is>
          <t>Subtotal</t>
        </is>
      </c>
      <c r="E24" s="74" t="n"/>
      <c r="F24" s="74" t="n"/>
      <c r="G24" s="74" t="n"/>
      <c r="H24" s="74" t="n"/>
      <c r="I24" s="75" t="n"/>
      <c r="J24" s="95" t="n"/>
      <c r="K24" s="96" t="n"/>
    </row>
    <row r="25" ht="18" customHeight="1" s="69">
      <c r="B25" s="98" t="inlineStr">
        <is>
          <t>Total Budget</t>
        </is>
      </c>
      <c r="C25" s="99" t="n"/>
      <c r="D25" s="99" t="n"/>
      <c r="E25" s="99" t="n"/>
      <c r="F25" s="99" t="n"/>
      <c r="G25" s="99" t="n"/>
      <c r="H25" s="99" t="n"/>
      <c r="I25" s="100" t="n"/>
      <c r="J25" s="101">
        <f>J10+J11+J16+J21+J22+J23</f>
        <v/>
      </c>
      <c r="K25" s="102" t="n"/>
    </row>
    <row r="26" ht="17.25" customHeight="1" s="69">
      <c r="B26" s="103" t="inlineStr">
        <is>
          <t>Note:</t>
        </is>
      </c>
      <c r="C26" s="104" t="n"/>
      <c r="D26" s="105" t="n"/>
      <c r="E26" s="104" t="n"/>
      <c r="F26" s="105" t="n"/>
      <c r="G26" s="104" t="n"/>
      <c r="H26" s="104" t="n"/>
      <c r="I26" s="104" t="n"/>
      <c r="J26" s="106" t="n"/>
      <c r="K26" s="105" t="n"/>
    </row>
    <row r="27" ht="15" customHeight="1" s="69">
      <c r="B27" s="107" t="inlineStr">
        <is>
          <t>1. Team-building activities are held four times a year. Excluding the spring and autumn training sessions, there are two department team-building events, each lasting one and a half days, with one day of accommodation. These are scheduled once in May and once in November.</t>
        </is>
      </c>
    </row>
    <row r="28" ht="15" customHeight="1" s="69">
      <c r="B28" s="107" t="inlineStr">
        <is>
          <t>2. The table above estimates department team-building expenses per person for two events annually, at 550 yuan per person per event, totaling 1,100 yuan for two events.</t>
        </is>
      </c>
    </row>
    <row r="29" ht="15" customHeight="1" s="69">
      <c r="B29" s="107" t="n"/>
      <c r="C29" s="107" t="n"/>
      <c r="D29" s="107" t="n"/>
      <c r="E29" s="107" t="n"/>
      <c r="F29" s="107" t="n"/>
      <c r="G29" s="107" t="n"/>
      <c r="H29" s="107" t="n"/>
      <c r="I29" s="107" t="n"/>
      <c r="J29" s="107" t="n"/>
      <c r="K29" s="107" t="n"/>
    </row>
    <row r="30" ht="23.25" customHeight="1" s="69">
      <c r="B30" s="108" t="inlineStr">
        <is>
          <t>Team Building Expense Budget Summary (Two Times)</t>
        </is>
      </c>
      <c r="K30" s="109" t="n"/>
    </row>
    <row r="31" ht="15" customHeight="1" s="69">
      <c r="B31" s="103" t="n"/>
      <c r="C31" s="103" t="n"/>
      <c r="D31" s="109" t="n"/>
      <c r="E31" s="103" t="n"/>
      <c r="F31" s="109" t="n"/>
      <c r="G31" s="103" t="n"/>
      <c r="H31" s="103" t="n"/>
      <c r="I31" s="110" t="inlineStr">
        <is>
          <t>Unit: Yuan</t>
        </is>
      </c>
      <c r="J31" s="111" t="n"/>
      <c r="K31" s="109" t="n"/>
    </row>
    <row r="32" ht="18" customHeight="1" s="69">
      <c r="B32" s="112" t="inlineStr">
        <is>
          <t>Serial Number</t>
        </is>
      </c>
      <c r="C32" s="113" t="inlineStr">
        <is>
          <t>Department</t>
        </is>
      </c>
      <c r="D32" s="113" t="inlineStr">
        <is>
          <t>Wuxi Company</t>
        </is>
      </c>
      <c r="E32" s="113" t="inlineStr">
        <is>
          <t>Nantong Company</t>
        </is>
      </c>
      <c r="F32" s="113" t="inlineStr">
        <is>
          <t>Jiashan Company</t>
        </is>
      </c>
      <c r="G32" s="113" t="inlineStr">
        <is>
          <t>Total personnel</t>
        </is>
      </c>
      <c r="H32" s="113" t="inlineStr">
        <is>
          <t>Per Person Budget</t>
        </is>
      </c>
      <c r="I32" s="113" t="inlineStr">
        <is>
          <t>Budget Summary</t>
        </is>
      </c>
      <c r="J32" s="112" t="inlineStr">
        <is>
          <t>Notes</t>
        </is>
      </c>
      <c r="K32" s="109" t="n"/>
    </row>
    <row r="33" ht="18" customHeight="1" s="69">
      <c r="B33" s="114" t="n">
        <v>1</v>
      </c>
      <c r="C33" s="115" t="inlineStr">
        <is>
          <t>Finance</t>
        </is>
      </c>
      <c r="D33" s="42" t="n">
        <v>7</v>
      </c>
      <c r="E33" s="42" t="n">
        <v>3</v>
      </c>
      <c r="F33" s="42" t="n">
        <v>4</v>
      </c>
      <c r="G33" s="42">
        <f>D33+E33+F33</f>
        <v/>
      </c>
      <c r="H33" s="116" t="n">
        <v>1100</v>
      </c>
      <c r="I33" s="116">
        <f>G33*H33</f>
        <v/>
      </c>
      <c r="J33" s="117" t="n"/>
      <c r="K33" s="109" t="n"/>
    </row>
    <row r="34" ht="18" customHeight="1" s="69">
      <c r="B34" s="114" t="n">
        <v>2</v>
      </c>
      <c r="C34" s="115" t="inlineStr">
        <is>
          <t>Information</t>
        </is>
      </c>
      <c r="D34" s="42" t="n">
        <v>3</v>
      </c>
      <c r="E34" s="42" t="n"/>
      <c r="F34" s="42" t="n"/>
      <c r="G34" s="42">
        <f>D34+E34+F34</f>
        <v/>
      </c>
      <c r="H34" s="116" t="n">
        <v>1100</v>
      </c>
      <c r="I34" s="116">
        <f>G34*H34</f>
        <v/>
      </c>
      <c r="J34" s="62" t="n"/>
      <c r="K34" s="63" t="n"/>
    </row>
    <row r="35" ht="18" customHeight="1" s="69">
      <c r="B35" s="114" t="n">
        <v>3</v>
      </c>
      <c r="C35" s="115" t="inlineStr">
        <is>
          <t>Procurement</t>
        </is>
      </c>
      <c r="D35" s="42" t="n">
        <v>4</v>
      </c>
      <c r="E35" s="42" t="n"/>
      <c r="F35" s="42" t="n"/>
      <c r="G35" s="42">
        <f>D35+E35+F35</f>
        <v/>
      </c>
      <c r="H35" s="116" t="n">
        <v>1100</v>
      </c>
      <c r="I35" s="116">
        <f>G35*H35</f>
        <v/>
      </c>
      <c r="J35" s="62" t="n"/>
      <c r="K35" s="63" t="n"/>
    </row>
    <row r="36" ht="18" customHeight="1" s="69">
      <c r="B36" s="114" t="n">
        <v>4</v>
      </c>
      <c r="C36" s="115" t="inlineStr">
        <is>
          <t>Market</t>
        </is>
      </c>
      <c r="D36" s="42" t="n">
        <v>20</v>
      </c>
      <c r="E36" s="42" t="n">
        <v>5</v>
      </c>
      <c r="F36" s="42" t="n">
        <v>8</v>
      </c>
      <c r="G36" s="42">
        <f>D36+E36+F36</f>
        <v/>
      </c>
      <c r="H36" s="116" t="n">
        <v>1100</v>
      </c>
      <c r="I36" s="116">
        <f>G36*H36</f>
        <v/>
      </c>
      <c r="J36" s="62" t="n"/>
      <c r="K36" s="63" t="n"/>
    </row>
    <row r="37" ht="18" customHeight="1" s="69">
      <c r="B37" s="114" t="n">
        <v>5</v>
      </c>
      <c r="C37" s="115" t="inlineStr">
        <is>
          <t>Production</t>
        </is>
      </c>
      <c r="D37" s="42" t="n">
        <v>6</v>
      </c>
      <c r="E37" s="42" t="n">
        <v>3</v>
      </c>
      <c r="F37" s="42" t="n">
        <v>2</v>
      </c>
      <c r="G37" s="42">
        <f>D37+E37+F37</f>
        <v/>
      </c>
      <c r="H37" s="116" t="n">
        <v>1100</v>
      </c>
      <c r="I37" s="116">
        <f>G37*H37</f>
        <v/>
      </c>
      <c r="J37" s="62" t="n"/>
      <c r="K37" s="63" t="n"/>
    </row>
    <row r="38" ht="18" customHeight="1" s="69">
      <c r="B38" s="114" t="n">
        <v>6</v>
      </c>
      <c r="C38" s="115" t="inlineStr">
        <is>
          <t>R&amp;D</t>
        </is>
      </c>
      <c r="D38" s="42" t="n">
        <v>3</v>
      </c>
      <c r="E38" s="42" t="n"/>
      <c r="F38" s="42" t="n"/>
      <c r="G38" s="42">
        <f>D38+E38+F38</f>
        <v/>
      </c>
      <c r="H38" s="116" t="n">
        <v>1100</v>
      </c>
      <c r="I38" s="116">
        <f>G38*H38</f>
        <v/>
      </c>
      <c r="J38" s="64" t="n"/>
    </row>
    <row r="39" ht="18" customHeight="1" s="69">
      <c r="B39" s="114" t="n">
        <v>7</v>
      </c>
      <c r="C39" s="115" t="inlineStr">
        <is>
          <t>Quality Control</t>
        </is>
      </c>
      <c r="D39" s="42" t="n">
        <v>5</v>
      </c>
      <c r="E39" s="42" t="n">
        <v>1</v>
      </c>
      <c r="F39" s="42" t="n">
        <v>2</v>
      </c>
      <c r="G39" s="42">
        <f>D39+E39+F39</f>
        <v/>
      </c>
      <c r="H39" s="116" t="n">
        <v>1100</v>
      </c>
      <c r="I39" s="116">
        <f>G39*H39</f>
        <v/>
      </c>
      <c r="J39" s="64" t="n"/>
    </row>
    <row r="40" ht="18" customHeight="1" s="69">
      <c r="B40" s="114" t="n">
        <v>8</v>
      </c>
      <c r="C40" s="115" t="inlineStr">
        <is>
          <t>Comprehensive Management</t>
        </is>
      </c>
      <c r="D40" s="42" t="n">
        <v>3</v>
      </c>
      <c r="E40" s="42" t="n">
        <v>1</v>
      </c>
      <c r="F40" s="42" t="n">
        <v>2</v>
      </c>
      <c r="G40" s="42">
        <f>D40+E40+F40</f>
        <v/>
      </c>
      <c r="H40" s="116" t="n">
        <v>1100</v>
      </c>
      <c r="I40" s="116">
        <f>G40*H40</f>
        <v/>
      </c>
      <c r="J40" s="64" t="n"/>
    </row>
    <row r="41" ht="18" customHeight="1" s="69">
      <c r="B41" s="114" t="n">
        <v>9</v>
      </c>
      <c r="C41" s="115" t="inlineStr">
        <is>
          <t>Total personnel</t>
        </is>
      </c>
      <c r="D41" s="42">
        <f>SUM(D33:D40)</f>
        <v/>
      </c>
      <c r="E41" s="42">
        <f>SUM(E33:E40)</f>
        <v/>
      </c>
      <c r="F41" s="42">
        <f>SUM(F33:F40)</f>
        <v/>
      </c>
      <c r="G41" s="42">
        <f>SUM(G33:G40)</f>
        <v/>
      </c>
      <c r="H41" s="116" t="n">
        <v>1100</v>
      </c>
      <c r="I41" s="116">
        <f>G41*H41</f>
        <v/>
      </c>
      <c r="J41" s="64" t="n"/>
    </row>
    <row r="42" ht="18" customHeight="1" s="69">
      <c r="B42" s="114" t="n">
        <v>10</v>
      </c>
      <c r="C42" s="115" t="inlineStr">
        <is>
          <t>Per Person Budget</t>
        </is>
      </c>
      <c r="D42" s="115" t="n">
        <v>1100</v>
      </c>
      <c r="E42" s="115" t="n">
        <v>1100</v>
      </c>
      <c r="F42" s="115" t="n">
        <v>1100</v>
      </c>
      <c r="G42" s="115" t="n">
        <v>1100</v>
      </c>
      <c r="H42" s="115" t="n"/>
      <c r="I42" s="115" t="n"/>
      <c r="J42" s="64" t="n"/>
    </row>
    <row r="43" ht="18" customHeight="1" s="69">
      <c r="B43" s="113" t="inlineStr">
        <is>
          <t>Budget Summary</t>
        </is>
      </c>
      <c r="C43" s="118" t="n"/>
      <c r="D43" s="115">
        <f>D41*D42</f>
        <v/>
      </c>
      <c r="E43" s="115">
        <f>E41*E42</f>
        <v/>
      </c>
      <c r="F43" s="115">
        <f>F41*F42</f>
        <v/>
      </c>
      <c r="G43" s="115">
        <f>G41*G42</f>
        <v/>
      </c>
      <c r="H43" s="116" t="n">
        <v>1100</v>
      </c>
      <c r="I43" s="115" t="n">
        <v>90200</v>
      </c>
      <c r="J43" s="64" t="n"/>
    </row>
    <row r="44" ht="18" customHeight="1" s="69">
      <c r="B44" s="119" t="n"/>
      <c r="C44" s="119" t="n"/>
      <c r="D44" s="119" t="n"/>
      <c r="E44" s="119" t="n"/>
      <c r="F44" s="119" t="n"/>
      <c r="G44" s="119" t="n"/>
      <c r="H44" s="120" t="n"/>
      <c r="I44" s="119" t="n"/>
      <c r="J44" s="65" t="n"/>
    </row>
    <row r="45" ht="18" customHeight="1" s="69">
      <c r="B45" s="119" t="n"/>
      <c r="C45" s="119" t="n"/>
      <c r="D45" s="119" t="n"/>
      <c r="E45" s="119" t="n"/>
      <c r="F45" s="119" t="n"/>
      <c r="G45" s="119" t="n"/>
      <c r="H45" s="120" t="n"/>
      <c r="I45" s="119" t="n"/>
      <c r="J45" s="65" t="n"/>
    </row>
    <row r="46" ht="18" customHeight="1" s="69">
      <c r="B46" s="41" t="inlineStr">
        <is>
          <t>Serial Number</t>
        </is>
      </c>
      <c r="C46" s="41" t="inlineStr">
        <is>
          <t>Department</t>
        </is>
      </c>
      <c r="D46" s="41" t="inlineStr">
        <is>
          <t>Number of people</t>
        </is>
      </c>
      <c r="E46" s="41" t="inlineStr">
        <is>
          <t>Per Person Budget</t>
        </is>
      </c>
      <c r="F46" s="41" t="inlineStr">
        <is>
          <t>Total Budget</t>
        </is>
      </c>
      <c r="G46" s="41" t="inlineStr">
        <is>
          <t>Notes</t>
        </is>
      </c>
    </row>
    <row r="47" ht="18" customHeight="1" s="69">
      <c r="B47" s="42" t="n">
        <v>1</v>
      </c>
      <c r="C47" s="115" t="inlineStr">
        <is>
          <t>Logistics</t>
        </is>
      </c>
      <c r="D47" s="42" t="n">
        <v>27</v>
      </c>
      <c r="E47" s="116" t="n">
        <v>1100</v>
      </c>
      <c r="F47" s="116">
        <f>D47*E47</f>
        <v/>
      </c>
      <c r="G47" s="42" t="n"/>
    </row>
    <row r="48" ht="18" customHeight="1" s="69">
      <c r="B48" s="42" t="n">
        <v>2</v>
      </c>
      <c r="C48" s="115" t="inlineStr">
        <is>
          <t>Market</t>
        </is>
      </c>
      <c r="D48" s="42" t="n">
        <v>33</v>
      </c>
      <c r="E48" s="116" t="n">
        <v>1100</v>
      </c>
      <c r="F48" s="116">
        <f>D48*E48</f>
        <v/>
      </c>
      <c r="G48" s="42" t="n"/>
    </row>
    <row r="49" ht="18" customHeight="1" s="69">
      <c r="B49" s="42" t="n">
        <v>3</v>
      </c>
      <c r="C49" s="115" t="inlineStr">
        <is>
          <t>Production</t>
        </is>
      </c>
      <c r="D49" s="42" t="n">
        <v>22</v>
      </c>
      <c r="E49" s="116" t="n">
        <v>1100</v>
      </c>
      <c r="F49" s="116">
        <f>D49*E49</f>
        <v/>
      </c>
      <c r="G49" s="42" t="n"/>
    </row>
    <row r="50" ht="18" customHeight="1" s="69">
      <c r="B50" s="115" t="inlineStr">
        <is>
          <t>Total</t>
        </is>
      </c>
      <c r="C50" s="118" t="n"/>
      <c r="D50" s="42">
        <f>SUM(D47:D49)</f>
        <v/>
      </c>
      <c r="E50" s="116" t="n">
        <v>1100</v>
      </c>
      <c r="F50" s="116">
        <f>D50*E50</f>
        <v/>
      </c>
      <c r="G50" s="42" t="n"/>
    </row>
  </sheetData>
  <mergeCells count="25">
    <mergeCell ref="B25:I25"/>
    <mergeCell ref="B18:B21"/>
    <mergeCell ref="B6:K6"/>
    <mergeCell ref="E8:I8"/>
    <mergeCell ref="D16:I16"/>
    <mergeCell ref="B5:K5"/>
    <mergeCell ref="B43:C43"/>
    <mergeCell ref="B23:B24"/>
    <mergeCell ref="C9:C10"/>
    <mergeCell ref="B4:K4"/>
    <mergeCell ref="B7:K7"/>
    <mergeCell ref="B3:K3"/>
    <mergeCell ref="B30:J30"/>
    <mergeCell ref="B9:B10"/>
    <mergeCell ref="D24:I24"/>
    <mergeCell ref="C23:C24"/>
    <mergeCell ref="B27:K27"/>
    <mergeCell ref="B12:B16"/>
    <mergeCell ref="B2:K2"/>
    <mergeCell ref="C12:C16"/>
    <mergeCell ref="B50:C50"/>
    <mergeCell ref="I31:J31"/>
    <mergeCell ref="B28:K28"/>
    <mergeCell ref="D21:I21"/>
    <mergeCell ref="C18:C21"/>
  </mergeCells>
  <pageMargins left="0.7" right="0.7" top="0.75" bottom="0.75" header="0.3" footer="0.3"/>
  <pageSetup orientation="portrait" paperSize="9" horizontalDpi="600" vertic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2"/>
  <sheetViews>
    <sheetView topLeftCell="A1" workbookViewId="0">
      <selection activeCell="H26" sqref="H26"/>
    </sheetView>
  </sheetViews>
  <sheetFormatPr baseColWidth="8" defaultColWidth="9.00390625" defaultRowHeight="15"/>
  <cols>
    <col width="9.421875" customWidth="1" min="3" max="6"/>
    <col width="9.140625" customWidth="1" min="7" max="7"/>
    <col width="9.421875" customWidth="1" min="8" max="8"/>
  </cols>
  <sheetData>
    <row r="1" ht="15" customHeight="1" s="69"/>
    <row r="2" ht="18" customHeight="1" s="69">
      <c r="B2" s="121" t="inlineStr">
        <is>
          <t>Department</t>
        </is>
      </c>
      <c r="C2" s="121" t="inlineStr">
        <is>
          <t>Wuxi Company</t>
        </is>
      </c>
      <c r="D2" s="121" t="inlineStr">
        <is>
          <t>Nantong Company</t>
        </is>
      </c>
      <c r="E2" s="121" t="inlineStr">
        <is>
          <t>Jiashan Company</t>
        </is>
      </c>
      <c r="F2" s="121" t="inlineStr">
        <is>
          <t>Total personnel</t>
        </is>
      </c>
      <c r="G2" s="121" t="inlineStr">
        <is>
          <t>Per Person Budget</t>
        </is>
      </c>
      <c r="H2" s="121" t="inlineStr">
        <is>
          <t>Budget Subtotal</t>
        </is>
      </c>
    </row>
    <row r="3" ht="18" customHeight="1" s="69">
      <c r="B3" s="121" t="inlineStr">
        <is>
          <t>Finance</t>
        </is>
      </c>
      <c r="C3" s="2" t="n">
        <v>7</v>
      </c>
      <c r="D3" s="2" t="n">
        <v>3</v>
      </c>
      <c r="E3" s="2" t="n">
        <v>4</v>
      </c>
      <c r="F3" s="2">
        <f>C3+D3+E3</f>
        <v/>
      </c>
      <c r="G3" s="122" t="n">
        <v>1100</v>
      </c>
      <c r="H3" s="122">
        <f>F3*G3</f>
        <v/>
      </c>
    </row>
    <row r="4" ht="18" customHeight="1" s="69">
      <c r="B4" s="121" t="inlineStr">
        <is>
          <t>Information</t>
        </is>
      </c>
      <c r="C4" s="2" t="n">
        <v>3</v>
      </c>
      <c r="D4" s="2" t="n"/>
      <c r="E4" s="2" t="n"/>
      <c r="F4" s="2">
        <f>C4+D4+E4</f>
        <v/>
      </c>
      <c r="G4" s="122" t="n">
        <v>1100</v>
      </c>
      <c r="H4" s="122">
        <f>F4*G4</f>
        <v/>
      </c>
    </row>
    <row r="5" ht="18" customHeight="1" s="69">
      <c r="B5" s="121" t="inlineStr">
        <is>
          <t>Procurement</t>
        </is>
      </c>
      <c r="C5" s="2" t="n">
        <v>4</v>
      </c>
      <c r="D5" s="2" t="n"/>
      <c r="E5" s="2" t="n"/>
      <c r="F5" s="2">
        <f>C5+D5+E5</f>
        <v/>
      </c>
      <c r="G5" s="122" t="n">
        <v>1100</v>
      </c>
      <c r="H5" s="122">
        <f>F5*G5</f>
        <v/>
      </c>
    </row>
    <row r="6" ht="18" customHeight="1" s="69">
      <c r="B6" s="121" t="inlineStr">
        <is>
          <t>Market</t>
        </is>
      </c>
      <c r="C6" s="2" t="n">
        <v>20</v>
      </c>
      <c r="D6" s="2" t="n">
        <v>5</v>
      </c>
      <c r="E6" s="2" t="n">
        <v>8</v>
      </c>
      <c r="F6" s="2">
        <f>C6+D6+E6</f>
        <v/>
      </c>
      <c r="G6" s="122" t="n">
        <v>1100</v>
      </c>
      <c r="H6" s="122">
        <f>F6*G6</f>
        <v/>
      </c>
    </row>
    <row r="7" ht="18" customHeight="1" s="69">
      <c r="B7" s="121" t="inlineStr">
        <is>
          <t>Production</t>
        </is>
      </c>
      <c r="C7" s="2" t="n">
        <v>6</v>
      </c>
      <c r="D7" s="2" t="n">
        <v>3</v>
      </c>
      <c r="E7" s="2" t="n">
        <v>2</v>
      </c>
      <c r="F7" s="2">
        <f>C7+D7+E7</f>
        <v/>
      </c>
      <c r="G7" s="122" t="n">
        <v>1100</v>
      </c>
      <c r="H7" s="122">
        <f>F7*G7</f>
        <v/>
      </c>
    </row>
    <row r="8" ht="18" customHeight="1" s="69">
      <c r="B8" s="121" t="inlineStr">
        <is>
          <t>R&amp;D</t>
        </is>
      </c>
      <c r="C8" s="2" t="n">
        <v>3</v>
      </c>
      <c r="D8" s="2" t="n"/>
      <c r="E8" s="2" t="n"/>
      <c r="F8" s="2">
        <f>C8+D8+E8</f>
        <v/>
      </c>
      <c r="G8" s="122" t="n">
        <v>1100</v>
      </c>
      <c r="H8" s="122">
        <f>F8*G8</f>
        <v/>
      </c>
    </row>
    <row r="9" ht="18" customHeight="1" s="69">
      <c r="B9" s="121" t="inlineStr">
        <is>
          <t>Quality Control</t>
        </is>
      </c>
      <c r="C9" s="2" t="n">
        <v>5</v>
      </c>
      <c r="D9" s="2" t="n">
        <v>1</v>
      </c>
      <c r="E9" s="2" t="n">
        <v>2</v>
      </c>
      <c r="F9" s="2">
        <f>C9+D9+E9</f>
        <v/>
      </c>
      <c r="G9" s="122" t="n">
        <v>1100</v>
      </c>
      <c r="H9" s="122">
        <f>F9*G9</f>
        <v/>
      </c>
    </row>
    <row r="10" ht="18" customHeight="1" s="69">
      <c r="B10" s="121" t="inlineStr">
        <is>
          <t>Comprehensive Management</t>
        </is>
      </c>
      <c r="C10" s="2" t="n">
        <v>3</v>
      </c>
      <c r="D10" s="2" t="n">
        <v>1</v>
      </c>
      <c r="E10" s="2" t="n">
        <v>2</v>
      </c>
      <c r="F10" s="2">
        <f>C10+D10+E10</f>
        <v/>
      </c>
      <c r="G10" s="122" t="n">
        <v>1100</v>
      </c>
      <c r="H10" s="122">
        <f>F10*G10</f>
        <v/>
      </c>
    </row>
    <row r="11" ht="18" customHeight="1" s="69">
      <c r="B11" s="121" t="inlineStr">
        <is>
          <t>Total personnel</t>
        </is>
      </c>
      <c r="C11" s="2">
        <f>SUM(C3:C10)</f>
        <v/>
      </c>
      <c r="D11" s="2">
        <f>SUM(D3:D10)</f>
        <v/>
      </c>
      <c r="E11" s="2">
        <f>SUM(E3:E10)</f>
        <v/>
      </c>
      <c r="F11" s="2">
        <f>SUM(F3:F10)</f>
        <v/>
      </c>
      <c r="G11" s="122" t="n">
        <v>1100</v>
      </c>
      <c r="H11" s="122">
        <f>F11*G11</f>
        <v/>
      </c>
    </row>
    <row r="12" ht="18" customHeight="1" s="69">
      <c r="B12" s="121" t="inlineStr">
        <is>
          <t>Total Budget</t>
        </is>
      </c>
      <c r="C12" s="121">
        <f>C11*$G$3</f>
        <v/>
      </c>
      <c r="D12" s="121">
        <f>D11*$G$3</f>
        <v/>
      </c>
      <c r="E12" s="121">
        <f>E11*$G$3</f>
        <v/>
      </c>
      <c r="F12" s="121">
        <f>F11*$G$3</f>
        <v/>
      </c>
      <c r="G12" s="121" t="n"/>
      <c r="H12" s="121" t="n"/>
    </row>
    <row r="13" ht="18" customHeight="1" s="69"/>
    <row r="14" ht="18" customHeight="1" s="69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zhubaisheng</dc:creator>
  <dcterms:created xsi:type="dcterms:W3CDTF">2019-02-18T05:10:00Z</dcterms:created>
  <dcterms:modified xsi:type="dcterms:W3CDTF">2025-07-08T21:00:58Z</dcterms:modified>
  <cp:lastModifiedBy>本新偬谢糙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FD9D4D8F425042BFA3D15C0F4773543F_11</vt:lpwstr>
  </property>
  <property name="KSOProductBuildVer" fmtid="{D5CDD505-2E9C-101B-9397-08002B2CF9AE}" pid="3">
    <vt:lpwstr>2052-12.1.0.16120</vt:lpwstr>
  </property>
  <property name="KSOTemplateUUID" fmtid="{D5CDD505-2E9C-101B-9397-08002B2CF9AE}" pid="4">
    <vt:lpwstr>v1.0_mb_ILMdOxumIuJgKsPKlutkMw==</vt:lpwstr>
  </property>
</Properties>
</file>