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8">
    <font>
      <name val="思源宋体 CN"/>
      <family val="2"/>
      <color theme="1"/>
      <sz val="11"/>
    </font>
    <font>
      <name val="Arial"/>
      <family val="2"/>
      <sz val="10"/>
    </font>
    <font>
      <name val="汉仪正圆 55简"/>
      <family val="2"/>
      <color theme="1"/>
      <sz val="11"/>
    </font>
    <font>
      <name val="汉仪正圆 55简"/>
      <family val="2"/>
      <b val="1"/>
      <color theme="0"/>
      <sz val="12"/>
    </font>
    <font>
      <name val="汉仪正圆 55简"/>
      <family val="2"/>
      <color theme="1"/>
      <sz val="12"/>
    </font>
    <font>
      <name val="汉仪正圆 55简"/>
      <family val="2"/>
      <b val="1"/>
      <color rgb="FF00B79B"/>
      <sz val="11"/>
    </font>
    <font>
      <name val="汉仪正圆 55简"/>
      <family val="2"/>
      <color theme="1" tint="0.3499900102615356"/>
      <sz val="11"/>
    </font>
    <font>
      <name val="思源黑体 CN Bold"/>
      <family val="2"/>
      <color theme="1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宋体"/>
      <family val="2"/>
      <color theme="0"/>
      <sz val="11"/>
    </font>
    <font>
      <name val="汉仪正圆 55简"/>
      <family val="2"/>
      <sz val="11"/>
    </font>
    <font>
      <name val="汉仪正圆 55简"/>
      <family val="2"/>
      <color theme="1" tint="0.35"/>
      <sz val="9"/>
    </font>
    <font>
      <name val="汉仪正圆 55简"/>
      <family val="2"/>
      <color theme="1" tint="0.25"/>
      <sz val="10"/>
    </font>
    <font>
      <name val="汉仪正圆 55简"/>
      <family val="2"/>
      <b val="1"/>
      <color theme="1" tint="0.25"/>
      <sz val="27"/>
    </font>
    <font>
      <name val="汉仪程行简"/>
      <family val="2"/>
      <b val="1"/>
      <color theme="0"/>
      <sz val="15"/>
    </font>
    <font>
      <name val="汉仪程行简"/>
      <family val="2"/>
      <color rgb="FF000000"/>
      <sz val="15"/>
    </font>
    <font>
      <name val="思源宋体 CN"/>
      <family val="2"/>
      <b val="1"/>
      <color theme="1"/>
      <sz val="11"/>
    </font>
    <font>
      <name val="思源宋体 CN"/>
      <family val="2"/>
      <color rgb="FF0000FF"/>
      <sz val="11"/>
      <u val="single"/>
    </font>
    <font>
      <name val="思源宋体 CN"/>
      <family val="2"/>
      <color theme="0"/>
      <sz val="11"/>
      <scheme val="minor"/>
    </font>
    <font>
      <name val="思源宋体 CN"/>
      <family val="2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00B79B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8" tint="0.7999500036239624"/>
      </left>
      <right style="thin">
        <color theme="8" tint="0.7999500036239624"/>
      </right>
      <top style="thin">
        <color theme="8" tint="0.7999500036239624"/>
      </top>
      <bottom style="thin">
        <color theme="8" tint="0.7999500036239624"/>
      </bottom>
    </border>
    <border>
      <left style="thin">
        <color theme="8" tint="0.7999799847602844"/>
      </left>
      <right style="thin">
        <color theme="8" tint="0.7999799847602844"/>
      </right>
      <top style="thin">
        <color theme="8" tint="0.7999799847602844"/>
      </top>
      <bottom style="thin">
        <color theme="8" tint="0.799979984760284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/>
    <xf numFmtId="0" fontId="9" fillId="0" borderId="0"/>
    <xf numFmtId="0" fontId="7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26" fillId="10" borderId="0"/>
    <xf numFmtId="0" fontId="26" fillId="11" borderId="0"/>
    <xf numFmtId="0" fontId="25" fillId="12" borderId="0"/>
    <xf numFmtId="0" fontId="25" fillId="13" borderId="0"/>
    <xf numFmtId="0" fontId="26" fillId="14" borderId="0"/>
    <xf numFmtId="0" fontId="26" fillId="15" borderId="0"/>
    <xf numFmtId="0" fontId="25" fillId="16" borderId="0"/>
    <xf numFmtId="0" fontId="25" fillId="17" borderId="0"/>
    <xf numFmtId="0" fontId="26" fillId="18" borderId="0"/>
    <xf numFmtId="0" fontId="26" fillId="19" borderId="0"/>
    <xf numFmtId="0" fontId="25" fillId="20" borderId="0"/>
    <xf numFmtId="0" fontId="25" fillId="21" borderId="0"/>
    <xf numFmtId="0" fontId="26" fillId="22" borderId="0"/>
    <xf numFmtId="0" fontId="26" fillId="23" borderId="0"/>
    <xf numFmtId="0" fontId="25" fillId="24" borderId="0"/>
    <xf numFmtId="0" fontId="25" fillId="25" borderId="0"/>
    <xf numFmtId="0" fontId="26" fillId="26" borderId="0"/>
    <xf numFmtId="0" fontId="26" fillId="27" borderId="0"/>
    <xf numFmtId="0" fontId="25" fillId="28" borderId="0"/>
    <xf numFmtId="0" fontId="25" fillId="29" borderId="0"/>
    <xf numFmtId="0" fontId="26" fillId="30" borderId="0"/>
    <xf numFmtId="0" fontId="26" fillId="31" borderId="0"/>
    <xf numFmtId="0" fontId="25" fillId="32" borderId="0"/>
    <xf numFmtId="0" fontId="35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  <xf numFmtId="0" fontId="3" fillId="35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34" borderId="0" applyAlignment="1" pivotButton="0" quotePrefix="0" xfId="0">
      <alignment horizontal="center" vertical="center"/>
    </xf>
    <xf numFmtId="0" fontId="6" fillId="33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0" fontId="2" fillId="33" borderId="10" applyAlignment="1" pivotButton="0" quotePrefix="0" xfId="0">
      <alignment horizontal="center" vertical="center"/>
    </xf>
    <xf numFmtId="164" fontId="2" fillId="33" borderId="10" applyAlignment="1" pivotButton="0" quotePrefix="0" xfId="20">
      <alignment horizontal="center"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68">
      <alignment vertical="center"/>
    </xf>
    <xf numFmtId="0" fontId="35" fillId="0" borderId="0" applyAlignment="1" pivotButton="0" quotePrefix="0" xfId="0">
      <alignment vertical="center"/>
    </xf>
    <xf numFmtId="0" fontId="0" fillId="0" borderId="0" pivotButton="0" quotePrefix="0" xfId="0"/>
    <xf numFmtId="164" fontId="2" fillId="33" borderId="10" applyAlignment="1" pivotButton="0" quotePrefix="0" xfId="2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6">
    <dxf>
      <fill>
        <patternFill patternType="solid">
          <bgColor rgb="FFFAFAFA"/>
        </patternFill>
      </fill>
      <border>
        <left style="mediumDashed">
          <color rgb="FF86A6E6"/>
        </left>
        <right style="mediumDashed">
          <color rgb="FF86A6E6"/>
        </right>
        <top/>
        <bottom style="medium">
          <color rgb="FF86A6E6"/>
        </bottom>
        <vertical/>
        <horizontal/>
      </border>
    </dxf>
    <dxf>
      <font>
        <color auto="1"/>
        <sz val="11"/>
      </font>
      <border>
        <left style="medium">
          <color rgb="FF86A6E6"/>
        </left>
        <right style="medium">
          <color rgb="FF86A6E6"/>
        </right>
        <top/>
        <bottom style="medium">
          <color rgb="FF86A6E6"/>
        </bottom>
        <vertical/>
        <horizontal/>
      </border>
    </dxf>
    <dxf>
      <font>
        <color theme="0"/>
        <sz val="11"/>
      </font>
      <fill>
        <gradientFill type="linear" degree="270">
          <stop position="0">
            <color rgb="FFC2CDF0"/>
          </stop>
          <stop position="1">
            <color rgb="FF86A6E6"/>
          </stop>
        </gradientFill>
      </fill>
      <border>
        <left style="medium">
          <color rgb="FF86A6E6"/>
        </left>
        <right style="medium">
          <color rgb="FF86A6E6"/>
        </right>
        <top style="medium">
          <color rgb="FF86A6E6"/>
        </top>
        <bottom/>
        <vertical/>
        <horizontal/>
      </border>
    </dxf>
    <dxf>
      <font>
        <color rgb="FF404040"/>
      </font>
      <fill>
        <patternFill patternType="solid">
          <bgColor rgb="FFCEE1DE"/>
        </patternFill>
      </fill>
      <border>
        <left style="thin">
          <color rgb="FF78ABBF"/>
        </left>
        <right style="thin">
          <color rgb="FF78ABBF"/>
        </right>
        <top style="thin">
          <color rgb="FF78ABBF"/>
        </top>
        <bottom style="thin">
          <color rgb="FF78ABBF"/>
        </bottom>
        <vertical style="thin">
          <color rgb="FF78ABBF"/>
        </vertical>
        <horizontal style="thin">
          <color rgb="FF78ABBF"/>
        </horizontal>
      </border>
    </dxf>
    <dxf>
      <font>
        <color rgb="FFFFFFFF"/>
      </font>
      <fill>
        <patternFill patternType="solid">
          <bgColor rgb="FF78ABBF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  <border>
        <left style="thin">
          <color rgb="FF78ABBF"/>
        </left>
        <right style="thin">
          <color rgb="FF78ABBF"/>
        </right>
        <top style="thin">
          <color rgb="FF78ABBF"/>
        </top>
        <bottom style="thin">
          <color rgb="FF78ABBF"/>
        </bottom>
        <vertical style="thin">
          <color rgb="FF78ABBF"/>
        </vertical>
        <horizontal style="thin">
          <color rgb="FF78ABBF"/>
        </horizontal>
      </border>
    </dxf>
  </dxfs>
  <tableStyles count="2" defaultTableStyle="TableStyleMedium2" defaultPivotStyle="PivotStyleLight16">
    <tableStyle name="蓝色浅色系渐变风标题行镶边列表格样式" count="3">
      <tableStyleElement type="headerRow" dxfId="2"/>
      <tableStyleElement type="firstColumnStripe" dxfId="1"/>
      <tableStyleElement type="secondColumnStripe" dxfId="0"/>
    </tableStyle>
    <tableStyle name="浅色通用商务表格样式22" count="3">
      <tableStyleElement type="wholeTable" dxfId="5"/>
      <tableStyleElement type="headerRow" dxfId="4"/>
      <tableStyleElement type="totalRow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55"/>
          <y val="0.20475"/>
          <w val="0.891"/>
          <h val="0.622"/>
        </manualLayout>
      </layout>
      <barChart>
        <barDir val="col"/>
        <grouping val="clustered"/>
        <varyColors val="0"/>
        <ser>
          <idx val="0"/>
          <order val="0"/>
          <tx>
            <strRef>
              <f>Sheet1!$T$12</f>
              <strCache>
                <ptCount val="1"/>
                <pt idx="0">
                  <v>项目</v>
                </pt>
              </strCache>
            </strRef>
          </tx>
          <spPr>
            <a:gradFill rotWithShape="1">
              <a:gsLst>
                <a:gs pos="0">
                  <a:srgbClr val="82D688"/>
                </a:gs>
                <a:gs pos="100000">
                  <a:srgbClr val="05B89B"/>
                </a:gs>
              </a:gsLst>
              <a:lin ang="5400000"/>
            </a:gra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Sheet1!$U$12:$AF$12</f>
              <strCache/>
            </strRef>
          </cat>
          <val>
            <numRef>
              <f>Sheet1!$U$13:$AF$13</f>
              <numCache/>
            </numRef>
          </val>
        </ser>
        <gapWidth val="133"/>
        <overlap val="-27"/>
        <axId val="29839298"/>
        <axId val="118227"/>
      </barChart>
      <catAx>
        <axId val="2983929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defRPr>
            </a:pPr>
            <a:r>
              <a:t/>
            </a:r>
          </a:p>
        </txPr>
        <crossAx val="118227"/>
        <crosses val="autoZero"/>
        <auto val="1"/>
        <lblOffset val="100"/>
        <noMultiLvlLbl val="0"/>
      </catAx>
      <valAx>
        <axId val="11822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defRPr>
            </a:pPr>
            <a:r>
              <a:t/>
            </a:r>
          </a:p>
        </txPr>
        <crossAx val="29839298"/>
        <crosses val="autoZero"/>
        <crossBetween val="between"/>
        <dispUnits/>
      </valAx>
    </plotArea>
    <plotVisOnly val="1"/>
    <dispBlanksAs val="gap"/>
  </chart>
  <spPr>
    <a:noFill/>
    <a:ln w="9525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1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rPr>
              <a:t>Top5</a:t>
            </a:r>
            <a:r>
              <a:rPr lang="en-US" sz="11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rPr>
              <a:t>项目收入对比图</a:t>
            </a:r>
          </a:p>
        </rich>
      </tx>
      <layout>
        <manualLayout>
          <xMode val="edge"/>
          <yMode val="edge"/>
          <wMode val="factor"/>
          <hMode val="factor"/>
          <x val="0.01575"/>
          <y val="0.055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0175"/>
          <y val="0.231"/>
          <w val="0.6675"/>
          <h val="0.75825"/>
        </manualLayout>
      </layout>
      <barChart>
        <barDir val="bar"/>
        <grouping val="clustered"/>
        <varyColors val="0"/>
        <ser>
          <idx val="0"/>
          <order val="0"/>
          <tx>
            <strRef>
              <f>Sheet1!$U$16</f>
              <strCache>
                <ptCount val="1"/>
                <pt idx="0">
                  <v>项目</v>
                </pt>
              </strCache>
            </strRef>
          </tx>
          <spPr>
            <a:solidFill>
              <a:srgbClr val="FEE6A4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spPr>
              <a:solidFill>
                <a:srgbClr val="FEE6A4"/>
              </a:solidFill>
              <a:ln>
                <a:noFill/>
                <a:prstDash val="solid"/>
              </a:ln>
            </spPr>
          </dPt>
          <dPt>
            <idx val="1"/>
            <invertIfNegative val="0"/>
            <spPr>
              <a:solidFill>
                <a:srgbClr val="FEE6A4"/>
              </a:solidFill>
              <a:ln>
                <a:noFill/>
                <a:prstDash val="solid"/>
              </a:ln>
            </spPr>
          </dPt>
          <dPt>
            <idx val="2"/>
            <invertIfNegative val="0"/>
            <spPr>
              <a:solidFill>
                <a:srgbClr val="FEE6A4"/>
              </a:solidFill>
              <a:ln>
                <a:noFill/>
                <a:prstDash val="solid"/>
              </a:ln>
            </spPr>
          </dPt>
          <dPt>
            <idx val="3"/>
            <invertIfNegative val="0"/>
            <spPr>
              <a:solidFill>
                <a:srgbClr val="FEE6A4"/>
              </a:solidFill>
              <a:ln>
                <a:noFill/>
                <a:prstDash val="solid"/>
              </a:ln>
            </spPr>
          </dPt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汉仪正圆 55简"/>
                    <a:ea typeface="汉仪正圆 55简"/>
                    <a:cs typeface="汉仪正圆 55简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Sheet1!$U$17:$U$21</f>
              <strCache/>
            </strRef>
          </cat>
          <val>
            <numRef>
              <f>Sheet1!$V$17:$V$21</f>
              <numCache/>
            </numRef>
          </val>
        </ser>
        <gapWidth val="122"/>
        <axId val="1064044"/>
        <axId val="9576397"/>
      </barChart>
      <catAx>
        <axId val="1064044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noFill/>
          <a:ln w="9525" cap="flat" cmpd="sng">
            <a:solidFill>
              <a:srgbClr val="EAEFFE"/>
            </a:solidFill>
            <a:prstDash val="solid"/>
            <a:round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defRPr>
            </a:pPr>
            <a:r>
              <a:t/>
            </a:r>
          </a:p>
        </txPr>
        <crossAx val="9576397"/>
        <crosses val="autoZero"/>
        <auto val="1"/>
        <lblOffset val="100"/>
        <noMultiLvlLbl val="0"/>
      </catAx>
      <valAx>
        <axId val="9576397"/>
        <scaling>
          <orientation val="minMax"/>
          <max val="180"/>
          <min val="0"/>
        </scaling>
        <delete val="1"/>
        <axPos val="t"/>
        <majorTickMark val="none"/>
        <minorTickMark val="none"/>
        <tickLblPos val="nextTo"/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正圆 55简"/>
                <a:ea typeface="汉仪正圆 55简"/>
                <a:cs typeface="汉仪正圆 55简"/>
              </a:defRPr>
            </a:pPr>
            <a:r>
              <a:t/>
            </a:r>
          </a:p>
        </txPr>
        <crossAx val="1064044"/>
        <crosses val="autoZero"/>
        <crossBetween val="between"/>
        <majorUnit val="30"/>
        <dispUnits/>
      </valAx>
    </plotArea>
    <plotVisOnly val="1"/>
    <dispBlanksAs val="gap"/>
  </chart>
  <spPr>
    <a:noFill/>
    <a:ln w="9525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647700</colOff>
      <row>4</row>
      <rowOff>247650</rowOff>
    </from>
    <to>
      <col>15</col>
      <colOff>723900</colOff>
      <row>10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57150</colOff>
      <row>3</row>
      <rowOff>276225</rowOff>
    </from>
    <to>
      <col>10</col>
      <colOff>685800</colOff>
      <row>10</row>
      <rowOff>85725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3</col>
      <colOff>571500</colOff>
      <row>4</row>
      <rowOff>266700</rowOff>
    </from>
    <to>
      <col>4</col>
      <colOff>180975</colOff>
      <row>6</row>
      <rowOff>123825</rowOff>
    </to>
    <pic>
      <nvPicPr>
        <cNvPr id="10" name="图片 9" descr="32303138313338323b32303138313438333bcad5c8ebcafdbedd"/>
        <cNvPicPr preferRelativeResize="1">
          <a:picLocks noChangeAspect="1"/>
        </cNvPicPr>
      </nvPicPr>
      <blipFill>
        <a:blip r:embed="rId3"/>
        <a:stretch>
          <a:fillRect/>
        </a:stretch>
      </blipFill>
      <spPr>
        <a:xfrm>
          <a:off x="2333625" y="1485900"/>
          <a:ext cx="371475" cy="371475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7</col>
      <colOff>19050</colOff>
      <row>4</row>
      <rowOff>295275</rowOff>
    </from>
    <to>
      <col>7</col>
      <colOff>333375</colOff>
      <row>6</row>
      <rowOff>95250</rowOff>
    </to>
    <pic>
      <nvPicPr>
        <cNvPr id="11" name="图片 10" descr="32303138313338323b32303138313438343bcafdbeddd5fbbacf"/>
        <cNvPicPr preferRelativeResize="1">
          <a:picLocks noChangeAspect="1"/>
        </cNvPicPr>
      </nvPicPr>
      <blipFill>
        <a:blip r:embed="rId4"/>
        <a:stretch>
          <a:fillRect/>
        </a:stretch>
      </blipFill>
      <spPr>
        <a:xfrm>
          <a:off x="4829175" y="1514475"/>
          <a:ext cx="314325" cy="314325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2</col>
      <colOff>142875</colOff>
      <row>2</row>
      <rowOff>57150</rowOff>
    </from>
    <to>
      <col>2</col>
      <colOff>542925</colOff>
      <row>3</row>
      <rowOff>152400</rowOff>
    </to>
    <pic>
      <nvPicPr>
        <cNvPr id="40" name="图片 39" descr="32313538373832363b32313538393334343bb7d6cef6"/>
        <cNvPicPr preferRelativeResize="1">
          <a:picLocks noChangeAspect="1"/>
        </cNvPicPr>
      </nvPicPr>
      <blipFill>
        <a:blip r:embed="rId5"/>
        <a:stretch>
          <a:fillRect/>
        </a:stretch>
      </blipFill>
      <spPr>
        <a:xfrm>
          <a:off x="828675" y="666750"/>
          <a:ext cx="400050" cy="40005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5:AF28"/>
  <sheetViews>
    <sheetView showGridLines="0" topLeftCell="A3" workbookViewId="0">
      <selection activeCell="V8" sqref="V8"/>
    </sheetView>
  </sheetViews>
  <sheetFormatPr baseColWidth="8" defaultColWidth="9.00390625" defaultRowHeight="24" customHeight="1"/>
  <cols>
    <col width="9.00390625" customWidth="1" style="1" min="1" max="1"/>
    <col hidden="1" width="5.75390625" customWidth="1" style="1" min="2" max="2"/>
    <col width="14.125" customWidth="1" style="1" min="3" max="3"/>
    <col width="10.00390625" customWidth="1" style="1" min="4" max="16"/>
    <col width="4.50390625" customWidth="1" style="1" min="17" max="17"/>
    <col width="3.25390625" customWidth="1" style="2" min="18" max="18"/>
    <col width="2.50390625" customWidth="1" style="1" min="19" max="19"/>
    <col width="9.00390625" customWidth="1" style="1" min="20" max="20"/>
    <col width="9.50390625" customWidth="1" style="1" min="21" max="21"/>
    <col width="9.00390625" customWidth="1" style="1" min="22" max="16384"/>
  </cols>
  <sheetData>
    <row r="1" ht="24" customHeight="1" s="14"/>
    <row r="2" ht="24" customHeight="1" s="14"/>
    <row r="3" ht="24" customHeight="1" s="14"/>
    <row r="4" ht="24" customHeight="1" s="14"/>
    <row r="5" ht="24" customHeight="1" s="14">
      <c r="L5" s="5" t="inlineStr">
        <is>
          <t>Project C</t>
        </is>
      </c>
      <c r="O5" s="6" t="inlineStr">
        <is>
          <t>Project Monthly Revenue Comparison Chart</t>
        </is>
      </c>
    </row>
    <row r="6" ht="16.5" customHeight="1" s="14">
      <c r="L6" s="7" t="n"/>
    </row>
    <row r="7" ht="24" customHeight="1" s="14"/>
    <row r="8" ht="24" customHeight="1" s="14"/>
    <row r="9" ht="24" customHeight="1" s="14"/>
    <row r="10" ht="24" customHeight="1" s="14"/>
    <row r="11" ht="18" customHeight="1" s="14"/>
    <row r="12" ht="24" customHeight="1" s="14">
      <c r="B12" s="1" t="inlineStr">
        <is>
          <t>Auxiliary Column</t>
        </is>
      </c>
      <c r="C12" s="3" t="inlineStr">
        <is>
          <t>Item</t>
        </is>
      </c>
      <c r="D12" s="3" t="inlineStr">
        <is>
          <t>January</t>
        </is>
      </c>
      <c r="E12" s="3" t="inlineStr">
        <is>
          <t>February</t>
        </is>
      </c>
      <c r="F12" s="3" t="inlineStr">
        <is>
          <t>March</t>
        </is>
      </c>
      <c r="G12" s="3" t="inlineStr">
        <is>
          <t>April</t>
        </is>
      </c>
      <c r="H12" s="3" t="inlineStr">
        <is>
          <t>May</t>
        </is>
      </c>
      <c r="I12" s="3" t="inlineStr">
        <is>
          <t>June</t>
        </is>
      </c>
      <c r="J12" s="3" t="inlineStr">
        <is>
          <t>July</t>
        </is>
      </c>
      <c r="K12" s="3" t="inlineStr">
        <is>
          <t>August</t>
        </is>
      </c>
      <c r="L12" s="3" t="inlineStr">
        <is>
          <t>September</t>
        </is>
      </c>
      <c r="M12" s="3" t="inlineStr">
        <is>
          <t>October</t>
        </is>
      </c>
      <c r="N12" s="3" t="inlineStr">
        <is>
          <t>November</t>
        </is>
      </c>
      <c r="O12" s="3" t="inlineStr">
        <is>
          <t>December</t>
        </is>
      </c>
      <c r="P12" s="3" t="inlineStr">
        <is>
          <t>Total</t>
        </is>
      </c>
      <c r="T12" s="3" t="inlineStr">
        <is>
          <t>Item</t>
        </is>
      </c>
      <c r="U12" s="3" t="inlineStr">
        <is>
          <t>January</t>
        </is>
      </c>
      <c r="V12" s="3" t="inlineStr">
        <is>
          <t>February</t>
        </is>
      </c>
      <c r="W12" s="3" t="inlineStr">
        <is>
          <t>March</t>
        </is>
      </c>
      <c r="X12" s="3" t="inlineStr">
        <is>
          <t>April</t>
        </is>
      </c>
      <c r="Y12" s="3" t="inlineStr">
        <is>
          <t>May</t>
        </is>
      </c>
      <c r="Z12" s="3" t="inlineStr">
        <is>
          <t>June</t>
        </is>
      </c>
      <c r="AA12" s="3" t="inlineStr">
        <is>
          <t>July</t>
        </is>
      </c>
      <c r="AB12" s="3" t="inlineStr">
        <is>
          <t>August</t>
        </is>
      </c>
      <c r="AC12" s="3" t="inlineStr">
        <is>
          <t>September</t>
        </is>
      </c>
      <c r="AD12" s="3" t="inlineStr">
        <is>
          <t>October</t>
        </is>
      </c>
      <c r="AE12" s="3" t="inlineStr">
        <is>
          <t>November</t>
        </is>
      </c>
      <c r="AF12" s="3" t="inlineStr">
        <is>
          <t>December</t>
        </is>
      </c>
    </row>
    <row r="13" ht="24" customHeight="1" s="14">
      <c r="B13" s="1">
        <f>RANK(P13,$P$13:$P$27)</f>
        <v/>
      </c>
      <c r="C13" s="4" t="inlineStr">
        <is>
          <t>Project A</t>
        </is>
      </c>
      <c r="D13" s="4" t="n">
        <v>4</v>
      </c>
      <c r="E13" s="4" t="n">
        <v>16</v>
      </c>
      <c r="F13" s="4" t="n">
        <v>16</v>
      </c>
      <c r="G13" s="4" t="n">
        <v>5</v>
      </c>
      <c r="H13" s="4" t="n">
        <v>6</v>
      </c>
      <c r="I13" s="4" t="n">
        <v>16</v>
      </c>
      <c r="J13" s="4" t="n">
        <v>13</v>
      </c>
      <c r="K13" s="4" t="n">
        <v>9</v>
      </c>
      <c r="L13" s="4" t="n">
        <v>15</v>
      </c>
      <c r="M13" s="4" t="n">
        <v>4</v>
      </c>
      <c r="N13" s="4" t="n">
        <v>16</v>
      </c>
      <c r="O13" s="4" t="n">
        <v>5</v>
      </c>
      <c r="P13" s="4">
        <f>SUM(D13:O13)</f>
        <v/>
      </c>
      <c r="T13" s="4">
        <f>L5</f>
        <v/>
      </c>
      <c r="U13" s="4">
        <f>VLOOKUP($T$13,$C$13:$O$28,COLUMN(B3),0)</f>
        <v/>
      </c>
      <c r="V13" s="4">
        <f>VLOOKUP($T$13,$C$13:$O$28,COLUMN(C3),0)</f>
        <v/>
      </c>
      <c r="W13" s="4">
        <f>VLOOKUP($T$13,$C$13:$O$28,COLUMN(D3),0)</f>
        <v/>
      </c>
      <c r="X13" s="4">
        <f>VLOOKUP($T$13,$C$13:$O$28,COLUMN(E3),0)</f>
        <v/>
      </c>
      <c r="Y13" s="4">
        <f>VLOOKUP($T$13,$C$13:$O$28,COLUMN(F3),0)</f>
        <v/>
      </c>
      <c r="Z13" s="4">
        <f>VLOOKUP($T$13,$C$13:$O$28,COLUMN(G3),0)</f>
        <v/>
      </c>
      <c r="AA13" s="4">
        <f>VLOOKUP($T$13,$C$13:$O$28,COLUMN(H3),0)</f>
        <v/>
      </c>
      <c r="AB13" s="4">
        <f>VLOOKUP($T$13,$C$13:$O$28,COLUMN(I3),0)</f>
        <v/>
      </c>
      <c r="AC13" s="4">
        <f>VLOOKUP($T$13,$C$13:$O$28,COLUMN(J3),0)</f>
        <v/>
      </c>
      <c r="AD13" s="4">
        <f>VLOOKUP($T$13,$C$13:$O$28,COLUMN(K3),0)</f>
        <v/>
      </c>
      <c r="AE13" s="4">
        <f>VLOOKUP($T$13,$C$13:$O$28,COLUMN(L3),0)</f>
        <v/>
      </c>
      <c r="AF13" s="4">
        <f>VLOOKUP($T$13,$C$13:$O$28,COLUMN(M3),0)</f>
        <v/>
      </c>
    </row>
    <row r="14" ht="24" customHeight="1" s="14">
      <c r="B14" s="1">
        <f>RANK(P14,$P$13:$P$27)</f>
        <v/>
      </c>
      <c r="C14" s="4" t="inlineStr">
        <is>
          <t>Project B</t>
        </is>
      </c>
      <c r="D14" s="4" t="n">
        <v>11</v>
      </c>
      <c r="E14" s="4" t="n">
        <v>12</v>
      </c>
      <c r="F14" s="4" t="n">
        <v>3</v>
      </c>
      <c r="G14" s="4" t="n">
        <v>20</v>
      </c>
      <c r="H14" s="4" t="n">
        <v>18</v>
      </c>
      <c r="I14" s="4" t="n">
        <v>6</v>
      </c>
      <c r="J14" s="4" t="n">
        <v>10</v>
      </c>
      <c r="K14" s="4" t="n">
        <v>18</v>
      </c>
      <c r="L14" s="4" t="n">
        <v>17</v>
      </c>
      <c r="M14" s="4" t="n">
        <v>5</v>
      </c>
      <c r="N14" s="4" t="n">
        <v>17</v>
      </c>
      <c r="O14" s="4" t="n">
        <v>11</v>
      </c>
      <c r="P14" s="4">
        <f>SUM(D14:O14)</f>
        <v/>
      </c>
    </row>
    <row r="15" ht="24" customHeight="1" s="14">
      <c r="B15" s="1">
        <f>RANK(P15,$P$13:$P$27)</f>
        <v/>
      </c>
      <c r="C15" s="4" t="inlineStr">
        <is>
          <t>Project C</t>
        </is>
      </c>
      <c r="D15" s="4" t="n">
        <v>13</v>
      </c>
      <c r="E15" s="4" t="n">
        <v>18</v>
      </c>
      <c r="F15" s="4" t="n">
        <v>7</v>
      </c>
      <c r="G15" s="4" t="n">
        <v>9</v>
      </c>
      <c r="H15" s="4" t="n">
        <v>5</v>
      </c>
      <c r="I15" s="4" t="n">
        <v>12</v>
      </c>
      <c r="J15" s="4" t="n">
        <v>6</v>
      </c>
      <c r="K15" s="4" t="n">
        <v>14</v>
      </c>
      <c r="L15" s="4" t="n">
        <v>10</v>
      </c>
      <c r="M15" s="4" t="n">
        <v>8</v>
      </c>
      <c r="N15" s="4" t="n">
        <v>6</v>
      </c>
      <c r="O15" s="4" t="n">
        <v>6</v>
      </c>
      <c r="P15" s="4">
        <f>SUM(D15:O15)</f>
        <v/>
      </c>
      <c r="T15" s="1" t="inlineStr">
        <is>
          <t>TOP 5 Project Revenue Ranking</t>
        </is>
      </c>
    </row>
    <row r="16" ht="24" customHeight="1" s="14">
      <c r="B16" s="1">
        <f>RANK(P16,$P$13:$P$27)</f>
        <v/>
      </c>
      <c r="C16" s="4" t="inlineStr">
        <is>
          <t>Project D</t>
        </is>
      </c>
      <c r="D16" s="4" t="n">
        <v>12</v>
      </c>
      <c r="E16" s="4" t="n">
        <v>10</v>
      </c>
      <c r="F16" s="4" t="n">
        <v>6</v>
      </c>
      <c r="G16" s="4" t="n">
        <v>4</v>
      </c>
      <c r="H16" s="4" t="n">
        <v>5</v>
      </c>
      <c r="I16" s="4" t="n">
        <v>3</v>
      </c>
      <c r="J16" s="4" t="n">
        <v>4</v>
      </c>
      <c r="K16" s="4" t="n">
        <v>2</v>
      </c>
      <c r="L16" s="4" t="n">
        <v>20</v>
      </c>
      <c r="M16" s="4" t="n">
        <v>2</v>
      </c>
      <c r="N16" s="4" t="n">
        <v>10</v>
      </c>
      <c r="O16" s="4" t="n">
        <v>10</v>
      </c>
      <c r="P16" s="4">
        <f>SUM(D16:O16)</f>
        <v/>
      </c>
      <c r="T16" s="3" t="inlineStr">
        <is>
          <t>Ranking</t>
        </is>
      </c>
      <c r="U16" s="3" t="inlineStr">
        <is>
          <t>Item</t>
        </is>
      </c>
      <c r="V16" s="3" t="inlineStr">
        <is>
          <t>Amount</t>
        </is>
      </c>
    </row>
    <row r="17" ht="24" customHeight="1" s="14">
      <c r="B17" s="1">
        <f>RANK(P17,$P$13:$P$27)</f>
        <v/>
      </c>
      <c r="C17" s="4" t="inlineStr">
        <is>
          <t>Project E</t>
        </is>
      </c>
      <c r="D17" s="4" t="n">
        <v>12</v>
      </c>
      <c r="E17" s="4" t="n">
        <v>15</v>
      </c>
      <c r="F17" s="4" t="n">
        <v>13</v>
      </c>
      <c r="G17" s="4" t="n">
        <v>7</v>
      </c>
      <c r="H17" s="4" t="n">
        <v>7</v>
      </c>
      <c r="I17" s="4" t="n">
        <v>7</v>
      </c>
      <c r="J17" s="4" t="n">
        <v>13</v>
      </c>
      <c r="K17" s="4" t="n">
        <v>10</v>
      </c>
      <c r="L17" s="4" t="n">
        <v>17</v>
      </c>
      <c r="M17" s="4" t="n">
        <v>11</v>
      </c>
      <c r="N17" s="4" t="n">
        <v>9</v>
      </c>
      <c r="O17" s="4" t="n">
        <v>7</v>
      </c>
      <c r="P17" s="4">
        <f>SUM(D17:O17)</f>
        <v/>
      </c>
      <c r="T17" s="8" t="n">
        <v>1</v>
      </c>
      <c r="U17" s="8">
        <f>VLOOKUP(T17,B:P,2,0)</f>
        <v/>
      </c>
      <c r="V17" s="8">
        <f>VLOOKUP(T17,B:P,15,0)</f>
        <v/>
      </c>
    </row>
    <row r="18" ht="24" customHeight="1" s="14">
      <c r="B18" s="1">
        <f>RANK(P18,$P$13:$P$27)</f>
        <v/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>
        <f>SUM(D18:O18)</f>
        <v/>
      </c>
      <c r="T18" s="8" t="n">
        <v>2</v>
      </c>
      <c r="U18" s="8">
        <f>VLOOKUP(T18,B:P,2,0)</f>
        <v/>
      </c>
      <c r="V18" s="8">
        <f>VLOOKUP(T18,B:P,15,0)</f>
        <v/>
      </c>
    </row>
    <row r="19" ht="24" customHeight="1" s="14">
      <c r="B19" s="1">
        <f>RANK(P19,$P$13:$P$27)</f>
        <v/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>
        <f>SUM(D19:O19)</f>
        <v/>
      </c>
      <c r="T19" s="8" t="n">
        <v>3</v>
      </c>
      <c r="U19" s="8">
        <f>VLOOKUP(T19,B:P,2,0)</f>
        <v/>
      </c>
      <c r="V19" s="8">
        <f>VLOOKUP(T19,B:P,15,0)</f>
        <v/>
      </c>
    </row>
    <row r="20" ht="24" customHeight="1" s="14">
      <c r="B20" s="1">
        <f>RANK(P20,$P$13:$P$27)</f>
        <v/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>
        <f>SUM(D20:O20)</f>
        <v/>
      </c>
      <c r="T20" s="8" t="n">
        <v>4</v>
      </c>
      <c r="U20" s="8">
        <f>VLOOKUP(T20,B:P,2,0)</f>
        <v/>
      </c>
      <c r="V20" s="8">
        <f>VLOOKUP(T20,B:P,15,0)</f>
        <v/>
      </c>
    </row>
    <row r="21" ht="24" customHeight="1" s="14">
      <c r="B21" s="1">
        <f>RANK(P21,$P$13:$P$27)</f>
        <v/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>
        <f>SUM(D21:O21)</f>
        <v/>
      </c>
      <c r="T21" s="8" t="n">
        <v>5</v>
      </c>
      <c r="U21" s="8">
        <f>VLOOKUP(T21,B:P,2,0)</f>
        <v/>
      </c>
      <c r="V21" s="8">
        <f>VLOOKUP(T21,B:P,15,0)</f>
        <v/>
      </c>
    </row>
    <row r="22" ht="24" customHeight="1" s="14">
      <c r="B22" s="1">
        <f>RANK(P22,$P$13:$P$27)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>
        <f>SUM(D22:O22)</f>
        <v/>
      </c>
    </row>
    <row r="23" ht="24" customHeight="1" s="14">
      <c r="B23" s="1">
        <f>RANK(P23,$P$13:$P$27)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>
        <f>SUM(D23:O23)</f>
        <v/>
      </c>
      <c r="T23" s="3" t="inlineStr">
        <is>
          <t>Season</t>
        </is>
      </c>
      <c r="U23" s="3" t="inlineStr">
        <is>
          <t>Amount</t>
        </is>
      </c>
    </row>
    <row r="24" ht="24" customHeight="1" s="14">
      <c r="B24" s="1">
        <f>RANK(P24,$P$13:$P$27)</f>
        <v/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>
        <f>SUM(D24:O24)</f>
        <v/>
      </c>
      <c r="T24" s="9" t="inlineStr">
        <is>
          <t>1st Quarter</t>
        </is>
      </c>
      <c r="U24" s="15">
        <f>SUM(D28:F28)</f>
        <v/>
      </c>
    </row>
    <row r="25" ht="24" customHeight="1" s="14">
      <c r="B25" s="1">
        <f>RANK(P25,$P$13:$P$27)</f>
        <v/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>
        <f>SUM(D25:O25)</f>
        <v/>
      </c>
      <c r="T25" s="9" t="inlineStr">
        <is>
          <t>2nd quarter</t>
        </is>
      </c>
      <c r="U25" s="15">
        <f>SUM(G28:I28)</f>
        <v/>
      </c>
    </row>
    <row r="26" ht="24" customHeight="1" s="14">
      <c r="B26" s="1">
        <f>RANK(P26,$P$13:$P$27)</f>
        <v/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>
        <f>SUM(D26:O26)</f>
        <v/>
      </c>
      <c r="T26" s="9" t="inlineStr">
        <is>
          <t>3rd quarter</t>
        </is>
      </c>
      <c r="U26" s="15">
        <f>SUM(J28:L28)</f>
        <v/>
      </c>
    </row>
    <row r="27" ht="24" customHeight="1" s="14">
      <c r="B27" s="1">
        <f>RANK(P27,$P$13:$P$27)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>
        <f>SUM(D27:O27)</f>
        <v/>
      </c>
      <c r="T27" s="9" t="inlineStr">
        <is>
          <t>4th quarter</t>
        </is>
      </c>
      <c r="U27" s="15">
        <f>SUM(M28:O28)</f>
        <v/>
      </c>
    </row>
    <row r="28" ht="24" customHeight="1" s="14">
      <c r="C28" s="4" t="inlineStr">
        <is>
          <t>Total</t>
        </is>
      </c>
      <c r="D28" s="4">
        <f>SUM(D13:D27)</f>
        <v/>
      </c>
      <c r="E28" s="4">
        <f>SUM(E13:E27)</f>
        <v/>
      </c>
      <c r="F28" s="4">
        <f>SUM(F13:F27)</f>
        <v/>
      </c>
      <c r="G28" s="4">
        <f>SUM(G13:G27)</f>
        <v/>
      </c>
      <c r="H28" s="4">
        <f>SUM(H13:H27)</f>
        <v/>
      </c>
      <c r="I28" s="4">
        <f>SUM(I13:I27)</f>
        <v/>
      </c>
      <c r="J28" s="4">
        <f>SUM(J13:J27)</f>
        <v/>
      </c>
      <c r="K28" s="4">
        <f>SUM(K13:K27)</f>
        <v/>
      </c>
      <c r="L28" s="4">
        <f>SUM(L13:L27)</f>
        <v/>
      </c>
      <c r="M28" s="4">
        <f>SUM(M13:M27)</f>
        <v/>
      </c>
      <c r="N28" s="4">
        <f>SUM(N13:N27)</f>
        <v/>
      </c>
      <c r="O28" s="4">
        <f>SUM(O13:O27)</f>
        <v/>
      </c>
      <c r="P28" s="4">
        <f>SUM(D28:O28)</f>
        <v/>
      </c>
      <c r="T28" s="9" t="inlineStr">
        <is>
          <t>Total</t>
        </is>
      </c>
      <c r="U28" s="15">
        <f>SUM(U24:U27)</f>
        <v/>
      </c>
    </row>
  </sheetData>
  <printOptions horizontalCentered="1"/>
  <pageMargins left="0.314583333333333" right="0.314583333333333" top="0.314583333333333" bottom="0.432638888888889" header="0.5" footer="0.156944444444444"/>
  <pageSetup orientation="landscape" paperSize="9" scale="69" fitToHeight="0" fitToWidth="1" horizontalDpi="600" verticalDpi="600"/>
  <headerFooter>
    <oddHeader/>
    <oddFooter>&amp;C第 &amp;P 页，共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2022-04-04T14:13:00Z</dcterms:created>
  <dcterms:modified xsi:type="dcterms:W3CDTF">2025-07-09T03:58:36Z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EF978B504AF045FF90B79F9408032DB8_11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v1.0_mb_T0YwUYu2rDFgYokwZANwsw==</vt:lpwstr>
  </property>
</Properties>
</file>