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Sheet1" sheetId="1" state="visible" r:id="rId1"/>
  </sheets>
  <definedNames>
    <definedName name="_xlnm.Print_Area" localSheetId="0">'Sheet1'!$B$2:$Q$21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theme="1"/>
      <sz val="12"/>
      <scheme val="minor"/>
    </font>
    <font>
      <name val="汉仪正圆-75W"/>
      <family val="2"/>
      <color theme="1"/>
      <sz val="12"/>
    </font>
    <font>
      <name val="汉仪正圆-75W"/>
      <family val="2"/>
      <color theme="1"/>
      <sz val="22"/>
    </font>
    <font>
      <name val="汉仪正圆-75W"/>
      <family val="2"/>
      <color rgb="FF028458"/>
      <sz val="18"/>
    </font>
    <font>
      <name val="汉仪正圆-75W"/>
      <family val="2"/>
      <color theme="0"/>
      <sz val="12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028458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 style="thin"/>
      <right style="thin">
        <color theme="0"/>
      </right>
      <top style="thin"/>
      <bottom style="thin">
        <color theme="0"/>
      </bottom>
    </border>
    <border>
      <left style="thin"/>
      <right style="thin">
        <color theme="0"/>
      </right>
      <top style="thin">
        <color theme="0"/>
      </top>
      <bottom style="thin"/>
    </border>
    <border>
      <left/>
      <right style="thin"/>
      <top style="thin"/>
      <bottom style="thin"/>
    </border>
    <border>
      <left style="thin">
        <color theme="0"/>
      </left>
      <right style="thin"/>
      <top style="thin"/>
      <bottom style="thin">
        <color theme="0"/>
      </bottom>
    </border>
    <border>
      <left style="thin">
        <color theme="0"/>
      </left>
      <right style="thin"/>
      <top style="thin">
        <color theme="0"/>
      </top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>
        <color theme="0"/>
      </right>
      <top style="thin"/>
      <bottom/>
      <diagonal/>
    </border>
    <border>
      <left/>
      <right style="thin">
        <color theme="0"/>
      </right>
      <top style="thin"/>
      <bottom style="thin">
        <color theme="0"/>
      </bottom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24" fillId="12" borderId="0"/>
    <xf numFmtId="0" fontId="24" fillId="13" borderId="0"/>
    <xf numFmtId="0" fontId="0" fillId="14" borderId="0"/>
    <xf numFmtId="0" fontId="0" fillId="15" borderId="0"/>
    <xf numFmtId="0" fontId="24" fillId="16" borderId="0"/>
    <xf numFmtId="0" fontId="24" fillId="17" borderId="0"/>
    <xf numFmtId="0" fontId="0" fillId="18" borderId="0"/>
    <xf numFmtId="0" fontId="0" fillId="19" borderId="0"/>
    <xf numFmtId="0" fontId="24" fillId="20" borderId="0"/>
    <xf numFmtId="0" fontId="24" fillId="21" borderId="0"/>
    <xf numFmtId="0" fontId="0" fillId="22" borderId="0"/>
    <xf numFmtId="0" fontId="0" fillId="23" borderId="0"/>
    <xf numFmtId="0" fontId="24" fillId="24" borderId="0"/>
    <xf numFmtId="0" fontId="24" fillId="25" borderId="0"/>
    <xf numFmtId="0" fontId="0" fillId="26" borderId="0"/>
    <xf numFmtId="0" fontId="0" fillId="27" borderId="0"/>
    <xf numFmtId="0" fontId="24" fillId="28" borderId="0"/>
    <xf numFmtId="0" fontId="24" fillId="29" borderId="0"/>
    <xf numFmtId="0" fontId="0" fillId="30" borderId="0"/>
    <xf numFmtId="0" fontId="0" fillId="31" borderId="0"/>
    <xf numFmtId="0" fontId="24" fillId="32" borderId="0"/>
    <xf numFmtId="0" fontId="7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6" fillId="33" borderId="9" applyAlignment="1" pivotButton="0" quotePrefix="0" xfId="0">
      <alignment horizontal="center" vertical="center" wrapText="1"/>
    </xf>
    <xf numFmtId="14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6" fillId="33" borderId="11" applyAlignment="1" pivotButton="0" quotePrefix="0" xfId="0">
      <alignment horizontal="center" vertical="center"/>
    </xf>
    <xf numFmtId="0" fontId="6" fillId="33" borderId="12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6" fillId="33" borderId="14" applyAlignment="1" pivotButton="0" quotePrefix="0" xfId="0">
      <alignment horizontal="center" vertical="center"/>
    </xf>
    <xf numFmtId="0" fontId="6" fillId="33" borderId="15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68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7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2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">
    <dxf>
      <fill>
        <patternFill patternType="solid">
          <bgColor theme="9" tint="0.6000000238418579"/>
        </patternFill>
      </fill>
      <border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21"/>
  <sheetViews>
    <sheetView showGridLines="0" topLeftCell="A1" zoomScale="90" zoomScaleNormal="90" workbookViewId="0">
      <selection activeCell="I15" sqref="I15"/>
    </sheetView>
  </sheetViews>
  <sheetFormatPr baseColWidth="8" defaultColWidth="8.875" defaultRowHeight="13.5"/>
  <cols>
    <col width="6.25390625" customWidth="1" min="2" max="2"/>
    <col width="14.125" customWidth="1" min="3" max="3"/>
    <col width="10.50390625" customWidth="1" min="4" max="4"/>
    <col width="15.50390625" customWidth="1" min="5" max="6"/>
    <col width="14.00390625" customWidth="1" min="7" max="7"/>
    <col width="15.25390625" customWidth="1" min="9" max="9"/>
    <col width="15.75390625" customWidth="1" min="10" max="10"/>
    <col width="13.25390625" customWidth="1" min="11" max="11"/>
    <col width="10.125" customWidth="1" min="12" max="12"/>
    <col width="2.75390625" customWidth="1" min="15" max="15"/>
    <col width="12.75390625" customWidth="1" style="2" min="16" max="16"/>
    <col width="15.50390625" customWidth="1" style="2" min="17" max="17"/>
  </cols>
  <sheetData>
    <row r="1" ht="13.5" customHeight="1" s="20"/>
    <row r="2" ht="13.5" customHeight="1" s="20"/>
    <row r="3" ht="13.5" customHeight="1" s="20">
      <c r="B3" s="3" t="inlineStr">
        <is>
          <t>Project Statistics Table</t>
        </is>
      </c>
    </row>
    <row r="4" ht="18.75" customHeight="1" s="20"/>
    <row r="5" ht="21.75" customFormat="1" customHeight="1" s="1">
      <c r="A5" s="1" t="n"/>
      <c r="B5" s="4" t="n"/>
      <c r="C5" s="4" t="inlineStr">
        <is>
          <t>Project Name:</t>
        </is>
      </c>
      <c r="D5" s="4" t="n"/>
      <c r="E5" s="4" t="n"/>
      <c r="F5" s="4" t="n"/>
      <c r="G5" s="4" t="inlineStr">
        <is>
          <t>Number of customers:</t>
        </is>
      </c>
      <c r="H5" s="5">
        <f>COUNTA(D7:D210)</f>
        <v/>
      </c>
      <c r="I5" s="4" t="n"/>
      <c r="J5" s="4" t="n"/>
      <c r="K5" s="4" t="n"/>
      <c r="L5" s="4" t="n"/>
      <c r="M5" s="4" t="n"/>
      <c r="N5" s="4" t="n"/>
      <c r="O5" s="1" t="n"/>
      <c r="P5" s="1" t="n"/>
      <c r="Q5" s="1" t="n"/>
    </row>
    <row r="6" ht="30" customHeight="1" s="20">
      <c r="B6" s="6" t="inlineStr">
        <is>
          <t>Serial Number</t>
        </is>
      </c>
      <c r="C6" s="6" t="inlineStr">
        <is>
          <t>Contract Number</t>
        </is>
      </c>
      <c r="D6" s="6" t="inlineStr">
        <is>
          <t>Customer Name</t>
        </is>
      </c>
      <c r="E6" s="6" t="inlineStr">
        <is>
          <t>Customer Unit</t>
        </is>
      </c>
      <c r="F6" s="6" t="inlineStr">
        <is>
          <t>Contact Information</t>
        </is>
      </c>
      <c r="G6" s="6" t="inlineStr">
        <is>
          <t>Project Name</t>
        </is>
      </c>
      <c r="H6" s="6" t="inlineStr">
        <is>
          <t>Quantity</t>
        </is>
      </c>
      <c r="I6" s="6" t="inlineStr">
        <is>
          <t>Project Start Time</t>
        </is>
      </c>
      <c r="J6" s="6" t="inlineStr">
        <is>
          <t>Estimated End Time</t>
        </is>
      </c>
      <c r="K6" s="6" t="inlineStr">
        <is>
          <t>Estimated required duration</t>
        </is>
      </c>
      <c r="L6" s="6" t="inlineStr">
        <is>
          <t>Status</t>
        </is>
      </c>
      <c r="M6" s="6" t="inlineStr">
        <is>
          <t>Statistician</t>
        </is>
      </c>
      <c r="N6" s="6" t="inlineStr">
        <is>
          <t>Notes</t>
        </is>
      </c>
      <c r="P6" s="8" t="inlineStr">
        <is>
          <t>Quick search  
(Enter or select contract number)</t>
        </is>
      </c>
      <c r="Q6" s="21" t="n"/>
    </row>
    <row r="7" ht="25.5" customHeight="1" s="20">
      <c r="B7" s="7">
        <f>IF(C7="","",ROW()-6)</f>
        <v/>
      </c>
      <c r="C7" s="7" t="inlineStr">
        <is>
          <t>DH1029331</t>
        </is>
      </c>
      <c r="D7" s="7" t="inlineStr">
        <is>
          <t>Rice Husk 1</t>
        </is>
      </c>
      <c r="E7" s="7" t="inlineStr">
        <is>
          <t>China Aviation</t>
        </is>
      </c>
      <c r="F7" s="7" t="inlineStr">
        <is>
          <t>180xxxx1021</t>
        </is>
      </c>
      <c r="G7" s="7" t="inlineStr">
        <is>
          <t>Robot Trolley</t>
        </is>
      </c>
      <c r="H7" s="7" t="inlineStr">
        <is>
          <t>10 sets</t>
        </is>
      </c>
      <c r="I7" s="9" t="n">
        <v>44472</v>
      </c>
      <c r="J7" s="9" t="n">
        <v>44542</v>
      </c>
      <c r="K7" s="7">
        <f>J7-I7</f>
        <v/>
      </c>
      <c r="L7" s="7" t="inlineStr">
        <is>
          <t>Completed</t>
        </is>
      </c>
      <c r="M7" s="7" t="inlineStr">
        <is>
          <t>Zhang Xiaomei</t>
        </is>
      </c>
      <c r="N7" s="7" t="n"/>
      <c r="P7" s="22" t="n"/>
      <c r="Q7" s="23" t="n"/>
    </row>
    <row r="8" ht="25.5" customHeight="1" s="20">
      <c r="B8" s="7">
        <f>IF(C8="","",ROW()-6)</f>
        <v/>
      </c>
      <c r="C8" s="7" t="inlineStr">
        <is>
          <t>DH1029332</t>
        </is>
      </c>
      <c r="D8" s="7" t="inlineStr">
        <is>
          <t>Rice Husk 2</t>
        </is>
      </c>
      <c r="E8" s="7" t="inlineStr">
        <is>
          <t>Cheng Wei</t>
        </is>
      </c>
      <c r="F8" s="7" t="inlineStr">
        <is>
          <t>180xxxx1022</t>
        </is>
      </c>
      <c r="G8" s="7" t="inlineStr">
        <is>
          <t>Medical Trolley Cart</t>
        </is>
      </c>
      <c r="H8" s="7" t="inlineStr">
        <is>
          <t>20 sets</t>
        </is>
      </c>
      <c r="I8" s="9" t="n">
        <v>44451</v>
      </c>
      <c r="J8" s="9" t="n">
        <v>44535</v>
      </c>
      <c r="K8" s="7">
        <f>J8-I8</f>
        <v/>
      </c>
      <c r="L8" s="7" t="inlineStr">
        <is>
          <t>Completed</t>
        </is>
      </c>
      <c r="M8" s="7" t="inlineStr">
        <is>
          <t>Zhang Xiaomei</t>
        </is>
      </c>
      <c r="N8" s="7" t="n"/>
      <c r="P8" s="7" t="inlineStr">
        <is>
          <t>DH1029332</t>
        </is>
      </c>
      <c r="Q8" s="24" t="n"/>
    </row>
    <row r="9" ht="25.5" customHeight="1" s="20">
      <c r="B9" s="7">
        <f>IF(C9="","",ROW()-6)</f>
        <v/>
      </c>
      <c r="C9" s="7" t="inlineStr">
        <is>
          <t>DH1029333</t>
        </is>
      </c>
      <c r="D9" s="7" t="inlineStr">
        <is>
          <t>Rice Husk 3</t>
        </is>
      </c>
      <c r="E9" s="7" t="inlineStr">
        <is>
          <t>eight hundred and ninety</t>
        </is>
      </c>
      <c r="F9" s="7" t="inlineStr">
        <is>
          <t>180xxxx1023</t>
        </is>
      </c>
      <c r="G9" s="7" t="inlineStr">
        <is>
          <t>Handle</t>
        </is>
      </c>
      <c r="H9" s="7" t="inlineStr">
        <is>
          <t>200 sets</t>
        </is>
      </c>
      <c r="I9" s="9" t="n">
        <v>44400</v>
      </c>
      <c r="J9" s="9" t="n">
        <v>44519</v>
      </c>
      <c r="K9" s="7">
        <f>J9-I9</f>
        <v/>
      </c>
      <c r="L9" s="7" t="inlineStr">
        <is>
          <t>Completed</t>
        </is>
      </c>
      <c r="M9" s="7" t="inlineStr">
        <is>
          <t>Zhang Xiaomei</t>
        </is>
      </c>
      <c r="N9" s="7" t="n"/>
    </row>
    <row r="10" ht="25.5" customHeight="1" s="20">
      <c r="B10" s="7">
        <f>IF(C10="","",ROW()-6)</f>
        <v/>
      </c>
      <c r="C10" s="7" t="inlineStr">
        <is>
          <t>DH1029334</t>
        </is>
      </c>
      <c r="D10" s="7" t="inlineStr">
        <is>
          <t>Rice Husk 4</t>
        </is>
      </c>
      <c r="E10" s="7" t="inlineStr">
        <is>
          <t>Achievement of Martial Officers</t>
        </is>
      </c>
      <c r="F10" s="7" t="inlineStr">
        <is>
          <t>180xxxx1024</t>
        </is>
      </c>
      <c r="G10" s="7" t="inlineStr">
        <is>
          <t>Portable machine</t>
        </is>
      </c>
      <c r="H10" s="7" t="inlineStr">
        <is>
          <t>150 sets</t>
        </is>
      </c>
      <c r="I10" s="9" t="n">
        <v>44431</v>
      </c>
      <c r="J10" s="9" t="n">
        <v>44549</v>
      </c>
      <c r="K10" s="7">
        <f>J10-I10</f>
        <v/>
      </c>
      <c r="L10" s="7" t="inlineStr">
        <is>
          <t>Completed</t>
        </is>
      </c>
      <c r="M10" s="7" t="inlineStr">
        <is>
          <t>Zhang Xiaomei</t>
        </is>
      </c>
      <c r="N10" s="7" t="n"/>
      <c r="P10" s="11" t="inlineStr">
        <is>
          <t>Find customer contact information</t>
        </is>
      </c>
      <c r="Q10" s="25" t="n"/>
    </row>
    <row r="11" ht="25.5" customHeight="1" s="20">
      <c r="B11" s="7">
        <f>IF(C11="","",ROW()-6)</f>
        <v/>
      </c>
      <c r="C11" s="7" t="inlineStr">
        <is>
          <t>DH1029335</t>
        </is>
      </c>
      <c r="D11" s="7" t="inlineStr">
        <is>
          <t>Rice Husk 5</t>
        </is>
      </c>
      <c r="E11" s="7" t="inlineStr">
        <is>
          <t>Smiley face</t>
        </is>
      </c>
      <c r="F11" s="7" t="inlineStr">
        <is>
          <t>180xxxx1025</t>
        </is>
      </c>
      <c r="G11" s="7" t="inlineStr">
        <is>
          <t>Transportation Robot</t>
        </is>
      </c>
      <c r="H11" s="7" t="inlineStr">
        <is>
          <t>230 sets</t>
        </is>
      </c>
      <c r="I11" s="9" t="n">
        <v>44467</v>
      </c>
      <c r="J11" s="9" t="n">
        <v>44558</v>
      </c>
      <c r="K11" s="7">
        <f>J11-I11</f>
        <v/>
      </c>
      <c r="L11" s="7" t="inlineStr">
        <is>
          <t>In progress</t>
        </is>
      </c>
      <c r="M11" s="7" t="inlineStr">
        <is>
          <t>Zhang Xiaomei</t>
        </is>
      </c>
      <c r="N11" s="7" t="n"/>
      <c r="P11" s="12" t="inlineStr">
        <is>
          <t>Customer Name</t>
        </is>
      </c>
      <c r="Q11" s="16" t="inlineStr">
        <is>
          <t>Contact Information</t>
        </is>
      </c>
    </row>
    <row r="12" ht="25.5" customHeight="1" s="20">
      <c r="B12" s="7">
        <f>IF(C12="","",ROW()-6)</f>
        <v/>
      </c>
      <c r="C12" s="7" t="inlineStr">
        <is>
          <t>DH1029336</t>
        </is>
      </c>
      <c r="D12" s="7" t="inlineStr">
        <is>
          <t>Rice Husk 6</t>
        </is>
      </c>
      <c r="E12" s="7" t="inlineStr">
        <is>
          <t>Southeast Lathe Factory</t>
        </is>
      </c>
      <c r="F12" s="7" t="inlineStr">
        <is>
          <t>180xxxx1026</t>
        </is>
      </c>
      <c r="G12" s="7" t="inlineStr">
        <is>
          <t>Welcoming Robot</t>
        </is>
      </c>
      <c r="H12" s="7" t="inlineStr">
        <is>
          <t>35 sets</t>
        </is>
      </c>
      <c r="I12" s="9" t="n">
        <v>44468</v>
      </c>
      <c r="J12" s="9" t="n">
        <v>44559</v>
      </c>
      <c r="K12" s="7">
        <f>J12-I12</f>
        <v/>
      </c>
      <c r="L12" s="7" t="inlineStr">
        <is>
          <t>In progress</t>
        </is>
      </c>
      <c r="M12" s="7" t="inlineStr">
        <is>
          <t>Zhang Xiaomei</t>
        </is>
      </c>
      <c r="N12" s="7" t="n"/>
      <c r="P12" s="7" t="inlineStr">
        <is>
          <t>Rice Husk 1</t>
        </is>
      </c>
      <c r="Q12" s="7">
        <f>_xlfn.IFERROR(VLOOKUP(P12,$D$7:$F$210,3,0),"")</f>
        <v/>
      </c>
    </row>
    <row r="13" ht="25.5" customHeight="1" s="20">
      <c r="B13" s="7">
        <f>IF(C13="","",ROW()-6)</f>
        <v/>
      </c>
      <c r="C13" s="7" t="inlineStr">
        <is>
          <t>DH1029337</t>
        </is>
      </c>
      <c r="D13" s="7" t="inlineStr">
        <is>
          <t>Rice Husk 7</t>
        </is>
      </c>
      <c r="E13" s="7" t="inlineStr">
        <is>
          <t>Henan Modification No. 1</t>
        </is>
      </c>
      <c r="F13" s="7" t="inlineStr">
        <is>
          <t>180xxxx1027</t>
        </is>
      </c>
      <c r="G13" s="7" t="inlineStr">
        <is>
          <t>Whole Vehicle Mock-up</t>
        </is>
      </c>
      <c r="H13" s="7" t="inlineStr">
        <is>
          <t>50 sets</t>
        </is>
      </c>
      <c r="I13" s="9" t="n">
        <v>44510</v>
      </c>
      <c r="J13" s="9" t="n">
        <v>44554</v>
      </c>
      <c r="K13" s="7">
        <f>J13-I13</f>
        <v/>
      </c>
      <c r="L13" s="7" t="inlineStr">
        <is>
          <t>In progress</t>
        </is>
      </c>
      <c r="M13" s="7" t="inlineStr">
        <is>
          <t>Zhang Xiaomei</t>
        </is>
      </c>
      <c r="N13" s="7" t="n"/>
      <c r="P13" s="7" t="inlineStr">
        <is>
          <t>Rice Husk 2</t>
        </is>
      </c>
      <c r="Q13" s="7">
        <f>_xlfn.IFERROR(VLOOKUP(P13,$D$7:$F$210,3,0),"")</f>
        <v/>
      </c>
    </row>
    <row r="14" ht="25.5" customHeight="1" s="20">
      <c r="B14" s="7">
        <f>IF(C14="","",ROW()-6)</f>
        <v/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>
        <f>J14-I14</f>
        <v/>
      </c>
      <c r="L14" s="7" t="n"/>
      <c r="M14" s="7" t="n"/>
      <c r="N14" s="7" t="n"/>
      <c r="P14" s="7" t="inlineStr">
        <is>
          <t>Rice Husk 3</t>
        </is>
      </c>
      <c r="Q14" s="7">
        <f>_xlfn.IFERROR(VLOOKUP(P14,$D$7:$F$210,3,0),"")</f>
        <v/>
      </c>
    </row>
    <row r="15" ht="25.5" customHeight="1" s="20">
      <c r="B15" s="7">
        <f>IF(C15="","",ROW()-6)</f>
        <v/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>
        <f>J15-I15</f>
        <v/>
      </c>
      <c r="L15" s="7" t="n"/>
      <c r="M15" s="7" t="n"/>
      <c r="N15" s="7" t="n"/>
      <c r="P15" s="7" t="inlineStr">
        <is>
          <t>Rice Husk 4</t>
        </is>
      </c>
      <c r="Q15" s="7">
        <f>_xlfn.IFERROR(VLOOKUP(P15,$D$7:$F$210,3,0),"")</f>
        <v/>
      </c>
    </row>
    <row r="16" ht="25.5" customHeight="1" s="20">
      <c r="B16" s="7">
        <f>IF(C16="","",ROW()-6)</f>
        <v/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>
        <f>J16-I16</f>
        <v/>
      </c>
      <c r="L16" s="7" t="n"/>
      <c r="M16" s="7" t="n"/>
      <c r="N16" s="7" t="n"/>
      <c r="P16" s="7" t="inlineStr">
        <is>
          <t>Rice Husk 5</t>
        </is>
      </c>
      <c r="Q16" s="7">
        <f>_xlfn.IFERROR(VLOOKUP(P16,$D$7:$F$210,3,0),"")</f>
        <v/>
      </c>
    </row>
    <row r="17" ht="25.5" customHeight="1" s="20">
      <c r="B17" s="7">
        <f>IF(C17="","",ROW()-6)</f>
        <v/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>
        <f>J17-I17</f>
        <v/>
      </c>
      <c r="L17" s="7" t="n"/>
      <c r="M17" s="7" t="n"/>
      <c r="N17" s="7" t="n"/>
      <c r="P17" s="7" t="inlineStr">
        <is>
          <t>Rice Husk 6</t>
        </is>
      </c>
      <c r="Q17" s="7">
        <f>_xlfn.IFERROR(VLOOKUP(P17,$D$7:$F$210,3,0),"")</f>
        <v/>
      </c>
    </row>
    <row r="18" ht="25.5" customHeight="1" s="20">
      <c r="B18" s="7">
        <f>IF(C18="","",ROW()-6)</f>
        <v/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>
        <f>J18-I18</f>
        <v/>
      </c>
      <c r="L18" s="7" t="n"/>
      <c r="M18" s="7" t="n"/>
      <c r="N18" s="7" t="n"/>
      <c r="P18" s="7" t="inlineStr">
        <is>
          <t>Rice Husk 7</t>
        </is>
      </c>
      <c r="Q18" s="7">
        <f>_xlfn.IFERROR(VLOOKUP(P18,$D$7:$F$210,3,0),"")</f>
        <v/>
      </c>
    </row>
    <row r="19" ht="25.5" customHeight="1" s="20">
      <c r="B19" s="7">
        <f>IF(C19="","",ROW()-6)</f>
        <v/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>
        <f>J19-I19</f>
        <v/>
      </c>
      <c r="L19" s="7" t="n"/>
      <c r="M19" s="7" t="n"/>
      <c r="N19" s="7" t="n"/>
      <c r="P19" s="13" t="n"/>
      <c r="Q19" s="7">
        <f>_xlfn.IFERROR(VLOOKUP(P19,$D$7:$F$210,3,0),"")</f>
        <v/>
      </c>
    </row>
    <row r="20" ht="25.5" customHeight="1" s="20">
      <c r="B20" s="7">
        <f>IF(C20="","",ROW()-6)</f>
        <v/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>
        <f>J20-I20</f>
        <v/>
      </c>
      <c r="L20" s="7" t="n"/>
      <c r="M20" s="7" t="n"/>
      <c r="N20" s="7" t="n"/>
      <c r="P20" s="13" t="n"/>
      <c r="Q20" s="7">
        <f>_xlfn.IFERROR(VLOOKUP(P20,$D$7:$F$210,3,0),"")</f>
        <v/>
      </c>
    </row>
    <row r="21" ht="25.5" customHeight="1" s="20">
      <c r="B21" s="7">
        <f>IF(C21="","",ROW()-6)</f>
        <v/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>
        <f>J21-I21</f>
        <v/>
      </c>
      <c r="L21" s="7" t="n"/>
      <c r="M21" s="7" t="n"/>
      <c r="N21" s="7" t="n"/>
      <c r="P21" s="13" t="n"/>
      <c r="Q21" s="7">
        <f>_xlfn.IFERROR(VLOOKUP(P21,$D$7:$F$210,3,0),"")</f>
        <v/>
      </c>
    </row>
    <row r="22" ht="19.5" customHeight="1" s="20"/>
    <row r="23" ht="19.5" customHeight="1" s="20"/>
    <row r="24" ht="19.5" customHeight="1" s="20"/>
    <row r="25" ht="19.5" customHeight="1" s="20"/>
    <row r="26" ht="21" customHeight="1" s="20"/>
    <row r="27" ht="21" customHeight="1" s="20"/>
    <row r="28" ht="21" customHeight="1" s="20"/>
    <row r="29" ht="21" customHeight="1" s="20"/>
  </sheetData>
  <mergeCells count="4">
    <mergeCell ref="B3:N4"/>
    <mergeCell ref="P6:Q7"/>
    <mergeCell ref="P8:Q8"/>
    <mergeCell ref="P10:Q10"/>
  </mergeCells>
  <conditionalFormatting sqref="P8:Q8">
    <cfRule type="expression" priority="3" dxfId="0">
      <formula>$C7=$P$8</formula>
    </cfRule>
  </conditionalFormatting>
  <conditionalFormatting sqref="P12:P18">
    <cfRule type="expression" priority="1" dxfId="0">
      <formula>$C12=$P$8</formula>
    </cfRule>
  </conditionalFormatting>
  <conditionalFormatting sqref="B7:N21">
    <cfRule type="expression" priority="2" dxfId="0">
      <formula>$C7=$P$8</formula>
    </cfRule>
  </conditionalFormatting>
  <dataValidations count="2">
    <dataValidation sqref="P8:Q8" showDropDown="0" showInputMessage="1" showErrorMessage="1" allowBlank="1" type="list">
      <formula1>$C$7:$C$210</formula1>
    </dataValidation>
    <dataValidation sqref="L7:L13 L14:L21" showDropDown="0" showInputMessage="1" showErrorMessage="1" allowBlank="1" type="list">
      <formula1>"已完成,进行中,未开始"</formula1>
    </dataValidation>
  </dataValidations>
  <pageMargins left="0.75" right="0.75" top="1" bottom="1" header="0.5" footer="0.5"/>
  <pageSetup orientation="landscape" paperSize="9" scale="70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</dc:creator>
  <dcterms:created xsi:type="dcterms:W3CDTF">2021-09-16T05:10:00Z</dcterms:created>
  <dcterms:modified xsi:type="dcterms:W3CDTF">2025-07-09T07:51:16Z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B2CE9A1FFA5B49B9B0B89AF94995A397_11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v1.0_mb_WIWgK7hl/EVg8I6emQMF/g==</vt:lpwstr>
  </property>
</Properties>
</file>