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752" windowHeight="11175" tabRatio="600" firstSheet="1" autoFilterDateGrouping="1"/>
  </bookViews>
  <sheets>
    <sheet name="Profitability_Analysi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#,##0.00_ "/>
  </numFmts>
  <fonts count="30">
    <font>
      <name val="宋体"/>
      <family val="2"/>
      <sz val="12"/>
    </font>
    <font>
      <name val="Arial"/>
      <family val="2"/>
      <sz val="10"/>
    </font>
    <font>
      <name val="宋体"/>
      <family val="2"/>
      <sz val="10.5"/>
    </font>
    <font>
      <name val="宋体"/>
      <family val="2"/>
      <b val="1"/>
      <sz val="22"/>
    </font>
    <font>
      <name val="微软雅黑"/>
      <family val="2"/>
      <b val="1"/>
      <sz val="11"/>
    </font>
    <font>
      <name val="宋体"/>
      <family val="2"/>
      <b val="1"/>
      <sz val="20"/>
    </font>
    <font>
      <name val="微软雅黑"/>
      <family val="2"/>
      <sz val="10"/>
    </font>
    <font>
      <name val="微软雅黑"/>
      <family val="2"/>
      <b val="1"/>
      <sz val="10.5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indexed="8"/>
      <sz val="11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宋体"/>
      <family val="2"/>
      <color theme="1"/>
      <sz val="11"/>
      <scheme val="minor"/>
    </font>
    <font>
      <name val="宋体"/>
      <family val="2"/>
      <b val="1"/>
      <sz val="12"/>
    </font>
    <font>
      <name val="宋体"/>
      <family val="2"/>
      <color rgb="FF0000FF"/>
      <sz val="12"/>
      <u val="single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8" fillId="0" borderId="0"/>
    <xf numFmtId="0" fontId="9" fillId="0" borderId="0"/>
    <xf numFmtId="0" fontId="10" fillId="2" borderId="1"/>
    <xf numFmtId="0" fontId="11" fillId="0" borderId="0"/>
    <xf numFmtId="0" fontId="12" fillId="0" borderId="0"/>
    <xf numFmtId="0" fontId="13" fillId="0" borderId="0"/>
    <xf numFmtId="0" fontId="14" fillId="0" borderId="2"/>
    <xf numFmtId="0" fontId="15" fillId="0" borderId="2"/>
    <xf numFmtId="0" fontId="16" fillId="0" borderId="3"/>
    <xf numFmtId="0" fontId="16" fillId="0" borderId="0"/>
    <xf numFmtId="0" fontId="17" fillId="3" borderId="4"/>
    <xf numFmtId="0" fontId="18" fillId="4" borderId="5"/>
    <xf numFmtId="0" fontId="19" fillId="4" borderId="4"/>
    <xf numFmtId="0" fontId="20" fillId="5" borderId="6"/>
    <xf numFmtId="0" fontId="21" fillId="0" borderId="7"/>
    <xf numFmtId="0" fontId="22" fillId="0" borderId="8"/>
    <xf numFmtId="0" fontId="23" fillId="6" borderId="0"/>
    <xf numFmtId="0" fontId="24" fillId="7" borderId="0"/>
    <xf numFmtId="0" fontId="25" fillId="8" borderId="0"/>
    <xf numFmtId="0" fontId="26" fillId="9" borderId="0"/>
    <xf numFmtId="0" fontId="27" fillId="10" borderId="0"/>
    <xf numFmtId="0" fontId="27" fillId="11" borderId="0"/>
    <xf numFmtId="0" fontId="26" fillId="12" borderId="0"/>
    <xf numFmtId="0" fontId="26" fillId="13" borderId="0"/>
    <xf numFmtId="0" fontId="27" fillId="14" borderId="0"/>
    <xf numFmtId="0" fontId="27" fillId="15" borderId="0"/>
    <xf numFmtId="0" fontId="26" fillId="16" borderId="0"/>
    <xf numFmtId="0" fontId="26" fillId="17" borderId="0"/>
    <xf numFmtId="0" fontId="27" fillId="18" borderId="0"/>
    <xf numFmtId="0" fontId="27" fillId="19" borderId="0"/>
    <xf numFmtId="0" fontId="26" fillId="20" borderId="0"/>
    <xf numFmtId="0" fontId="26" fillId="21" borderId="0"/>
    <xf numFmtId="0" fontId="27" fillId="22" borderId="0"/>
    <xf numFmtId="0" fontId="27" fillId="23" borderId="0"/>
    <xf numFmtId="0" fontId="26" fillId="24" borderId="0"/>
    <xf numFmtId="0" fontId="26" fillId="25" borderId="0"/>
    <xf numFmtId="0" fontId="27" fillId="26" borderId="0"/>
    <xf numFmtId="0" fontId="27" fillId="27" borderId="0"/>
    <xf numFmtId="0" fontId="26" fillId="28" borderId="0"/>
    <xf numFmtId="0" fontId="26" fillId="29" borderId="0"/>
    <xf numFmtId="0" fontId="27" fillId="30" borderId="0"/>
    <xf numFmtId="0" fontId="27" fillId="31" borderId="0"/>
    <xf numFmtId="0" fontId="26" fillId="32" borderId="0"/>
    <xf numFmtId="0" fontId="29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30" borderId="9" applyAlignment="1" pivotButton="0" quotePrefix="0" xfId="0">
      <alignment horizontal="center" vertical="center"/>
    </xf>
    <xf numFmtId="0" fontId="5" fillId="3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10" fontId="6" fillId="0" borderId="9" applyAlignment="1" pivotButton="0" quotePrefix="0" xfId="0">
      <alignment horizontal="center" vertical="center"/>
    </xf>
    <xf numFmtId="164" fontId="6" fillId="0" borderId="9" applyAlignment="1" pivotButton="0" quotePrefix="0" xfId="0">
      <alignment horizontal="center" vertical="center"/>
    </xf>
    <xf numFmtId="0" fontId="4" fillId="22" borderId="9" applyAlignment="1" pivotButton="0" quotePrefix="0" xfId="0">
      <alignment horizontal="center" vertical="center"/>
    </xf>
    <xf numFmtId="165" fontId="7" fillId="22" borderId="9" applyAlignment="1" pivotButton="0" quotePrefix="0" xfId="0">
      <alignment horizontal="center" vertical="center"/>
    </xf>
    <xf numFmtId="10" fontId="7" fillId="22" borderId="9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0" fontId="7" fillId="2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0" fontId="29" fillId="0" borderId="0" applyAlignment="1" pivotButton="0" quotePrefix="0" xfId="68">
      <alignment vertical="center"/>
    </xf>
    <xf numFmtId="0" fontId="29" fillId="0" borderId="0" applyAlignment="1" pivotButton="0" quotePrefix="0" xfId="0">
      <alignment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0" pivotButton="0" quotePrefix="0" xfId="0"/>
    <xf numFmtId="164" fontId="6" fillId="0" borderId="9" applyAlignment="1" pivotButton="0" quotePrefix="0" xfId="0">
      <alignment horizontal="center" vertical="center"/>
    </xf>
    <xf numFmtId="165" fontId="7" fillId="22" borderId="9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showGridLines="0" topLeftCell="A1" workbookViewId="0">
      <selection activeCell="D5" sqref="D5"/>
    </sheetView>
  </sheetViews>
  <sheetFormatPr baseColWidth="8" defaultColWidth="8.75390625" defaultRowHeight="14.25"/>
  <cols>
    <col width="7.25390625" customWidth="1" style="1" min="1" max="1"/>
    <col width="13.625" customWidth="1" style="1" min="2" max="5"/>
    <col width="14.375" customWidth="1" style="1" min="6" max="6"/>
    <col width="13.625" customWidth="1" style="1" min="7" max="10"/>
    <col width="14.625" customWidth="1" style="1" min="11" max="11"/>
    <col hidden="1" width="15.625" customWidth="1" style="1" min="12" max="12"/>
    <col width="15.625" customWidth="1" style="1" min="13" max="13"/>
    <col hidden="1" width="15.625" customWidth="1" style="1" min="14" max="14"/>
    <col width="15.625" customWidth="1" style="1" min="15" max="15"/>
    <col width="13.875" customWidth="1" style="1" min="17" max="18"/>
  </cols>
  <sheetData>
    <row r="1" ht="37.5" customFormat="1" customHeight="1" s="1">
      <c r="A1" s="4" t="inlineStr">
        <is>
          <t>Company Profitability Analysis Table</t>
        </is>
      </c>
      <c r="P1" s="1" t="n"/>
      <c r="Q1" s="1" t="n"/>
      <c r="R1" s="1" t="n"/>
    </row>
    <row r="2" ht="34.5" customFormat="1" customHeight="1" s="1">
      <c r="A2" s="5" t="inlineStr">
        <is>
          <t>Month</t>
        </is>
      </c>
      <c r="B2" s="6" t="inlineStr">
        <is>
          <t>2020</t>
        </is>
      </c>
      <c r="C2" s="19" t="n"/>
      <c r="D2" s="19" t="n"/>
      <c r="E2" s="19" t="n"/>
      <c r="F2" s="20" t="n"/>
      <c r="G2" s="6" t="inlineStr">
        <is>
          <t>2019</t>
        </is>
      </c>
      <c r="H2" s="19" t="n"/>
      <c r="I2" s="19" t="n"/>
      <c r="J2" s="19" t="n"/>
      <c r="K2" s="20" t="n"/>
      <c r="L2" s="5" t="inlineStr">
        <is>
          <t>Profit Year-over-Year Growth Amount</t>
        </is>
      </c>
      <c r="M2" s="5" t="inlineStr">
        <is>
          <t>Profit Growth Rate Compared to Same Period Last Year</t>
        </is>
      </c>
      <c r="N2" s="5" t="inlineStr">
        <is>
          <t>Profit Ring Ratio Growth Amount</t>
        </is>
      </c>
      <c r="O2" s="5" t="inlineStr">
        <is>
          <t>Profit Margin Growth Rate Month-over-Month</t>
        </is>
      </c>
      <c r="P2" s="1" t="n"/>
      <c r="Q2" s="1" t="n"/>
      <c r="R2" s="1" t="n"/>
    </row>
    <row r="3" ht="34.5" customFormat="1" customHeight="1" s="2">
      <c r="A3" s="21" t="n"/>
      <c r="B3" s="5" t="inlineStr">
        <is>
          <t>Sales Revenue</t>
        </is>
      </c>
      <c r="C3" s="5" t="inlineStr">
        <is>
          <t>Cost and expenses</t>
        </is>
      </c>
      <c r="D3" s="5" t="inlineStr">
        <is>
          <t>Total Profit</t>
        </is>
      </c>
      <c r="E3" s="5" t="inlineStr">
        <is>
          <t>Sales Profit Margin</t>
        </is>
      </c>
      <c r="F3" s="5" t="inlineStr">
        <is>
          <t>Cost Profit Margin</t>
        </is>
      </c>
      <c r="G3" s="5" t="inlineStr">
        <is>
          <t>Sales Revenue</t>
        </is>
      </c>
      <c r="H3" s="5" t="inlineStr">
        <is>
          <t>Cost and expenses</t>
        </is>
      </c>
      <c r="I3" s="5" t="inlineStr">
        <is>
          <t>Total Profit</t>
        </is>
      </c>
      <c r="J3" s="5" t="inlineStr">
        <is>
          <t>Sales Profit Margin</t>
        </is>
      </c>
      <c r="K3" s="5" t="inlineStr">
        <is>
          <t>Cost Profit Margin</t>
        </is>
      </c>
      <c r="L3" s="21" t="n"/>
      <c r="M3" s="21" t="n"/>
      <c r="N3" s="21" t="n"/>
      <c r="O3" s="21" t="n"/>
      <c r="P3" s="2" t="n"/>
      <c r="Q3" s="15" t="n"/>
      <c r="R3" s="15" t="n"/>
    </row>
    <row r="4" ht="34.5" customHeight="1" s="22">
      <c r="A4" s="7" t="inlineStr">
        <is>
          <t>January</t>
        </is>
      </c>
      <c r="B4" s="7" t="n">
        <v>3094226</v>
      </c>
      <c r="C4" s="7" t="n">
        <v>2812000</v>
      </c>
      <c r="D4" s="7">
        <f>B4-C4</f>
        <v/>
      </c>
      <c r="E4" s="8">
        <f>D4/B4</f>
        <v/>
      </c>
      <c r="F4" s="8">
        <f>D4/C4</f>
        <v/>
      </c>
      <c r="G4" s="23" t="n">
        <v>2494223</v>
      </c>
      <c r="H4" s="23" t="n">
        <v>2297754</v>
      </c>
      <c r="I4" s="7">
        <f>G4-H4</f>
        <v/>
      </c>
      <c r="J4" s="8">
        <f>I4/G4</f>
        <v/>
      </c>
      <c r="K4" s="8">
        <f>I4/H4</f>
        <v/>
      </c>
      <c r="L4" s="7">
        <f>D4-I4</f>
        <v/>
      </c>
      <c r="M4" s="8">
        <f>L4/I4</f>
        <v/>
      </c>
      <c r="N4" s="7">
        <f>D4-I15</f>
        <v/>
      </c>
      <c r="O4" s="8">
        <f>N4/I15</f>
        <v/>
      </c>
    </row>
    <row r="5" ht="34.5" customHeight="1" s="22">
      <c r="A5" s="7" t="inlineStr">
        <is>
          <t>February</t>
        </is>
      </c>
      <c r="B5" s="7" t="n">
        <v>909408</v>
      </c>
      <c r="C5" s="7" t="n">
        <v>990638</v>
      </c>
      <c r="D5" s="7">
        <f>B5-C5</f>
        <v/>
      </c>
      <c r="E5" s="8">
        <f>D5/B5</f>
        <v/>
      </c>
      <c r="F5" s="8">
        <f>D5/C5</f>
        <v/>
      </c>
      <c r="G5" s="23" t="n">
        <v>849405</v>
      </c>
      <c r="H5" s="23" t="n">
        <v>614638</v>
      </c>
      <c r="I5" s="7">
        <f>G5-H5</f>
        <v/>
      </c>
      <c r="J5" s="8">
        <f>I5/G5</f>
        <v/>
      </c>
      <c r="K5" s="8">
        <f>I5/H5</f>
        <v/>
      </c>
      <c r="L5" s="7">
        <f>D5-I5</f>
        <v/>
      </c>
      <c r="M5" s="8">
        <f>L5/I5</f>
        <v/>
      </c>
      <c r="N5" s="7">
        <f>D5-D4</f>
        <v/>
      </c>
      <c r="O5" s="8">
        <f>N5/D4</f>
        <v/>
      </c>
    </row>
    <row r="6" ht="34.5" customHeight="1" s="22">
      <c r="A6" s="7" t="inlineStr">
        <is>
          <t>March</t>
        </is>
      </c>
      <c r="B6" s="7" t="n">
        <v>1658425</v>
      </c>
      <c r="C6" s="7" t="n">
        <v>1515939</v>
      </c>
      <c r="D6" s="7">
        <f>B6-C6</f>
        <v/>
      </c>
      <c r="E6" s="8">
        <f>D6/B6</f>
        <v/>
      </c>
      <c r="F6" s="8">
        <f>D6/C6</f>
        <v/>
      </c>
      <c r="G6" s="23" t="n">
        <v>1508422</v>
      </c>
      <c r="H6" s="23" t="n">
        <v>1645936</v>
      </c>
      <c r="I6" s="7">
        <f>G6-H6</f>
        <v/>
      </c>
      <c r="J6" s="8">
        <f>I6/G6</f>
        <v/>
      </c>
      <c r="K6" s="8">
        <f>I6/H6</f>
        <v/>
      </c>
      <c r="L6" s="7">
        <f>D6-I6</f>
        <v/>
      </c>
      <c r="M6" s="8">
        <f>L6/I6</f>
        <v/>
      </c>
      <c r="N6" s="7">
        <f>D6-D5</f>
        <v/>
      </c>
      <c r="O6" s="8">
        <f>N6/D5</f>
        <v/>
      </c>
    </row>
    <row r="7" ht="34.5" customHeight="1" s="22">
      <c r="A7" s="7" t="inlineStr">
        <is>
          <t>April</t>
        </is>
      </c>
      <c r="B7" s="7" t="n">
        <v>2955068</v>
      </c>
      <c r="C7" s="7" t="n">
        <v>2360155</v>
      </c>
      <c r="D7" s="7">
        <f>B7-C7</f>
        <v/>
      </c>
      <c r="E7" s="8">
        <f>D7/B7</f>
        <v/>
      </c>
      <c r="F7" s="8">
        <f>D7/C7</f>
        <v/>
      </c>
      <c r="G7" s="23" t="n">
        <v>2724066</v>
      </c>
      <c r="H7" s="23" t="n">
        <v>2262151</v>
      </c>
      <c r="I7" s="7">
        <f>G7-H7</f>
        <v/>
      </c>
      <c r="J7" s="8">
        <f>I7/G7</f>
        <v/>
      </c>
      <c r="K7" s="8">
        <f>I7/H7</f>
        <v/>
      </c>
      <c r="L7" s="7">
        <f>D7-I7</f>
        <v/>
      </c>
      <c r="M7" s="8">
        <f>L7/I7</f>
        <v/>
      </c>
      <c r="N7" s="7">
        <f>D7-D6</f>
        <v/>
      </c>
      <c r="O7" s="8">
        <f>N7/D6</f>
        <v/>
      </c>
    </row>
    <row r="8" ht="34.5" customHeight="1" s="22">
      <c r="A8" s="7" t="inlineStr">
        <is>
          <t>May</t>
        </is>
      </c>
      <c r="B8" s="7" t="n">
        <v>3552676</v>
      </c>
      <c r="C8" s="7" t="n">
        <v>2658028</v>
      </c>
      <c r="D8" s="7">
        <f>B8-C8</f>
        <v/>
      </c>
      <c r="E8" s="8">
        <f>D8/B8</f>
        <v/>
      </c>
      <c r="F8" s="8">
        <f>D8/C8</f>
        <v/>
      </c>
      <c r="G8" s="23" t="n">
        <v>3122676</v>
      </c>
      <c r="H8" s="23" t="n">
        <v>2508028</v>
      </c>
      <c r="I8" s="7">
        <f>G8-H8</f>
        <v/>
      </c>
      <c r="J8" s="8">
        <f>I8/G8</f>
        <v/>
      </c>
      <c r="K8" s="8">
        <f>I8/H8</f>
        <v/>
      </c>
      <c r="L8" s="7">
        <f>D8-I8</f>
        <v/>
      </c>
      <c r="M8" s="8">
        <f>L8/I8</f>
        <v/>
      </c>
      <c r="N8" s="7">
        <f>D8-D7</f>
        <v/>
      </c>
      <c r="O8" s="8">
        <f>N8/D7</f>
        <v/>
      </c>
    </row>
    <row r="9" ht="34.5" customHeight="1" s="22">
      <c r="A9" s="7" t="inlineStr">
        <is>
          <t>June</t>
        </is>
      </c>
      <c r="B9" s="7" t="n">
        <v>2368525</v>
      </c>
      <c r="C9" s="7" t="n">
        <v>2322428</v>
      </c>
      <c r="D9" s="7">
        <f>B9-C9</f>
        <v/>
      </c>
      <c r="E9" s="8">
        <f>D9/B9</f>
        <v/>
      </c>
      <c r="F9" s="8">
        <f>D9/C9</f>
        <v/>
      </c>
      <c r="G9" s="23" t="n">
        <v>1277524</v>
      </c>
      <c r="H9" s="23" t="n">
        <v>1502420</v>
      </c>
      <c r="I9" s="7">
        <f>G9-H9</f>
        <v/>
      </c>
      <c r="J9" s="8">
        <f>I9/G9</f>
        <v/>
      </c>
      <c r="K9" s="8">
        <f>I9/H9</f>
        <v/>
      </c>
      <c r="L9" s="7">
        <f>D9-I9</f>
        <v/>
      </c>
      <c r="M9" s="8">
        <f>L9/I9</f>
        <v/>
      </c>
      <c r="N9" s="7">
        <f>D9-D8</f>
        <v/>
      </c>
      <c r="O9" s="8">
        <f>N9/D8</f>
        <v/>
      </c>
    </row>
    <row r="10" ht="34.5" customHeight="1" s="22">
      <c r="A10" s="7" t="inlineStr">
        <is>
          <t>July</t>
        </is>
      </c>
      <c r="B10" s="7" t="n">
        <v>2173128</v>
      </c>
      <c r="C10" s="7" t="n">
        <v>2137485</v>
      </c>
      <c r="D10" s="7">
        <f>B10-C10</f>
        <v/>
      </c>
      <c r="E10" s="8">
        <f>D10/B10</f>
        <v/>
      </c>
      <c r="F10" s="8">
        <f>D10/C10</f>
        <v/>
      </c>
      <c r="G10" s="23" t="n">
        <v>1773105</v>
      </c>
      <c r="H10" s="23" t="n">
        <v>2037445</v>
      </c>
      <c r="I10" s="7">
        <f>G10-H10</f>
        <v/>
      </c>
      <c r="J10" s="8">
        <f>I10/G10</f>
        <v/>
      </c>
      <c r="K10" s="8">
        <f>I10/H10</f>
        <v/>
      </c>
      <c r="L10" s="7">
        <f>D10-I10</f>
        <v/>
      </c>
      <c r="M10" s="8">
        <f>L10/I10</f>
        <v/>
      </c>
      <c r="N10" s="7">
        <f>D10-D9</f>
        <v/>
      </c>
      <c r="O10" s="8">
        <f>N10/D9</f>
        <v/>
      </c>
    </row>
    <row r="11" ht="34.5" customHeight="1" s="22">
      <c r="A11" s="7" t="inlineStr">
        <is>
          <t>August</t>
        </is>
      </c>
      <c r="B11" s="7" t="n">
        <v>3011170</v>
      </c>
      <c r="C11" s="7" t="n">
        <v>2958649</v>
      </c>
      <c r="D11" s="7">
        <f>B11-C11</f>
        <v/>
      </c>
      <c r="E11" s="8">
        <f>D11/B11</f>
        <v/>
      </c>
      <c r="F11" s="8">
        <f>D11/C11</f>
        <v/>
      </c>
      <c r="G11" s="23" t="n">
        <v>3011176</v>
      </c>
      <c r="H11" s="23" t="n">
        <v>2263647</v>
      </c>
      <c r="I11" s="7">
        <f>G11-H11</f>
        <v/>
      </c>
      <c r="J11" s="8">
        <f>I11/G11</f>
        <v/>
      </c>
      <c r="K11" s="8">
        <f>I11/H11</f>
        <v/>
      </c>
      <c r="L11" s="7">
        <f>D11-I11</f>
        <v/>
      </c>
      <c r="M11" s="8">
        <f>L11/I11</f>
        <v/>
      </c>
      <c r="N11" s="7">
        <f>D11-D10</f>
        <v/>
      </c>
      <c r="O11" s="8">
        <f>N11/D10</f>
        <v/>
      </c>
    </row>
    <row r="12" ht="34.5" customHeight="1" s="22">
      <c r="A12" s="7" t="inlineStr">
        <is>
          <t>September</t>
        </is>
      </c>
      <c r="B12" s="7" t="n">
        <v>2280556</v>
      </c>
      <c r="C12" s="7" t="n">
        <v>2300685</v>
      </c>
      <c r="D12" s="7">
        <f>B12-C12</f>
        <v/>
      </c>
      <c r="E12" s="8">
        <f>D12/B12</f>
        <v/>
      </c>
      <c r="F12" s="8">
        <f>D12/C12</f>
        <v/>
      </c>
      <c r="G12" s="23" t="n">
        <v>1980555</v>
      </c>
      <c r="H12" s="23" t="n">
        <v>2200599</v>
      </c>
      <c r="I12" s="7">
        <f>G12-H12</f>
        <v/>
      </c>
      <c r="J12" s="8">
        <f>I12/G12</f>
        <v/>
      </c>
      <c r="K12" s="8">
        <f>I12/H12</f>
        <v/>
      </c>
      <c r="L12" s="7">
        <f>D12-I12</f>
        <v/>
      </c>
      <c r="M12" s="8">
        <f>L12/I12</f>
        <v/>
      </c>
      <c r="N12" s="7">
        <f>D12-D11</f>
        <v/>
      </c>
      <c r="O12" s="8">
        <f>N12/D11</f>
        <v/>
      </c>
    </row>
    <row r="13" ht="34.5" customHeight="1" s="22">
      <c r="A13" s="7" t="inlineStr">
        <is>
          <t>October</t>
        </is>
      </c>
      <c r="B13" s="7" t="n">
        <v>2425270</v>
      </c>
      <c r="C13" s="7" t="n">
        <v>2452338</v>
      </c>
      <c r="D13" s="7">
        <f>B13-C13</f>
        <v/>
      </c>
      <c r="E13" s="8">
        <f>D13/B13</f>
        <v/>
      </c>
      <c r="F13" s="8">
        <f>D13/C13</f>
        <v/>
      </c>
      <c r="G13" s="23" t="n">
        <v>1625279</v>
      </c>
      <c r="H13" s="23" t="n">
        <v>1742338</v>
      </c>
      <c r="I13" s="7">
        <f>G13-H13</f>
        <v/>
      </c>
      <c r="J13" s="8">
        <f>I13/G13</f>
        <v/>
      </c>
      <c r="K13" s="8">
        <f>I13/H13</f>
        <v/>
      </c>
      <c r="L13" s="7">
        <f>D13-I13</f>
        <v/>
      </c>
      <c r="M13" s="8">
        <f>L13/I13</f>
        <v/>
      </c>
      <c r="N13" s="7">
        <f>D13-D12</f>
        <v/>
      </c>
      <c r="O13" s="8">
        <f>N13/D12</f>
        <v/>
      </c>
    </row>
    <row r="14" ht="34.5" customHeight="1" s="22">
      <c r="A14" s="7" t="inlineStr">
        <is>
          <t>November</t>
        </is>
      </c>
      <c r="B14" s="7" t="n">
        <v>2910110</v>
      </c>
      <c r="C14" s="7" t="n">
        <v>2886298</v>
      </c>
      <c r="D14" s="7">
        <f>B14-C14</f>
        <v/>
      </c>
      <c r="E14" s="8">
        <f>D14/B14</f>
        <v/>
      </c>
      <c r="F14" s="8">
        <f>D14/C14</f>
        <v/>
      </c>
      <c r="G14" s="23" t="n">
        <v>2330150</v>
      </c>
      <c r="H14" s="23" t="n">
        <v>1946298</v>
      </c>
      <c r="I14" s="7">
        <f>G14-H14</f>
        <v/>
      </c>
      <c r="J14" s="8">
        <f>I14/G14</f>
        <v/>
      </c>
      <c r="K14" s="8">
        <f>I14/H14</f>
        <v/>
      </c>
      <c r="L14" s="7">
        <f>D14-I14</f>
        <v/>
      </c>
      <c r="M14" s="8">
        <f>L14/I14</f>
        <v/>
      </c>
      <c r="N14" s="7">
        <f>D14-D13</f>
        <v/>
      </c>
      <c r="O14" s="8">
        <f>N14/D13</f>
        <v/>
      </c>
    </row>
    <row r="15" ht="34.5" customHeight="1" s="22">
      <c r="A15" s="7" t="inlineStr">
        <is>
          <t>December</t>
        </is>
      </c>
      <c r="B15" s="7" t="n">
        <v>3089299</v>
      </c>
      <c r="C15" s="7" t="n">
        <v>2907885</v>
      </c>
      <c r="D15" s="7">
        <f>B15-C15</f>
        <v/>
      </c>
      <c r="E15" s="8">
        <f>D15/B15</f>
        <v/>
      </c>
      <c r="F15" s="8">
        <f>D15/C15</f>
        <v/>
      </c>
      <c r="G15" s="23" t="n">
        <v>2889295</v>
      </c>
      <c r="H15" s="23" t="n">
        <v>2705000</v>
      </c>
      <c r="I15" s="7">
        <f>G15-H15</f>
        <v/>
      </c>
      <c r="J15" s="8">
        <f>I15/G15</f>
        <v/>
      </c>
      <c r="K15" s="8">
        <f>I15/H15</f>
        <v/>
      </c>
      <c r="L15" s="7">
        <f>D15-I15</f>
        <v/>
      </c>
      <c r="M15" s="8">
        <f>L15/I15</f>
        <v/>
      </c>
      <c r="N15" s="7">
        <f>D15-D14</f>
        <v/>
      </c>
      <c r="O15" s="8">
        <f>N15/D14</f>
        <v/>
      </c>
    </row>
    <row r="16" ht="34.5" customFormat="1" customHeight="1" s="3">
      <c r="A16" s="10" t="inlineStr">
        <is>
          <t>Total</t>
        </is>
      </c>
      <c r="B16" s="24">
        <f>SUM(B4:B15)</f>
        <v/>
      </c>
      <c r="C16" s="24">
        <f>SUM(C4:C15)</f>
        <v/>
      </c>
      <c r="D16" s="24">
        <f>SUM(D4:D15)</f>
        <v/>
      </c>
      <c r="E16" s="12">
        <f>D16/B16</f>
        <v/>
      </c>
      <c r="F16" s="12">
        <f>D16/C16</f>
        <v/>
      </c>
      <c r="G16" s="24">
        <f>SUM(G4:G15)</f>
        <v/>
      </c>
      <c r="H16" s="24">
        <f>SUM(H4:H15)</f>
        <v/>
      </c>
      <c r="I16" s="24">
        <f>SUM(I4:I15)</f>
        <v/>
      </c>
      <c r="J16" s="12">
        <f>I16/G16</f>
        <v/>
      </c>
      <c r="K16" s="12">
        <f>I16/H16</f>
        <v/>
      </c>
      <c r="L16" s="24">
        <f>D16-I16</f>
        <v/>
      </c>
      <c r="M16" s="12">
        <f>L16/I16</f>
        <v/>
      </c>
      <c r="N16" s="14" t="n"/>
      <c r="O16" s="14" t="n"/>
      <c r="P16" s="3" t="n"/>
      <c r="Q16" s="3" t="n"/>
      <c r="R16" s="3" t="n"/>
    </row>
    <row r="17" ht="14.25" customHeight="1" s="22"/>
    <row r="18" ht="14.25" customHeight="1" s="22">
      <c r="B18" s="25" t="n"/>
    </row>
  </sheetData>
  <mergeCells count="8">
    <mergeCell ref="B2:F2"/>
    <mergeCell ref="G2:K2"/>
    <mergeCell ref="A1:O1"/>
    <mergeCell ref="O2:O3"/>
    <mergeCell ref="M2:M3"/>
    <mergeCell ref="A2:A3"/>
    <mergeCell ref="N2:N3"/>
    <mergeCell ref="L2:L3"/>
  </mergeCells>
  <pageMargins left="0.75" right="0.75" top="1" bottom="1" header="0.5" footer="0.5"/>
  <pageSetup orientation="landscape" paperSize="9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</dc:creator>
  <dcterms:created xsi:type="dcterms:W3CDTF">2020-03-20T07:34:00Z</dcterms:created>
  <dcterms:modified xsi:type="dcterms:W3CDTF">2025-07-08T03:19:18Z</dcterms:modified>
  <cp:lastModifiedBy>海绵没宝宝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7F92C7BF68744E1CAC8820B02035C83F_11</vt:lpwstr>
  </property>
  <property name="KSOProductBuildVer" fmtid="{D5CDD505-2E9C-101B-9397-08002B2CF9AE}" pid="3">
    <vt:lpwstr>2052-12.1.0.16250</vt:lpwstr>
  </property>
  <property name="KSOTemplateUUID" fmtid="{D5CDD505-2E9C-101B-9397-08002B2CF9AE}" pid="4">
    <vt:lpwstr>v1.0_mb_5J3pTIjfE0WZBANXemeRNg==</vt:lpwstr>
  </property>
</Properties>
</file>