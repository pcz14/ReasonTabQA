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17550" windowHeight="12375" tabRatio="600" firstSheet="1" autoFilterDateGrouping="1"/>
  </bookViews>
  <sheets>
    <sheet name="Monthly_Procurement_Fund_Budg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 &quot;￥&quot;* #,##0_ ;_ &quot;￥&quot;* \-#,##0_ ;_ &quot;￥&quot;* &quot;-&quot;_ ;_ @_ "/>
  </numFmts>
  <fonts count="27">
    <font>
      <name val="Verdana"/>
      <family val="2"/>
      <color theme="1"/>
      <sz val="11"/>
      <scheme val="minor"/>
    </font>
    <font>
      <name val="Arial"/>
      <family val="2"/>
      <sz val="10"/>
    </font>
    <font>
      <name val="微软雅黑"/>
      <family val="2"/>
      <color theme="1"/>
      <sz val="10"/>
    </font>
    <font>
      <name val="微软雅黑"/>
      <family val="2"/>
      <color theme="1"/>
      <sz val="9"/>
    </font>
    <font>
      <name val="微软雅黑"/>
      <family val="2"/>
      <b val="1"/>
      <color theme="2" tint="-0.4999899864196777"/>
      <sz val="20"/>
    </font>
    <font>
      <name val="微软雅黑"/>
      <family val="2"/>
      <sz val="10"/>
    </font>
    <font>
      <name val="微软雅黑"/>
      <family val="2"/>
      <b val="1"/>
      <sz val="10"/>
    </font>
    <font>
      <name val="微软雅黑"/>
      <family val="2"/>
      <color theme="0"/>
      <sz val="10"/>
    </font>
    <font>
      <name val="微软雅黑"/>
      <family val="2"/>
      <sz val="9"/>
    </font>
    <font>
      <name val="Verdana"/>
      <family val="2"/>
      <color rgb="FF0000FF"/>
      <sz val="11"/>
      <u val="single"/>
      <scheme val="minor"/>
    </font>
    <font>
      <name val="Verdana"/>
      <family val="2"/>
      <color rgb="FF800080"/>
      <sz val="11"/>
      <u val="single"/>
      <scheme val="minor"/>
    </font>
    <font>
      <name val="Verdana"/>
      <family val="2"/>
      <color rgb="FFFF0000"/>
      <sz val="11"/>
      <scheme val="minor"/>
    </font>
    <font>
      <name val="Verdana"/>
      <family val="2"/>
      <b val="1"/>
      <color theme="3"/>
      <sz val="18"/>
      <scheme val="minor"/>
    </font>
    <font>
      <name val="Verdana"/>
      <family val="2"/>
      <i val="1"/>
      <color rgb="FF7F7F7F"/>
      <sz val="11"/>
      <scheme val="minor"/>
    </font>
    <font>
      <name val="Verdana"/>
      <family val="2"/>
      <b val="1"/>
      <color theme="3"/>
      <sz val="15"/>
      <scheme val="minor"/>
    </font>
    <font>
      <name val="Verdana"/>
      <family val="2"/>
      <b val="1"/>
      <color theme="3"/>
      <sz val="13"/>
      <scheme val="minor"/>
    </font>
    <font>
      <name val="Verdana"/>
      <family val="2"/>
      <b val="1"/>
      <color theme="3"/>
      <sz val="11"/>
      <scheme val="minor"/>
    </font>
    <font>
      <name val="Verdana"/>
      <family val="2"/>
      <color rgb="FF3F3F76"/>
      <sz val="11"/>
      <scheme val="minor"/>
    </font>
    <font>
      <name val="Verdana"/>
      <family val="2"/>
      <b val="1"/>
      <color rgb="FF3F3F3F"/>
      <sz val="11"/>
      <scheme val="minor"/>
    </font>
    <font>
      <name val="Verdana"/>
      <family val="2"/>
      <b val="1"/>
      <color rgb="FFFA7D00"/>
      <sz val="11"/>
      <scheme val="minor"/>
    </font>
    <font>
      <name val="Verdana"/>
      <family val="2"/>
      <b val="1"/>
      <color rgb="FFFFFFFF"/>
      <sz val="11"/>
      <scheme val="minor"/>
    </font>
    <font>
      <name val="Verdana"/>
      <family val="2"/>
      <color rgb="FFFA7D00"/>
      <sz val="11"/>
      <scheme val="minor"/>
    </font>
    <font>
      <name val="Verdana"/>
      <family val="2"/>
      <b val="1"/>
      <color theme="1"/>
      <sz val="11"/>
      <scheme val="minor"/>
    </font>
    <font>
      <name val="Verdana"/>
      <family val="2"/>
      <color rgb="FF006100"/>
      <sz val="11"/>
      <scheme val="minor"/>
    </font>
    <font>
      <name val="Verdana"/>
      <family val="2"/>
      <color rgb="FF9C0006"/>
      <sz val="11"/>
      <scheme val="minor"/>
    </font>
    <font>
      <name val="Verdana"/>
      <family val="2"/>
      <color rgb="FF9C6500"/>
      <sz val="11"/>
      <scheme val="minor"/>
    </font>
    <font>
      <name val="Verdana"/>
      <family val="2"/>
      <color theme="0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4"/>
        <bgColor indexed="64"/>
      </patternFill>
    </fill>
    <fill>
      <patternFill patternType="solid">
        <fgColor theme="4" tint="0.5999900102615356"/>
        <bgColor indexed="64"/>
      </patternFill>
    </fill>
    <fill>
      <patternFill patternType="solid">
        <fgColor theme="4" tint="0.399980008602142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4"/>
        <bgColor indexed="64"/>
      </patternFill>
    </fill>
    <fill>
      <patternFill patternType="solid">
        <fgColor theme="5" tint="0.5999900102615356"/>
        <bgColor indexed="64"/>
      </patternFill>
    </fill>
    <fill>
      <patternFill patternType="solid">
        <fgColor theme="5" tint="0.399980008602142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4"/>
        <bgColor indexed="64"/>
      </patternFill>
    </fill>
    <fill>
      <patternFill patternType="solid">
        <fgColor theme="6" tint="0.5999900102615356"/>
        <bgColor indexed="64"/>
      </patternFill>
    </fill>
    <fill>
      <patternFill patternType="solid">
        <fgColor theme="6" tint="0.399980008602142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4"/>
        <bgColor indexed="64"/>
      </patternFill>
    </fill>
    <fill>
      <patternFill patternType="solid">
        <fgColor theme="7" tint="0.5999900102615356"/>
        <bgColor indexed="64"/>
      </patternFill>
    </fill>
    <fill>
      <patternFill patternType="solid">
        <fgColor theme="7" tint="0.399980008602142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799847602844"/>
        <bgColor indexed="64"/>
      </patternFill>
    </fill>
    <fill>
      <patternFill patternType="solid">
        <fgColor theme="8" tint="0.5999900102615356"/>
        <bgColor indexed="64"/>
      </patternFill>
    </fill>
    <fill>
      <patternFill patternType="solid">
        <fgColor theme="8" tint="0.399980008602142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799847602844"/>
        <bgColor indexed="64"/>
      </patternFill>
    </fill>
    <fill>
      <patternFill patternType="solid">
        <fgColor theme="9" tint="0.5999900102615356"/>
        <bgColor indexed="64"/>
      </patternFill>
    </fill>
    <fill>
      <patternFill patternType="solid">
        <fgColor theme="9" tint="0.3999800086021423"/>
        <bgColor indexed="64"/>
      </patternFill>
    </fill>
    <fill>
      <patternFill patternType="solid">
        <fgColor theme="2" tint="-0.4999899864196777"/>
        <bgColor indexed="64"/>
      </patternFill>
    </fill>
  </fills>
  <borders count="2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00026416779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/>
      <right/>
      <top/>
      <bottom style="double">
        <color theme="2" tint="-0.4999899864196777"/>
      </bottom>
    </border>
    <border>
      <left style="thin">
        <color theme="0" tint="-0.3499900102615356"/>
      </left>
      <right style="thin">
        <color theme="0" tint="-0.3499900102615356"/>
      </right>
      <top style="thin">
        <color theme="0" tint="-0.3499900102615356"/>
      </top>
      <bottom style="thin">
        <color theme="0" tint="-0.3499900102615356"/>
      </bottom>
    </border>
    <border>
      <left style="thin">
        <color theme="0" tint="-0.3499900102615356"/>
      </left>
      <right style="thin">
        <color theme="0" tint="-0.3499900102615356"/>
      </right>
      <top style="thin">
        <color theme="0" tint="-0.3499900102615356"/>
      </top>
      <bottom/>
    </border>
    <border>
      <left style="thin">
        <color theme="0" tint="-0.3499900102615356"/>
      </left>
      <right style="thin">
        <color theme="0" tint="-0.3499900102615356"/>
      </right>
      <top/>
      <bottom style="thin">
        <color theme="0" tint="-0.3499900102615356"/>
      </bottom>
    </border>
    <border>
      <left/>
      <right/>
      <top style="thin">
        <color theme="0" tint="-0.3499900102615356"/>
      </top>
      <bottom/>
    </border>
    <border>
      <left/>
      <right/>
      <top/>
      <bottom style="double">
        <color theme="2" tint="-0.4999899864196777"/>
      </bottom>
      <diagonal/>
    </border>
    <border>
      <left/>
      <right/>
      <top style="thin">
        <color theme="0" tint="-0.3499900102615356"/>
      </top>
      <bottom/>
      <diagonal/>
    </border>
    <border>
      <left/>
      <right style="thin">
        <color theme="0" tint="-0.3499900102615356"/>
      </right>
      <top style="thin">
        <color theme="0" tint="-0.3499900102615356"/>
      </top>
      <bottom/>
      <diagonal/>
    </border>
    <border>
      <left/>
      <right/>
      <top style="thin">
        <color theme="0" tint="-0.3499900102615356"/>
      </top>
      <bottom style="thin">
        <color theme="0" tint="-0.3499900102615356"/>
      </bottom>
      <diagonal/>
    </border>
    <border>
      <left/>
      <right style="thin">
        <color theme="0" tint="-0.3499900102615356"/>
      </right>
      <top style="thin">
        <color theme="0" tint="-0.3499900102615356"/>
      </top>
      <bottom style="thin">
        <color theme="0" tint="-0.3499900102615356"/>
      </bottom>
      <diagonal/>
    </border>
    <border>
      <left style="thin">
        <color theme="0" tint="-0.3499900102615356"/>
      </left>
      <right/>
      <top/>
      <bottom/>
      <diagonal/>
    </border>
    <border>
      <left style="thin">
        <color theme="0" tint="-0.3499900102615356"/>
      </left>
      <right style="thin">
        <color theme="0" tint="-0.3499900102615356"/>
      </right>
      <top/>
      <bottom/>
      <diagonal/>
    </border>
    <border>
      <left style="thin">
        <color theme="0" tint="-0.3499900102615356"/>
      </left>
      <right style="thin">
        <color theme="0" tint="-0.3499900102615356"/>
      </right>
      <top/>
      <bottom style="thin">
        <color theme="0" tint="-0.3499900102615356"/>
      </bottom>
      <diagonal/>
    </border>
  </borders>
  <cellStyleXfs count="55">
    <xf numFmtId="0" fontId="0" fillId="0" borderId="0" applyAlignment="1">
      <alignment vertical="center"/>
    </xf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43" fontId="0" fillId="0" borderId="0"/>
    <xf numFmtId="44" fontId="0" fillId="0" borderId="0"/>
    <xf numFmtId="9" fontId="0" fillId="0" borderId="0"/>
    <xf numFmtId="41" fontId="0" fillId="0" borderId="0"/>
    <xf numFmtId="42" fontId="0" fillId="0" borderId="0"/>
    <xf numFmtId="0" fontId="9" fillId="0" borderId="0"/>
    <xf numFmtId="0" fontId="10" fillId="0" borderId="0"/>
    <xf numFmtId="0" fontId="0" fillId="2" borderId="1"/>
    <xf numFmtId="0" fontId="11" fillId="0" borderId="0"/>
    <xf numFmtId="0" fontId="12" fillId="0" borderId="0"/>
    <xf numFmtId="0" fontId="13" fillId="0" borderId="0"/>
    <xf numFmtId="0" fontId="14" fillId="0" borderId="2"/>
    <xf numFmtId="0" fontId="15" fillId="0" borderId="2"/>
    <xf numFmtId="0" fontId="16" fillId="0" borderId="3"/>
    <xf numFmtId="0" fontId="16" fillId="0" borderId="0"/>
    <xf numFmtId="0" fontId="17" fillId="3" borderId="4"/>
    <xf numFmtId="0" fontId="18" fillId="4" borderId="5"/>
    <xf numFmtId="0" fontId="19" fillId="4" borderId="4"/>
    <xf numFmtId="0" fontId="20" fillId="5" borderId="6"/>
    <xf numFmtId="0" fontId="21" fillId="0" borderId="7"/>
    <xf numFmtId="0" fontId="22" fillId="0" borderId="8"/>
    <xf numFmtId="0" fontId="23" fillId="6" borderId="0"/>
    <xf numFmtId="0" fontId="24" fillId="7" borderId="0"/>
    <xf numFmtId="0" fontId="25" fillId="8" borderId="0"/>
    <xf numFmtId="0" fontId="26" fillId="9" borderId="0"/>
    <xf numFmtId="0" fontId="0" fillId="10" borderId="0"/>
    <xf numFmtId="0" fontId="0" fillId="11" borderId="0"/>
    <xf numFmtId="0" fontId="26" fillId="12" borderId="0"/>
    <xf numFmtId="0" fontId="26" fillId="13" borderId="0"/>
    <xf numFmtId="0" fontId="0" fillId="14" borderId="0"/>
    <xf numFmtId="0" fontId="0" fillId="15" borderId="0"/>
    <xf numFmtId="0" fontId="26" fillId="16" borderId="0"/>
    <xf numFmtId="0" fontId="26" fillId="17" borderId="0"/>
    <xf numFmtId="0" fontId="0" fillId="18" borderId="0"/>
    <xf numFmtId="0" fontId="0" fillId="19" borderId="0"/>
    <xf numFmtId="0" fontId="26" fillId="20" borderId="0"/>
    <xf numFmtId="0" fontId="26" fillId="21" borderId="0"/>
    <xf numFmtId="0" fontId="0" fillId="22" borderId="0"/>
    <xf numFmtId="0" fontId="0" fillId="23" borderId="0"/>
    <xf numFmtId="0" fontId="26" fillId="24" borderId="0"/>
    <xf numFmtId="0" fontId="26" fillId="25" borderId="0"/>
    <xf numFmtId="0" fontId="0" fillId="26" borderId="0"/>
    <xf numFmtId="0" fontId="0" fillId="27" borderId="0"/>
    <xf numFmtId="0" fontId="26" fillId="28" borderId="0"/>
    <xf numFmtId="0" fontId="26" fillId="29" borderId="0"/>
    <xf numFmtId="0" fontId="0" fillId="30" borderId="0"/>
    <xf numFmtId="0" fontId="0" fillId="31" borderId="0"/>
    <xf numFmtId="0" fontId="26" fillId="32" borderId="0"/>
    <xf numFmtId="0" fontId="9" fillId="0" borderId="0" applyAlignment="1">
      <alignment vertical="center"/>
    </xf>
  </cellStyleXfs>
  <cellXfs count="28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7" fillId="33" borderId="10" applyAlignment="1" pivotButton="0" quotePrefix="0" xfId="0">
      <alignment horizontal="center" vertical="center" wrapText="1"/>
    </xf>
    <xf numFmtId="0" fontId="7" fillId="33" borderId="11" applyAlignment="1" pivotButton="0" quotePrefix="0" xfId="0">
      <alignment horizontal="center" vertical="center" wrapText="1"/>
    </xf>
    <xf numFmtId="0" fontId="7" fillId="33" borderId="12" applyAlignment="1" pivotButton="0" quotePrefix="0" xfId="0">
      <alignment horizontal="center" vertical="center" wrapText="1"/>
    </xf>
    <xf numFmtId="0" fontId="7" fillId="33" borderId="10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164" fontId="5" fillId="0" borderId="10" applyAlignment="1" pivotButton="0" quotePrefix="0" xfId="0">
      <alignment horizontal="center" vertical="center"/>
    </xf>
    <xf numFmtId="0" fontId="5" fillId="0" borderId="13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right" vertical="center"/>
    </xf>
    <xf numFmtId="10" fontId="5" fillId="0" borderId="10" applyAlignment="1" pivotButton="0" quotePrefix="0" xfId="22">
      <alignment horizontal="center" vertical="center"/>
    </xf>
    <xf numFmtId="0" fontId="22" fillId="0" borderId="0" applyAlignment="1" pivotButton="0" quotePrefix="0" xfId="0">
      <alignment vertical="center"/>
    </xf>
    <xf numFmtId="0" fontId="9" fillId="0" borderId="0" applyAlignment="1" pivotButton="0" quotePrefix="0" xfId="68">
      <alignment vertical="center"/>
    </xf>
    <xf numFmtId="0" fontId="9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14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21" pivotButton="0" quotePrefix="0" xfId="0"/>
    <xf numFmtId="164" fontId="5" fillId="0" borderId="10" applyAlignment="1" pivotButton="0" quotePrefix="0" xfId="0">
      <alignment horizontal="center" vertical="center"/>
    </xf>
    <xf numFmtId="0" fontId="0" fillId="0" borderId="15" pivotButton="0" quotePrefix="0" xfId="0"/>
  </cellXfs>
  <cellStyles count="55">
    <cellStyle name="Normal" xfId="0"/>
    <cellStyle name="Percent" xfId="1"/>
    <cellStyle name="Currency" xfId="2"/>
    <cellStyle name="Currency [0]" xfId="3"/>
    <cellStyle name="Comma" xfId="4"/>
    <cellStyle name="Comma [0]" xfId="5"/>
    <cellStyle name="千位分隔" xfId="6"/>
    <cellStyle name="货币" xfId="7"/>
    <cellStyle name="百分比" xfId="8"/>
    <cellStyle name="千位分隔[0]" xfId="9"/>
    <cellStyle name="货币[0]" xfId="10"/>
    <cellStyle name="超链接" xfId="11"/>
    <cellStyle name="已访问的超链接" xfId="12"/>
    <cellStyle name="注释" xfId="13"/>
    <cellStyle name="警告文本" xfId="14"/>
    <cellStyle name="标题" xfId="15"/>
    <cellStyle name="解释性文本" xfId="16"/>
    <cellStyle name="标题 1" xfId="17"/>
    <cellStyle name="标题 2" xfId="18"/>
    <cellStyle name="标题 3" xfId="19"/>
    <cellStyle name="标题 4" xfId="20"/>
    <cellStyle name="输入" xfId="21"/>
    <cellStyle name="输出" xfId="22"/>
    <cellStyle name="计算" xfId="23"/>
    <cellStyle name="检查单元格" xfId="24"/>
    <cellStyle name="链接单元格" xfId="25"/>
    <cellStyle name="汇总" xfId="26"/>
    <cellStyle name="好" xfId="27"/>
    <cellStyle name="差" xfId="28"/>
    <cellStyle name="适中" xfId="29"/>
    <cellStyle name="强调文字颜色 1" xfId="30"/>
    <cellStyle name="20% - 强调文字颜色 1" xfId="31"/>
    <cellStyle name="40% - 强调文字颜色 1" xfId="32"/>
    <cellStyle name="60% - 强调文字颜色 1" xfId="33"/>
    <cellStyle name="强调文字颜色 2" xfId="34"/>
    <cellStyle name="20% - 强调文字颜色 2" xfId="35"/>
    <cellStyle name="40% - 强调文字颜色 2" xfId="36"/>
    <cellStyle name="60% - 强调文字颜色 2" xfId="37"/>
    <cellStyle name="强调文字颜色 3" xfId="38"/>
    <cellStyle name="20% - 强调文字颜色 3" xfId="39"/>
    <cellStyle name="40% - 强调文字颜色 3" xfId="40"/>
    <cellStyle name="60% - 强调文字颜色 3" xfId="41"/>
    <cellStyle name="强调文字颜色 4" xfId="42"/>
    <cellStyle name="20% - 强调文字颜色 4" xfId="43"/>
    <cellStyle name="40% - 强调文字颜色 4" xfId="44"/>
    <cellStyle name="60% - 强调文字颜色 4" xfId="45"/>
    <cellStyle name="强调文字颜色 5" xfId="46"/>
    <cellStyle name="20% - 强调文字颜色 5" xfId="47"/>
    <cellStyle name="40% - 强调文字颜色 5" xfId="48"/>
    <cellStyle name="60% - 强调文字颜色 5" xfId="49"/>
    <cellStyle name="强调文字颜色 6" xfId="50"/>
    <cellStyle name="20% - 强调文字颜色 6" xfId="51"/>
    <cellStyle name="40% - 强调文字颜色 6" xfId="52"/>
    <cellStyle name="60% - 强调文字颜色 6" xfId="53"/>
    <cellStyle name="Hyperlink" xfId="5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视点">
  <a:themeElements>
    <a:clrScheme name="海边度假风">
      <a:dk1>
        <a:srgbClr val="000000"/>
      </a:dk1>
      <a:lt1>
        <a:sysClr val="window" lastClr="FFFFFF"/>
      </a:lt1>
      <a:dk2>
        <a:srgbClr val="B5D5E7"/>
      </a:dk2>
      <a:lt2>
        <a:srgbClr val="90CCF7"/>
      </a:lt2>
      <a:accent1>
        <a:srgbClr val="68A0BB"/>
      </a:accent1>
      <a:accent2>
        <a:srgbClr val="017CCB"/>
      </a:accent2>
      <a:accent3>
        <a:srgbClr val="00A2E5"/>
      </a:accent3>
      <a:accent4>
        <a:srgbClr val="0166B9"/>
      </a:accent4>
      <a:accent5>
        <a:srgbClr val="FFF6E6"/>
      </a:accent5>
      <a:accent6>
        <a:srgbClr val="DECCBB"/>
      </a:accent6>
      <a:hlink>
        <a:srgbClr val="DB9C48"/>
      </a:hlink>
      <a:folHlink>
        <a:srgbClr val="EBCAA6"/>
      </a:folHlink>
    </a:clrScheme>
    <a:fontScheme name="Aspect">
      <a:majorFont>
        <a:latin typeface="Verdana"/>
        <a:ea typeface=""/>
        <a:cs typeface=""/>
        <a:font script="Jpan" typeface="ＭＳ ゴシック"/>
        <a:font script="Hang" typeface="굴림"/>
        <a:font script="Hans" typeface="微软雅黑"/>
        <a:font script="Hant" typeface="微軟正黑體"/>
        <a:font script="Arab" typeface="Tahoma"/>
        <a:font script="Hebr" typeface="Tahoma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ajorFont>
      <a:minorFont>
        <a:latin typeface="Verdana"/>
        <a:ea typeface=""/>
        <a:cs typeface=""/>
        <a:font script="Jpan" typeface="ＭＳ ゴシック"/>
        <a:font script="Hang" typeface="굴림"/>
        <a:font script="Hans" typeface="微软雅黑"/>
        <a:font script="Hant" typeface="微軟正黑體"/>
        <a:font script="Arab" typeface="Tahoma"/>
        <a:font script="Hebr" typeface="Tahoma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Aspect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satMod val="270000"/>
              </a:schemeClr>
            </a:gs>
            <a:gs pos="25000">
              <a:schemeClr val="phClr">
                <a:tint val="60000"/>
                <a:satMod val="300000"/>
              </a:schemeClr>
            </a:gs>
            <a:gs pos="100000">
              <a:schemeClr val="phClr">
                <a:tint val="29000"/>
                <a:satMod val="40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5000"/>
                <a:satMod val="155000"/>
              </a:schemeClr>
            </a:gs>
            <a:gs pos="60000">
              <a:schemeClr val="phClr">
                <a:shade val="95000"/>
                <a:satMod val="150000"/>
              </a:schemeClr>
            </a:gs>
            <a:gs pos="100000">
              <a:schemeClr val="phClr">
                <a:tint val="87000"/>
                <a:satMod val="2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atMod val="150000"/>
            </a:schemeClr>
          </a:solidFill>
          <a:prstDash val="solid"/>
        </a:ln>
        <a:ln w="425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5500" dist="38100" dir="5400000" rotWithShape="0">
              <a:srgbClr val="000000">
                <a:alpha val="40000"/>
              </a:srgbClr>
            </a:outerShdw>
          </a:effectLst>
        </a:effectStyle>
        <a:effectStyle>
          <a:effectLst>
            <a:outerShdw blurRad="65500" dist="38100" dir="5400000" rotWithShape="0">
              <a:srgbClr val="000000">
                <a:alpha val="40000"/>
              </a:srgbClr>
            </a:outerShdw>
          </a:effectLst>
        </a:effectStyle>
        <a:effectStyle>
          <a:effectLst>
            <a:outerShdw blurRad="65500" dist="38100" dir="5400000" rotWithShape="0">
              <a:srgbClr val="000000">
                <a:alpha val="40000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2000000"/>
            </a:lightRig>
          </a:scene3d>
          <a:sp3d prstMaterial="powder">
            <a:bevelT h="508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35000"/>
                <a:satMod val="150000"/>
              </a:schemeClr>
            </a:gs>
            <a:gs pos="45000">
              <a:schemeClr val="phClr">
                <a:shade val="68000"/>
                <a:satMod val="155000"/>
              </a:schemeClr>
            </a:gs>
            <a:gs pos="100000">
              <a:schemeClr val="phClr">
                <a:tint val="70000"/>
                <a:satMod val="175000"/>
              </a:schemeClr>
            </a:gs>
          </a:gsLst>
          <a:lin ang="16200000" scaled="0"/>
        </a:gradFill>
        <a:blipFill>
          <a:blip xmlns:r="http://schemas.openxmlformats.org/officeDocument/2006/relationships" r:embed="rId1">
            <a:duotone>
              <a:schemeClr val="phClr">
                <a:shade val="800"/>
                <a:satMod val="150000"/>
              </a:schemeClr>
              <a:schemeClr val="phClr">
                <a:tint val="80000"/>
                <a:satMod val="150000"/>
              </a:schemeClr>
            </a:duotone>
          </a:blip>
          <a:tile tx="0" ty="0" sx="75000" sy="75000" flip="none" algn="tl"/>
        </a:blip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0" topLeftCell="A2" workbookViewId="0">
      <selection activeCell="G18" sqref="G18"/>
    </sheetView>
  </sheetViews>
  <sheetFormatPr baseColWidth="8" defaultColWidth="8" defaultRowHeight="14.25"/>
  <cols>
    <col width="5.796875" customWidth="1" style="15" min="1" max="1"/>
    <col width="10.796875" customWidth="1" style="15" min="2" max="21"/>
    <col width="8" customWidth="1" style="15" min="22" max="16384"/>
  </cols>
  <sheetData>
    <row r="1" ht="34.5" customHeight="1" s="21">
      <c r="A1" s="3" t="inlineStr">
        <is>
          <t>Monthly Procurement Fund Budget Table</t>
        </is>
      </c>
      <c r="B1" s="22" t="n"/>
      <c r="C1" s="22" t="n"/>
      <c r="D1" s="22" t="n"/>
      <c r="E1" s="22" t="n"/>
      <c r="F1" s="22" t="n"/>
      <c r="G1" s="22" t="n"/>
      <c r="H1" s="22" t="n"/>
      <c r="I1" s="22" t="n"/>
      <c r="J1" s="22" t="n"/>
    </row>
    <row r="2" ht="19.5" customFormat="1" customHeight="1" s="1">
      <c r="A2" s="4" t="inlineStr">
        <is>
          <t>Company Name: XX Limited Liability Company</t>
        </is>
      </c>
      <c r="E2" s="5" t="n"/>
      <c r="F2" s="5" t="n"/>
      <c r="G2" s="5" t="n"/>
      <c r="H2" s="5" t="n"/>
      <c r="I2" s="16" t="n"/>
      <c r="J2" s="16" t="inlineStr">
        <is>
          <t>Plan Month:</t>
        </is>
      </c>
    </row>
    <row r="3" ht="19.5" customHeight="1" s="21">
      <c r="A3" s="6" t="inlineStr">
        <is>
          <t>Serial Number</t>
        </is>
      </c>
      <c r="B3" s="6" t="inlineStr">
        <is>
          <t>Name</t>
        </is>
      </c>
      <c r="C3" s="6" t="inlineStr">
        <is>
          <t>Category</t>
        </is>
      </c>
      <c r="D3" s="6" t="inlineStr">
        <is>
          <t>Planning Department</t>
        </is>
      </c>
      <c r="E3" s="6" t="inlineStr">
        <is>
          <t>Monthly Planned Fund</t>
        </is>
      </c>
      <c r="F3" s="6" t="inlineStr">
        <is>
          <t>Monthly Plan Details</t>
        </is>
      </c>
      <c r="G3" s="23" t="n"/>
      <c r="H3" s="24" t="n"/>
      <c r="I3" s="6" t="inlineStr">
        <is>
          <t>Last Month's Actual  
Procurement Amount</t>
        </is>
      </c>
      <c r="J3" s="6" t="inlineStr">
        <is>
          <t>Month-over-Month Growth Rate</t>
        </is>
      </c>
    </row>
    <row r="4" ht="19.5" customHeight="1" s="21">
      <c r="A4" s="25" t="n"/>
      <c r="B4" s="25" t="n"/>
      <c r="C4" s="25" t="n"/>
      <c r="D4" s="25" t="n"/>
      <c r="E4" s="25" t="n"/>
      <c r="F4" s="9" t="inlineStr">
        <is>
          <t>First ten days of the month</t>
        </is>
      </c>
      <c r="G4" s="9" t="inlineStr">
        <is>
          <t>Mid-month</t>
        </is>
      </c>
      <c r="H4" s="9" t="inlineStr">
        <is>
          <t>Lower Ten-day Period</t>
        </is>
      </c>
      <c r="I4" s="25" t="n"/>
      <c r="J4" s="25" t="n"/>
    </row>
    <row r="5" ht="24.75" customHeight="1" s="21">
      <c r="A5" s="10" t="n">
        <v>1</v>
      </c>
      <c r="B5" s="10" t="inlineStr">
        <is>
          <t>Name 1</t>
        </is>
      </c>
      <c r="C5" s="10" t="inlineStr">
        <is>
          <t>Raw materials</t>
        </is>
      </c>
      <c r="D5" s="10" t="inlineStr">
        <is>
          <t>Department 1</t>
        </is>
      </c>
      <c r="E5" s="26" t="n">
        <v>78170</v>
      </c>
      <c r="F5" s="26">
        <f>E5*0.3</f>
        <v/>
      </c>
      <c r="G5" s="26">
        <f>E5*0.3</f>
        <v/>
      </c>
      <c r="H5" s="26">
        <f>E5*0.4</f>
        <v/>
      </c>
      <c r="I5" s="26" t="n">
        <v>68500</v>
      </c>
      <c r="J5" s="17">
        <f>(E5-I5)/I5</f>
        <v/>
      </c>
    </row>
    <row r="6" ht="24.75" customHeight="1" s="21">
      <c r="A6" s="10" t="n">
        <v>2</v>
      </c>
      <c r="B6" s="10" t="inlineStr">
        <is>
          <t>Name 2</t>
        </is>
      </c>
      <c r="C6" s="10" t="inlineStr">
        <is>
          <t>Consumables</t>
        </is>
      </c>
      <c r="D6" s="10" t="inlineStr">
        <is>
          <t>Department 2</t>
        </is>
      </c>
      <c r="E6" s="26" t="n">
        <v>106225</v>
      </c>
      <c r="F6" s="26">
        <f>E6*0.3</f>
        <v/>
      </c>
      <c r="G6" s="26">
        <f>E6*0.3</f>
        <v/>
      </c>
      <c r="H6" s="26">
        <f>E6*0.4</f>
        <v/>
      </c>
      <c r="I6" s="26" t="n">
        <v>113750</v>
      </c>
      <c r="J6" s="17">
        <f>(E6-I6)/I6</f>
        <v/>
      </c>
    </row>
    <row r="7" ht="24.75" customHeight="1" s="21">
      <c r="A7" s="10" t="n">
        <v>3</v>
      </c>
      <c r="B7" s="10" t="inlineStr">
        <is>
          <t>Name 3</t>
        </is>
      </c>
      <c r="C7" s="10" t="inlineStr">
        <is>
          <t>Tools and Equipment</t>
        </is>
      </c>
      <c r="D7" s="10" t="inlineStr">
        <is>
          <t>Department 3</t>
        </is>
      </c>
      <c r="E7" s="26" t="n">
        <v>61960</v>
      </c>
      <c r="F7" s="26">
        <f>E7*0.3</f>
        <v/>
      </c>
      <c r="G7" s="26">
        <f>E7*0.3</f>
        <v/>
      </c>
      <c r="H7" s="26">
        <f>E7*0.4</f>
        <v/>
      </c>
      <c r="I7" s="26" t="n">
        <v>59000</v>
      </c>
      <c r="J7" s="17">
        <f>(E7-I7)/I7</f>
        <v/>
      </c>
    </row>
    <row r="8" ht="30" customHeight="1" s="21">
      <c r="A8" s="12" t="inlineStr">
        <is>
          <t>Prepared by:                                              Reviewed by:                                              Approved by:                                              Date:</t>
        </is>
      </c>
      <c r="B8" s="27" t="n"/>
      <c r="C8" s="27" t="n"/>
      <c r="D8" s="27" t="n"/>
      <c r="E8" s="27" t="n"/>
      <c r="F8" s="27" t="n"/>
      <c r="G8" s="27" t="n"/>
      <c r="H8" s="27" t="n"/>
      <c r="I8" s="27" t="n"/>
      <c r="J8" s="27" t="n"/>
    </row>
    <row r="9" ht="24.75" customHeight="1" s="21">
      <c r="A9" s="14" t="n"/>
      <c r="B9" s="14" t="n"/>
      <c r="C9" s="14" t="n"/>
      <c r="D9" s="14" t="n"/>
    </row>
    <row r="10" ht="24.75" customHeight="1" s="21">
      <c r="A10" s="14" t="n"/>
      <c r="B10" s="14" t="n"/>
      <c r="C10" s="14" t="n"/>
      <c r="D10" s="14" t="n"/>
    </row>
    <row r="11" ht="24.75" customHeight="1" s="21">
      <c r="A11" s="14" t="n"/>
      <c r="B11" s="14" t="n"/>
      <c r="C11" s="14" t="n"/>
      <c r="D11" s="14" t="n"/>
    </row>
    <row r="12" ht="24.75" customHeight="1" s="21">
      <c r="A12" s="14" t="n"/>
      <c r="B12" s="14" t="n"/>
      <c r="C12" s="14" t="n"/>
      <c r="D12" s="14" t="n"/>
    </row>
    <row r="13" ht="24.75" customHeight="1" s="21">
      <c r="A13" s="14" t="n"/>
      <c r="B13" s="14" t="n"/>
      <c r="C13" s="14" t="n"/>
      <c r="D13" s="14" t="n"/>
    </row>
    <row r="14" ht="24.75" customHeight="1" s="21">
      <c r="A14" s="14" t="n"/>
      <c r="B14" s="14" t="n"/>
      <c r="C14" s="14" t="n"/>
      <c r="D14" s="14" t="n"/>
    </row>
    <row r="15" ht="24.75" customHeight="1" s="21">
      <c r="A15" s="14" t="n"/>
      <c r="B15" s="14" t="n"/>
      <c r="C15" s="14" t="n"/>
      <c r="D15" s="14" t="n"/>
    </row>
    <row r="16" ht="24.75" customHeight="1" s="21">
      <c r="A16" s="14" t="n"/>
      <c r="B16" s="14" t="n"/>
      <c r="C16" s="14" t="n"/>
      <c r="D16" s="14" t="n"/>
    </row>
    <row r="17" ht="24.75" customHeight="1" s="21">
      <c r="A17" s="14" t="n"/>
      <c r="B17" s="14" t="n"/>
      <c r="C17" s="14" t="n"/>
      <c r="D17" s="14" t="n"/>
    </row>
    <row r="18" ht="24.75" customHeight="1" s="21">
      <c r="A18" s="14" t="n"/>
      <c r="B18" s="14" t="n"/>
      <c r="C18" s="14" t="n"/>
      <c r="D18" s="14" t="n"/>
    </row>
    <row r="19" ht="24.75" customHeight="1" s="21">
      <c r="A19" s="14" t="n"/>
      <c r="B19" s="14" t="n"/>
      <c r="C19" s="14" t="n"/>
      <c r="D19" s="14" t="n"/>
    </row>
    <row r="20" ht="24.75" customHeight="1" s="21">
      <c r="A20" s="14" t="n"/>
      <c r="B20" s="14" t="n"/>
      <c r="C20" s="14" t="n"/>
      <c r="D20" s="14" t="n"/>
    </row>
    <row r="21" ht="19.5" customHeight="1" s="21">
      <c r="A21" s="15" t="n"/>
    </row>
  </sheetData>
  <mergeCells count="11">
    <mergeCell ref="A1:J1"/>
    <mergeCell ref="A8:J8"/>
    <mergeCell ref="C3:C4"/>
    <mergeCell ref="B3:B4"/>
    <mergeCell ref="A3:A4"/>
    <mergeCell ref="E3:E4"/>
    <mergeCell ref="I3:I4"/>
    <mergeCell ref="D3:D4"/>
    <mergeCell ref="J3:J4"/>
    <mergeCell ref="A2:D2"/>
    <mergeCell ref="F3:H3"/>
  </mergeCells>
  <dataValidations count="1">
    <dataValidation sqref="A9:A15 A16:A17 B9:B15 B16:B17 C9:C15 C16:C17 D9:D15 D16:D17 E9:E11 E12:E13" showDropDown="0" showInputMessage="1" showErrorMessage="1" allowBlank="1"/>
  </dataValidations>
  <printOptions horizontalCentered="1"/>
  <pageMargins left="0.25" right="0.25" top="0.75" bottom="0.75" header="0.298611111111111" footer="0.298611111111111"/>
  <pageSetup orientation="landscape" paperSize="9" horizontalDpi="600" verticalDpi="6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ABC</dc:creator>
  <dcterms:created xsi:type="dcterms:W3CDTF">2020-09-24T07:04:00Z</dcterms:created>
  <dcterms:modified xsi:type="dcterms:W3CDTF">2025-07-08T21:50:06Z</dcterms:modified>
  <cp:lastModifiedBy>清律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E07C5BDC493645C79925F63E77509704_11</vt:lpwstr>
  </property>
  <property name="KSOProductBuildVer" fmtid="{D5CDD505-2E9C-101B-9397-08002B2CF9AE}" pid="3">
    <vt:lpwstr>2052-12.1.0.16250</vt:lpwstr>
  </property>
  <property name="KSOTemplateUUID" fmtid="{D5CDD505-2E9C-101B-9397-08002B2CF9AE}" pid="4">
    <vt:lpwstr>v1.0_mb_/qwFEtNX9IxnPhBvH0iqUA==</vt:lpwstr>
  </property>
</Properties>
</file>