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00" windowHeight="6880" tabRatio="732" firstSheet="5" autoFilterDateGrouping="1"/>
  </bookViews>
  <sheets>
    <sheet name="Taobao_Guest_Promotion_Effect_S" sheetId="1" state="visible" r:id="rId1"/>
    <sheet name="Transaction_Effect_Data_Tool_Ta" sheetId="2" state="visible" r:id="rId2"/>
    <sheet name="Taobao_Affiliate_Contact_Inform" sheetId="3" state="visible" r:id="rId3"/>
    <sheet name="Taobao_Guest_Maintenance_Data_T" sheetId="4" state="visible" r:id="rId4"/>
    <sheet name="Recruitment_Post_Effect_Analysi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¥#,##0.00;\¥\-#,##0.00"/>
    <numFmt numFmtId="165" formatCode="0_ 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微软雅黑"/>
      <family val="2"/>
      <color theme="1"/>
      <sz val="12"/>
    </font>
    <font>
      <name val="微软雅黑"/>
      <family val="2"/>
      <color rgb="FF000000"/>
      <sz val="12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31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4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vertical="center"/>
    </xf>
    <xf numFmtId="10" fontId="2" fillId="0" borderId="0" applyAlignment="1" pivotButton="0" quotePrefix="0" xfId="0">
      <alignment horizontal="right" vertical="center" wrapText="1"/>
    </xf>
    <xf numFmtId="164" fontId="2" fillId="0" borderId="0" applyAlignment="1" pivotButton="0" quotePrefix="0" xfId="0">
      <alignment horizontal="right" vertical="center" wrapText="1"/>
    </xf>
    <xf numFmtId="165" fontId="2" fillId="0" borderId="0" applyAlignment="1" pivotButton="0" quotePrefix="0" xfId="0">
      <alignment horizontal="right" vertical="center" wrapText="1"/>
    </xf>
    <xf numFmtId="10" fontId="2" fillId="0" borderId="0" pivotButton="0" quotePrefix="0" xfId="0"/>
    <xf numFmtId="0" fontId="2" fillId="0" borderId="0" applyAlignment="1" pivotButton="0" quotePrefix="0" xfId="0">
      <alignment horizontal="right" vertical="center" wrapText="1"/>
    </xf>
    <xf numFmtId="1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wrapText="1"/>
    </xf>
    <xf numFmtId="164" fontId="2" fillId="0" borderId="0" pivotButton="0" quotePrefix="0" xfId="0"/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right" vertical="center" wrapText="1"/>
    </xf>
    <xf numFmtId="165" fontId="2" fillId="0" borderId="0" applyAlignment="1" pivotButton="0" quotePrefix="0" xfId="0">
      <alignment horizontal="right" vertical="center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topLeftCell="A1" workbookViewId="0">
      <selection activeCell="D18" sqref="D18"/>
    </sheetView>
  </sheetViews>
  <sheetFormatPr baseColWidth="8" defaultColWidth="9.00390625" defaultRowHeight="19.5" customHeight="1"/>
  <cols>
    <col width="11.421875" customWidth="1" style="10" min="1" max="1"/>
    <col width="9.57421875" customWidth="1" style="10" min="2" max="2"/>
    <col width="11.140625" customWidth="1" style="10" min="3" max="3"/>
    <col width="9.421875" customWidth="1" style="22" min="4" max="4"/>
    <col width="11.00390625" customWidth="1" style="10" min="5" max="5"/>
    <col width="12.421875" customWidth="1" style="33" min="6" max="6"/>
    <col width="8.8515625" customWidth="1" style="22" min="7" max="7"/>
    <col width="7.421875" customWidth="1" style="34" min="8" max="8"/>
    <col width="9.140625" customWidth="1" style="33" min="9" max="9"/>
    <col width="6.7109375" customWidth="1" style="33" min="10" max="10"/>
    <col width="8.8515625" customWidth="1" style="34" min="11" max="11"/>
    <col width="9.00390625" customWidth="1" style="10" min="12" max="16384"/>
  </cols>
  <sheetData>
    <row r="1" ht="19.5" customFormat="1" customHeight="1" s="6">
      <c r="A1" s="6" t="inlineStr">
        <is>
          <t>Date</t>
        </is>
      </c>
      <c r="B1" s="6" t="inlineStr">
        <is>
          <t>Store Traffic</t>
        </is>
      </c>
      <c r="C1" s="6" t="inlineStr">
        <is>
          <t>Taobao Guest Traffic</t>
        </is>
      </c>
      <c r="D1" s="25" t="inlineStr">
        <is>
          <t>Traffic Ratio</t>
        </is>
      </c>
      <c r="E1" s="6" t="inlineStr">
        <is>
          <t>Store Sales Revenue</t>
        </is>
      </c>
      <c r="F1" s="35" t="inlineStr">
        <is>
          <t>Taobao Guest Transaction Amount</t>
        </is>
      </c>
      <c r="G1" s="25" t="inlineStr">
        <is>
          <t>Transaction Share</t>
        </is>
      </c>
      <c r="H1" s="36" t="inlineStr">
        <is>
          <t>Number of Transactions</t>
        </is>
      </c>
      <c r="I1" s="35" t="inlineStr">
        <is>
          <t>Commission Expense</t>
        </is>
      </c>
      <c r="J1" s="35" t="inlineStr">
        <is>
          <t>PPC</t>
        </is>
      </c>
      <c r="K1" s="36" t="inlineStr">
        <is>
          <t>Daily ROI</t>
        </is>
      </c>
    </row>
    <row r="2" ht="19.5" customHeight="1" s="37">
      <c r="A2" s="7" t="inlineStr">
        <is>
          <t>2013-03-07</t>
        </is>
      </c>
      <c r="B2" s="28" t="n">
        <v>1788</v>
      </c>
      <c r="C2" s="7" t="n">
        <v>230</v>
      </c>
      <c r="D2" s="22">
        <f>C2/B2</f>
        <v/>
      </c>
      <c r="E2" s="10" t="n">
        <v>56932</v>
      </c>
      <c r="F2" s="38" t="n">
        <v>7843.17</v>
      </c>
      <c r="G2" s="22">
        <f>F2/E2</f>
        <v/>
      </c>
      <c r="H2" s="39">
        <f>F2/99</f>
        <v/>
      </c>
      <c r="I2" s="38" t="n">
        <v>128.93</v>
      </c>
      <c r="J2" s="38">
        <f>I2/C2</f>
        <v/>
      </c>
      <c r="K2" s="39">
        <f>F2/I2</f>
        <v/>
      </c>
    </row>
    <row r="3" ht="19.5" customHeight="1" s="37">
      <c r="A3" s="7" t="inlineStr">
        <is>
          <t>2013-03-08</t>
        </is>
      </c>
      <c r="B3" s="28" t="n">
        <v>3443</v>
      </c>
      <c r="C3" s="7" t="n">
        <v>380</v>
      </c>
      <c r="D3" s="22">
        <f>C3/B3</f>
        <v/>
      </c>
      <c r="E3" s="10" t="n">
        <v>38721</v>
      </c>
      <c r="F3" s="38" t="n">
        <v>3743.61</v>
      </c>
      <c r="G3" s="22">
        <f>F3/E3</f>
        <v/>
      </c>
      <c r="H3" s="39">
        <f>F3/99</f>
        <v/>
      </c>
      <c r="I3" s="38" t="n">
        <v>102.2</v>
      </c>
      <c r="J3" s="38">
        <f>I3/C3</f>
        <v/>
      </c>
      <c r="K3" s="39">
        <f>F3/I3</f>
        <v/>
      </c>
    </row>
    <row r="4" ht="19.5" customHeight="1" s="37">
      <c r="A4" s="7" t="inlineStr">
        <is>
          <t>2013-03-09</t>
        </is>
      </c>
      <c r="B4" s="28" t="n">
        <v>3721</v>
      </c>
      <c r="C4" s="7" t="n">
        <v>327</v>
      </c>
      <c r="D4" s="22">
        <f>C4/B4</f>
        <v/>
      </c>
      <c r="E4" s="10" t="n">
        <v>40291</v>
      </c>
      <c r="F4" s="38" t="n">
        <v>3477</v>
      </c>
      <c r="G4" s="22">
        <f>F4/E4</f>
        <v/>
      </c>
      <c r="H4" s="39">
        <f>F4/99</f>
        <v/>
      </c>
      <c r="I4" s="38" t="n">
        <v>98.31999999999999</v>
      </c>
      <c r="J4" s="38">
        <f>I4/C4</f>
        <v/>
      </c>
      <c r="K4" s="39">
        <f>F4/I4</f>
        <v/>
      </c>
    </row>
    <row r="5" ht="19.5" customHeight="1" s="37">
      <c r="A5" s="7" t="inlineStr">
        <is>
          <t>2013-03-10</t>
        </is>
      </c>
      <c r="B5" s="28" t="n">
        <v>4537</v>
      </c>
      <c r="C5" s="7" t="n">
        <v>430</v>
      </c>
      <c r="D5" s="22">
        <f>C5/B5</f>
        <v/>
      </c>
      <c r="E5" s="10" t="n">
        <v>47832</v>
      </c>
      <c r="F5" s="38" t="n">
        <v>4706.03</v>
      </c>
      <c r="G5" s="22">
        <f>F5/E5</f>
        <v/>
      </c>
      <c r="H5" s="39">
        <f>F5/99</f>
        <v/>
      </c>
      <c r="I5" s="38" t="n">
        <v>111.453</v>
      </c>
      <c r="J5" s="38">
        <f>I5/C5</f>
        <v/>
      </c>
      <c r="K5" s="39">
        <f>F5/I5</f>
        <v/>
      </c>
    </row>
    <row r="6" ht="19.5" customHeight="1" s="37">
      <c r="A6" s="7" t="inlineStr">
        <is>
          <t>2013-03-11</t>
        </is>
      </c>
      <c r="B6" s="28" t="n">
        <v>4416</v>
      </c>
      <c r="C6" s="7" t="n">
        <v>521</v>
      </c>
      <c r="D6" s="22">
        <f>C6/B6</f>
        <v/>
      </c>
      <c r="E6" s="10" t="n">
        <v>39712</v>
      </c>
      <c r="F6" s="38" t="n">
        <v>3638.13</v>
      </c>
      <c r="G6" s="22">
        <f>F6/E6</f>
        <v/>
      </c>
      <c r="H6" s="39">
        <f>F6/99</f>
        <v/>
      </c>
      <c r="I6" s="38" t="n">
        <v>83.23</v>
      </c>
      <c r="J6" s="38">
        <f>I6/C6</f>
        <v/>
      </c>
      <c r="K6" s="39">
        <f>F6/I6</f>
        <v/>
      </c>
    </row>
    <row r="7" ht="19.5" customHeight="1" s="37">
      <c r="A7" s="7" t="inlineStr">
        <is>
          <t>2013-03-12</t>
        </is>
      </c>
      <c r="B7" s="28" t="n">
        <v>3316</v>
      </c>
      <c r="C7" s="7" t="n">
        <v>279</v>
      </c>
      <c r="D7" s="22">
        <f>C7/B7</f>
        <v/>
      </c>
      <c r="E7" s="10" t="n">
        <v>50432</v>
      </c>
      <c r="F7" s="38" t="n">
        <v>5874.77</v>
      </c>
      <c r="G7" s="22">
        <f>F7/E7</f>
        <v/>
      </c>
      <c r="H7" s="39">
        <f>F7/99</f>
        <v/>
      </c>
      <c r="I7" s="38" t="n">
        <v>88.15000000000001</v>
      </c>
      <c r="J7" s="38">
        <f>I7/C7</f>
        <v/>
      </c>
      <c r="K7" s="39">
        <f>F7/I7</f>
        <v/>
      </c>
    </row>
    <row r="8" ht="19.5" customHeight="1" s="37">
      <c r="A8" s="7" t="inlineStr">
        <is>
          <t>2013-03-13</t>
        </is>
      </c>
      <c r="B8" s="28" t="n">
        <v>3411</v>
      </c>
      <c r="C8" s="7" t="n">
        <v>310</v>
      </c>
      <c r="D8" s="22">
        <f>C8/B8</f>
        <v/>
      </c>
      <c r="E8" s="10" t="n">
        <v>46391</v>
      </c>
      <c r="F8" s="38" t="n">
        <v>4207.08</v>
      </c>
      <c r="G8" s="22">
        <f>F8/E8</f>
        <v/>
      </c>
      <c r="H8" s="39">
        <f>F8/99</f>
        <v/>
      </c>
      <c r="I8" s="38" t="n">
        <v>73.02</v>
      </c>
      <c r="J8" s="38">
        <f>I8/C8</f>
        <v/>
      </c>
      <c r="K8" s="39">
        <f>F8/I8</f>
        <v/>
      </c>
    </row>
    <row r="9" ht="19.5" customHeight="1" s="37">
      <c r="A9" s="7" t="inlineStr">
        <is>
          <t>2013-03-14</t>
        </is>
      </c>
      <c r="B9" s="28" t="n">
        <v>3645</v>
      </c>
      <c r="C9" s="7" t="n">
        <v>380</v>
      </c>
      <c r="D9" s="22">
        <f>C9/B9</f>
        <v/>
      </c>
      <c r="E9" s="10" t="n">
        <v>47832</v>
      </c>
      <c r="F9" s="38" t="n">
        <v>3743.61</v>
      </c>
      <c r="G9" s="22">
        <f>F9/E9</f>
        <v/>
      </c>
      <c r="H9" s="39">
        <f>F9/99</f>
        <v/>
      </c>
      <c r="I9" s="38" t="n">
        <v>63.08</v>
      </c>
      <c r="J9" s="38">
        <f>I9/C9</f>
        <v/>
      </c>
      <c r="K9" s="39">
        <f>F9/I9</f>
        <v/>
      </c>
    </row>
    <row r="10" ht="19.5" customHeight="1" s="37">
      <c r="A10" s="7" t="inlineStr">
        <is>
          <t>2013-03-15</t>
        </is>
      </c>
      <c r="B10" s="28" t="n">
        <v>3683</v>
      </c>
      <c r="C10" s="7" t="n">
        <v>319</v>
      </c>
      <c r="D10" s="22">
        <f>C10/B10</f>
        <v/>
      </c>
      <c r="E10" s="10" t="n">
        <v>39712</v>
      </c>
      <c r="F10" s="38" t="n">
        <v>4706.03</v>
      </c>
      <c r="G10" s="22">
        <f>F10/E10</f>
        <v/>
      </c>
      <c r="H10" s="39">
        <f>F10/99</f>
        <v/>
      </c>
      <c r="I10" s="38" t="n">
        <v>183.92</v>
      </c>
      <c r="J10" s="38">
        <f>I10/C10</f>
        <v/>
      </c>
      <c r="K10" s="39">
        <f>F10/I10</f>
        <v/>
      </c>
    </row>
    <row r="11" ht="19.5" customHeight="1" s="37">
      <c r="A11" s="7" t="inlineStr">
        <is>
          <t>2013-03-16</t>
        </is>
      </c>
      <c r="B11" s="28" t="n">
        <v>3647</v>
      </c>
      <c r="C11" s="7" t="n">
        <v>231</v>
      </c>
      <c r="D11" s="22">
        <f>C11/B11</f>
        <v/>
      </c>
      <c r="E11" s="10" t="n">
        <v>39712</v>
      </c>
      <c r="F11" s="38" t="n">
        <v>5874.77</v>
      </c>
      <c r="G11" s="22">
        <f>F11/E11</f>
        <v/>
      </c>
      <c r="H11" s="39">
        <f>F11/99</f>
        <v/>
      </c>
      <c r="I11" s="38" t="n">
        <v>108.245</v>
      </c>
      <c r="J11" s="38">
        <f>I11/C11</f>
        <v/>
      </c>
      <c r="K11" s="39">
        <f>F11/I11</f>
        <v/>
      </c>
    </row>
    <row r="12" ht="19.5" customHeight="1" s="37">
      <c r="A12" s="7" t="inlineStr">
        <is>
          <t>2013-03-17</t>
        </is>
      </c>
      <c r="B12" s="28" t="n">
        <v>3859</v>
      </c>
      <c r="C12" s="7" t="n">
        <v>371</v>
      </c>
      <c r="D12" s="22">
        <f>C12/B12</f>
        <v/>
      </c>
      <c r="E12" s="10" t="n">
        <v>38721</v>
      </c>
      <c r="F12" s="38" t="n">
        <v>3477</v>
      </c>
      <c r="G12" s="22">
        <f>F12/E12</f>
        <v/>
      </c>
      <c r="H12" s="39">
        <f>F12/99</f>
        <v/>
      </c>
      <c r="I12" s="38" t="n">
        <v>88.15000000000001</v>
      </c>
      <c r="J12" s="38">
        <f>I12/C12</f>
        <v/>
      </c>
      <c r="K12" s="39">
        <f>F12/I12</f>
        <v/>
      </c>
    </row>
    <row r="13" ht="19.5" customHeight="1" s="37">
      <c r="A13" s="7" t="inlineStr">
        <is>
          <t>2013-03-18</t>
        </is>
      </c>
      <c r="B13" s="28" t="n">
        <v>3520</v>
      </c>
      <c r="C13" s="7" t="n">
        <v>344</v>
      </c>
      <c r="D13" s="22">
        <f>C13/B13</f>
        <v/>
      </c>
      <c r="E13" s="10" t="n">
        <v>40291</v>
      </c>
      <c r="F13" s="38" t="n">
        <v>7843.17</v>
      </c>
      <c r="G13" s="22">
        <f>F13/E13</f>
        <v/>
      </c>
      <c r="H13" s="39">
        <f>F13/99</f>
        <v/>
      </c>
      <c r="I13" s="38" t="n">
        <v>70.59999999999999</v>
      </c>
      <c r="J13" s="38">
        <f>I13/C13</f>
        <v/>
      </c>
      <c r="K13" s="39">
        <f>F13/I13</f>
        <v/>
      </c>
    </row>
    <row r="14" ht="19.5" customHeight="1" s="37">
      <c r="A14" s="7" t="inlineStr">
        <is>
          <t>2013-03-19</t>
        </is>
      </c>
      <c r="B14" s="28" t="n">
        <v>2434</v>
      </c>
      <c r="C14" s="7" t="n">
        <v>261</v>
      </c>
      <c r="D14" s="22">
        <f>C14/B14</f>
        <v/>
      </c>
      <c r="E14" s="10" t="n">
        <v>56932</v>
      </c>
      <c r="F14" s="38" t="n">
        <v>3638.13</v>
      </c>
      <c r="G14" s="22">
        <f>F14/E14</f>
        <v/>
      </c>
      <c r="H14" s="39">
        <f>F14/99</f>
        <v/>
      </c>
      <c r="I14" s="38" t="n">
        <v>102.2</v>
      </c>
      <c r="J14" s="38">
        <f>I14/C14</f>
        <v/>
      </c>
      <c r="K14" s="39">
        <f>F14/I14</f>
        <v/>
      </c>
    </row>
    <row r="15" ht="19.5" customHeight="1" s="37">
      <c r="A15" s="7" t="inlineStr">
        <is>
          <t>2013-03-20</t>
        </is>
      </c>
      <c r="B15" s="28" t="n">
        <v>2527</v>
      </c>
      <c r="C15" s="7" t="n">
        <v>239</v>
      </c>
      <c r="D15" s="22">
        <f>C15/B15</f>
        <v/>
      </c>
      <c r="E15" s="10" t="n">
        <v>39712</v>
      </c>
      <c r="F15" s="38" t="n">
        <v>5874.77</v>
      </c>
      <c r="G15" s="22">
        <f>F15/E15</f>
        <v/>
      </c>
      <c r="H15" s="39">
        <f>F15/99</f>
        <v/>
      </c>
      <c r="I15" s="38" t="n">
        <v>130.32</v>
      </c>
      <c r="J15" s="38">
        <f>I15/C15</f>
        <v/>
      </c>
      <c r="K15" s="39">
        <f>F15/I15</f>
        <v/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topLeftCell="A1" workbookViewId="0">
      <selection activeCell="D17" sqref="D17"/>
    </sheetView>
  </sheetViews>
  <sheetFormatPr baseColWidth="8" defaultColWidth="9.00390625" defaultRowHeight="19.5" customHeight="1"/>
  <cols>
    <col width="12.28125" customWidth="1" style="7" min="1" max="1"/>
    <col width="10.421875" customWidth="1" style="7" min="2" max="2"/>
    <col width="15.140625" customWidth="1" style="38" min="3" max="3"/>
    <col width="17.28125" customWidth="1" style="38" min="4" max="4"/>
    <col width="15.421875" customWidth="1" style="7" min="5" max="5"/>
    <col width="9.00390625" customWidth="1" style="7" min="6" max="7"/>
    <col width="9.00390625" customWidth="1" style="39" min="8" max="8"/>
    <col width="6.421875" customWidth="1" style="7" min="9" max="9"/>
    <col width="14.00390625" customWidth="1" style="7" min="10" max="10"/>
    <col width="9.00390625" customWidth="1" style="7" min="11" max="11"/>
    <col width="9.00390625" customWidth="1" style="10" min="12" max="16384"/>
  </cols>
  <sheetData>
    <row r="1" ht="19.5" customFormat="1" customHeight="1" s="6">
      <c r="A1" s="11" t="inlineStr">
        <is>
          <t>Time</t>
        </is>
      </c>
      <c r="B1" s="11" t="inlineStr">
        <is>
          <t>Commodity Name</t>
        </is>
      </c>
      <c r="C1" s="40" t="inlineStr">
        <is>
          <t>Quantum Baby Transaction Amount</t>
        </is>
      </c>
      <c r="D1" s="40" t="inlineStr">
        <is>
          <t>Taobao Partner Product Transaction Amount</t>
        </is>
      </c>
      <c r="E1" s="11" t="inlineStr">
        <is>
          <t>Taobao Partner Transaction Ratio</t>
        </is>
      </c>
      <c r="F1" s="11" t="inlineStr">
        <is>
          <t>Commission Ratio</t>
        </is>
      </c>
      <c r="G1" s="11" t="inlineStr">
        <is>
          <t>Commission Amount</t>
        </is>
      </c>
      <c r="H1" s="41" t="inlineStr">
        <is>
          <t>Number of transactions</t>
        </is>
      </c>
      <c r="I1" s="11" t="inlineStr">
        <is>
          <t>ROI</t>
        </is>
      </c>
      <c r="J1" s="11" t="inlineStr">
        <is>
          <t>Taobao Partner Nickname</t>
        </is>
      </c>
      <c r="K1" s="11" t="n"/>
    </row>
    <row r="2" ht="19.5" customHeight="1" s="37">
      <c r="A2" s="14" t="n">
        <v>41347</v>
      </c>
      <c r="B2" s="15" t="inlineStr">
        <is>
          <t>Product A</t>
        </is>
      </c>
      <c r="C2" s="33" t="n">
        <v>171324.47</v>
      </c>
      <c r="D2" s="33" t="n">
        <v>5932.21</v>
      </c>
      <c r="E2" s="17">
        <f>D2/C2</f>
        <v/>
      </c>
      <c r="F2" s="17" t="n">
        <v>0.025</v>
      </c>
      <c r="G2" s="42">
        <f>D2*F2</f>
        <v/>
      </c>
      <c r="H2" s="43">
        <f>D2/99</f>
        <v/>
      </c>
      <c r="I2" s="21">
        <f>D2/G2</f>
        <v/>
      </c>
      <c r="J2" s="21" t="inlineStr">
        <is>
          <t>taobaoss137</t>
        </is>
      </c>
    </row>
    <row r="3" ht="19.5" customHeight="1" s="37">
      <c r="A3" s="14" t="n">
        <v>41347</v>
      </c>
      <c r="B3" s="15" t="inlineStr">
        <is>
          <t>Product B</t>
        </is>
      </c>
      <c r="C3" s="33" t="n">
        <v>36330.25</v>
      </c>
      <c r="D3" s="33">
        <f>C3*E3</f>
        <v/>
      </c>
      <c r="E3" s="17" t="n">
        <v>0.0592</v>
      </c>
      <c r="F3" s="17" t="n">
        <v>0.03</v>
      </c>
      <c r="G3" s="42">
        <f>D3*F3</f>
        <v/>
      </c>
      <c r="H3" s="43">
        <f>D3/99</f>
        <v/>
      </c>
      <c r="I3" s="21">
        <f>D3/G3</f>
        <v/>
      </c>
      <c r="J3" s="21" t="inlineStr">
        <is>
          <t>The last Taokeng 1</t>
        </is>
      </c>
    </row>
    <row r="4" ht="19.5" customHeight="1" s="37">
      <c r="A4" s="14" t="n">
        <v>41347</v>
      </c>
      <c r="B4" s="15" t="inlineStr">
        <is>
          <t>Product C</t>
        </is>
      </c>
      <c r="C4" s="33" t="n">
        <v>34622.14</v>
      </c>
      <c r="D4" s="33">
        <f>C4*E4</f>
        <v/>
      </c>
      <c r="E4" s="17" t="n">
        <v>0.031</v>
      </c>
      <c r="F4" s="17" t="n">
        <v>0.015</v>
      </c>
      <c r="G4" s="42">
        <f>D4*F4</f>
        <v/>
      </c>
      <c r="H4" s="43">
        <f>D4/99</f>
        <v/>
      </c>
      <c r="I4" s="21">
        <f>D4/G4</f>
        <v/>
      </c>
      <c r="J4" s="21" t="inlineStr">
        <is>
          <t>taobaoss137</t>
        </is>
      </c>
    </row>
    <row r="5" ht="19.5" customHeight="1" s="37">
      <c r="A5" s="14" t="n">
        <v>41347</v>
      </c>
      <c r="B5" s="15" t="inlineStr">
        <is>
          <t>Product D</t>
        </is>
      </c>
      <c r="C5" s="33" t="n">
        <v>37325.22</v>
      </c>
      <c r="D5" s="33">
        <f>C5*E5</f>
        <v/>
      </c>
      <c r="E5" s="17" t="n">
        <v>0.0488</v>
      </c>
      <c r="F5" s="17" t="n">
        <v>0.015</v>
      </c>
      <c r="G5" s="42">
        <f>D5*F5</f>
        <v/>
      </c>
      <c r="H5" s="43">
        <f>D5/99</f>
        <v/>
      </c>
      <c r="I5" s="21">
        <f>D5/G5</f>
        <v/>
      </c>
      <c r="J5" s="21" t="inlineStr">
        <is>
          <t>Haoyan</t>
        </is>
      </c>
    </row>
    <row r="6" ht="19.5" customHeight="1" s="37">
      <c r="A6" s="14" t="n">
        <v>41347</v>
      </c>
      <c r="B6" s="15" t="inlineStr">
        <is>
          <t>Product E</t>
        </is>
      </c>
      <c r="C6" s="33" t="n">
        <v>10361.73</v>
      </c>
      <c r="D6" s="33">
        <f>C6*E6</f>
        <v/>
      </c>
      <c r="E6" s="17" t="n">
        <v>0.062</v>
      </c>
      <c r="F6" s="17" t="n">
        <v>0.05</v>
      </c>
      <c r="G6" s="42">
        <f>D6*F6</f>
        <v/>
      </c>
      <c r="H6" s="43">
        <f>D6/99</f>
        <v/>
      </c>
      <c r="I6" s="21">
        <f>D6/G6</f>
        <v/>
      </c>
      <c r="J6" s="21" t="inlineStr">
        <is>
          <t>taobaoss137</t>
        </is>
      </c>
    </row>
    <row r="7" ht="19.5" customHeight="1" s="37">
      <c r="A7" s="14" t="n">
        <v>41347</v>
      </c>
      <c r="B7" s="15" t="inlineStr">
        <is>
          <t>Product F</t>
        </is>
      </c>
      <c r="C7" s="33" t="n">
        <v>11300.51</v>
      </c>
      <c r="D7" s="33">
        <f>C7*E7</f>
        <v/>
      </c>
      <c r="E7" s="17" t="n">
        <v>0.0731</v>
      </c>
      <c r="F7" s="17" t="n">
        <v>0.02</v>
      </c>
      <c r="G7" s="42">
        <f>D7*F7</f>
        <v/>
      </c>
      <c r="H7" s="43">
        <f>D7/99</f>
        <v/>
      </c>
      <c r="I7" s="21">
        <f>D7/G7</f>
        <v/>
      </c>
      <c r="J7" s="21" t="inlineStr">
        <is>
          <t>taobaoss137</t>
        </is>
      </c>
    </row>
    <row r="8" ht="19.5" customHeight="1" s="37">
      <c r="A8" s="14" t="n">
        <v>41347</v>
      </c>
      <c r="B8" s="15" t="inlineStr">
        <is>
          <t>Product G</t>
        </is>
      </c>
      <c r="C8" s="33" t="n">
        <v>9314.360000000001</v>
      </c>
      <c r="D8" s="33">
        <f>C8*E8</f>
        <v/>
      </c>
      <c r="E8" s="17" t="n">
        <v>0.0623</v>
      </c>
      <c r="F8" s="17" t="n">
        <v>0.03</v>
      </c>
      <c r="G8" s="42">
        <f>D8*F8</f>
        <v/>
      </c>
      <c r="H8" s="43">
        <f>D8/99</f>
        <v/>
      </c>
      <c r="I8" s="21">
        <f>D8/G8</f>
        <v/>
      </c>
      <c r="J8" s="21" t="inlineStr">
        <is>
          <t>taobaoss137</t>
        </is>
      </c>
    </row>
    <row r="9" ht="19.5" customHeight="1" s="37">
      <c r="A9" s="14" t="n">
        <v>41347</v>
      </c>
      <c r="B9" s="15" t="inlineStr">
        <is>
          <t>Product H</t>
        </is>
      </c>
      <c r="C9" s="33" t="n">
        <v>1263.58</v>
      </c>
      <c r="D9" s="33">
        <f>C9*E9</f>
        <v/>
      </c>
      <c r="E9" s="17" t="n">
        <v>0.0479</v>
      </c>
      <c r="F9" s="17" t="n">
        <v>0.015</v>
      </c>
      <c r="G9" s="42">
        <f>D9*F9</f>
        <v/>
      </c>
      <c r="H9" s="43">
        <f>D9/99</f>
        <v/>
      </c>
      <c r="I9" s="21">
        <f>D9/G9</f>
        <v/>
      </c>
      <c r="J9" s="21" t="inlineStr">
        <is>
          <t>taobaoss137</t>
        </is>
      </c>
    </row>
    <row r="10" ht="19.5" customHeight="1" s="37">
      <c r="E10" s="20" t="n"/>
      <c r="F10" s="20" t="n"/>
    </row>
    <row r="11" ht="19.5" customHeight="1" s="37">
      <c r="E11" s="20" t="n"/>
      <c r="F11" s="20" t="n"/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" workbookViewId="0">
      <selection activeCell="G16" sqref="G16"/>
    </sheetView>
  </sheetViews>
  <sheetFormatPr baseColWidth="8" defaultColWidth="9.00390625" defaultRowHeight="15"/>
  <cols>
    <col width="13.00390625" customWidth="1" style="10" min="1" max="1"/>
    <col width="9.00390625" customWidth="1" style="10" min="2" max="8"/>
    <col width="13.8515625" customWidth="1" style="10" min="9" max="10"/>
    <col width="9.00390625" customWidth="1" style="10" min="11" max="16384"/>
  </cols>
  <sheetData>
    <row r="1" ht="15" customHeight="1" s="37">
      <c r="A1" s="10" t="inlineStr">
        <is>
          <t>Taobao Affiliate Nickname</t>
        </is>
      </c>
      <c r="B1" s="10" t="inlineStr">
        <is>
          <t>PID</t>
        </is>
      </c>
      <c r="C1" s="10" t="inlineStr">
        <is>
          <t>Affiliate Level</t>
        </is>
      </c>
      <c r="D1" s="10" t="inlineStr">
        <is>
          <t>Review Status</t>
        </is>
      </c>
      <c r="E1" s="10" t="inlineStr">
        <is>
          <t>Contact QQ</t>
        </is>
      </c>
      <c r="F1" s="10" t="inlineStr">
        <is>
          <t>Contact Wangwang</t>
        </is>
      </c>
      <c r="G1" s="10" t="inlineStr">
        <is>
          <t>Contact Phone Number</t>
        </is>
      </c>
      <c r="H1" s="10" t="inlineStr">
        <is>
          <t>Email</t>
        </is>
      </c>
      <c r="I1" s="10" t="inlineStr">
        <is>
          <t>Promotion Website Address</t>
        </is>
      </c>
      <c r="J1" s="10" t="inlineStr">
        <is>
          <t>Internal Level</t>
        </is>
      </c>
      <c r="K1" s="10" t="inlineStr">
        <is>
          <t>Notes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topLeftCell="A1" workbookViewId="0">
      <selection activeCell="D18" sqref="D18"/>
    </sheetView>
  </sheetViews>
  <sheetFormatPr baseColWidth="8" defaultColWidth="9.00390625" defaultRowHeight="19.5" customHeight="1"/>
  <cols>
    <col width="16.28125" customWidth="1" style="10" min="1" max="1"/>
    <col width="12.8515625" customWidth="1" style="10" min="2" max="2"/>
    <col width="10.00390625" customWidth="1" style="10" min="3" max="3"/>
    <col width="10.140625" customWidth="1" style="10" min="4" max="4"/>
    <col width="10.28125" customWidth="1" style="10" min="5" max="5"/>
    <col width="9.00390625" customWidth="1" style="10" min="6" max="16384"/>
  </cols>
  <sheetData>
    <row r="1" ht="19.5" customFormat="1" customHeight="1" s="6">
      <c r="A1" s="6" t="inlineStr">
        <is>
          <t>Date</t>
        </is>
      </c>
      <c r="B1" s="6" t="inlineStr">
        <is>
          <t>Total Taobao Guest Number</t>
        </is>
      </c>
      <c r="C1" s="6" t="inlineStr">
        <is>
          <t>Number of deals</t>
        </is>
      </c>
      <c r="D1" s="6" t="inlineStr">
        <is>
          <t>New Additions</t>
        </is>
      </c>
      <c r="E1" s="6" t="inlineStr">
        <is>
          <t>Eliminated number of people</t>
        </is>
      </c>
    </row>
    <row r="2" ht="19.5" customHeight="1" s="37">
      <c r="A2" s="3" t="n">
        <v>41338</v>
      </c>
      <c r="B2" s="10" t="n">
        <v>320</v>
      </c>
      <c r="C2" s="10" t="n">
        <v>182</v>
      </c>
      <c r="D2" s="10" t="n">
        <v>1</v>
      </c>
      <c r="E2" s="10" t="n">
        <v>0</v>
      </c>
    </row>
    <row r="3" ht="19.5" customHeight="1" s="37">
      <c r="A3" s="3" t="n">
        <v>41339</v>
      </c>
      <c r="B3" s="10" t="n">
        <v>328</v>
      </c>
      <c r="C3" s="10" t="n">
        <v>199</v>
      </c>
      <c r="D3" s="10">
        <f>B3-B2</f>
        <v/>
      </c>
      <c r="E3" s="10">
        <f>B3-B4</f>
        <v/>
      </c>
    </row>
    <row r="4" ht="19.5" customHeight="1" s="37">
      <c r="A4" s="3" t="n">
        <v>41340</v>
      </c>
      <c r="B4" s="10" t="n">
        <v>326</v>
      </c>
      <c r="C4" s="10" t="n">
        <v>235</v>
      </c>
      <c r="D4" s="10" t="n">
        <v>0</v>
      </c>
      <c r="E4" s="10">
        <f>B4-B5</f>
        <v/>
      </c>
    </row>
    <row r="5" ht="19.5" customHeight="1" s="37">
      <c r="A5" s="3" t="n">
        <v>41341</v>
      </c>
      <c r="B5" s="10" t="n">
        <v>321</v>
      </c>
      <c r="C5" s="10" t="n">
        <v>210</v>
      </c>
      <c r="D5" s="10" t="n">
        <v>0</v>
      </c>
      <c r="E5" s="10" t="n">
        <v>0</v>
      </c>
    </row>
    <row r="6" ht="19.5" customHeight="1" s="37">
      <c r="A6" s="3" t="n">
        <v>41342</v>
      </c>
      <c r="B6" s="10" t="n">
        <v>327</v>
      </c>
      <c r="C6" s="10" t="n">
        <v>271</v>
      </c>
      <c r="D6" s="10">
        <f>B6-B5</f>
        <v/>
      </c>
      <c r="E6" s="10">
        <f>B6-B7</f>
        <v/>
      </c>
    </row>
    <row r="7" ht="19.5" customHeight="1" s="37">
      <c r="A7" s="3" t="n">
        <v>41343</v>
      </c>
      <c r="B7" s="10" t="n">
        <v>326</v>
      </c>
      <c r="C7" s="10" t="n">
        <v>295</v>
      </c>
      <c r="D7" s="10" t="n">
        <v>0</v>
      </c>
      <c r="E7" s="10" t="n">
        <v>0</v>
      </c>
    </row>
    <row r="8" ht="19.5" customHeight="1" s="37">
      <c r="A8" s="3" t="n">
        <v>41344</v>
      </c>
      <c r="B8" s="10" t="n">
        <v>328</v>
      </c>
      <c r="C8" s="10" t="n">
        <v>201</v>
      </c>
      <c r="D8" s="10">
        <f>B8-B7</f>
        <v/>
      </c>
      <c r="E8" s="10">
        <f>B8-B9</f>
        <v/>
      </c>
    </row>
    <row r="9" ht="19.5" customHeight="1" s="37">
      <c r="A9" s="3" t="n">
        <v>41345</v>
      </c>
      <c r="B9" s="10" t="n">
        <v>321</v>
      </c>
      <c r="C9" s="10" t="n">
        <v>251</v>
      </c>
      <c r="D9" s="10" t="n">
        <v>0</v>
      </c>
      <c r="E9" s="10" t="n">
        <v>0</v>
      </c>
    </row>
    <row r="10" ht="19.5" customHeight="1" s="37">
      <c r="A10" s="3" t="n">
        <v>41346</v>
      </c>
      <c r="B10" s="10" t="n">
        <v>326</v>
      </c>
      <c r="C10" s="10" t="n">
        <v>193</v>
      </c>
      <c r="D10" s="10">
        <f>B10-B9</f>
        <v/>
      </c>
      <c r="E10" s="10" t="n">
        <v>0</v>
      </c>
    </row>
    <row r="11" ht="19.5" customHeight="1" s="37">
      <c r="A11" s="3" t="n">
        <v>41347</v>
      </c>
      <c r="B11" s="10" t="n">
        <v>328</v>
      </c>
      <c r="C11" s="10" t="n">
        <v>216</v>
      </c>
      <c r="D11" s="10">
        <f>B11-B10</f>
        <v/>
      </c>
      <c r="E11" s="10">
        <f>B11-B12</f>
        <v/>
      </c>
    </row>
    <row r="12" ht="19.5" customHeight="1" s="37">
      <c r="A12" s="3" t="n">
        <v>41348</v>
      </c>
      <c r="B12" s="10" t="n">
        <v>326</v>
      </c>
      <c r="C12" s="10" t="n">
        <v>281</v>
      </c>
      <c r="D12" s="10" t="n">
        <v>0</v>
      </c>
      <c r="E12" s="10" t="n">
        <v>0</v>
      </c>
    </row>
    <row r="13" ht="19.5" customHeight="1" s="37">
      <c r="A13" s="3" t="n">
        <v>41349</v>
      </c>
      <c r="B13" s="10" t="n">
        <v>328</v>
      </c>
      <c r="C13" s="10" t="n">
        <v>178</v>
      </c>
      <c r="D13" s="10">
        <f>B13-B12</f>
        <v/>
      </c>
      <c r="E13" s="10">
        <f>B13-B14</f>
        <v/>
      </c>
    </row>
    <row r="14" ht="19.5" customHeight="1" s="37">
      <c r="A14" s="3" t="n">
        <v>41350</v>
      </c>
      <c r="B14" s="10" t="n">
        <v>327</v>
      </c>
      <c r="C14" s="10" t="n">
        <v>281</v>
      </c>
      <c r="D14" s="10" t="n">
        <v>0</v>
      </c>
      <c r="E14" s="10">
        <f>B14-B15</f>
        <v/>
      </c>
    </row>
    <row r="15" ht="19.5" customHeight="1" s="37">
      <c r="A15" s="3" t="n">
        <v>41351</v>
      </c>
      <c r="B15" s="10" t="n">
        <v>326</v>
      </c>
      <c r="C15" s="10" t="n">
        <v>201</v>
      </c>
      <c r="D15" s="10" t="n">
        <v>0</v>
      </c>
      <c r="E15" s="10">
        <f>B15-B16</f>
        <v/>
      </c>
    </row>
    <row r="16" ht="19.5" customHeight="1" s="37">
      <c r="A16" s="3" t="n">
        <v>41352</v>
      </c>
      <c r="B16" s="10" t="n">
        <v>326</v>
      </c>
      <c r="C16" s="10" t="n">
        <v>295</v>
      </c>
      <c r="D16" s="10">
        <f>B16-B15</f>
        <v/>
      </c>
      <c r="E16" s="10" t="n">
        <v>0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topLeftCell="A1" workbookViewId="0">
      <selection activeCell="D21" sqref="D21"/>
    </sheetView>
  </sheetViews>
  <sheetFormatPr baseColWidth="8" defaultColWidth="9.00390625" defaultRowHeight="15"/>
  <cols>
    <col width="15.421875" customWidth="1" style="10" min="1" max="1"/>
    <col width="24.421875" customWidth="1" style="10" min="2" max="2"/>
    <col width="14.28125" customWidth="1" style="10" min="3" max="3"/>
    <col width="8.421875" customWidth="1" style="10" min="4" max="4"/>
    <col width="9.140625" customWidth="1" style="10" min="5" max="5"/>
    <col width="9.00390625" customWidth="1" style="10" min="6" max="6"/>
    <col width="14.140625" customWidth="1" style="10" min="7" max="7"/>
    <col width="16.28125" customWidth="1" style="10" min="8" max="8"/>
    <col width="9.00390625" customWidth="1" style="10" min="9" max="16384"/>
  </cols>
  <sheetData>
    <row r="1" ht="15" customFormat="1" customHeight="1" s="6">
      <c r="A1" s="6" t="inlineStr">
        <is>
          <t>Date</t>
        </is>
      </c>
      <c r="B1" s="6" t="inlineStr">
        <is>
          <t>Recruitment Post</t>
        </is>
      </c>
      <c r="C1" s="6" t="inlineStr">
        <is>
          <t>Publishing Channel</t>
        </is>
      </c>
      <c r="D1" s="6" t="inlineStr">
        <is>
          <t>Communicated People</t>
        </is>
      </c>
      <c r="E1" s="6" t="inlineStr">
        <is>
          <t>Recruited Number of People</t>
        </is>
      </c>
      <c r="F1" s="6" t="inlineStr">
        <is>
          <t>Failed Count</t>
        </is>
      </c>
      <c r="G1" s="6" t="inlineStr">
        <is>
          <t>Failure Reason Summary</t>
        </is>
      </c>
      <c r="H1" s="6" t="inlineStr">
        <is>
          <t>Post Time</t>
        </is>
      </c>
      <c r="I1" s="6" t="inlineStr">
        <is>
          <t>Poster</t>
        </is>
      </c>
    </row>
    <row r="2" ht="15" customHeight="1" s="37">
      <c r="A2" s="3" t="n">
        <v>41282</v>
      </c>
      <c r="B2" s="10" t="inlineStr">
        <is>
          <t>Recruit Taoke: You can earn money here~~ 20% high commission + 9% high conversion rate + stable market conditions</t>
        </is>
      </c>
      <c r="C2" s="10" t="inlineStr">
        <is>
          <t>D-ke Community</t>
        </is>
      </c>
      <c r="D2" s="10" t="n">
        <v>12</v>
      </c>
      <c r="E2" s="10" t="n">
        <v>2</v>
      </c>
      <c r="F2" s="10">
        <f>D2-E2</f>
        <v/>
      </c>
      <c r="H2" s="3" t="n">
        <v>41214</v>
      </c>
    </row>
    <row r="3" ht="15" customHeight="1" s="37">
      <c r="A3" s="3" t="n">
        <v>41283</v>
      </c>
      <c r="B3" s="10" t="inlineStr">
        <is>
          <t>Taoke Recruitment in Progress.. Easy to Promote + High Conversion Rate + High Commission + High Rewards = Wealth Opportunity!</t>
        </is>
      </c>
      <c r="C3" s="10" t="inlineStr">
        <is>
          <t>Taoke Forum Community</t>
        </is>
      </c>
      <c r="D3" s="10" t="n">
        <v>20</v>
      </c>
      <c r="E3" s="10" t="n">
        <v>4</v>
      </c>
      <c r="F3" s="10">
        <f>D3-E3</f>
        <v/>
      </c>
      <c r="H3" s="3" t="n">
        <v>41215</v>
      </c>
    </row>
    <row r="4" ht="15" customHeight="1" s="37">
      <c r="A4" s="3" t="n">
        <v>41284</v>
      </c>
      <c r="B4" s="10" t="inlineStr">
        <is>
          <t>Average commission as high as 40% + 3 yuan reward for promoting one item! One order with 3 items counts as 3 items.</t>
        </is>
      </c>
      <c r="C4" s="10" t="inlineStr">
        <is>
          <t>Taoke Tao</t>
        </is>
      </c>
      <c r="D4" s="10" t="n">
        <v>15</v>
      </c>
      <c r="E4" s="10" t="n">
        <v>2</v>
      </c>
      <c r="F4" s="10">
        <f>D4-E4</f>
        <v/>
      </c>
      <c r="H4" s="3" t="n">
        <v>41246</v>
      </c>
    </row>
    <row r="5" ht="15" customHeight="1" s="37">
      <c r="A5" s="3" t="n">
        <v>41285</v>
      </c>
      <c r="B5" s="10" t="inlineStr">
        <is>
          <t>Shop sincerely recruiting Taokè (20%) high commission ~! + (additional rewards) + Tmall subsidy</t>
        </is>
      </c>
      <c r="C5" s="10" t="inlineStr">
        <is>
          <t>Taoke Network</t>
        </is>
      </c>
      <c r="D5" s="10" t="n">
        <v>17</v>
      </c>
      <c r="E5" s="10" t="n">
        <v>1</v>
      </c>
      <c r="F5" s="10">
        <f>D5-E5</f>
        <v/>
      </c>
      <c r="H5" s="3" t="n">
        <v>41247</v>
      </c>
    </row>
    <row r="6" ht="15" customHeight="1" s="37">
      <c r="A6" s="3" t="n">
        <v>41286</v>
      </c>
      <c r="B6" s="10" t="inlineStr">
        <is>
          <t>44% high commission + extra high additional reward + traffic reward + guaranteed salary, earning 20,000 RMB per month is not a dream!</t>
        </is>
      </c>
      <c r="C6" s="4" t="inlineStr">
        <is>
          <t>HiPush</t>
        </is>
      </c>
      <c r="D6" s="10" t="n">
        <v>26</v>
      </c>
      <c r="E6" s="10" t="n">
        <v>5</v>
      </c>
      <c r="F6" s="10">
        <f>D6-E6</f>
        <v/>
      </c>
      <c r="H6" s="3" t="n">
        <v>41218</v>
      </c>
    </row>
    <row r="7" ht="15" customHeight="1" s="37">
      <c r="A7" s="3" t="n">
        <v>41287</v>
      </c>
      <c r="B7" s="10" t="inlineStr">
        <is>
          <t>We sincerely invite all Taokè partners to join!</t>
        </is>
      </c>
      <c r="C7" s="4" t="inlineStr">
        <is>
          <t>Taobao Union Community</t>
        </is>
      </c>
      <c r="D7" s="10" t="n">
        <v>18</v>
      </c>
      <c r="E7" s="10" t="n">
        <v>6</v>
      </c>
      <c r="F7" s="10">
        <f>D7-E7</f>
        <v/>
      </c>
      <c r="H7" s="3" t="n">
        <v>41219</v>
      </c>
    </row>
    <row r="8" ht="15" customHeight="1" s="37">
      <c r="A8" s="3" t="n">
        <v>41288</v>
      </c>
      <c r="B8" s="10" t="inlineStr">
        <is>
          <t>Recruit high-quality Taobao partners or website owners, DangDang pays, and we pay too!</t>
        </is>
      </c>
      <c r="C8" s="10" t="inlineStr">
        <is>
          <t>Taoke Forum Community</t>
        </is>
      </c>
      <c r="D8" s="10" t="n">
        <v>11</v>
      </c>
      <c r="E8" s="10" t="n">
        <v>2</v>
      </c>
      <c r="F8" s="10">
        <f>D8-E8</f>
        <v/>
      </c>
      <c r="H8" s="3" t="n">
        <v>41250</v>
      </c>
    </row>
    <row r="9" ht="15" customHeight="1" s="37">
      <c r="A9" s="3" t="n">
        <v>41289</v>
      </c>
      <c r="B9" s="10" t="inlineStr">
        <is>
          <t>90% ultra-high commission waiting for you to claim, promote early to earn early, sincerely recruiting Taobao partners</t>
        </is>
      </c>
      <c r="C9" s="4" t="inlineStr">
        <is>
          <t>HiPush</t>
        </is>
      </c>
      <c r="D9" s="10" t="n">
        <v>21</v>
      </c>
      <c r="E9" s="10" t="n">
        <v>1</v>
      </c>
      <c r="F9" s="10">
        <f>D9-E9</f>
        <v/>
      </c>
      <c r="H9" s="3" t="n">
        <v>41221</v>
      </c>
    </row>
    <row r="10" ht="15" customHeight="1" s="37">
      <c r="A10" s="3" t="n">
        <v>41290</v>
      </c>
      <c r="B10" s="10" t="inlineStr">
        <is>
          <t>Mass hard ad placements outside Taobao site, high conversion rate, 40% commission, sincerely recruiting Taokè!</t>
        </is>
      </c>
      <c r="C10" s="10" t="inlineStr">
        <is>
          <t>Taoke Tao</t>
        </is>
      </c>
      <c r="D10" s="10" t="n">
        <v>25</v>
      </c>
      <c r="E10" s="10" t="n">
        <v>2</v>
      </c>
      <c r="F10" s="10">
        <f>D10-E10</f>
        <v/>
      </c>
      <c r="H10" s="3" t="n">
        <v>41252</v>
      </c>
    </row>
    <row r="11" ht="15" customHeight="1" s="37">
      <c r="A11" s="3" t="n">
        <v>41291</v>
      </c>
      <c r="B11" s="10" t="inlineStr">
        <is>
          <t>Taoke Recruitment Targeted Plan 16.20% average commission rate, single transaction highest 21%</t>
        </is>
      </c>
      <c r="C11" s="10" t="inlineStr">
        <is>
          <t>Taoke Network</t>
        </is>
      </c>
      <c r="D11" s="10" t="n">
        <v>19</v>
      </c>
      <c r="E11" s="10" t="n">
        <v>3</v>
      </c>
      <c r="F11" s="10">
        <f>D11-E11</f>
        <v/>
      </c>
      <c r="H11" s="3" t="n">
        <v>41223</v>
      </c>
    </row>
    <row r="12" ht="15" customHeight="1" s="37">
      <c r="A12" s="3" t="n">
        <v>41292</v>
      </c>
      <c r="B12" s="10" t="inlineStr">
        <is>
          <t>Christmas grand arrival 43% high commission + rewards + fixed salary ...2</t>
        </is>
      </c>
      <c r="C12" s="10" t="inlineStr">
        <is>
          <t>D-ke Community</t>
        </is>
      </c>
      <c r="D12" s="10" t="n">
        <v>31</v>
      </c>
      <c r="E12" s="10" t="n">
        <v>4</v>
      </c>
      <c r="F12" s="10">
        <f>D12-E12</f>
        <v/>
      </c>
      <c r="H12" s="3" t="n">
        <v>41224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2006-09-13T11:21:00Z</dcterms:created>
  <dcterms:modified xsi:type="dcterms:W3CDTF">2025-07-09T01:52:52Z</dcterms:modified>
  <cp:lastModifiedBy>haol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374376BC94F047CFB3B12C6ABE17AB93_12</vt:lpwstr>
  </property>
  <property name="KSOProductBuildVer" fmtid="{D5CDD505-2E9C-101B-9397-08002B2CF9AE}" pid="3">
    <vt:lpwstr>2052-12.1.0.16894</vt:lpwstr>
  </property>
</Properties>
</file>