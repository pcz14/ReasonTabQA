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20" windowWidth="16800" windowHeight="12375" tabRatio="600" firstSheet="1" autoFilterDateGrouping="1"/>
  </bookViews>
  <sheets>
    <sheet name="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;[Red]\-0.00\ "/>
    <numFmt numFmtId="165" formatCode="0_);[Red]\(0\)"/>
    <numFmt numFmtId="166" formatCode="yyyy/m/d;@"/>
    <numFmt numFmtId="167" formatCode="#,##0.00_);[Red]\(#,##0.00\)"/>
  </numFmts>
  <fonts count="30">
    <font>
      <name val="宋体"/>
      <family val="2"/>
      <sz val="12"/>
    </font>
    <font>
      <name val="Arial"/>
      <family val="2"/>
      <sz val="10"/>
    </font>
    <font>
      <name val="华文细黑"/>
      <family val="2"/>
      <sz val="10"/>
    </font>
    <font>
      <name val="华文细黑"/>
      <family val="2"/>
      <color indexed="10"/>
      <sz val="10"/>
    </font>
    <font>
      <name val="华文细黑"/>
      <family val="2"/>
      <sz val="22"/>
    </font>
    <font>
      <name val="华文细黑"/>
      <family val="2"/>
      <color theme="1"/>
      <sz val="10"/>
    </font>
    <font>
      <name val="华文细黑"/>
      <family val="2"/>
      <color theme="0"/>
      <sz val="12"/>
    </font>
    <font>
      <name val="华文细黑"/>
      <family val="2"/>
      <color theme="0"/>
      <sz val="10"/>
    </font>
    <font>
      <name val="华文细黑"/>
      <family val="2"/>
      <b val="1"/>
      <sz val="10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900013208389"/>
        <bgColor indexed="64"/>
      </patternFill>
    </fill>
    <fill>
      <patternFill patternType="solid">
        <fgColor theme="0" tint="-0.04998999834060669"/>
        <bgColor indexed="64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theme="0" tint="-0.04998999834060669"/>
      </left>
      <right style="thin">
        <color theme="0" tint="-0.04998999834060669"/>
      </right>
      <top style="thin">
        <color theme="0" tint="-0.04998999834060669"/>
      </top>
      <bottom style="thin">
        <color theme="0" tint="-0.04998999834060669"/>
      </bottom>
    </border>
    <border>
      <left style="thin">
        <color theme="0" tint="-0.04998999834060669"/>
      </left>
      <right style="thin">
        <color theme="0" tint="-0.04998999834060669"/>
      </right>
      <top style="thin">
        <color theme="0" tint="-0.04998999834060669"/>
      </top>
      <bottom/>
    </border>
    <border>
      <left style="thin">
        <color theme="0" tint="-0.3499900102615356"/>
      </left>
      <right style="thin">
        <color theme="0" tint="-0.3499900102615356"/>
      </right>
      <top style="thin">
        <color theme="0" tint="-0.3499900102615356"/>
      </top>
      <bottom style="thin">
        <color theme="0" tint="-0.3499900102615356"/>
      </bottom>
    </border>
    <border>
      <left/>
      <right/>
      <top style="thin">
        <color theme="0" tint="-0.04998999834060669"/>
      </top>
      <bottom/>
      <diagonal/>
    </border>
    <border>
      <left/>
      <right style="thin">
        <color theme="0" tint="-0.04998999834060669"/>
      </right>
      <top style="thin">
        <color theme="0" tint="-0.04998999834060669"/>
      </top>
      <bottom/>
      <diagonal/>
    </border>
    <border>
      <left/>
      <right/>
      <top style="thin">
        <color theme="0" tint="-0.04998999834060669"/>
      </top>
      <bottom style="thin">
        <color theme="0" tint="-0.04998999834060669"/>
      </bottom>
      <diagonal/>
    </border>
    <border>
      <left/>
      <right style="thin">
        <color theme="0" tint="-0.04998999834060669"/>
      </right>
      <top style="thin">
        <color theme="0" tint="-0.04998999834060669"/>
      </top>
      <bottom style="thin">
        <color theme="0" tint="-0.04998999834060669"/>
      </bottom>
      <diagonal/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9" fillId="0" borderId="0"/>
    <xf numFmtId="44" fontId="9" fillId="0" borderId="0"/>
    <xf numFmtId="9" fontId="9" fillId="0" borderId="0"/>
    <xf numFmtId="41" fontId="9" fillId="0" borderId="0"/>
    <xf numFmtId="42" fontId="9" fillId="0" borderId="0"/>
    <xf numFmtId="0" fontId="10" fillId="0" borderId="0"/>
    <xf numFmtId="0" fontId="11" fillId="0" borderId="0"/>
    <xf numFmtId="0" fontId="9" fillId="2" borderId="1"/>
    <xf numFmtId="0" fontId="12" fillId="0" borderId="0"/>
    <xf numFmtId="0" fontId="13" fillId="0" borderId="0"/>
    <xf numFmtId="0" fontId="14" fillId="0" borderId="0"/>
    <xf numFmtId="0" fontId="15" fillId="0" borderId="2"/>
    <xf numFmtId="0" fontId="16" fillId="0" borderId="2"/>
    <xf numFmtId="0" fontId="17" fillId="0" borderId="3"/>
    <xf numFmtId="0" fontId="17" fillId="0" borderId="0"/>
    <xf numFmtId="0" fontId="18" fillId="3" borderId="4"/>
    <xf numFmtId="0" fontId="19" fillId="4" borderId="5"/>
    <xf numFmtId="0" fontId="20" fillId="4" borderId="4"/>
    <xf numFmtId="0" fontId="21" fillId="5" borderId="6"/>
    <xf numFmtId="0" fontId="22" fillId="0" borderId="7"/>
    <xf numFmtId="0" fontId="23" fillId="0" borderId="8"/>
    <xf numFmtId="0" fontId="24" fillId="6" borderId="0"/>
    <xf numFmtId="0" fontId="25" fillId="7" borderId="0"/>
    <xf numFmtId="0" fontId="26" fillId="8" borderId="0"/>
    <xf numFmtId="0" fontId="27" fillId="9" borderId="0"/>
    <xf numFmtId="0" fontId="9" fillId="10" borderId="0"/>
    <xf numFmtId="0" fontId="9" fillId="11" borderId="0"/>
    <xf numFmtId="0" fontId="27" fillId="12" borderId="0"/>
    <xf numFmtId="0" fontId="27" fillId="13" borderId="0"/>
    <xf numFmtId="0" fontId="9" fillId="14" borderId="0"/>
    <xf numFmtId="0" fontId="9" fillId="15" borderId="0"/>
    <xf numFmtId="0" fontId="27" fillId="16" borderId="0"/>
    <xf numFmtId="0" fontId="27" fillId="17" borderId="0"/>
    <xf numFmtId="0" fontId="9" fillId="18" borderId="0"/>
    <xf numFmtId="0" fontId="9" fillId="19" borderId="0"/>
    <xf numFmtId="0" fontId="27" fillId="20" borderId="0"/>
    <xf numFmtId="0" fontId="27" fillId="21" borderId="0"/>
    <xf numFmtId="0" fontId="9" fillId="22" borderId="0"/>
    <xf numFmtId="0" fontId="9" fillId="23" borderId="0"/>
    <xf numFmtId="0" fontId="27" fillId="24" borderId="0"/>
    <xf numFmtId="0" fontId="27" fillId="25" borderId="0"/>
    <xf numFmtId="0" fontId="9" fillId="26" borderId="0"/>
    <xf numFmtId="0" fontId="9" fillId="27" borderId="0"/>
    <xf numFmtId="0" fontId="27" fillId="28" borderId="0"/>
    <xf numFmtId="0" fontId="27" fillId="29" borderId="0"/>
    <xf numFmtId="0" fontId="9" fillId="30" borderId="0"/>
    <xf numFmtId="0" fontId="9" fillId="31" borderId="0"/>
    <xf numFmtId="0" fontId="27" fillId="32" borderId="0"/>
    <xf numFmtId="0" fontId="29" fillId="0" borderId="0"/>
  </cellStyleXfs>
  <cellXfs count="50"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65" fontId="3" fillId="0" borderId="0" applyAlignment="1" applyProtection="1" pivotButton="0" quotePrefix="0" xfId="0">
      <alignment horizontal="center" vertical="center"/>
      <protection locked="0" hidden="0"/>
    </xf>
    <xf numFmtId="166" fontId="3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1"/>
    </xf>
    <xf numFmtId="167" fontId="2" fillId="0" borderId="0" applyAlignment="1" pivotButton="0" quotePrefix="0" xfId="0">
      <alignment horizontal="center" vertical="center"/>
    </xf>
    <xf numFmtId="164" fontId="2" fillId="33" borderId="0" applyAlignment="1" pivotButton="0" quotePrefix="0" xfId="0">
      <alignment horizontal="center" vertical="center"/>
    </xf>
    <xf numFmtId="49" fontId="4" fillId="33" borderId="0" applyAlignment="1" pivotButton="0" quotePrefix="0" xfId="0">
      <alignment horizontal="center" vertical="center"/>
    </xf>
    <xf numFmtId="166" fontId="4" fillId="33" borderId="0" applyAlignment="1" pivotButton="0" quotePrefix="0" xfId="0">
      <alignment horizontal="center" vertical="center"/>
    </xf>
    <xf numFmtId="49" fontId="2" fillId="33" borderId="0" applyAlignment="1" pivotButton="0" quotePrefix="0" xfId="0">
      <alignment horizontal="center" vertical="center"/>
    </xf>
    <xf numFmtId="165" fontId="3" fillId="33" borderId="0" applyAlignment="1" applyProtection="1" pivotButton="0" quotePrefix="0" xfId="0">
      <alignment horizontal="center" vertical="center"/>
      <protection locked="0" hidden="0"/>
    </xf>
    <xf numFmtId="166" fontId="5" fillId="33" borderId="0" applyAlignment="1" applyProtection="1" pivotButton="0" quotePrefix="0" xfId="0">
      <alignment vertical="center"/>
      <protection locked="0" hidden="0"/>
    </xf>
    <xf numFmtId="165" fontId="5" fillId="33" borderId="0" applyAlignment="1" applyProtection="1" pivotButton="0" quotePrefix="0" xfId="0">
      <alignment vertical="center"/>
      <protection locked="0" hidden="0"/>
    </xf>
    <xf numFmtId="0" fontId="6" fillId="34" borderId="9" applyAlignment="1" pivotButton="0" quotePrefix="0" xfId="0">
      <alignment horizontal="center" vertical="center"/>
    </xf>
    <xf numFmtId="166" fontId="7" fillId="34" borderId="10" applyAlignment="1" applyProtection="1" pivotButton="0" quotePrefix="0" xfId="0">
      <alignment horizontal="center" vertical="center"/>
      <protection locked="0" hidden="0"/>
    </xf>
    <xf numFmtId="165" fontId="7" fillId="34" borderId="10" applyAlignment="1" applyProtection="1" pivotButton="0" quotePrefix="0" xfId="0">
      <alignment horizontal="center" vertical="center"/>
      <protection locked="0" hidden="0"/>
    </xf>
    <xf numFmtId="0" fontId="7" fillId="34" borderId="10" applyAlignment="1" pivotButton="0" quotePrefix="0" xfId="0">
      <alignment horizontal="center" vertical="center" wrapText="1"/>
    </xf>
    <xf numFmtId="166" fontId="2" fillId="33" borderId="11" applyAlignment="1" applyProtection="1" pivotButton="0" quotePrefix="0" xfId="0">
      <alignment horizontal="center" vertical="center"/>
      <protection locked="0" hidden="0"/>
    </xf>
    <xf numFmtId="165" fontId="2" fillId="33" borderId="11" applyAlignment="1" applyProtection="1" pivotButton="0" quotePrefix="0" xfId="0">
      <alignment horizontal="center" vertical="center"/>
      <protection locked="0" hidden="0"/>
    </xf>
    <xf numFmtId="0" fontId="2" fillId="0" borderId="11" applyAlignment="1" pivotButton="0" quotePrefix="0" xfId="0">
      <alignment horizontal="center" vertical="center" wrapText="1"/>
    </xf>
    <xf numFmtId="9" fontId="2" fillId="0" borderId="11" applyAlignment="1" pivotButton="0" quotePrefix="0" xfId="0">
      <alignment horizontal="center" vertical="center" wrapText="1"/>
    </xf>
    <xf numFmtId="165" fontId="2" fillId="35" borderId="11" applyAlignment="1" applyProtection="1" pivotButton="0" quotePrefix="0" xfId="0">
      <alignment horizontal="center" vertical="center"/>
      <protection locked="0" hidden="0"/>
    </xf>
    <xf numFmtId="167" fontId="2" fillId="33" borderId="0" applyAlignment="1" pivotButton="0" quotePrefix="0" xfId="0">
      <alignment horizontal="center" vertical="center"/>
    </xf>
    <xf numFmtId="0" fontId="5" fillId="33" borderId="0" applyAlignment="1" applyProtection="1" pivotButton="0" quotePrefix="0" xfId="0">
      <alignment horizontal="center" vertical="center"/>
      <protection locked="0" hidden="0"/>
    </xf>
    <xf numFmtId="164" fontId="2" fillId="33" borderId="0" applyAlignment="1" applyProtection="1" pivotButton="0" quotePrefix="0" xfId="0">
      <alignment horizontal="center" vertical="center"/>
      <protection locked="0" hidden="1"/>
    </xf>
    <xf numFmtId="165" fontId="8" fillId="33" borderId="11" applyAlignment="1" applyProtection="1" pivotButton="0" quotePrefix="0" xfId="0">
      <alignment horizontal="center" vertical="center"/>
      <protection locked="0" hidden="0"/>
    </xf>
    <xf numFmtId="0" fontId="28" fillId="0" borderId="0" pivotButton="0" quotePrefix="0" xfId="0"/>
    <xf numFmtId="0" fontId="29" fillId="0" borderId="0" pivotButton="0" quotePrefix="0" xfId="68"/>
    <xf numFmtId="0" fontId="29" fillId="0" borderId="0" pivotButton="0" quotePrefix="0" xfId="0"/>
    <xf numFmtId="164" fontId="2" fillId="0" borderId="0" applyAlignment="1" pivotButton="0" quotePrefix="0" xfId="0">
      <alignment horizontal="center" vertical="center"/>
    </xf>
    <xf numFmtId="165" fontId="3" fillId="0" borderId="0" applyAlignment="1" applyProtection="1" pivotButton="0" quotePrefix="0" xfId="0">
      <alignment horizontal="center" vertical="center"/>
      <protection locked="0" hidden="0"/>
    </xf>
    <xf numFmtId="166" fontId="3" fillId="0" borderId="0" applyAlignment="1" applyProtection="1" pivotButton="0" quotePrefix="0" xfId="0">
      <alignment horizontal="center" vertical="center"/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1"/>
    </xf>
    <xf numFmtId="167" fontId="2" fillId="0" borderId="0" applyAlignment="1" pivotButton="0" quotePrefix="0" xfId="0">
      <alignment horizontal="center" vertical="center"/>
    </xf>
    <xf numFmtId="164" fontId="2" fillId="33" borderId="0" applyAlignment="1" pivotButton="0" quotePrefix="0" xfId="0">
      <alignment horizontal="center" vertical="center"/>
    </xf>
    <xf numFmtId="167" fontId="2" fillId="33" borderId="0" applyAlignment="1" pivotButton="0" quotePrefix="0" xfId="0">
      <alignment horizontal="center" vertical="center"/>
    </xf>
    <xf numFmtId="165" fontId="3" fillId="33" borderId="0" applyAlignment="1" applyProtection="1" pivotButton="0" quotePrefix="0" xfId="0">
      <alignment horizontal="center" vertical="center"/>
      <protection locked="0" hidden="0"/>
    </xf>
    <xf numFmtId="166" fontId="5" fillId="33" borderId="0" applyAlignment="1" applyProtection="1" pivotButton="0" quotePrefix="0" xfId="0">
      <alignment vertical="center"/>
      <protection locked="0" hidden="0"/>
    </xf>
    <xf numFmtId="165" fontId="5" fillId="33" borderId="0" applyAlignment="1" applyProtection="1" pivotButton="0" quotePrefix="0" xfId="0">
      <alignment vertical="center"/>
      <protection locked="0" hidden="0"/>
    </xf>
    <xf numFmtId="164" fontId="2" fillId="33" borderId="0" applyAlignment="1" applyProtection="1" pivotButton="0" quotePrefix="0" xfId="0">
      <alignment horizontal="center" vertical="center"/>
      <protection locked="0" hidden="1"/>
    </xf>
    <xf numFmtId="0" fontId="0" fillId="0" borderId="14" pivotButton="0" quotePrefix="0" xfId="0"/>
    <xf numFmtId="0" fontId="0" fillId="0" borderId="15" pivotButton="0" quotePrefix="0" xfId="0"/>
    <xf numFmtId="166" fontId="7" fillId="34" borderId="10" applyAlignment="1" applyProtection="1" pivotButton="0" quotePrefix="0" xfId="0">
      <alignment horizontal="center" vertical="center"/>
      <protection locked="0" hidden="0"/>
    </xf>
    <xf numFmtId="165" fontId="7" fillId="34" borderId="10" applyAlignment="1" applyProtection="1" pivotButton="0" quotePrefix="0" xfId="0">
      <alignment horizontal="center" vertical="center"/>
      <protection locked="0" hidden="0"/>
    </xf>
    <xf numFmtId="166" fontId="2" fillId="33" borderId="11" applyAlignment="1" applyProtection="1" pivotButton="0" quotePrefix="0" xfId="0">
      <alignment horizontal="center" vertical="center"/>
      <protection locked="0" hidden="0"/>
    </xf>
    <xf numFmtId="165" fontId="2" fillId="33" borderId="11" applyAlignment="1" applyProtection="1" pivotButton="0" quotePrefix="0" xfId="0">
      <alignment horizontal="center" vertical="center"/>
      <protection locked="0" hidden="0"/>
    </xf>
    <xf numFmtId="165" fontId="2" fillId="35" borderId="11" applyAlignment="1" applyProtection="1" pivotButton="0" quotePrefix="0" xfId="0">
      <alignment horizontal="center" vertical="center"/>
      <protection locked="0" hidden="0"/>
    </xf>
    <xf numFmtId="165" fontId="8" fillId="33" borderId="11" applyAlignment="1" applyProtection="1" pivotButton="0" quotePrefix="0" xfId="0">
      <alignment horizontal="center" vertical="center"/>
      <protection locked="0" hidden="0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6"/>
  <sheetViews>
    <sheetView showGridLines="0" topLeftCell="A1" zoomScale="115" zoomScaleNormal="115" workbookViewId="0">
      <selection activeCell="F2" sqref="F1:F1048576"/>
    </sheetView>
  </sheetViews>
  <sheetFormatPr baseColWidth="8" defaultColWidth="7.125" defaultRowHeight="22.5" customHeight="1"/>
  <cols>
    <col width="1.75390625" customWidth="1" style="31" min="1" max="1"/>
    <col width="9.00390625" customWidth="1" style="2" min="2" max="2"/>
    <col width="9.00390625" customWidth="1" style="31" min="3" max="3"/>
    <col width="9.00390625" customWidth="1" style="32" min="4" max="5"/>
    <col width="9.00390625" customWidth="1" style="33" min="6" max="7"/>
    <col width="9.50390625" customWidth="1" style="32" min="8" max="8"/>
    <col width="9.00390625" customWidth="1" style="32" min="9" max="10"/>
    <col width="9.00390625" customWidth="1" style="5" min="11" max="11"/>
    <col width="1.75390625" customWidth="1" style="34" min="12" max="12"/>
    <col hidden="1" width="9.375" customWidth="1" style="31" min="13" max="13"/>
    <col hidden="1" width="10.375" customWidth="1" style="35" min="14" max="14"/>
    <col hidden="1" width="11.50390625" customWidth="1" style="35" min="15" max="15"/>
    <col width="1.625" customWidth="1" style="31" min="16" max="16"/>
    <col width="7.125" customWidth="1" style="31" min="17" max="16384"/>
  </cols>
  <sheetData>
    <row r="1" ht="30" customHeight="1">
      <c r="A1" s="36" t="n"/>
      <c r="B1" s="9" t="inlineStr">
        <is>
          <t>Annual Salesperson Performance Calculation Table</t>
        </is>
      </c>
      <c r="M1" s="36" t="n"/>
      <c r="N1" s="37" t="n"/>
      <c r="O1" s="37" t="n"/>
      <c r="P1" s="36" t="n"/>
    </row>
    <row r="2" ht="7.5" customHeight="1">
      <c r="A2" s="36" t="n"/>
      <c r="B2" s="11" t="n"/>
      <c r="C2" s="36" t="n"/>
      <c r="D2" s="38" t="n"/>
      <c r="E2" s="38" t="n"/>
      <c r="F2" s="39" t="n"/>
      <c r="G2" s="39" t="n"/>
      <c r="H2" s="40" t="n"/>
      <c r="I2" s="40" t="n"/>
      <c r="J2" s="40" t="n"/>
      <c r="K2" s="25" t="n"/>
      <c r="L2" s="41" t="n"/>
      <c r="M2" s="36" t="n"/>
      <c r="N2" s="37" t="n"/>
      <c r="O2" s="37" t="n"/>
      <c r="P2" s="36" t="n"/>
    </row>
    <row r="3" ht="22.5" customHeight="1">
      <c r="A3" s="36" t="n"/>
      <c r="B3" s="15" t="inlineStr">
        <is>
          <t>Tax Rate Level Table</t>
        </is>
      </c>
      <c r="C3" s="42" t="n"/>
      <c r="D3" s="42" t="n"/>
      <c r="E3" s="43" t="n"/>
      <c r="F3" s="44" t="inlineStr">
        <is>
          <t>Date</t>
        </is>
      </c>
      <c r="G3" s="44" t="inlineStr">
        <is>
          <t>Month</t>
        </is>
      </c>
      <c r="H3" s="45" t="inlineStr">
        <is>
          <t>Salesperson Name</t>
        </is>
      </c>
      <c r="I3" s="45" t="inlineStr">
        <is>
          <t>Sales Quantity</t>
        </is>
      </c>
      <c r="J3" s="45" t="inlineStr">
        <is>
          <t>Sales Unit Price</t>
        </is>
      </c>
      <c r="K3" s="45" t="inlineStr">
        <is>
          <t>Sales Amount</t>
        </is>
      </c>
      <c r="L3" s="41" t="n"/>
      <c r="M3" s="36" t="n"/>
      <c r="N3" s="37" t="n"/>
      <c r="O3" s="37" t="n"/>
      <c r="P3" s="36" t="n"/>
    </row>
    <row r="4" ht="22.5" customHeight="1">
      <c r="A4" s="36" t="n"/>
      <c r="B4" s="18" t="inlineStr">
        <is>
          <t>Level</t>
        </is>
      </c>
      <c r="C4" s="18" t="inlineStr">
        <is>
          <t>Starting Point</t>
        </is>
      </c>
      <c r="D4" s="18" t="inlineStr">
        <is>
          <t>End Point</t>
        </is>
      </c>
      <c r="E4" s="18" t="inlineStr">
        <is>
          <t>Tax Rate (%)</t>
        </is>
      </c>
      <c r="F4" s="46" t="n">
        <v>43831</v>
      </c>
      <c r="G4" s="46">
        <f>MONTH(F4)&amp;"月"</f>
        <v/>
      </c>
      <c r="H4" s="47" t="inlineStr">
        <is>
          <t>XM1</t>
        </is>
      </c>
      <c r="I4" s="47" t="n">
        <v>3</v>
      </c>
      <c r="J4" s="47" t="n">
        <v>2300</v>
      </c>
      <c r="K4" s="47">
        <f>I4*J4</f>
        <v/>
      </c>
      <c r="L4" s="41" t="n"/>
      <c r="M4" s="36" t="n"/>
      <c r="N4" s="37" t="n"/>
      <c r="O4" s="37" t="n"/>
      <c r="P4" s="36" t="n"/>
    </row>
    <row r="5" ht="22.5" customHeight="1">
      <c r="A5" s="36" t="n"/>
      <c r="B5" s="21" t="n">
        <v>1</v>
      </c>
      <c r="C5" s="21" t="n">
        <v>0</v>
      </c>
      <c r="D5" s="21" t="n">
        <v>3000</v>
      </c>
      <c r="E5" s="22" t="n">
        <v>0.03</v>
      </c>
      <c r="F5" s="46" t="n">
        <v>43862</v>
      </c>
      <c r="G5" s="46">
        <f>MONTH(F5)&amp;"月"</f>
        <v/>
      </c>
      <c r="H5" s="47" t="inlineStr">
        <is>
          <t>XM2</t>
        </is>
      </c>
      <c r="I5" s="47" t="n">
        <v>2</v>
      </c>
      <c r="J5" s="47" t="n">
        <v>3200</v>
      </c>
      <c r="K5" s="47">
        <f>I5*J5</f>
        <v/>
      </c>
      <c r="L5" s="41" t="n"/>
      <c r="M5" s="36" t="n"/>
      <c r="N5" s="37" t="n"/>
      <c r="O5" s="37" t="n"/>
      <c r="P5" s="36" t="n"/>
    </row>
    <row r="6" ht="22.5" customHeight="1">
      <c r="A6" s="36" t="n"/>
      <c r="B6" s="21" t="n">
        <v>2</v>
      </c>
      <c r="C6" s="21" t="n">
        <v>3000</v>
      </c>
      <c r="D6" s="21" t="n">
        <v>12000</v>
      </c>
      <c r="E6" s="22" t="n">
        <v>0.1</v>
      </c>
      <c r="F6" s="46" t="n">
        <v>43891</v>
      </c>
      <c r="G6" s="46">
        <f>MONTH(F6)&amp;"月"</f>
        <v/>
      </c>
      <c r="H6" s="47" t="inlineStr">
        <is>
          <t>XM3</t>
        </is>
      </c>
      <c r="I6" s="47" t="n">
        <v>4</v>
      </c>
      <c r="J6" s="47" t="n">
        <v>1500</v>
      </c>
      <c r="K6" s="47">
        <f>I6*J6</f>
        <v/>
      </c>
      <c r="L6" s="41" t="n"/>
      <c r="M6" s="36" t="n"/>
      <c r="N6" s="37" t="n"/>
      <c r="O6" s="37" t="n"/>
      <c r="P6" s="36" t="n"/>
    </row>
    <row r="7" ht="22.5" customHeight="1">
      <c r="A7" s="36" t="n"/>
      <c r="B7" s="21" t="n">
        <v>3</v>
      </c>
      <c r="C7" s="21" t="n">
        <v>12000</v>
      </c>
      <c r="D7" s="21" t="n">
        <v>25000</v>
      </c>
      <c r="E7" s="22" t="n">
        <v>0.2</v>
      </c>
      <c r="F7" s="46" t="n">
        <v>43922</v>
      </c>
      <c r="G7" s="46">
        <f>MONTH(F7)&amp;"月"</f>
        <v/>
      </c>
      <c r="H7" s="47" t="inlineStr">
        <is>
          <t>XM4</t>
        </is>
      </c>
      <c r="I7" s="47" t="n">
        <v>5</v>
      </c>
      <c r="J7" s="47" t="n">
        <v>1560</v>
      </c>
      <c r="K7" s="47">
        <f>I7*J7</f>
        <v/>
      </c>
      <c r="L7" s="41" t="n"/>
      <c r="M7" s="36" t="n"/>
      <c r="N7" s="37" t="n"/>
      <c r="O7" s="37" t="n"/>
      <c r="P7" s="36" t="n"/>
    </row>
    <row r="8" ht="22.5" customHeight="1">
      <c r="A8" s="36" t="n"/>
      <c r="B8" s="21" t="n">
        <v>4</v>
      </c>
      <c r="C8" s="21" t="n">
        <v>25000</v>
      </c>
      <c r="D8" s="21" t="n">
        <v>35000</v>
      </c>
      <c r="E8" s="22" t="n">
        <v>0.25</v>
      </c>
      <c r="F8" s="46" t="n">
        <v>43952</v>
      </c>
      <c r="G8" s="46">
        <f>MONTH(F8)&amp;"月"</f>
        <v/>
      </c>
      <c r="H8" s="47" t="inlineStr">
        <is>
          <t>XM5</t>
        </is>
      </c>
      <c r="I8" s="47" t="n">
        <v>6</v>
      </c>
      <c r="J8" s="47" t="n">
        <v>3200</v>
      </c>
      <c r="K8" s="47">
        <f>I8*J8</f>
        <v/>
      </c>
      <c r="L8" s="41" t="n"/>
      <c r="M8" s="36" t="n"/>
      <c r="N8" s="37" t="n"/>
      <c r="O8" s="37" t="n"/>
      <c r="P8" s="36" t="n"/>
    </row>
    <row r="9" ht="22.5" customHeight="1">
      <c r="A9" s="36" t="n"/>
      <c r="B9" s="21" t="n">
        <v>5</v>
      </c>
      <c r="C9" s="21" t="n">
        <v>35000</v>
      </c>
      <c r="D9" s="21" t="n">
        <v>55000</v>
      </c>
      <c r="E9" s="22" t="n">
        <v>0.3</v>
      </c>
      <c r="F9" s="46" t="n">
        <v>43983</v>
      </c>
      <c r="G9" s="46">
        <f>MONTH(F9)&amp;"月"</f>
        <v/>
      </c>
      <c r="H9" s="47" t="inlineStr">
        <is>
          <t>XM6</t>
        </is>
      </c>
      <c r="I9" s="47" t="n">
        <v>7</v>
      </c>
      <c r="J9" s="47" t="n">
        <v>2300</v>
      </c>
      <c r="K9" s="47">
        <f>I9*J9</f>
        <v/>
      </c>
      <c r="L9" s="41" t="n"/>
      <c r="M9" s="36" t="n"/>
      <c r="N9" s="37" t="n"/>
      <c r="O9" s="37" t="n"/>
      <c r="P9" s="36" t="n"/>
    </row>
    <row r="10" ht="22.5" customHeight="1">
      <c r="A10" s="36" t="n"/>
      <c r="B10" s="21" t="n">
        <v>6</v>
      </c>
      <c r="C10" s="21" t="n">
        <v>55000</v>
      </c>
      <c r="D10" s="21" t="n">
        <v>80000</v>
      </c>
      <c r="E10" s="22" t="n">
        <v>0.35</v>
      </c>
      <c r="F10" s="46" t="n">
        <v>44013</v>
      </c>
      <c r="G10" s="46">
        <f>MONTH(F10)&amp;"月"</f>
        <v/>
      </c>
      <c r="H10" s="47" t="inlineStr">
        <is>
          <t>XM7</t>
        </is>
      </c>
      <c r="I10" s="47" t="n">
        <v>3</v>
      </c>
      <c r="J10" s="47" t="n">
        <v>3200</v>
      </c>
      <c r="K10" s="47">
        <f>I10*J10</f>
        <v/>
      </c>
      <c r="L10" s="41" t="n"/>
      <c r="M10" s="36" t="n"/>
      <c r="N10" s="37" t="n"/>
      <c r="O10" s="37" t="n"/>
      <c r="P10" s="36" t="n"/>
    </row>
    <row r="11" ht="22.5" customHeight="1">
      <c r="A11" s="36" t="n"/>
      <c r="B11" s="21" t="n">
        <v>7</v>
      </c>
      <c r="C11" s="21" t="n">
        <v>80000</v>
      </c>
      <c r="D11" s="21" t="n"/>
      <c r="E11" s="22" t="n">
        <v>0.45</v>
      </c>
      <c r="F11" s="46" t="n">
        <v>44044</v>
      </c>
      <c r="G11" s="46">
        <f>MONTH(F11)&amp;"月"</f>
        <v/>
      </c>
      <c r="H11" s="47" t="inlineStr">
        <is>
          <t>XM8</t>
        </is>
      </c>
      <c r="I11" s="47" t="n">
        <v>2</v>
      </c>
      <c r="J11" s="47" t="n">
        <v>1500</v>
      </c>
      <c r="K11" s="47">
        <f>I11*J11</f>
        <v/>
      </c>
      <c r="L11" s="41" t="n"/>
      <c r="M11" s="36" t="n"/>
      <c r="N11" s="37" t="n"/>
      <c r="O11" s="37" t="n"/>
      <c r="P11" s="36" t="n"/>
    </row>
    <row r="12" ht="22.5" customHeight="1">
      <c r="A12" s="36" t="n"/>
      <c r="B12" s="11" t="n"/>
      <c r="C12" s="36" t="n"/>
      <c r="D12" s="38" t="n"/>
      <c r="E12" s="38" t="n"/>
      <c r="F12" s="46" t="n">
        <v>44075</v>
      </c>
      <c r="G12" s="46">
        <f>MONTH(F12)&amp;"月"</f>
        <v/>
      </c>
      <c r="H12" s="47" t="inlineStr">
        <is>
          <t>XM9</t>
        </is>
      </c>
      <c r="I12" s="47" t="n">
        <v>4</v>
      </c>
      <c r="J12" s="47" t="n">
        <v>1560</v>
      </c>
      <c r="K12" s="47">
        <f>I12*J12</f>
        <v/>
      </c>
      <c r="L12" s="41" t="n"/>
      <c r="M12" s="36" t="n"/>
      <c r="N12" s="37" t="n"/>
      <c r="O12" s="37" t="n"/>
      <c r="P12" s="36" t="n"/>
    </row>
    <row r="13" ht="22.5" customHeight="1">
      <c r="B13" s="18" t="inlineStr">
        <is>
          <t>Month</t>
        </is>
      </c>
      <c r="C13" s="18" t="inlineStr">
        <is>
          <t>Total Sales Volume</t>
        </is>
      </c>
      <c r="D13" s="18" t="inlineStr">
        <is>
          <t>Total sales revenue</t>
        </is>
      </c>
      <c r="E13" s="18" t="inlineStr">
        <is>
          <t>Tax Rate (%)</t>
        </is>
      </c>
      <c r="F13" s="46" t="n">
        <v>44105</v>
      </c>
      <c r="G13" s="46">
        <f>MONTH(F13)&amp;"月"</f>
        <v/>
      </c>
      <c r="H13" s="47" t="inlineStr">
        <is>
          <t>XM10</t>
        </is>
      </c>
      <c r="I13" s="47" t="n">
        <v>5</v>
      </c>
      <c r="J13" s="47" t="n">
        <v>3200</v>
      </c>
      <c r="K13" s="47">
        <f>I13*J13</f>
        <v/>
      </c>
    </row>
    <row r="14" ht="22.5" customHeight="1">
      <c r="B14" s="47" t="inlineStr">
        <is>
          <t>January</t>
        </is>
      </c>
      <c r="C14" s="48">
        <f>SUMIFS($I$4:$I$2500,$G$4:$G$2500,$B14)</f>
        <v/>
      </c>
      <c r="D14" s="48" t="n">
        <v>5000</v>
      </c>
      <c r="E14" s="22" t="n">
        <v>0.1</v>
      </c>
      <c r="F14" s="46" t="n">
        <v>44136</v>
      </c>
      <c r="G14" s="46">
        <f>MONTH(F14)&amp;"月"</f>
        <v/>
      </c>
      <c r="H14" s="47" t="inlineStr">
        <is>
          <t>XM11</t>
        </is>
      </c>
      <c r="I14" s="47" t="n">
        <v>6</v>
      </c>
      <c r="J14" s="47" t="n">
        <v>2300</v>
      </c>
      <c r="K14" s="47">
        <f>I14*J14</f>
        <v/>
      </c>
    </row>
    <row r="15" ht="22.5" customHeight="1">
      <c r="B15" s="47" t="inlineStr">
        <is>
          <t>February</t>
        </is>
      </c>
      <c r="C15" s="48">
        <f>SUMIFS($I$4:$I$2500,$G$4:$G$2500,$B15)</f>
        <v/>
      </c>
      <c r="D15" s="48">
        <f>SUMIFS($K$4:$K$2500,$G$4:$G$2500,$B15)</f>
        <v/>
      </c>
      <c r="E15" s="22" t="n">
        <v>0.1</v>
      </c>
      <c r="F15" s="46" t="n">
        <v>44166</v>
      </c>
      <c r="G15" s="46">
        <f>MONTH(F15)&amp;"月"</f>
        <v/>
      </c>
      <c r="H15" s="47" t="inlineStr">
        <is>
          <t>XM12</t>
        </is>
      </c>
      <c r="I15" s="47" t="n">
        <v>7</v>
      </c>
      <c r="J15" s="47" t="n">
        <v>3200</v>
      </c>
      <c r="K15" s="47">
        <f>I15*J15</f>
        <v/>
      </c>
    </row>
    <row r="16" ht="22.5" customHeight="1">
      <c r="B16" s="47" t="inlineStr">
        <is>
          <t>March</t>
        </is>
      </c>
      <c r="C16" s="48">
        <f>SUMIFS($I$4:$I$2500,$G$4:$G$2500,$B16)</f>
        <v/>
      </c>
      <c r="D16" s="48">
        <f>SUMIFS($K$4:$K$2500,$G$4:$G$2500,$B16)</f>
        <v/>
      </c>
      <c r="E16" s="22" t="n">
        <v>0.2</v>
      </c>
      <c r="F16" s="46" t="n">
        <v>43831</v>
      </c>
      <c r="G16" s="46">
        <f>MONTH(F16)&amp;"月"</f>
        <v/>
      </c>
      <c r="H16" s="47" t="inlineStr">
        <is>
          <t>XM13</t>
        </is>
      </c>
      <c r="I16" s="47" t="n">
        <v>3</v>
      </c>
      <c r="J16" s="47" t="n">
        <v>1500</v>
      </c>
      <c r="K16" s="47">
        <f>I16*J16</f>
        <v/>
      </c>
    </row>
    <row r="17" ht="22.5" customHeight="1">
      <c r="B17" s="47" t="inlineStr">
        <is>
          <t>April</t>
        </is>
      </c>
      <c r="C17" s="48">
        <f>SUMIFS($I$4:$I$2500,$G$4:$G$2500,$B17)</f>
        <v/>
      </c>
      <c r="D17" s="48">
        <f>SUMIFS($K$4:$K$2500,$G$4:$G$2500,$B17)</f>
        <v/>
      </c>
      <c r="E17" s="22" t="n">
        <v>0.25</v>
      </c>
      <c r="F17" s="46" t="n">
        <v>43862</v>
      </c>
      <c r="G17" s="46">
        <f>MONTH(F17)&amp;"月"</f>
        <v/>
      </c>
      <c r="H17" s="47" t="inlineStr">
        <is>
          <t>XM14</t>
        </is>
      </c>
      <c r="I17" s="47" t="n">
        <v>2</v>
      </c>
      <c r="J17" s="47" t="n">
        <v>1560</v>
      </c>
      <c r="K17" s="47">
        <f>I17*J17</f>
        <v/>
      </c>
    </row>
    <row r="18" ht="22.5" customHeight="1">
      <c r="B18" s="47" t="inlineStr">
        <is>
          <t>May</t>
        </is>
      </c>
      <c r="C18" s="48">
        <f>SUMIFS($I$4:$I$2500,$G$4:$G$2500,$B18)</f>
        <v/>
      </c>
      <c r="D18" s="48">
        <f>SUMIFS($K$4:$K$2500,$G$4:$G$2500,$B18)</f>
        <v/>
      </c>
      <c r="E18" s="22" t="n">
        <v>0.3</v>
      </c>
      <c r="F18" s="46" t="n">
        <v>43891</v>
      </c>
      <c r="G18" s="46">
        <f>MONTH(F18)&amp;"月"</f>
        <v/>
      </c>
      <c r="H18" s="47" t="inlineStr">
        <is>
          <t>XM15</t>
        </is>
      </c>
      <c r="I18" s="47" t="n">
        <v>4</v>
      </c>
      <c r="J18" s="47" t="n">
        <v>3200</v>
      </c>
      <c r="K18" s="47">
        <f>I18*J18</f>
        <v/>
      </c>
    </row>
    <row r="19" ht="22.5" customHeight="1">
      <c r="B19" s="47" t="inlineStr">
        <is>
          <t>June</t>
        </is>
      </c>
      <c r="C19" s="48">
        <f>SUMIFS($I$4:$I$2500,$G$4:$G$2500,$B19)</f>
        <v/>
      </c>
      <c r="D19" s="48">
        <f>SUMIFS($K$4:$K$2500,$G$4:$G$2500,$B19)</f>
        <v/>
      </c>
      <c r="E19" s="22" t="n">
        <v>0.3</v>
      </c>
      <c r="F19" s="46" t="n">
        <v>43922</v>
      </c>
      <c r="G19" s="46">
        <f>MONTH(F19)&amp;"月"</f>
        <v/>
      </c>
      <c r="H19" s="47" t="inlineStr">
        <is>
          <t>XM16</t>
        </is>
      </c>
      <c r="I19" s="47" t="n">
        <v>5</v>
      </c>
      <c r="J19" s="47" t="n">
        <v>2300</v>
      </c>
      <c r="K19" s="47">
        <f>I19*J19</f>
        <v/>
      </c>
    </row>
    <row r="20" ht="22.5" customHeight="1">
      <c r="B20" s="47" t="inlineStr">
        <is>
          <t>July</t>
        </is>
      </c>
      <c r="C20" s="48">
        <f>SUMIFS($I$4:$I$2500,$G$4:$G$2500,$B20)</f>
        <v/>
      </c>
      <c r="D20" s="48">
        <f>SUMIFS($K$4:$K$2500,$G$4:$G$2500,$B20)</f>
        <v/>
      </c>
      <c r="E20" s="22" t="n">
        <v>0.1</v>
      </c>
      <c r="F20" s="46" t="n">
        <v>43952</v>
      </c>
      <c r="G20" s="46">
        <f>MONTH(F20)&amp;"月"</f>
        <v/>
      </c>
      <c r="H20" s="47" t="inlineStr">
        <is>
          <t>XM17</t>
        </is>
      </c>
      <c r="I20" s="47" t="n">
        <v>6</v>
      </c>
      <c r="J20" s="47" t="n">
        <v>3200</v>
      </c>
      <c r="K20" s="47">
        <f>I20*J20</f>
        <v/>
      </c>
    </row>
    <row r="21" ht="22.5" customHeight="1">
      <c r="B21" s="47" t="inlineStr">
        <is>
          <t>August</t>
        </is>
      </c>
      <c r="C21" s="48">
        <f>SUMIFS($I$4:$I$2500,$G$4:$G$2500,$B21)</f>
        <v/>
      </c>
      <c r="D21" s="48">
        <f>SUMIFS($K$4:$K$2500,$G$4:$G$2500,$B21)</f>
        <v/>
      </c>
      <c r="E21" s="22" t="n">
        <v>0.03</v>
      </c>
      <c r="F21" s="46" t="n">
        <v>43983</v>
      </c>
      <c r="G21" s="46">
        <f>MONTH(F21)&amp;"月"</f>
        <v/>
      </c>
      <c r="H21" s="47" t="inlineStr">
        <is>
          <t>XM18</t>
        </is>
      </c>
      <c r="I21" s="47" t="n">
        <v>7</v>
      </c>
      <c r="J21" s="47" t="n">
        <v>1500</v>
      </c>
      <c r="K21" s="47">
        <f>I21*J21</f>
        <v/>
      </c>
    </row>
    <row r="22" ht="22.5" customHeight="1">
      <c r="B22" s="47" t="inlineStr">
        <is>
          <t>September</t>
        </is>
      </c>
      <c r="C22" s="48">
        <f>SUMIFS($I$4:$I$2500,$G$4:$G$2500,$B22)</f>
        <v/>
      </c>
      <c r="D22" s="48">
        <f>SUMIFS($K$4:$K$2500,$G$4:$G$2500,$B22)</f>
        <v/>
      </c>
      <c r="E22" s="22" t="n">
        <v>0.1</v>
      </c>
      <c r="F22" s="46" t="n">
        <v>43922</v>
      </c>
      <c r="G22" s="46">
        <f>MONTH(F22)&amp;"月"</f>
        <v/>
      </c>
      <c r="H22" s="47" t="inlineStr">
        <is>
          <t>XM19</t>
        </is>
      </c>
      <c r="I22" s="47" t="n">
        <v>4</v>
      </c>
      <c r="J22" s="47" t="n">
        <v>1560</v>
      </c>
      <c r="K22" s="47">
        <f>I22*J22</f>
        <v/>
      </c>
    </row>
    <row r="23" ht="22.5" customHeight="1">
      <c r="B23" s="47" t="inlineStr">
        <is>
          <t>October</t>
        </is>
      </c>
      <c r="C23" s="48">
        <f>SUMIFS($I$4:$I$2500,$G$4:$G$2500,$B23)</f>
        <v/>
      </c>
      <c r="D23" s="48">
        <f>SUMIFS($K$4:$K$2500,$G$4:$G$2500,$B23)</f>
        <v/>
      </c>
      <c r="E23" s="22" t="n">
        <v>0.2</v>
      </c>
      <c r="F23" s="46" t="n">
        <v>43952</v>
      </c>
      <c r="G23" s="46">
        <f>MONTH(F23)&amp;"月"</f>
        <v/>
      </c>
      <c r="H23" s="47" t="inlineStr">
        <is>
          <t>XM20</t>
        </is>
      </c>
      <c r="I23" s="47" t="n">
        <v>5</v>
      </c>
      <c r="J23" s="47" t="n">
        <v>3200</v>
      </c>
      <c r="K23" s="47">
        <f>I23*J23</f>
        <v/>
      </c>
    </row>
    <row r="24" ht="22.5" customHeight="1">
      <c r="B24" s="47" t="inlineStr">
        <is>
          <t>November</t>
        </is>
      </c>
      <c r="C24" s="48">
        <f>SUMIFS($I$4:$I$2500,$G$4:$G$2500,$B24)</f>
        <v/>
      </c>
      <c r="D24" s="48">
        <f>SUMIFS($K$4:$K$2500,$G$4:$G$2500,$B24)</f>
        <v/>
      </c>
      <c r="E24" s="22" t="n">
        <v>0.2</v>
      </c>
      <c r="F24" s="46" t="n">
        <v>43983</v>
      </c>
      <c r="G24" s="46">
        <f>MONTH(F24)&amp;"月"</f>
        <v/>
      </c>
      <c r="H24" s="47" t="inlineStr">
        <is>
          <t>XM21</t>
        </is>
      </c>
      <c r="I24" s="49" t="n">
        <v>3</v>
      </c>
      <c r="J24" s="47" t="n">
        <v>1560</v>
      </c>
      <c r="K24" s="47">
        <f>I24*J24</f>
        <v/>
      </c>
    </row>
    <row r="25" ht="22.5" customHeight="1">
      <c r="B25" s="47" t="inlineStr">
        <is>
          <t>December</t>
        </is>
      </c>
      <c r="C25" s="48">
        <f>SUMIFS($I$4:$I$2500,$G$4:$G$2500,$B25)</f>
        <v/>
      </c>
      <c r="D25" s="48">
        <f>SUMIFS($K$4:$K$2500,$G$4:$G$2500,$B25)</f>
        <v/>
      </c>
      <c r="E25" s="22" t="n">
        <v>0.35</v>
      </c>
      <c r="F25" s="46" t="n">
        <v>43983</v>
      </c>
      <c r="G25" s="46">
        <f>MONTH(F25)&amp;"月"</f>
        <v/>
      </c>
      <c r="H25" s="47" t="inlineStr">
        <is>
          <t>XM22</t>
        </is>
      </c>
      <c r="I25" s="49" t="n">
        <v>2</v>
      </c>
      <c r="J25" s="47" t="n">
        <v>2600</v>
      </c>
      <c r="K25" s="47">
        <f>I25*J25</f>
        <v/>
      </c>
    </row>
    <row r="26" ht="9" customHeight="1">
      <c r="F26" s="32" t="n"/>
      <c r="G26" s="32" t="n"/>
    </row>
  </sheetData>
  <mergeCells count="2">
    <mergeCell ref="B3:E3"/>
    <mergeCell ref="B1:L1"/>
  </mergeCells>
  <printOptions verticalCentered="1"/>
  <pageMargins left="0.708333333333333" right="0.708333333333333" top="0" bottom="0" header="0.314583333333333" footer="0.314583333333333"/>
  <pageSetup orientation="landscape" paperSize="9" fitToHeight="1" fitToWidth="1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2011-09-29T06:37:00Z</dcterms:created>
  <dcterms:modified xsi:type="dcterms:W3CDTF">2025-07-08T11:38:10Z</dcterms:modified>
  <cp:lastModifiedBy>清律</cp:lastModifiedBy>
  <cp:lastPrinted>2018-04-03T08:37:00Z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3B2C8CC4882D4B47BC31EB5564E7D1F3_11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v1.0_mb_IlzBnNb5mZNZCZ9fLU9GzQ==</vt:lpwstr>
  </property>
</Properties>
</file>