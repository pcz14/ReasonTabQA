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1" sheetId="1" state="visible" r:id="rId1"/>
  </sheets>
  <externalReferences>
    <externalReference r:id="rId2"/>
    <externalReference r:id="rId3"/>
  </externalReferences>
  <definedNames>
    <definedName name="外购入库序时簿">'[2]外购入库序时簿'!$C$1:$W$675</definedName>
    <definedName name="委外加工入库序时簿">'[2]委外加工入库序时簿'!$B$1:$S$206</definedName>
    <definedName name="委外加工出库单序时簿">'[1]委外加工出库单序时簿'!$A$1:$S$507</definedName>
    <definedName name="_xlnm.Print_Area" localSheetId="0">'1'!$B$1:$R$18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 "/>
    <numFmt numFmtId="165" formatCode="General&quot;月&quot;"/>
    <numFmt numFmtId="166" formatCode="0.0%"/>
  </numFmts>
  <fonts count="23">
    <font>
      <name val="宋体"/>
      <family val="2"/>
      <color theme="1"/>
      <sz val="11"/>
      <scheme val="minor"/>
    </font>
    <font>
      <name val="Arial"/>
      <family val="2"/>
      <sz val="10"/>
    </font>
    <font>
      <name val="汉仪润圆-65简"/>
      <family val="2"/>
      <sz val="15"/>
    </font>
    <font>
      <name val="汉仪润圆-65简"/>
      <family val="2"/>
      <sz val="28"/>
    </font>
    <font>
      <name val="汉仪润圆-65简"/>
      <family val="2"/>
      <color theme="0"/>
      <sz val="15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2E908A"/>
        <bgColor indexed="64"/>
      </patternFill>
    </fill>
    <fill>
      <patternFill patternType="solid">
        <fgColor theme="0" tint="-0.04998999834060669"/>
        <bgColor indexed="64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2E928A"/>
      </left>
      <right style="thin">
        <color theme="0"/>
      </right>
      <top style="thin">
        <color rgb="FF2E928A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2E928A"/>
      </top>
      <bottom style="thin">
        <color theme="0"/>
      </bottom>
    </border>
    <border>
      <left style="thin">
        <color rgb="FF2E928A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rgb="FF2E928A"/>
      </left>
      <right/>
      <top style="thin">
        <color rgb="FF2E928A"/>
      </top>
      <bottom/>
    </border>
    <border>
      <left/>
      <right style="thin">
        <color rgb="FF2E928A"/>
      </right>
      <top style="thin">
        <color rgb="FF2E928A"/>
      </top>
      <bottom/>
    </border>
    <border>
      <left style="thin">
        <color rgb="FF2E928A"/>
      </left>
      <right/>
      <top/>
      <bottom/>
    </border>
    <border>
      <left/>
      <right style="thin">
        <color rgb="FF2E928A"/>
      </right>
      <top/>
      <bottom/>
    </border>
    <border>
      <left style="thin">
        <color rgb="FF2E928A"/>
      </left>
      <right/>
      <top/>
      <bottom style="thin">
        <color rgb="FF2E928A"/>
      </bottom>
    </border>
    <border>
      <left style="thin">
        <color theme="9" tint="0.4000000059604645"/>
      </left>
      <right style="thin">
        <color theme="9" tint="0.4000000059604645"/>
      </right>
      <top/>
      <bottom style="thin">
        <color theme="9" tint="0.4000000059604645"/>
      </bottom>
    </border>
    <border>
      <left style="thin">
        <color theme="9" tint="0.4000000059604645"/>
      </left>
      <right/>
      <top/>
      <bottom style="thin">
        <color theme="9" tint="0.4000000059604645"/>
      </bottom>
    </border>
    <border>
      <left/>
      <right style="thin">
        <color theme="9" tint="0.4000000059604645"/>
      </right>
      <top/>
      <bottom style="thin">
        <color theme="9" tint="0.4000000059604645"/>
      </bottom>
    </border>
    <border>
      <left style="thin">
        <color theme="0"/>
      </left>
      <right style="thin">
        <color rgb="FF2E928A"/>
      </right>
      <top style="thin">
        <color rgb="FF2E928A"/>
      </top>
      <bottom style="thin">
        <color theme="0"/>
      </bottom>
    </border>
    <border>
      <left style="thin">
        <color theme="0"/>
      </left>
      <right style="thin">
        <color rgb="FF2E928A"/>
      </right>
      <top style="thin">
        <color theme="0"/>
      </top>
      <bottom/>
    </border>
    <border>
      <left/>
      <right/>
      <top style="thin">
        <color rgb="FF2E928A"/>
      </top>
      <bottom/>
    </border>
    <border>
      <left/>
      <right/>
      <top style="thin">
        <color rgb="FF2E928A"/>
      </top>
      <bottom/>
      <diagonal/>
    </border>
    <border>
      <left/>
      <right style="thin">
        <color theme="0"/>
      </right>
      <top style="thin">
        <color rgb="FF2E928A"/>
      </top>
      <bottom/>
      <diagonal/>
    </border>
    <border>
      <left/>
      <right style="thin">
        <color theme="0"/>
      </right>
      <top style="thin">
        <color rgb="FF2E928A"/>
      </top>
      <bottom style="thin">
        <color theme="0"/>
      </bottom>
      <diagonal/>
    </border>
    <border>
      <left/>
      <right style="thin">
        <color theme="9" tint="0.4000000059604645"/>
      </right>
      <top/>
      <bottom/>
      <diagonal/>
    </border>
    <border>
      <left/>
      <right style="thin">
        <color theme="9" tint="0.4000000059604645"/>
      </right>
      <top/>
      <bottom style="thin">
        <color theme="9" tint="0.4000000059604645"/>
      </bottom>
      <diagonal/>
    </border>
    <border>
      <left style="thin">
        <color rgb="FF2E928A"/>
      </left>
      <right/>
      <top/>
      <bottom/>
      <diagonal/>
    </border>
    <border>
      <left style="thin">
        <color rgb="FF2E928A"/>
      </left>
      <right style="thin">
        <color theme="0"/>
      </right>
      <top/>
      <bottom/>
      <diagonal/>
    </border>
    <border>
      <left style="thin">
        <color rgb="FF2E928A"/>
      </left>
      <right style="thin">
        <color theme="0"/>
      </right>
      <top/>
      <bottom style="thin">
        <color theme="0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/>
    <xf numFmtId="0" fontId="6" fillId="0" borderId="0"/>
    <xf numFmtId="0" fontId="0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0" fillId="10" borderId="0"/>
    <xf numFmtId="0" fontId="0" fillId="11" borderId="0"/>
    <xf numFmtId="0" fontId="22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5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4" fillId="33" borderId="9" applyAlignment="1" pivotButton="0" quotePrefix="0" xfId="0">
      <alignment horizontal="center" vertical="center"/>
    </xf>
    <xf numFmtId="0" fontId="4" fillId="33" borderId="10" applyAlignment="1" pivotButton="0" quotePrefix="0" xfId="0">
      <alignment horizontal="center" vertical="center"/>
    </xf>
    <xf numFmtId="0" fontId="4" fillId="33" borderId="11" applyAlignment="1" pivotButton="0" quotePrefix="0" xfId="0">
      <alignment horizontal="center" vertical="center"/>
    </xf>
    <xf numFmtId="0" fontId="4" fillId="33" borderId="12" applyAlignment="1" pivotButton="0" quotePrefix="0" xfId="0">
      <alignment horizontal="center" vertical="center"/>
    </xf>
    <xf numFmtId="165" fontId="2" fillId="34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165" fontId="2" fillId="34" borderId="15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166" fontId="2" fillId="0" borderId="16" applyAlignment="1" pivotButton="0" quotePrefix="0" xfId="0">
      <alignment horizontal="center" vertical="center"/>
    </xf>
    <xf numFmtId="165" fontId="2" fillId="34" borderId="17" applyAlignment="1" pivotButton="0" quotePrefix="0" xfId="0">
      <alignment horizontal="center" vertical="center"/>
    </xf>
    <xf numFmtId="0" fontId="4" fillId="33" borderId="18" applyAlignment="1" pivotButton="0" quotePrefix="0" xfId="0">
      <alignment horizontal="center" vertical="center"/>
    </xf>
    <xf numFmtId="0" fontId="4" fillId="33" borderId="19" applyAlignment="1" pivotButton="0" quotePrefix="0" xfId="0">
      <alignment horizontal="center" vertical="center"/>
    </xf>
    <xf numFmtId="0" fontId="4" fillId="33" borderId="20" applyAlignment="1" pivotButton="0" quotePrefix="0" xfId="0">
      <alignment horizontal="center" vertical="center"/>
    </xf>
    <xf numFmtId="164" fontId="4" fillId="33" borderId="19" applyAlignment="1" pivotButton="0" quotePrefix="0" xfId="0">
      <alignment horizontal="center" vertical="center"/>
    </xf>
    <xf numFmtId="164" fontId="4" fillId="33" borderId="20" applyAlignment="1" pivotButton="0" quotePrefix="0" xfId="0">
      <alignment horizontal="center" vertical="center"/>
    </xf>
    <xf numFmtId="0" fontId="4" fillId="33" borderId="21" applyAlignment="1" pivotButton="0" quotePrefix="0" xfId="0">
      <alignment horizontal="center" vertical="center"/>
    </xf>
    <xf numFmtId="0" fontId="4" fillId="33" borderId="22" applyAlignment="1" pivotButton="0" quotePrefix="0" xfId="0">
      <alignment horizontal="center" vertical="center"/>
    </xf>
    <xf numFmtId="164" fontId="2" fillId="0" borderId="23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68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31" pivotButton="0" quotePrefix="0" xfId="0"/>
    <xf numFmtId="165" fontId="2" fillId="34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164" fontId="2" fillId="0" borderId="23" applyAlignment="1" pivotButton="0" quotePrefix="0" xfId="0">
      <alignment horizontal="center" vertical="center"/>
    </xf>
    <xf numFmtId="165" fontId="2" fillId="34" borderId="15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166" fontId="2" fillId="0" borderId="16" applyAlignment="1" pivotButton="0" quotePrefix="0" xfId="0">
      <alignment horizontal="center" vertical="center"/>
    </xf>
    <xf numFmtId="165" fontId="2" fillId="34" borderId="17" applyAlignment="1" pivotButton="0" quotePrefix="0" xfId="0">
      <alignment horizontal="center" vertical="center"/>
    </xf>
    <xf numFmtId="0" fontId="0" fillId="0" borderId="28" pivotButton="0" quotePrefix="0" xfId="0"/>
    <xf numFmtId="164" fontId="4" fillId="33" borderId="18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\\www\&#24212;&#20184;\NBC\2020&#24180;&#24212;&#20184;\202012\&#24212;&#20184;&#26126;&#32454;1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\\www\anencw$\&#36130;&#21153;&#25253;&#34920;\&#24212;&#20184;&#36134;&#27454;\2021\2021&#24180;&#24212;&#20184;&#26126;&#32454;01-09%20-%20&#26368;&#26032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外购入库序时簿"/>
      <sheetName val="委外加工入库序时簿"/>
      <sheetName val="委外加工出库单序时簿"/>
      <sheetName val="委外结存数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采购分析-供应商"/>
      <sheetName val="采购分析-物料汇总"/>
      <sheetName val="加工费-供应商分析"/>
      <sheetName val="加工费-产品分析"/>
      <sheetName val="委外加工入库序时簿"/>
      <sheetName val="采购入库物料"/>
      <sheetName val="外购入库序时簿"/>
      <sheetName val="委外加工出库单序时簿"/>
      <sheetName val="委外结存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topLeftCell="A1" workbookViewId="0">
      <selection activeCell="T10" sqref="T10"/>
    </sheetView>
  </sheetViews>
  <sheetFormatPr baseColWidth="8" defaultColWidth="17.00390625" defaultRowHeight="25.5" customHeight="1"/>
  <cols>
    <col width="1.4921875" customWidth="1" style="2" min="1" max="1"/>
    <col width="8.625" customWidth="1" style="2" min="2" max="2"/>
    <col width="10.625" customWidth="1" style="2" min="3" max="18"/>
    <col width="17.00390625" customWidth="1" style="2" min="19" max="16367"/>
    <col width="17.00390625" customWidth="1" style="2" min="16368" max="16384"/>
  </cols>
  <sheetData>
    <row r="1" ht="12" customHeight="1" s="27"/>
    <row r="2" ht="33" customFormat="1" customHeight="1" s="2">
      <c r="A2" s="2" t="n"/>
      <c r="B2" s="28" t="inlineStr">
        <is>
          <t>Annual Business Analysis Table</t>
        </is>
      </c>
    </row>
    <row r="3" ht="12" customFormat="1" customHeight="1" s="2">
      <c r="A3" s="2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</row>
    <row r="4" ht="30.75" customHeight="1" s="27">
      <c r="B4" s="5" t="inlineStr">
        <is>
          <t>20XX</t>
        </is>
      </c>
      <c r="C4" s="6" t="inlineStr">
        <is>
          <t>Yearly</t>
        </is>
      </c>
      <c r="D4" s="30" t="n"/>
      <c r="E4" s="6" t="inlineStr">
        <is>
          <t>Sales Statistics</t>
        </is>
      </c>
      <c r="F4" s="30" t="n"/>
      <c r="G4" s="6" t="inlineStr">
        <is>
          <t>Procurement Statistics</t>
        </is>
      </c>
      <c r="H4" s="30" t="n"/>
      <c r="I4" s="6" t="inlineStr">
        <is>
          <t>Labor Statistics</t>
        </is>
      </c>
      <c r="J4" s="30" t="n"/>
      <c r="K4" s="6" t="inlineStr">
        <is>
          <t>Operating expenses</t>
        </is>
      </c>
      <c r="L4" s="30" t="n"/>
      <c r="M4" s="6" t="inlineStr">
        <is>
          <t>Management expenses</t>
        </is>
      </c>
      <c r="N4" s="30" t="n"/>
      <c r="O4" s="6" t="inlineStr">
        <is>
          <t>Taxes</t>
        </is>
      </c>
      <c r="P4" s="30" t="n"/>
      <c r="Q4" s="6" t="inlineStr">
        <is>
          <t>Profit Statistics</t>
        </is>
      </c>
      <c r="R4" s="30" t="n"/>
    </row>
    <row r="5" ht="30.75" customHeight="1" s="27">
      <c r="B5" s="31" t="n"/>
      <c r="C5" s="8" t="inlineStr">
        <is>
          <t>Amount</t>
        </is>
      </c>
      <c r="D5" s="8" t="inlineStr">
        <is>
          <t>proportion</t>
        </is>
      </c>
      <c r="E5" s="8" t="inlineStr">
        <is>
          <t>Amount</t>
        </is>
      </c>
      <c r="F5" s="8" t="inlineStr">
        <is>
          <t>proportion</t>
        </is>
      </c>
      <c r="G5" s="8" t="inlineStr">
        <is>
          <t>Amount</t>
        </is>
      </c>
      <c r="H5" s="8" t="inlineStr">
        <is>
          <t>proportion</t>
        </is>
      </c>
      <c r="I5" s="8" t="inlineStr">
        <is>
          <t>Amount</t>
        </is>
      </c>
      <c r="J5" s="8" t="inlineStr">
        <is>
          <t>proportion</t>
        </is>
      </c>
      <c r="K5" s="8" t="inlineStr">
        <is>
          <t>Amount</t>
        </is>
      </c>
      <c r="L5" s="8" t="inlineStr">
        <is>
          <t>proportion</t>
        </is>
      </c>
      <c r="M5" s="8" t="inlineStr">
        <is>
          <t>Amount</t>
        </is>
      </c>
      <c r="N5" s="8" t="inlineStr">
        <is>
          <t>proportion</t>
        </is>
      </c>
      <c r="O5" s="8" t="inlineStr">
        <is>
          <t>Amount</t>
        </is>
      </c>
      <c r="P5" s="8" t="inlineStr">
        <is>
          <t>proportion</t>
        </is>
      </c>
      <c r="Q5" s="8" t="inlineStr">
        <is>
          <t>Amount</t>
        </is>
      </c>
      <c r="R5" s="22" t="inlineStr">
        <is>
          <t>proportion</t>
        </is>
      </c>
    </row>
    <row r="6" ht="30.75" customHeight="1" s="27">
      <c r="B6" s="32" t="n">
        <v>1</v>
      </c>
      <c r="C6" s="33">
        <f>SUMIF($E$5:$XFD$5,$C$5,E6:XFD6)</f>
        <v/>
      </c>
      <c r="D6" s="34">
        <f>C6/$C$18</f>
        <v/>
      </c>
      <c r="E6" s="33" t="n">
        <v>200</v>
      </c>
      <c r="F6" s="34">
        <f>E6/$E$18</f>
        <v/>
      </c>
      <c r="G6" s="33" t="n">
        <v>55</v>
      </c>
      <c r="H6" s="34">
        <f>G6/$G$18</f>
        <v/>
      </c>
      <c r="I6" s="33" t="n">
        <v>33</v>
      </c>
      <c r="J6" s="34">
        <f>I6/$I$18</f>
        <v/>
      </c>
      <c r="K6" s="33" t="n">
        <v>11</v>
      </c>
      <c r="L6" s="34">
        <f>K6/$K$18</f>
        <v/>
      </c>
      <c r="M6" s="33" t="n">
        <v>68</v>
      </c>
      <c r="N6" s="34">
        <f>M6/$M$18</f>
        <v/>
      </c>
      <c r="O6" s="33" t="n">
        <v>21</v>
      </c>
      <c r="P6" s="34">
        <f>O6/$O$18</f>
        <v/>
      </c>
      <c r="Q6" s="35">
        <f>E6-G6-I6-K6-M6-O6</f>
        <v/>
      </c>
      <c r="R6" s="34">
        <f>Q6/$Q$18</f>
        <v/>
      </c>
    </row>
    <row r="7" ht="30.75" customHeight="1" s="27">
      <c r="B7" s="36">
        <f>B6+1</f>
        <v/>
      </c>
      <c r="C7" s="37">
        <f>SUMIF($E$5:$XFD$5,$C$5,E7:XFD7)</f>
        <v/>
      </c>
      <c r="D7" s="38">
        <f>C7/$C$18</f>
        <v/>
      </c>
      <c r="E7" s="37" t="n">
        <v>300</v>
      </c>
      <c r="F7" s="38">
        <f>E7/$E$18</f>
        <v/>
      </c>
      <c r="G7" s="37" t="n">
        <v>66</v>
      </c>
      <c r="H7" s="38">
        <f>G7/$G$18</f>
        <v/>
      </c>
      <c r="I7" s="37" t="n">
        <v>44</v>
      </c>
      <c r="J7" s="38">
        <f>I7/$I$18</f>
        <v/>
      </c>
      <c r="K7" s="37" t="n">
        <v>22</v>
      </c>
      <c r="L7" s="38">
        <f>K7/$K$18</f>
        <v/>
      </c>
      <c r="M7" s="37" t="n">
        <v>99</v>
      </c>
      <c r="N7" s="38">
        <f>M7/$M$18</f>
        <v/>
      </c>
      <c r="O7" s="37" t="n">
        <v>31</v>
      </c>
      <c r="P7" s="38">
        <f>O7/$O$18</f>
        <v/>
      </c>
      <c r="Q7" s="29">
        <f>E7-G7-I7-K7-M7-O7</f>
        <v/>
      </c>
      <c r="R7" s="38">
        <f>Q7/$Q$18</f>
        <v/>
      </c>
    </row>
    <row r="8" ht="30.75" customHeight="1" s="27">
      <c r="B8" s="36">
        <f>B7+1</f>
        <v/>
      </c>
      <c r="C8" s="37">
        <f>SUMIF($E$5:$XFD$5,$C$5,E8:XFD8)</f>
        <v/>
      </c>
      <c r="D8" s="38">
        <f>C8/$C$18</f>
        <v/>
      </c>
      <c r="E8" s="37" t="n">
        <v>400</v>
      </c>
      <c r="F8" s="38">
        <f>E8/$E$18</f>
        <v/>
      </c>
      <c r="G8" s="37" t="n">
        <v>77</v>
      </c>
      <c r="H8" s="38">
        <f>G8/$G$18</f>
        <v/>
      </c>
      <c r="I8" s="37" t="n">
        <v>55</v>
      </c>
      <c r="J8" s="38">
        <f>I8/$I$18</f>
        <v/>
      </c>
      <c r="K8" s="37" t="n">
        <v>33</v>
      </c>
      <c r="L8" s="38">
        <f>K8/$K$18</f>
        <v/>
      </c>
      <c r="M8" s="37" t="n">
        <v>10</v>
      </c>
      <c r="N8" s="38">
        <f>M8/$M$18</f>
        <v/>
      </c>
      <c r="O8" s="37" t="n">
        <v>41</v>
      </c>
      <c r="P8" s="38">
        <f>O8/$O$18</f>
        <v/>
      </c>
      <c r="Q8" s="29">
        <f>E8-G8-I8-K8-M8-O8</f>
        <v/>
      </c>
      <c r="R8" s="38">
        <f>Q8/$Q$18</f>
        <v/>
      </c>
    </row>
    <row r="9" ht="30.75" customHeight="1" s="27">
      <c r="B9" s="36">
        <f>B8+1</f>
        <v/>
      </c>
      <c r="C9" s="37">
        <f>SUMIF($E$5:$XFD$5,$C$5,E9:XFD9)</f>
        <v/>
      </c>
      <c r="D9" s="38">
        <f>C9/$C$18</f>
        <v/>
      </c>
      <c r="E9" s="37" t="n">
        <v>500</v>
      </c>
      <c r="F9" s="38">
        <f>E9/$E$18</f>
        <v/>
      </c>
      <c r="G9" s="37" t="n">
        <v>88</v>
      </c>
      <c r="H9" s="38">
        <f>G9/$G$18</f>
        <v/>
      </c>
      <c r="I9" s="37" t="n">
        <v>66</v>
      </c>
      <c r="J9" s="38">
        <f>I9/$I$18</f>
        <v/>
      </c>
      <c r="K9" s="37" t="n">
        <v>44</v>
      </c>
      <c r="L9" s="38">
        <f>K9/$K$18</f>
        <v/>
      </c>
      <c r="M9" s="37" t="n">
        <v>11</v>
      </c>
      <c r="N9" s="38">
        <f>M9/$M$18</f>
        <v/>
      </c>
      <c r="O9" s="37" t="n">
        <v>51</v>
      </c>
      <c r="P9" s="38">
        <f>O9/$O$18</f>
        <v/>
      </c>
      <c r="Q9" s="29">
        <f>E9-G9-I9-K9-M9-O9</f>
        <v/>
      </c>
      <c r="R9" s="38">
        <f>Q9/$Q$18</f>
        <v/>
      </c>
    </row>
    <row r="10" ht="30.75" customHeight="1" s="27">
      <c r="B10" s="36">
        <f>B9+1</f>
        <v/>
      </c>
      <c r="C10" s="37">
        <f>SUMIF($E$5:$XFD$5,$C$5,E10:XFD10)</f>
        <v/>
      </c>
      <c r="D10" s="38">
        <f>C10/$C$18</f>
        <v/>
      </c>
      <c r="E10" s="37" t="n">
        <v>600</v>
      </c>
      <c r="F10" s="38">
        <f>E10/$E$18</f>
        <v/>
      </c>
      <c r="G10" s="37" t="n">
        <v>99</v>
      </c>
      <c r="H10" s="38">
        <f>G10/$G$18</f>
        <v/>
      </c>
      <c r="I10" s="37" t="n">
        <v>77</v>
      </c>
      <c r="J10" s="38">
        <f>I10/$I$18</f>
        <v/>
      </c>
      <c r="K10" s="37" t="n">
        <v>55</v>
      </c>
      <c r="L10" s="38">
        <f>K10/$K$18</f>
        <v/>
      </c>
      <c r="M10" s="37" t="n">
        <v>13</v>
      </c>
      <c r="N10" s="38">
        <f>M10/$M$18</f>
        <v/>
      </c>
      <c r="O10" s="37" t="n">
        <v>61</v>
      </c>
      <c r="P10" s="38">
        <f>O10/$O$18</f>
        <v/>
      </c>
      <c r="Q10" s="29">
        <f>E10-G10-I10-K10-M10-O10</f>
        <v/>
      </c>
      <c r="R10" s="38">
        <f>Q10/$Q$18</f>
        <v/>
      </c>
    </row>
    <row r="11" ht="30.75" customHeight="1" s="27">
      <c r="B11" s="36">
        <f>B10+1</f>
        <v/>
      </c>
      <c r="C11" s="37">
        <f>SUMIF($E$5:$XFD$5,$C$5,E11:XFD11)</f>
        <v/>
      </c>
      <c r="D11" s="38">
        <f>C11/$C$18</f>
        <v/>
      </c>
      <c r="E11" s="37" t="n">
        <v>700</v>
      </c>
      <c r="F11" s="38">
        <f>E11/$E$18</f>
        <v/>
      </c>
      <c r="G11" s="37" t="n">
        <v>110</v>
      </c>
      <c r="H11" s="38">
        <f>G11/$G$18</f>
        <v/>
      </c>
      <c r="I11" s="37" t="n">
        <v>88</v>
      </c>
      <c r="J11" s="38">
        <f>I11/$I$18</f>
        <v/>
      </c>
      <c r="K11" s="37" t="n">
        <v>66</v>
      </c>
      <c r="L11" s="38">
        <f>K11/$K$18</f>
        <v/>
      </c>
      <c r="M11" s="37" t="n">
        <v>14</v>
      </c>
      <c r="N11" s="38">
        <f>M11/$M$18</f>
        <v/>
      </c>
      <c r="O11" s="37" t="n">
        <v>71</v>
      </c>
      <c r="P11" s="38">
        <f>O11/$O$18</f>
        <v/>
      </c>
      <c r="Q11" s="29">
        <f>E11-G11-I11-K11-M11-O11</f>
        <v/>
      </c>
      <c r="R11" s="38">
        <f>Q11/$Q$18</f>
        <v/>
      </c>
    </row>
    <row r="12" ht="30.75" customHeight="1" s="27">
      <c r="B12" s="36">
        <f>B11+1</f>
        <v/>
      </c>
      <c r="C12" s="37">
        <f>SUMIF($E$5:$XFD$5,$C$5,E12:XFD12)</f>
        <v/>
      </c>
      <c r="D12" s="38">
        <f>C12/$C$18</f>
        <v/>
      </c>
      <c r="E12" s="37" t="n">
        <v>500</v>
      </c>
      <c r="F12" s="38">
        <f>E12/$E$18</f>
        <v/>
      </c>
      <c r="G12" s="37" t="n">
        <v>120</v>
      </c>
      <c r="H12" s="38">
        <f>G12/$G$18</f>
        <v/>
      </c>
      <c r="I12" s="37" t="n">
        <v>99</v>
      </c>
      <c r="J12" s="38">
        <f>I12/$I$18</f>
        <v/>
      </c>
      <c r="K12" s="37" t="n">
        <v>77</v>
      </c>
      <c r="L12" s="38">
        <f>K12/$K$18</f>
        <v/>
      </c>
      <c r="M12" s="37" t="n">
        <v>15</v>
      </c>
      <c r="N12" s="38">
        <f>M12/$M$18</f>
        <v/>
      </c>
      <c r="O12" s="37" t="n">
        <v>81</v>
      </c>
      <c r="P12" s="38">
        <f>O12/$O$18</f>
        <v/>
      </c>
      <c r="Q12" s="29">
        <f>E12-G12-I12-K12-M12-O12</f>
        <v/>
      </c>
      <c r="R12" s="38">
        <f>Q12/$Q$18</f>
        <v/>
      </c>
    </row>
    <row r="13" ht="30.75" customHeight="1" s="27">
      <c r="B13" s="36">
        <f>B12+1</f>
        <v/>
      </c>
      <c r="C13" s="33">
        <f>SUMIF($E$5:$XFD$5,$C$5,E13:XFD13)</f>
        <v/>
      </c>
      <c r="D13" s="34">
        <f>C13/$C$18</f>
        <v/>
      </c>
      <c r="E13" s="33" t="n">
        <v>200</v>
      </c>
      <c r="F13" s="34">
        <f>E13/$E$18</f>
        <v/>
      </c>
      <c r="G13" s="33" t="n">
        <v>55</v>
      </c>
      <c r="H13" s="34">
        <f>G13/$G$18</f>
        <v/>
      </c>
      <c r="I13" s="33" t="n">
        <v>33</v>
      </c>
      <c r="J13" s="34">
        <f>I13/$I$18</f>
        <v/>
      </c>
      <c r="K13" s="33" t="n">
        <v>11</v>
      </c>
      <c r="L13" s="34">
        <f>K13/$K$18</f>
        <v/>
      </c>
      <c r="M13" s="33" t="n">
        <v>68</v>
      </c>
      <c r="N13" s="34">
        <f>M13/$M$18</f>
        <v/>
      </c>
      <c r="O13" s="33" t="n">
        <v>21</v>
      </c>
      <c r="P13" s="34">
        <f>O13/$O$18</f>
        <v/>
      </c>
      <c r="Q13" s="35">
        <f>E13-G13-I13-K13-M13-O13</f>
        <v/>
      </c>
      <c r="R13" s="34">
        <f>Q13/$Q$18</f>
        <v/>
      </c>
    </row>
    <row r="14" ht="30.75" customHeight="1" s="27">
      <c r="B14" s="36">
        <f>B13+1</f>
        <v/>
      </c>
      <c r="C14" s="37">
        <f>SUMIF($E$5:$XFD$5,$C$5,E14:XFD14)</f>
        <v/>
      </c>
      <c r="D14" s="38">
        <f>C14/$C$18</f>
        <v/>
      </c>
      <c r="E14" s="37" t="n">
        <v>300</v>
      </c>
      <c r="F14" s="38">
        <f>E14/$E$18</f>
        <v/>
      </c>
      <c r="G14" s="37" t="n">
        <v>66</v>
      </c>
      <c r="H14" s="38">
        <f>G14/$G$18</f>
        <v/>
      </c>
      <c r="I14" s="37" t="n">
        <v>44</v>
      </c>
      <c r="J14" s="38">
        <f>I14/$I$18</f>
        <v/>
      </c>
      <c r="K14" s="37" t="n">
        <v>22</v>
      </c>
      <c r="L14" s="38">
        <f>K14/$K$18</f>
        <v/>
      </c>
      <c r="M14" s="37" t="n">
        <v>99</v>
      </c>
      <c r="N14" s="38">
        <f>M14/$M$18</f>
        <v/>
      </c>
      <c r="O14" s="37" t="n">
        <v>31</v>
      </c>
      <c r="P14" s="38">
        <f>O14/$O$18</f>
        <v/>
      </c>
      <c r="Q14" s="29">
        <f>E14-G14-I14-K14-M14-O14</f>
        <v/>
      </c>
      <c r="R14" s="38">
        <f>Q14/$Q$18</f>
        <v/>
      </c>
    </row>
    <row r="15" ht="30.75" customHeight="1" s="27">
      <c r="B15" s="36">
        <f>B14+1</f>
        <v/>
      </c>
      <c r="C15" s="37">
        <f>SUMIF($E$5:$XFD$5,$C$5,E15:XFD15)</f>
        <v/>
      </c>
      <c r="D15" s="38">
        <f>C15/$C$18</f>
        <v/>
      </c>
      <c r="E15" s="37" t="n">
        <v>400</v>
      </c>
      <c r="F15" s="38">
        <f>E15/$E$18</f>
        <v/>
      </c>
      <c r="G15" s="37" t="n">
        <v>77</v>
      </c>
      <c r="H15" s="38">
        <f>G15/$G$18</f>
        <v/>
      </c>
      <c r="I15" s="37" t="n">
        <v>55</v>
      </c>
      <c r="J15" s="38">
        <f>I15/$I$18</f>
        <v/>
      </c>
      <c r="K15" s="37" t="n">
        <v>33</v>
      </c>
      <c r="L15" s="38">
        <f>K15/$K$18</f>
        <v/>
      </c>
      <c r="M15" s="37" t="n">
        <v>10</v>
      </c>
      <c r="N15" s="38">
        <f>M15/$M$18</f>
        <v/>
      </c>
      <c r="O15" s="37" t="n">
        <v>41</v>
      </c>
      <c r="P15" s="38">
        <f>O15/$O$18</f>
        <v/>
      </c>
      <c r="Q15" s="29">
        <f>E15-G15-I15-K15-M15-O15</f>
        <v/>
      </c>
      <c r="R15" s="38">
        <f>Q15/$Q$18</f>
        <v/>
      </c>
    </row>
    <row r="16" ht="30.75" customHeight="1" s="27">
      <c r="B16" s="36">
        <f>B15+1</f>
        <v/>
      </c>
      <c r="C16" s="37">
        <f>SUMIF($E$5:$XFD$5,$C$5,E16:XFD16)</f>
        <v/>
      </c>
      <c r="D16" s="38">
        <f>C16/$C$18</f>
        <v/>
      </c>
      <c r="E16" s="37" t="n">
        <v>500</v>
      </c>
      <c r="F16" s="38">
        <f>E16/$E$18</f>
        <v/>
      </c>
      <c r="G16" s="37" t="n">
        <v>88</v>
      </c>
      <c r="H16" s="38">
        <f>G16/$G$18</f>
        <v/>
      </c>
      <c r="I16" s="37" t="n">
        <v>66</v>
      </c>
      <c r="J16" s="38">
        <f>I16/$I$18</f>
        <v/>
      </c>
      <c r="K16" s="37" t="n">
        <v>44</v>
      </c>
      <c r="L16" s="38">
        <f>K16/$K$18</f>
        <v/>
      </c>
      <c r="M16" s="37" t="n">
        <v>11</v>
      </c>
      <c r="N16" s="38">
        <f>M16/$M$18</f>
        <v/>
      </c>
      <c r="O16" s="37" t="n">
        <v>51</v>
      </c>
      <c r="P16" s="38">
        <f>O16/$O$18</f>
        <v/>
      </c>
      <c r="Q16" s="29">
        <f>E16-G16-I16-K16-M16-O16</f>
        <v/>
      </c>
      <c r="R16" s="38">
        <f>Q16/$Q$18</f>
        <v/>
      </c>
    </row>
    <row r="17" ht="30.75" customHeight="1" s="27">
      <c r="B17" s="39">
        <f>B16+1</f>
        <v/>
      </c>
      <c r="C17" s="37">
        <f>SUMIF($E$5:$XFD$5,$C$5,E17:XFD17)</f>
        <v/>
      </c>
      <c r="D17" s="38">
        <f>C17/$C$18</f>
        <v/>
      </c>
      <c r="E17" s="37" t="n">
        <v>500</v>
      </c>
      <c r="F17" s="38">
        <f>E17/$E$18</f>
        <v/>
      </c>
      <c r="G17" s="37" t="n">
        <v>120</v>
      </c>
      <c r="H17" s="38">
        <f>G17/$G$18</f>
        <v/>
      </c>
      <c r="I17" s="37" t="n">
        <v>99</v>
      </c>
      <c r="J17" s="38">
        <f>I17/$I$18</f>
        <v/>
      </c>
      <c r="K17" s="37" t="n">
        <v>77</v>
      </c>
      <c r="L17" s="38">
        <f>K17/$K$18</f>
        <v/>
      </c>
      <c r="M17" s="37" t="n">
        <v>15</v>
      </c>
      <c r="N17" s="38">
        <f>M17/$M$18</f>
        <v/>
      </c>
      <c r="O17" s="37" t="n">
        <v>81</v>
      </c>
      <c r="P17" s="38">
        <f>O17/$O$18</f>
        <v/>
      </c>
      <c r="Q17" s="29">
        <f>E17-G17-I17-K17-M17-O17</f>
        <v/>
      </c>
      <c r="R17" s="38">
        <f>Q17/$Q$18</f>
        <v/>
      </c>
    </row>
    <row r="18" ht="30.75" customHeight="1" s="27">
      <c r="B18" s="16" t="inlineStr">
        <is>
          <t>Total</t>
        </is>
      </c>
      <c r="C18" s="16">
        <f>SUM(C6:C17)</f>
        <v/>
      </c>
      <c r="D18" s="40" t="n"/>
      <c r="E18" s="41">
        <f>SUM(E6:E17)</f>
        <v/>
      </c>
      <c r="F18" s="40" t="n"/>
      <c r="G18" s="41">
        <f>SUM(G6:G17)</f>
        <v/>
      </c>
      <c r="H18" s="40" t="n"/>
      <c r="I18" s="41">
        <f>SUM(I6:I17)</f>
        <v/>
      </c>
      <c r="J18" s="40" t="n"/>
      <c r="K18" s="41">
        <f>SUM(K6:K17)</f>
        <v/>
      </c>
      <c r="L18" s="40" t="n"/>
      <c r="M18" s="41">
        <f>SUM(M6:M17)</f>
        <v/>
      </c>
      <c r="N18" s="40" t="n"/>
      <c r="O18" s="41">
        <f>SUM(O6:O17)</f>
        <v/>
      </c>
      <c r="P18" s="40" t="n"/>
      <c r="Q18" s="41">
        <f>SUM(Q6:Q17)</f>
        <v/>
      </c>
      <c r="R18" s="40" t="n"/>
    </row>
  </sheetData>
  <mergeCells count="18">
    <mergeCell ref="G4:H4"/>
    <mergeCell ref="E4:F4"/>
    <mergeCell ref="I4:J4"/>
    <mergeCell ref="B4:B5"/>
    <mergeCell ref="M4:N4"/>
    <mergeCell ref="O4:P4"/>
    <mergeCell ref="B2:R2"/>
    <mergeCell ref="O18:P18"/>
    <mergeCell ref="M18:N18"/>
    <mergeCell ref="Q18:R18"/>
    <mergeCell ref="C18:D18"/>
    <mergeCell ref="K4:L4"/>
    <mergeCell ref="G18:H18"/>
    <mergeCell ref="E18:F18"/>
    <mergeCell ref="K18:L18"/>
    <mergeCell ref="I18:J18"/>
    <mergeCell ref="Q4:R4"/>
    <mergeCell ref="C4:D4"/>
  </mergeCells>
  <conditionalFormatting sqref="D6:D12 F6:F12 H6:H12 J6:J12 L6:L12 N6:N12 P6:P12 R6:R12">
    <cfRule type="dataBar" priority="3">
      <dataBar minLength="0" maxLength="100">
        <cfvo type="num" val="0"/>
        <cfvo type="num" val="1"/>
        <color theme="7" tint="0.4000000059604645"/>
      </dataBar>
    </cfRule>
  </conditionalFormatting>
  <conditionalFormatting sqref="D13:D16 F13:F16 H13:H16 J13:J16 L13:L16 N13:N16 P13:P16 R13:R16">
    <cfRule type="dataBar" priority="2">
      <dataBar minLength="0" maxLength="100">
        <cfvo type="num" val="0"/>
        <cfvo type="num" val="1"/>
        <color theme="7" tint="0.4000000059604645"/>
      </dataBar>
    </cfRule>
  </conditionalFormatting>
  <conditionalFormatting sqref="D17 F17 H17 J17 L17 N17 P17 R17">
    <cfRule type="dataBar" priority="1">
      <dataBar minLength="0" maxLength="100">
        <cfvo type="num" val="0"/>
        <cfvo type="num" val="1"/>
        <color theme="7" tint="0.4000000059604645"/>
      </dataBar>
    </cfRule>
  </conditionalFormatting>
  <pageMargins left="0.275" right="0" top="0.354166666666667" bottom="0" header="0.5" footer="0.5"/>
  <pageSetup orientation="landscape" paperSize="9" scale="81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nbc-cwb01</dc:creator>
  <dcterms:created xsi:type="dcterms:W3CDTF">2021-09-18T02:11:00Z</dcterms:created>
  <dcterms:modified xsi:type="dcterms:W3CDTF">2025-07-07T17:30:28Z</dcterms:modified>
  <cp:lastModifiedBy>UMBRA~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FBF3BBEDCCDD4E69A29E3507218FD633_11</vt:lpwstr>
  </property>
  <property name="KSOProductBuildVer" fmtid="{D5CDD505-2E9C-101B-9397-08002B2CF9AE}" pid="3">
    <vt:lpwstr>2052-12.1.0.16388</vt:lpwstr>
  </property>
  <property name="KSOTemplateUUID" fmtid="{D5CDD505-2E9C-101B-9397-08002B2CF9AE}" pid="4">
    <vt:lpwstr>v1.0_mb_gFz8k+iLwZG3U4JbV3EmCw==</vt:lpwstr>
  </property>
</Properties>
</file>