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752" windowHeight="11175" tabRatio="600" firstSheet="1" autoFilterDateGrouping="1"/>
  </bookViews>
  <sheets>
    <sheet name="Product_Analysis_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_);[Red]\(0\)"/>
    <numFmt numFmtId="166" formatCode="0.00_);\(0.00\)"/>
  </numFmts>
  <fonts count="25">
    <font>
      <name val="宋体"/>
      <family val="2"/>
      <sz val="12"/>
    </font>
    <font>
      <name val="Arial"/>
      <family val="2"/>
      <sz val="10"/>
    </font>
    <font>
      <name val="宋体"/>
      <family val="2"/>
      <b val="1"/>
      <sz val="12"/>
    </font>
    <font>
      <name val="宋体"/>
      <family val="2"/>
      <b val="1"/>
      <sz val="18"/>
    </font>
    <font>
      <name val="宋体"/>
      <family val="2"/>
      <sz val="11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rgb="FF0000FF"/>
      <sz val="12"/>
      <u val="single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7" tint="0.80000001192092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/>
    <xf numFmtId="0" fontId="7" fillId="0" borderId="0"/>
    <xf numFmtId="0" fontId="5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5" fillId="10" borderId="0"/>
    <xf numFmtId="0" fontId="5" fillId="11" borderId="0"/>
    <xf numFmtId="0" fontId="23" fillId="12" borderId="0"/>
    <xf numFmtId="0" fontId="23" fillId="13" borderId="0"/>
    <xf numFmtId="0" fontId="5" fillId="14" borderId="0"/>
    <xf numFmtId="0" fontId="5" fillId="15" borderId="0"/>
    <xf numFmtId="0" fontId="23" fillId="16" borderId="0"/>
    <xf numFmtId="0" fontId="23" fillId="17" borderId="0"/>
    <xf numFmtId="0" fontId="5" fillId="18" borderId="0"/>
    <xf numFmtId="0" fontId="5" fillId="19" borderId="0"/>
    <xf numFmtId="0" fontId="23" fillId="20" borderId="0"/>
    <xf numFmtId="0" fontId="23" fillId="21" borderId="0"/>
    <xf numFmtId="0" fontId="5" fillId="22" borderId="0"/>
    <xf numFmtId="0" fontId="5" fillId="23" borderId="0"/>
    <xf numFmtId="0" fontId="23" fillId="24" borderId="0"/>
    <xf numFmtId="0" fontId="23" fillId="25" borderId="0"/>
    <xf numFmtId="0" fontId="5" fillId="26" borderId="0"/>
    <xf numFmtId="0" fontId="5" fillId="27" borderId="0"/>
    <xf numFmtId="0" fontId="23" fillId="28" borderId="0"/>
    <xf numFmtId="0" fontId="23" fillId="29" borderId="0"/>
    <xf numFmtId="0" fontId="5" fillId="30" borderId="0"/>
    <xf numFmtId="0" fontId="5" fillId="31" borderId="0"/>
    <xf numFmtId="0" fontId="23" fillId="32" borderId="0"/>
    <xf numFmtId="0" fontId="5" fillId="0" borderId="0" applyAlignment="1">
      <alignment vertical="center"/>
    </xf>
    <xf numFmtId="0" fontId="24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2" fillId="33" borderId="9" applyAlignment="1" pivotButton="0" quotePrefix="0" xfId="0">
      <alignment horizontal="center" vertical="center"/>
    </xf>
    <xf numFmtId="10" fontId="2" fillId="33" borderId="9" applyAlignment="1" pivotButton="0" quotePrefix="0" xfId="0">
      <alignment horizontal="center" vertical="center"/>
    </xf>
    <xf numFmtId="49" fontId="2" fillId="33" borderId="9" applyAlignment="1" pivotButton="0" quotePrefix="0" xfId="0">
      <alignment horizontal="center" vertical="center"/>
    </xf>
    <xf numFmtId="0" fontId="4" fillId="34" borderId="9" applyAlignment="1" pivotButton="0" quotePrefix="0" xfId="0">
      <alignment horizontal="center" vertical="center"/>
    </xf>
    <xf numFmtId="49" fontId="4" fillId="34" borderId="9" applyAlignment="1" pivotButton="0" quotePrefix="0" xfId="0">
      <alignment horizontal="center" vertical="center"/>
    </xf>
    <xf numFmtId="10" fontId="4" fillId="34" borderId="9" applyAlignment="1" pivotButton="0" quotePrefix="0" xfId="0">
      <alignment horizontal="center" vertical="center"/>
    </xf>
    <xf numFmtId="164" fontId="2" fillId="33" borderId="9" applyAlignment="1" pivotButton="0" quotePrefix="0" xfId="0">
      <alignment horizontal="center" vertical="center"/>
    </xf>
    <xf numFmtId="165" fontId="2" fillId="33" borderId="9" applyAlignment="1" pivotButton="0" quotePrefix="0" xfId="0">
      <alignment horizontal="center" vertical="center"/>
    </xf>
    <xf numFmtId="164" fontId="4" fillId="34" borderId="9" applyAlignment="1" pivotButton="0" quotePrefix="0" xfId="0">
      <alignment horizontal="center" vertical="center"/>
    </xf>
    <xf numFmtId="165" fontId="4" fillId="34" borderId="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4" fillId="0" borderId="0" applyAlignment="1" pivotButton="0" quotePrefix="0" xfId="69">
      <alignment vertical="center"/>
    </xf>
    <xf numFmtId="0" fontId="2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0" borderId="0" pivotButton="0" quotePrefix="0" xfId="0"/>
    <xf numFmtId="166" fontId="3" fillId="0" borderId="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164" fontId="2" fillId="33" borderId="9" applyAlignment="1" pivotButton="0" quotePrefix="0" xfId="0">
      <alignment horizontal="center" vertical="center"/>
    </xf>
    <xf numFmtId="165" fontId="2" fillId="33" borderId="9" applyAlignment="1" pivotButton="0" quotePrefix="0" xfId="0">
      <alignment horizontal="center" vertical="center"/>
    </xf>
    <xf numFmtId="164" fontId="4" fillId="34" borderId="9" applyAlignment="1" pivotButton="0" quotePrefix="0" xfId="0">
      <alignment horizontal="center" vertical="center"/>
    </xf>
    <xf numFmtId="165" fontId="4" fillId="34" borderId="9" applyAlignment="1" pivotButton="0" quotePrefix="0" xfId="0">
      <alignment horizontal="center" vertical="center"/>
    </xf>
    <xf numFmtId="0" fontId="0" fillId="0" borderId="15" pivotButton="0" quotePrefix="0" xfId="0"/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 2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8"/>
  <sheetViews>
    <sheetView showGridLines="0" topLeftCell="A1" workbookViewId="0">
      <selection activeCell="V2" sqref="V2"/>
    </sheetView>
  </sheetViews>
  <sheetFormatPr baseColWidth="8" defaultColWidth="8.75390625" defaultRowHeight="14.25"/>
  <cols>
    <col width="2.125" customWidth="1" min="1" max="1"/>
    <col width="7.75390625" customWidth="1" style="17" min="2" max="2"/>
    <col width="11.75390625" customWidth="1" style="17" min="3" max="3"/>
    <col width="11.50390625" customWidth="1" style="17" min="4" max="4"/>
    <col width="9.375" customWidth="1" style="17" min="5" max="6"/>
    <col width="10.875" customWidth="1" style="2" min="7" max="7"/>
    <col width="11.50390625" customWidth="1" style="17" min="8" max="8"/>
    <col width="9.375" customWidth="1" style="20" min="9" max="9"/>
    <col width="9.375" customWidth="1" style="4" min="10" max="10"/>
    <col width="11.75390625" customWidth="1" style="17" min="11" max="11"/>
    <col width="11.50390625" customWidth="1" style="21" min="12" max="12"/>
    <col width="9.375" customWidth="1" style="17" min="13" max="14"/>
    <col width="1.875" customWidth="1" min="15" max="15"/>
  </cols>
  <sheetData>
    <row r="1" ht="39.75" customHeight="1" s="22">
      <c r="B1" s="23" t="inlineStr">
        <is>
          <t>Product Sales Analysis Table</t>
        </is>
      </c>
    </row>
    <row r="2" ht="25.5" customHeight="1" s="22">
      <c r="B2" s="7" t="inlineStr">
        <is>
          <t>Category</t>
        </is>
      </c>
      <c r="C2" s="7" t="inlineStr">
        <is>
          <t>Product 1</t>
        </is>
      </c>
      <c r="D2" s="24" t="n"/>
      <c r="E2" s="24" t="n"/>
      <c r="F2" s="25" t="n"/>
      <c r="G2" s="7" t="inlineStr">
        <is>
          <t>Product 2</t>
        </is>
      </c>
      <c r="H2" s="24" t="n"/>
      <c r="I2" s="24" t="n"/>
      <c r="J2" s="25" t="n"/>
      <c r="K2" s="7" t="inlineStr">
        <is>
          <t>Product3</t>
        </is>
      </c>
      <c r="L2" s="24" t="n"/>
      <c r="M2" s="24" t="n"/>
      <c r="N2" s="25" t="n"/>
    </row>
    <row r="3" ht="25.5" customHeight="1" s="22">
      <c r="B3" s="26" t="n"/>
      <c r="C3" s="7" t="inlineStr">
        <is>
          <t>Gram weight</t>
        </is>
      </c>
      <c r="D3" s="7" t="inlineStr">
        <is>
          <t>Standard accessory count</t>
        </is>
      </c>
      <c r="E3" s="7" t="inlineStr">
        <is>
          <t>Pieces</t>
        </is>
      </c>
      <c r="F3" s="8" t="inlineStr">
        <is>
          <t>Proportion</t>
        </is>
      </c>
      <c r="G3" s="9" t="inlineStr">
        <is>
          <t>Gram weight</t>
        </is>
      </c>
      <c r="H3" s="7" t="inlineStr">
        <is>
          <t>Standard accessory count</t>
        </is>
      </c>
      <c r="I3" s="27" t="inlineStr">
        <is>
          <t>Pieces</t>
        </is>
      </c>
      <c r="J3" s="8" t="inlineStr">
        <is>
          <t>Proportion</t>
        </is>
      </c>
      <c r="K3" s="8" t="inlineStr">
        <is>
          <t>Gram weight</t>
        </is>
      </c>
      <c r="L3" s="28" t="inlineStr">
        <is>
          <t>Standard accessory count</t>
        </is>
      </c>
      <c r="M3" s="7" t="inlineStr">
        <is>
          <t>Pieces</t>
        </is>
      </c>
      <c r="N3" s="8" t="inlineStr">
        <is>
          <t>Proportion</t>
        </is>
      </c>
    </row>
    <row r="4" ht="14.25" customHeight="1" s="22">
      <c r="B4" s="10" t="inlineStr">
        <is>
          <t>Necklace set</t>
        </is>
      </c>
      <c r="C4" s="11" t="inlineStr">
        <is>
          <t>under 8g</t>
        </is>
      </c>
      <c r="D4" s="10" t="n">
        <v>32</v>
      </c>
      <c r="E4" s="10" t="n">
        <v>1</v>
      </c>
      <c r="F4" s="12">
        <f>E4/D4</f>
        <v/>
      </c>
      <c r="G4" s="11" t="inlineStr">
        <is>
          <t>3g and below</t>
        </is>
      </c>
      <c r="H4" s="10" t="n">
        <v>88</v>
      </c>
      <c r="I4" s="29" t="n">
        <v>3</v>
      </c>
      <c r="J4" s="12">
        <f>I4/H4</f>
        <v/>
      </c>
      <c r="K4" s="11" t="inlineStr">
        <is>
          <t>3g and below</t>
        </is>
      </c>
      <c r="L4" s="30" t="n">
        <v>232</v>
      </c>
      <c r="M4" s="10" t="n">
        <v>4</v>
      </c>
      <c r="N4" s="12">
        <f>M4/L4</f>
        <v/>
      </c>
    </row>
    <row r="5" ht="14.25" customHeight="1" s="22">
      <c r="B5" s="31" t="n"/>
      <c r="C5" s="11" t="inlineStr">
        <is>
          <t>8-12</t>
        </is>
      </c>
      <c r="D5" s="31" t="n"/>
      <c r="E5" s="10" t="n"/>
      <c r="F5" s="12">
        <f>E5/D4</f>
        <v/>
      </c>
      <c r="G5" s="11" t="inlineStr">
        <is>
          <t>3-5</t>
        </is>
      </c>
      <c r="H5" s="31" t="n"/>
      <c r="I5" s="29" t="n">
        <v>12</v>
      </c>
      <c r="J5" s="12">
        <f>I5/H4</f>
        <v/>
      </c>
      <c r="K5" s="11" t="inlineStr">
        <is>
          <t>3-5</t>
        </is>
      </c>
      <c r="L5" s="31" t="n"/>
      <c r="M5" s="10" t="n"/>
      <c r="N5" s="12">
        <f>M5/L4</f>
        <v/>
      </c>
    </row>
    <row r="6" ht="14.25" customHeight="1" s="22">
      <c r="B6" s="31" t="n"/>
      <c r="C6" s="11" t="inlineStr">
        <is>
          <t>12-15</t>
        </is>
      </c>
      <c r="D6" s="31" t="n"/>
      <c r="E6" s="10" t="n"/>
      <c r="F6" s="12">
        <f>E6/D4</f>
        <v/>
      </c>
      <c r="G6" s="11" t="inlineStr">
        <is>
          <t>Over 5 grams</t>
        </is>
      </c>
      <c r="H6" s="31" t="n"/>
      <c r="I6" s="29" t="n"/>
      <c r="J6" s="12">
        <f>I6/H4</f>
        <v/>
      </c>
      <c r="K6" s="11" t="inlineStr">
        <is>
          <t>Over 5 grams</t>
        </is>
      </c>
      <c r="L6" s="31" t="n"/>
      <c r="M6" s="10" t="n"/>
      <c r="N6" s="12">
        <f>M6/L4</f>
        <v/>
      </c>
    </row>
    <row r="7" ht="14.25" customHeight="1" s="22">
      <c r="B7" s="26" t="n"/>
      <c r="C7" s="11" t="inlineStr">
        <is>
          <t>15 grams and above</t>
        </is>
      </c>
      <c r="D7" s="26" t="n"/>
      <c r="E7" s="10" t="n"/>
      <c r="F7" s="12">
        <f>E7/D4</f>
        <v/>
      </c>
      <c r="G7" s="11" t="n"/>
      <c r="H7" s="26" t="n"/>
      <c r="I7" s="29" t="n"/>
      <c r="J7" s="12">
        <f>I7/H4</f>
        <v/>
      </c>
      <c r="K7" s="11" t="n"/>
      <c r="L7" s="26" t="n"/>
      <c r="M7" s="10" t="n"/>
      <c r="N7" s="12">
        <f>M7/L4</f>
        <v/>
      </c>
    </row>
    <row r="8" ht="14.25" customHeight="1" s="22">
      <c r="B8" s="10" t="inlineStr">
        <is>
          <t>Pendant</t>
        </is>
      </c>
      <c r="C8" s="11" t="inlineStr">
        <is>
          <t>under 8g</t>
        </is>
      </c>
      <c r="D8" s="10" t="n">
        <v>314</v>
      </c>
      <c r="E8" s="10" t="n">
        <v>12</v>
      </c>
      <c r="F8" s="12">
        <f>E8/D8</f>
        <v/>
      </c>
      <c r="G8" s="11" t="inlineStr">
        <is>
          <t>3g and below</t>
        </is>
      </c>
      <c r="H8" s="10" t="n">
        <v>219</v>
      </c>
      <c r="I8" s="29" t="n">
        <v>15</v>
      </c>
      <c r="J8" s="12">
        <f>I8/H8</f>
        <v/>
      </c>
      <c r="K8" s="11" t="inlineStr">
        <is>
          <t>3g and below</t>
        </is>
      </c>
      <c r="L8" s="30" t="n">
        <v>960</v>
      </c>
      <c r="M8" s="10" t="n"/>
      <c r="N8" s="12">
        <f>M8/L8</f>
        <v/>
      </c>
    </row>
    <row r="9" ht="14.25" customHeight="1" s="22">
      <c r="B9" s="31" t="n"/>
      <c r="C9" s="11" t="inlineStr">
        <is>
          <t>8-12</t>
        </is>
      </c>
      <c r="D9" s="31" t="n"/>
      <c r="E9" s="10" t="n">
        <v>3</v>
      </c>
      <c r="F9" s="12">
        <f>E9/D8</f>
        <v/>
      </c>
      <c r="G9" s="11" t="inlineStr">
        <is>
          <t>3-5</t>
        </is>
      </c>
      <c r="H9" s="31" t="n"/>
      <c r="I9" s="29" t="n"/>
      <c r="J9" s="12">
        <f>I9/H8</f>
        <v/>
      </c>
      <c r="K9" s="11" t="inlineStr">
        <is>
          <t>3-5</t>
        </is>
      </c>
      <c r="L9" s="31" t="n"/>
      <c r="M9" s="10" t="n"/>
      <c r="N9" s="12">
        <f>M9/L8</f>
        <v/>
      </c>
    </row>
    <row r="10" ht="14.25" customHeight="1" s="22">
      <c r="B10" s="31" t="n"/>
      <c r="C10" s="11" t="inlineStr">
        <is>
          <t>12-15</t>
        </is>
      </c>
      <c r="D10" s="31" t="n"/>
      <c r="E10" s="10" t="n">
        <v>3</v>
      </c>
      <c r="F10" s="12">
        <f>E10/D8</f>
        <v/>
      </c>
      <c r="G10" s="11" t="inlineStr">
        <is>
          <t>Over 5 grams</t>
        </is>
      </c>
      <c r="H10" s="31" t="n"/>
      <c r="I10" s="29" t="n"/>
      <c r="J10" s="12">
        <f>I10/H8</f>
        <v/>
      </c>
      <c r="K10" s="11" t="inlineStr">
        <is>
          <t>Over 5 grams</t>
        </is>
      </c>
      <c r="L10" s="31" t="n"/>
      <c r="M10" s="10" t="n"/>
      <c r="N10" s="12">
        <f>M10/L8</f>
        <v/>
      </c>
    </row>
    <row r="11" ht="14.25" customHeight="1" s="22">
      <c r="B11" s="31" t="n"/>
      <c r="C11" s="11" t="inlineStr">
        <is>
          <t>15-20</t>
        </is>
      </c>
      <c r="D11" s="31" t="n"/>
      <c r="E11" s="10" t="n"/>
      <c r="F11" s="12">
        <f>E11/D8</f>
        <v/>
      </c>
      <c r="G11" s="11" t="n"/>
      <c r="H11" s="31" t="n"/>
      <c r="I11" s="29" t="n"/>
      <c r="J11" s="12">
        <f>I11/H8</f>
        <v/>
      </c>
      <c r="K11" s="11" t="n"/>
      <c r="L11" s="31" t="n"/>
      <c r="M11" s="10" t="n"/>
      <c r="N11" s="12">
        <f>M11/L8</f>
        <v/>
      </c>
    </row>
    <row r="12" ht="14.25" customHeight="1" s="22">
      <c r="B12" s="26" t="n"/>
      <c r="C12" s="11" t="inlineStr">
        <is>
          <t>Over 20 grams</t>
        </is>
      </c>
      <c r="D12" s="26" t="n"/>
      <c r="E12" s="10" t="n">
        <v>1</v>
      </c>
      <c r="F12" s="12">
        <f>E12/D8</f>
        <v/>
      </c>
      <c r="G12" s="11" t="n"/>
      <c r="H12" s="26" t="n"/>
      <c r="I12" s="29" t="n"/>
      <c r="J12" s="12">
        <f>I12/H8</f>
        <v/>
      </c>
      <c r="K12" s="11" t="n"/>
      <c r="L12" s="26" t="n"/>
      <c r="M12" s="10" t="n"/>
      <c r="N12" s="12">
        <f>M12/L8</f>
        <v/>
      </c>
    </row>
    <row r="13" ht="14.25" customHeight="1" s="22">
      <c r="B13" s="10" t="inlineStr">
        <is>
          <t>Lock Bag</t>
        </is>
      </c>
      <c r="C13" s="11" t="inlineStr">
        <is>
          <t>5g and below</t>
        </is>
      </c>
      <c r="D13" s="10" t="n">
        <v>125</v>
      </c>
      <c r="E13" s="10" t="n">
        <v>4</v>
      </c>
      <c r="F13" s="12" t="n">
        <v>0.12</v>
      </c>
      <c r="G13" s="11" t="inlineStr">
        <is>
          <t>3g and below</t>
        </is>
      </c>
      <c r="H13" s="10" t="n">
        <v>125</v>
      </c>
      <c r="I13" s="29" t="n"/>
      <c r="J13" s="12">
        <f>I13/H13</f>
        <v/>
      </c>
      <c r="K13" s="11" t="inlineStr">
        <is>
          <t>3g and below</t>
        </is>
      </c>
      <c r="L13" s="30" t="n">
        <v>521</v>
      </c>
      <c r="M13" s="10" t="n"/>
      <c r="N13" s="12">
        <f>M13/L13</f>
        <v/>
      </c>
    </row>
    <row r="14" ht="14.25" customHeight="1" s="22">
      <c r="B14" s="31" t="n"/>
      <c r="C14" s="11" t="inlineStr">
        <is>
          <t>5-8</t>
        </is>
      </c>
      <c r="D14" s="31" t="n"/>
      <c r="E14" s="10" t="n">
        <v>6</v>
      </c>
      <c r="F14" s="12">
        <f>E14/D13</f>
        <v/>
      </c>
      <c r="G14" s="11" t="inlineStr">
        <is>
          <t>3-5</t>
        </is>
      </c>
      <c r="H14" s="31" t="n"/>
      <c r="I14" s="29" t="n"/>
      <c r="J14" s="12">
        <f>I14/H13</f>
        <v/>
      </c>
      <c r="K14" s="11" t="inlineStr">
        <is>
          <t>3-5</t>
        </is>
      </c>
      <c r="L14" s="31" t="n"/>
      <c r="M14" s="10" t="n"/>
      <c r="N14" s="12">
        <f>M14/L13</f>
        <v/>
      </c>
    </row>
    <row r="15" ht="14.25" customHeight="1" s="22">
      <c r="B15" s="31" t="n"/>
      <c r="C15" s="11" t="inlineStr">
        <is>
          <t>8-12</t>
        </is>
      </c>
      <c r="D15" s="31" t="n"/>
      <c r="E15" s="10" t="n">
        <v>2</v>
      </c>
      <c r="F15" s="12">
        <f>E15/D13</f>
        <v/>
      </c>
      <c r="G15" s="11" t="inlineStr">
        <is>
          <t>Over 5 grams</t>
        </is>
      </c>
      <c r="H15" s="31" t="n"/>
      <c r="I15" s="29" t="n"/>
      <c r="J15" s="12">
        <f>I15/H13</f>
        <v/>
      </c>
      <c r="K15" s="11" t="inlineStr">
        <is>
          <t>Over 5 grams</t>
        </is>
      </c>
      <c r="L15" s="31" t="n"/>
      <c r="M15" s="10" t="n"/>
      <c r="N15" s="12">
        <f>M15/L13</f>
        <v/>
      </c>
    </row>
    <row r="16" ht="14.25" customHeight="1" s="22">
      <c r="B16" s="31" t="n"/>
      <c r="C16" s="11" t="inlineStr">
        <is>
          <t>12-15</t>
        </is>
      </c>
      <c r="D16" s="31" t="n"/>
      <c r="E16" s="10" t="n"/>
      <c r="F16" s="12">
        <f>E16/D13</f>
        <v/>
      </c>
      <c r="G16" s="11" t="n"/>
      <c r="H16" s="31" t="n"/>
      <c r="I16" s="29" t="n"/>
      <c r="J16" s="12">
        <f>I16/H13</f>
        <v/>
      </c>
      <c r="K16" s="11" t="n"/>
      <c r="L16" s="31" t="n"/>
      <c r="M16" s="10" t="n"/>
      <c r="N16" s="12">
        <f>M16/L13</f>
        <v/>
      </c>
    </row>
    <row r="17" ht="14.25" customHeight="1" s="22">
      <c r="B17" s="31" t="n"/>
      <c r="C17" s="11" t="inlineStr">
        <is>
          <t>15-20</t>
        </is>
      </c>
      <c r="D17" s="31" t="n"/>
      <c r="E17" s="10" t="n"/>
      <c r="F17" s="12">
        <f>E17/D13</f>
        <v/>
      </c>
      <c r="G17" s="11" t="n"/>
      <c r="H17" s="31" t="n"/>
      <c r="I17" s="29" t="n"/>
      <c r="J17" s="12">
        <f>I17/H13</f>
        <v/>
      </c>
      <c r="K17" s="11" t="n"/>
      <c r="L17" s="31" t="n"/>
      <c r="M17" s="10" t="n"/>
      <c r="N17" s="12">
        <f>M17/L13</f>
        <v/>
      </c>
    </row>
    <row r="18" ht="14.25" customHeight="1" s="22">
      <c r="B18" s="26" t="n"/>
      <c r="C18" s="11" t="inlineStr">
        <is>
          <t>Over 20 grams</t>
        </is>
      </c>
      <c r="D18" s="26" t="n"/>
      <c r="E18" s="10" t="n"/>
      <c r="F18" s="12">
        <f>E18/D13</f>
        <v/>
      </c>
      <c r="G18" s="11" t="n"/>
      <c r="H18" s="26" t="n"/>
      <c r="I18" s="29" t="n"/>
      <c r="J18" s="12">
        <f>I18/H13</f>
        <v/>
      </c>
      <c r="K18" s="11" t="n"/>
      <c r="L18" s="26" t="n"/>
      <c r="M18" s="10" t="n"/>
      <c r="N18" s="12">
        <f>M18/L13</f>
        <v/>
      </c>
    </row>
    <row r="19" ht="14.25" customHeight="1" s="22">
      <c r="B19" s="10" t="inlineStr">
        <is>
          <t>Rings</t>
        </is>
      </c>
      <c r="C19" s="11" t="inlineStr">
        <is>
          <t>under 8g</t>
        </is>
      </c>
      <c r="D19" s="10" t="n">
        <v>351</v>
      </c>
      <c r="E19" s="10" t="n">
        <v>25</v>
      </c>
      <c r="F19" s="12">
        <f>E19/D19</f>
        <v/>
      </c>
      <c r="G19" s="11" t="inlineStr">
        <is>
          <t>3g and below</t>
        </is>
      </c>
      <c r="H19" s="10" t="n">
        <v>289</v>
      </c>
      <c r="I19" s="29" t="n">
        <v>19</v>
      </c>
      <c r="J19" s="12">
        <f>I19/H19</f>
        <v/>
      </c>
      <c r="K19" s="11" t="inlineStr">
        <is>
          <t>3g and below</t>
        </is>
      </c>
      <c r="L19" s="30" t="n">
        <v>203</v>
      </c>
      <c r="M19" s="10" t="n">
        <v>3</v>
      </c>
      <c r="N19" s="12">
        <f>M19/L19</f>
        <v/>
      </c>
    </row>
    <row r="20" ht="14.25" customHeight="1" s="22">
      <c r="B20" s="31" t="n"/>
      <c r="C20" s="11" t="inlineStr">
        <is>
          <t>8-12</t>
        </is>
      </c>
      <c r="D20" s="31" t="n"/>
      <c r="E20" s="10" t="n">
        <v>4</v>
      </c>
      <c r="F20" s="12">
        <f>E20/D19</f>
        <v/>
      </c>
      <c r="G20" s="11" t="inlineStr">
        <is>
          <t>3-5</t>
        </is>
      </c>
      <c r="H20" s="31" t="n"/>
      <c r="I20" s="29" t="n">
        <v>7</v>
      </c>
      <c r="J20" s="12">
        <f>I20/H19</f>
        <v/>
      </c>
      <c r="K20" s="11" t="inlineStr">
        <is>
          <t>3-5</t>
        </is>
      </c>
      <c r="L20" s="31" t="n"/>
      <c r="M20" s="10" t="n">
        <v>2</v>
      </c>
      <c r="N20" s="12">
        <f>M20/L19</f>
        <v/>
      </c>
    </row>
    <row r="21" ht="14.25" customHeight="1" s="22">
      <c r="B21" s="31" t="n"/>
      <c r="C21" s="11" t="inlineStr">
        <is>
          <t>12-15</t>
        </is>
      </c>
      <c r="D21" s="31" t="n"/>
      <c r="E21" s="10" t="n"/>
      <c r="F21" s="12">
        <f>E21/D19</f>
        <v/>
      </c>
      <c r="G21" s="11" t="inlineStr">
        <is>
          <t>5-8</t>
        </is>
      </c>
      <c r="H21" s="31" t="n"/>
      <c r="I21" s="29" t="n"/>
      <c r="J21" s="12">
        <f>I21/H19</f>
        <v/>
      </c>
      <c r="K21" s="11" t="inlineStr">
        <is>
          <t>5-8</t>
        </is>
      </c>
      <c r="L21" s="31" t="n"/>
      <c r="M21" s="10" t="n"/>
      <c r="N21" s="12">
        <f>M21/L19</f>
        <v/>
      </c>
    </row>
    <row r="22" ht="14.25" customHeight="1" s="22">
      <c r="B22" s="31" t="n"/>
      <c r="C22" s="11" t="inlineStr">
        <is>
          <t>15-18</t>
        </is>
      </c>
      <c r="D22" s="31" t="n"/>
      <c r="E22" s="10" t="n"/>
      <c r="F22" s="12">
        <f>E22/D19</f>
        <v/>
      </c>
      <c r="G22" s="11" t="inlineStr">
        <is>
          <t>8-10</t>
        </is>
      </c>
      <c r="H22" s="31" t="n"/>
      <c r="I22" s="29" t="n"/>
      <c r="J22" s="12">
        <f>I22/H19</f>
        <v/>
      </c>
      <c r="K22" s="11" t="inlineStr">
        <is>
          <t>8-10</t>
        </is>
      </c>
      <c r="L22" s="31" t="n"/>
      <c r="M22" s="10" t="n"/>
      <c r="N22" s="12">
        <f>M22/L19</f>
        <v/>
      </c>
    </row>
    <row r="23" ht="14.25" customHeight="1" s="22">
      <c r="B23" s="31" t="n"/>
      <c r="C23" s="11" t="inlineStr">
        <is>
          <t>18-23</t>
        </is>
      </c>
      <c r="D23" s="31" t="n"/>
      <c r="E23" s="10" t="n"/>
      <c r="F23" s="12">
        <f>E23/D19</f>
        <v/>
      </c>
      <c r="G23" s="11" t="inlineStr">
        <is>
          <t>Over 10 grams</t>
        </is>
      </c>
      <c r="H23" s="31" t="n"/>
      <c r="I23" s="29" t="n"/>
      <c r="J23" s="12">
        <f>I23/H19</f>
        <v/>
      </c>
      <c r="K23" s="11" t="inlineStr">
        <is>
          <t>Over 10 grams</t>
        </is>
      </c>
      <c r="L23" s="31" t="n"/>
      <c r="M23" s="10" t="n"/>
      <c r="N23" s="12">
        <f>M23/L19</f>
        <v/>
      </c>
    </row>
    <row r="24" ht="14.25" customHeight="1" s="22">
      <c r="B24" s="26" t="n"/>
      <c r="C24" s="11" t="inlineStr">
        <is>
          <t>23 grams and above</t>
        </is>
      </c>
      <c r="D24" s="26" t="n"/>
      <c r="E24" s="10" t="n">
        <v>1</v>
      </c>
      <c r="F24" s="12">
        <f>E24/D19</f>
        <v/>
      </c>
      <c r="G24" s="11" t="n"/>
      <c r="H24" s="26" t="n"/>
      <c r="I24" s="29" t="n"/>
      <c r="J24" s="12">
        <f>I24/H19</f>
        <v/>
      </c>
      <c r="K24" s="11" t="n"/>
      <c r="L24" s="26" t="n"/>
      <c r="M24" s="10" t="n"/>
      <c r="N24" s="12">
        <f>M24/L19</f>
        <v/>
      </c>
    </row>
    <row r="25" ht="14.25" customHeight="1" s="22">
      <c r="B25" s="10" t="inlineStr">
        <is>
          <t>Earrings</t>
        </is>
      </c>
      <c r="C25" s="11" t="inlineStr">
        <is>
          <t>3g and below</t>
        </is>
      </c>
      <c r="D25" s="10" t="n">
        <v>329</v>
      </c>
      <c r="E25" s="10" t="n">
        <v>7</v>
      </c>
      <c r="F25" s="12">
        <f>E25/D25</f>
        <v/>
      </c>
      <c r="G25" s="11" t="inlineStr">
        <is>
          <t>2g and below</t>
        </is>
      </c>
      <c r="H25" s="10" t="n">
        <v>301</v>
      </c>
      <c r="I25" s="29" t="n">
        <v>15</v>
      </c>
      <c r="J25" s="12">
        <f>I25/H25</f>
        <v/>
      </c>
      <c r="K25" s="11" t="inlineStr">
        <is>
          <t>2g and below</t>
        </is>
      </c>
      <c r="L25" s="30" t="n">
        <v>300</v>
      </c>
      <c r="M25" s="10" t="n">
        <v>4</v>
      </c>
      <c r="N25" s="12">
        <f>M25/L25</f>
        <v/>
      </c>
    </row>
    <row r="26" ht="14.25" customHeight="1" s="22">
      <c r="B26" s="31" t="n"/>
      <c r="C26" s="11" t="inlineStr">
        <is>
          <t>3-6</t>
        </is>
      </c>
      <c r="D26" s="31" t="n"/>
      <c r="E26" s="10" t="n">
        <v>3</v>
      </c>
      <c r="F26" s="12">
        <f>E26/D25</f>
        <v/>
      </c>
      <c r="G26" s="11" t="inlineStr">
        <is>
          <t>2-3</t>
        </is>
      </c>
      <c r="H26" s="31" t="n"/>
      <c r="I26" s="29" t="n">
        <v>3</v>
      </c>
      <c r="J26" s="12">
        <f>I26/H25</f>
        <v/>
      </c>
      <c r="K26" s="11" t="inlineStr">
        <is>
          <t>2-3</t>
        </is>
      </c>
      <c r="L26" s="31" t="n"/>
      <c r="M26" s="10" t="n"/>
      <c r="N26" s="12">
        <f>M26/L25</f>
        <v/>
      </c>
    </row>
    <row r="27" ht="14.25" customHeight="1" s="22">
      <c r="B27" s="31" t="n"/>
      <c r="C27" s="11" t="inlineStr">
        <is>
          <t>6-8</t>
        </is>
      </c>
      <c r="D27" s="31" t="n"/>
      <c r="E27" s="10" t="n">
        <v>1</v>
      </c>
      <c r="F27" s="12">
        <f>E27/D25</f>
        <v/>
      </c>
      <c r="G27" s="11" t="inlineStr">
        <is>
          <t>3-5</t>
        </is>
      </c>
      <c r="H27" s="31" t="n"/>
      <c r="I27" s="29" t="n">
        <v>2</v>
      </c>
      <c r="J27" s="12">
        <f>I27/H25</f>
        <v/>
      </c>
      <c r="K27" s="11" t="inlineStr">
        <is>
          <t>3-5</t>
        </is>
      </c>
      <c r="L27" s="31" t="n"/>
      <c r="M27" s="10" t="n"/>
      <c r="N27" s="12">
        <f>M27/L25</f>
        <v/>
      </c>
    </row>
    <row r="28" ht="14.25" customHeight="1" s="22">
      <c r="B28" s="26" t="n"/>
      <c r="C28" s="11" t="inlineStr">
        <is>
          <t>Over 8 grams</t>
        </is>
      </c>
      <c r="D28" s="26" t="n"/>
      <c r="E28" s="10" t="n"/>
      <c r="F28" s="12">
        <f>E28/D25</f>
        <v/>
      </c>
      <c r="G28" s="11" t="inlineStr">
        <is>
          <t>Over 5 grams</t>
        </is>
      </c>
      <c r="H28" s="26" t="n"/>
      <c r="I28" s="29" t="n"/>
      <c r="J28" s="12">
        <f>I28/H25</f>
        <v/>
      </c>
      <c r="K28" s="11" t="inlineStr">
        <is>
          <t>Over 5 grams</t>
        </is>
      </c>
      <c r="L28" s="26" t="n"/>
      <c r="M28" s="10" t="n"/>
      <c r="N28" s="12">
        <f>M28/L25</f>
        <v/>
      </c>
    </row>
  </sheetData>
  <mergeCells count="25">
    <mergeCell ref="H4:H7"/>
    <mergeCell ref="H25:H28"/>
    <mergeCell ref="B2:B3"/>
    <mergeCell ref="L19:L24"/>
    <mergeCell ref="L13:L18"/>
    <mergeCell ref="D8:D12"/>
    <mergeCell ref="G2:J2"/>
    <mergeCell ref="H8:H12"/>
    <mergeCell ref="D4:D7"/>
    <mergeCell ref="B13:B18"/>
    <mergeCell ref="L4:L7"/>
    <mergeCell ref="D13:D18"/>
    <mergeCell ref="D25:D28"/>
    <mergeCell ref="L25:L28"/>
    <mergeCell ref="B19:B24"/>
    <mergeCell ref="H19:H24"/>
    <mergeCell ref="H13:H18"/>
    <mergeCell ref="B1:N1"/>
    <mergeCell ref="B4:B7"/>
    <mergeCell ref="B8:B12"/>
    <mergeCell ref="L8:L12"/>
    <mergeCell ref="K2:N2"/>
    <mergeCell ref="B25:B28"/>
    <mergeCell ref="C2:F2"/>
    <mergeCell ref="D19:D24"/>
  </mergeCells>
  <conditionalFormatting sqref="F4:F28 J4:J28 N4:N28">
    <cfRule type="dataBar" priority="1">
      <dataBar minLength="0" maxLength="100">
        <cfvo type="min"/>
        <cfvo type="max"/>
        <color rgb="FFFFE3AD"/>
      </dataBar>
    </cfRule>
  </conditionalFormatting>
  <pageMargins left="0.2" right="0.16" top="0.55" bottom="0.2" header="0.51" footer="0.2"/>
  <pageSetup orientation="landscape" paperSize="9" scale="90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2021-05-11T14:16:00Z</dcterms:created>
  <dcterms:modified xsi:type="dcterms:W3CDTF">2025-07-07T17:30:03Z</dcterms:modified>
  <cp:lastModifiedBy>海绵没宝宝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0B040FC8B6EA498089B4A7DC50F30FFA_11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v1.0_mb_FHj58q64/tKAwoYL3ehE4A==</vt:lpwstr>
  </property>
</Properties>
</file>