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752" windowHeight="11175" tabRatio="600" firstSheet="2" autoFilterDateGrouping="1"/>
  </bookViews>
  <sheets>
    <sheet name="Production_Record_Table" sheetId="1" state="visible" r:id="rId1"/>
    <sheet name="Production_Analysis_Table" sheetId="2" state="visible" r:id="rId2"/>
  </sheets>
  <definedNames>
    <definedName name="_xlnm._FilterDatabase" localSheetId="0" hidden="1">'Production_Record_Table'!$A$2:$F$66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family val="2"/>
      <color theme="1"/>
      <sz val="11"/>
      <scheme val="minor"/>
    </font>
    <font>
      <name val="Arial"/>
      <family val="2"/>
      <sz val="10"/>
    </font>
    <font>
      <name val="微软雅黑"/>
      <family val="2"/>
      <color theme="1"/>
      <sz val="16"/>
    </font>
    <font>
      <name val="微软雅黑"/>
      <family val="2"/>
      <color theme="0"/>
      <sz val="16"/>
    </font>
    <font>
      <name val="黑体"/>
      <family val="2"/>
      <color theme="1"/>
      <sz val="11"/>
    </font>
    <font>
      <name val="黑体"/>
      <family val="2"/>
      <b val="1"/>
      <color theme="1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3" tint="-0.2499700039625168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3" tint="-0.2499700039625168"/>
      </left>
      <right style="thin">
        <color theme="3" tint="-0.2499700039625168"/>
      </right>
      <top style="thin">
        <color theme="3" tint="-0.2499700039625168"/>
      </top>
      <bottom style="thin">
        <color theme="3" tint="-0.2499700039625168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>
        <color theme="3" tint="-0.2499700039625168"/>
      </top>
      <bottom/>
      <diagonal/>
    </border>
    <border>
      <left/>
      <right style="thin">
        <color theme="3" tint="-0.2499700039625168"/>
      </right>
      <top style="thin">
        <color theme="3" tint="-0.2499700039625168"/>
      </top>
      <bottom/>
      <diagonal/>
    </border>
    <border>
      <left/>
      <right style="thin">
        <color theme="3" tint="-0.2499700039625168"/>
      </right>
      <top style="thin">
        <color theme="3" tint="-0.2499700039625168"/>
      </top>
      <bottom style="thin">
        <color theme="3" tint="-0.2499700039625168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/>
    <xf numFmtId="0" fontId="7" fillId="0" borderId="0"/>
    <xf numFmtId="0" fontId="0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0" fillId="10" borderId="0"/>
    <xf numFmtId="0" fontId="0" fillId="11" borderId="0"/>
    <xf numFmtId="0" fontId="23" fillId="12" borderId="0"/>
    <xf numFmtId="0" fontId="23" fillId="13" borderId="0"/>
    <xf numFmtId="0" fontId="0" fillId="14" borderId="0"/>
    <xf numFmtId="0" fontId="0" fillId="15" borderId="0"/>
    <xf numFmtId="0" fontId="23" fillId="16" borderId="0"/>
    <xf numFmtId="0" fontId="23" fillId="17" borderId="0"/>
    <xf numFmtId="0" fontId="0" fillId="18" borderId="0"/>
    <xf numFmtId="0" fontId="0" fillId="19" borderId="0"/>
    <xf numFmtId="0" fontId="23" fillId="20" borderId="0"/>
    <xf numFmtId="0" fontId="23" fillId="21" borderId="0"/>
    <xf numFmtId="0" fontId="0" fillId="22" borderId="0"/>
    <xf numFmtId="0" fontId="0" fillId="23" borderId="0"/>
    <xf numFmtId="0" fontId="23" fillId="24" borderId="0"/>
    <xf numFmtId="0" fontId="23" fillId="25" borderId="0"/>
    <xf numFmtId="0" fontId="0" fillId="26" borderId="0"/>
    <xf numFmtId="0" fontId="0" fillId="27" borderId="0"/>
    <xf numFmtId="0" fontId="23" fillId="28" borderId="0"/>
    <xf numFmtId="0" fontId="23" fillId="29" borderId="0"/>
    <xf numFmtId="0" fontId="0" fillId="30" borderId="0"/>
    <xf numFmtId="0" fontId="0" fillId="31" borderId="0"/>
    <xf numFmtId="0" fontId="23" fillId="32" borderId="0"/>
    <xf numFmtId="0" fontId="6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14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33" borderId="9" applyAlignment="1" pivotButton="0" quotePrefix="0" xfId="0">
      <alignment horizontal="center" vertical="center"/>
    </xf>
    <xf numFmtId="10" fontId="3" fillId="33" borderId="9" applyAlignment="1" pivotButton="0" quotePrefix="0" xfId="0">
      <alignment horizontal="center" vertical="center"/>
    </xf>
    <xf numFmtId="10" fontId="2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58" fontId="4" fillId="0" borderId="10" applyAlignment="1" pivotButton="0" quotePrefix="0" xfId="0">
      <alignment horizontal="center" vertical="center"/>
    </xf>
    <xf numFmtId="58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6" fillId="0" borderId="0" applyAlignment="1" pivotButton="0" quotePrefix="0" xfId="68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2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3">
    <dxf>
      <fill>
        <patternFill patternType="solid">
          <bgColor rgb="FF00B050"/>
        </patternFill>
      </fill>
      <border/>
    </dxf>
    <dxf>
      <font>
        <color rgb="FFFF0000"/>
      </font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0" topLeftCell="A1" workbookViewId="0">
      <pane ySplit="2" topLeftCell="A3" activePane="bottomLeft" state="frozen"/>
      <selection pane="bottomLeft" activeCell="G15" sqref="G15"/>
    </sheetView>
  </sheetViews>
  <sheetFormatPr baseColWidth="8" defaultColWidth="9.00390625" defaultRowHeight="18" customHeight="1"/>
  <cols>
    <col width="9.00390625" customWidth="1" style="7" min="1" max="2"/>
    <col width="10.50390625" customWidth="1" style="7" min="3" max="3"/>
    <col width="10.00390625" customWidth="1" style="7" min="4" max="4"/>
    <col width="10.625" customWidth="1" style="7" min="5" max="5"/>
  </cols>
  <sheetData>
    <row r="1" ht="18" customHeight="1" s="14">
      <c r="A1" s="8" t="inlineStr">
        <is>
          <t>Date</t>
        </is>
      </c>
      <c r="B1" s="8" t="inlineStr">
        <is>
          <t>Employee Name</t>
        </is>
      </c>
      <c r="C1" s="8" t="inlineStr">
        <is>
          <t>Production quantity</t>
        </is>
      </c>
      <c r="D1" s="15" t="n"/>
      <c r="E1" s="16" t="n"/>
    </row>
    <row r="2" ht="18" customHeight="1" s="14">
      <c r="A2" s="17" t="n"/>
      <c r="B2" s="17" t="n"/>
      <c r="C2" s="8" t="inlineStr">
        <is>
          <t>Qualified Product Count</t>
        </is>
      </c>
      <c r="D2" s="8" t="inlineStr">
        <is>
          <t>Defective count</t>
        </is>
      </c>
      <c r="E2" s="8" t="inlineStr">
        <is>
          <t>Total quantity</t>
        </is>
      </c>
    </row>
    <row r="3" ht="18" customHeight="1" s="14">
      <c r="A3" s="9" t="n">
        <v>42512</v>
      </c>
      <c r="B3" s="7" t="inlineStr">
        <is>
          <t>Zhang 1</t>
        </is>
      </c>
      <c r="C3" s="7" t="n">
        <v>1140</v>
      </c>
      <c r="D3" s="7" t="n">
        <v>2</v>
      </c>
      <c r="E3" s="7">
        <f>C3+D3</f>
        <v/>
      </c>
      <c r="F3" s="10" t="n"/>
    </row>
    <row r="4" ht="18" customHeight="1" s="14">
      <c r="A4" s="9" t="n">
        <v>42512</v>
      </c>
      <c r="B4" s="7" t="inlineStr">
        <is>
          <t>Zhang 2</t>
        </is>
      </c>
      <c r="C4" s="7" t="n">
        <v>1367</v>
      </c>
      <c r="D4" s="7" t="n">
        <v>8</v>
      </c>
      <c r="E4" s="7">
        <f>C4+D4</f>
        <v/>
      </c>
      <c r="F4" s="10" t="n"/>
    </row>
    <row r="5" ht="18" customHeight="1" s="14">
      <c r="A5" s="9" t="n">
        <v>42512</v>
      </c>
      <c r="B5" s="7" t="inlineStr">
        <is>
          <t>Zhang3</t>
        </is>
      </c>
      <c r="C5" s="7" t="n">
        <v>1199</v>
      </c>
      <c r="D5" s="7" t="n">
        <v>10</v>
      </c>
      <c r="E5" s="7">
        <f>C5+D5</f>
        <v/>
      </c>
      <c r="F5" s="10" t="n"/>
    </row>
    <row r="6" ht="18" customHeight="1" s="14">
      <c r="A6" s="9" t="n">
        <v>42512</v>
      </c>
      <c r="B6" s="7" t="inlineStr">
        <is>
          <t>Zhang4</t>
        </is>
      </c>
      <c r="C6" s="7" t="n">
        <v>1445</v>
      </c>
      <c r="D6" s="7" t="n">
        <v>5</v>
      </c>
      <c r="E6" s="7">
        <f>C6+D6</f>
        <v/>
      </c>
      <c r="F6" s="10" t="n"/>
    </row>
    <row r="7" ht="18" customHeight="1" s="14">
      <c r="A7" s="9" t="n">
        <v>42512</v>
      </c>
      <c r="B7" s="7" t="inlineStr">
        <is>
          <t>Zhang5</t>
        </is>
      </c>
      <c r="C7" s="7" t="n">
        <v>1175</v>
      </c>
      <c r="D7" s="7" t="n">
        <v>8</v>
      </c>
      <c r="E7" s="7">
        <f>C7+D7</f>
        <v/>
      </c>
      <c r="F7" s="10" t="n"/>
    </row>
    <row r="8" ht="18" customHeight="1" s="14">
      <c r="A8" s="9" t="n">
        <v>42512</v>
      </c>
      <c r="B8" s="7" t="inlineStr">
        <is>
          <t>Zhang 6</t>
        </is>
      </c>
      <c r="C8" s="7" t="n">
        <v>1395</v>
      </c>
      <c r="D8" s="7" t="n">
        <v>9</v>
      </c>
      <c r="E8" s="7">
        <f>C8+D8</f>
        <v/>
      </c>
      <c r="F8" s="10" t="n"/>
    </row>
    <row r="9" ht="18" customHeight="1" s="14">
      <c r="A9" s="9" t="n">
        <v>42512</v>
      </c>
      <c r="B9" s="7" t="inlineStr">
        <is>
          <t>Zhang7</t>
        </is>
      </c>
      <c r="C9" s="7" t="n">
        <v>1494</v>
      </c>
      <c r="D9" s="7" t="n">
        <v>5</v>
      </c>
      <c r="E9" s="7">
        <f>C9+D9</f>
        <v/>
      </c>
      <c r="F9" s="10" t="n"/>
    </row>
    <row r="10" ht="18" customHeight="1" s="14">
      <c r="A10" s="9" t="n">
        <v>42512</v>
      </c>
      <c r="B10" s="7" t="inlineStr">
        <is>
          <t>Zhang 8</t>
        </is>
      </c>
      <c r="C10" s="7" t="n">
        <v>1532</v>
      </c>
      <c r="D10" s="7" t="n">
        <v>4</v>
      </c>
      <c r="E10" s="7">
        <f>C10+D10</f>
        <v/>
      </c>
      <c r="F10" s="10" t="n"/>
    </row>
    <row r="11" ht="18" customHeight="1" s="14">
      <c r="A11" s="9" t="n">
        <v>42513</v>
      </c>
      <c r="B11" s="7" t="inlineStr">
        <is>
          <t>Zhang 1</t>
        </is>
      </c>
      <c r="C11" s="7" t="n">
        <v>1305</v>
      </c>
      <c r="D11" s="7" t="n">
        <v>9</v>
      </c>
      <c r="E11" s="7">
        <f>C11+D11</f>
        <v/>
      </c>
      <c r="F11" s="10" t="n"/>
    </row>
    <row r="12" ht="18" customHeight="1" s="14">
      <c r="A12" s="9" t="n">
        <v>42513</v>
      </c>
      <c r="B12" s="7" t="inlineStr">
        <is>
          <t>Zhang 2</t>
        </is>
      </c>
      <c r="C12" s="7" t="n">
        <v>1209</v>
      </c>
      <c r="D12" s="7" t="n">
        <v>3</v>
      </c>
      <c r="E12" s="7">
        <f>C12+D12</f>
        <v/>
      </c>
      <c r="F12" s="10" t="n"/>
    </row>
    <row r="13" ht="18" customHeight="1" s="14">
      <c r="A13" s="9" t="n">
        <v>42513</v>
      </c>
      <c r="B13" s="7" t="inlineStr">
        <is>
          <t>Zhang3</t>
        </is>
      </c>
      <c r="C13" s="7" t="n">
        <v>1030</v>
      </c>
      <c r="D13" s="7" t="n">
        <v>10</v>
      </c>
      <c r="E13" s="7">
        <f>C13+D13</f>
        <v/>
      </c>
      <c r="F13" s="10" t="n"/>
    </row>
    <row r="14" ht="18" customHeight="1" s="14">
      <c r="A14" s="9" t="n">
        <v>42513</v>
      </c>
      <c r="B14" s="7" t="inlineStr">
        <is>
          <t>Zhang4</t>
        </is>
      </c>
      <c r="C14" s="7" t="n">
        <v>1325</v>
      </c>
      <c r="D14" s="7" t="n">
        <v>5</v>
      </c>
      <c r="E14" s="7">
        <f>C14+D14</f>
        <v/>
      </c>
      <c r="F14" s="10" t="n"/>
    </row>
    <row r="15" ht="18" customHeight="1" s="14">
      <c r="A15" s="9" t="n">
        <v>42513</v>
      </c>
      <c r="B15" s="7" t="inlineStr">
        <is>
          <t>Zhang5</t>
        </is>
      </c>
      <c r="C15" s="7" t="n">
        <v>1425</v>
      </c>
      <c r="D15" s="7" t="n">
        <v>10</v>
      </c>
      <c r="E15" s="7">
        <f>C15+D15</f>
        <v/>
      </c>
      <c r="F15" s="10" t="n"/>
    </row>
    <row r="16" ht="18" customHeight="1" s="14">
      <c r="A16" s="9" t="n">
        <v>42513</v>
      </c>
      <c r="B16" s="7" t="inlineStr">
        <is>
          <t>Zhang 6</t>
        </is>
      </c>
      <c r="C16" s="7" t="n">
        <v>1296</v>
      </c>
      <c r="D16" s="7" t="n">
        <v>6</v>
      </c>
      <c r="E16" s="7">
        <f>C16+D16</f>
        <v/>
      </c>
      <c r="F16" s="10" t="n"/>
    </row>
    <row r="17" ht="18" customHeight="1" s="14">
      <c r="A17" s="9" t="n">
        <v>42513</v>
      </c>
      <c r="B17" s="7" t="inlineStr">
        <is>
          <t>Zhang7</t>
        </is>
      </c>
      <c r="C17" s="7" t="n">
        <v>1247</v>
      </c>
      <c r="D17" s="7" t="n">
        <v>10</v>
      </c>
      <c r="E17" s="7">
        <f>C17+D17</f>
        <v/>
      </c>
      <c r="F17" s="10" t="n"/>
    </row>
    <row r="18" ht="18" customHeight="1" s="14">
      <c r="A18" s="9" t="n">
        <v>42513</v>
      </c>
      <c r="B18" s="7" t="inlineStr">
        <is>
          <t>Zhang 8</t>
        </is>
      </c>
      <c r="C18" s="7" t="n">
        <v>1184</v>
      </c>
      <c r="D18" s="7" t="n">
        <v>3</v>
      </c>
      <c r="E18" s="7">
        <f>C18+D18</f>
        <v/>
      </c>
      <c r="F18" s="10" t="n"/>
    </row>
    <row r="19" ht="18" customHeight="1" s="14">
      <c r="A19" s="9" t="n">
        <v>42514</v>
      </c>
      <c r="B19" s="7" t="inlineStr">
        <is>
          <t>Zhang 1</t>
        </is>
      </c>
      <c r="C19" s="7" t="n">
        <v>1112</v>
      </c>
      <c r="D19" s="7" t="n">
        <v>3</v>
      </c>
      <c r="E19" s="7">
        <f>C19+D19</f>
        <v/>
      </c>
      <c r="F19" s="10" t="n"/>
    </row>
    <row r="20" ht="18" customHeight="1" s="14">
      <c r="A20" s="9" t="n">
        <v>42514</v>
      </c>
      <c r="B20" s="7" t="inlineStr">
        <is>
          <t>Zhang 2</t>
        </is>
      </c>
      <c r="C20" s="7" t="n">
        <v>1100</v>
      </c>
      <c r="D20" s="7" t="n">
        <v>3</v>
      </c>
      <c r="E20" s="7">
        <f>C20+D20</f>
        <v/>
      </c>
      <c r="F20" s="10" t="n"/>
    </row>
    <row r="21" ht="18" customHeight="1" s="14">
      <c r="A21" s="9" t="n">
        <v>42514</v>
      </c>
      <c r="B21" s="7" t="inlineStr">
        <is>
          <t>Zhang3</t>
        </is>
      </c>
      <c r="C21" s="7" t="n">
        <v>1140</v>
      </c>
      <c r="D21" s="7" t="n">
        <v>6</v>
      </c>
      <c r="E21" s="7">
        <f>C21+D21</f>
        <v/>
      </c>
      <c r="F21" s="10" t="n"/>
    </row>
    <row r="22" ht="18" customHeight="1" s="14">
      <c r="A22" s="9" t="n">
        <v>42514</v>
      </c>
      <c r="B22" s="7" t="inlineStr">
        <is>
          <t>Zhang4</t>
        </is>
      </c>
      <c r="C22" s="7" t="n">
        <v>1375</v>
      </c>
      <c r="D22" s="7" t="n">
        <v>4</v>
      </c>
      <c r="E22" s="7">
        <f>C22+D22</f>
        <v/>
      </c>
      <c r="F22" s="10" t="n"/>
    </row>
    <row r="23" ht="18" customHeight="1" s="14">
      <c r="A23" s="9" t="n">
        <v>42514</v>
      </c>
      <c r="B23" s="7" t="inlineStr">
        <is>
          <t>Zhang5</t>
        </is>
      </c>
      <c r="C23" s="7" t="n">
        <v>1288</v>
      </c>
      <c r="D23" s="7" t="n">
        <v>5</v>
      </c>
      <c r="E23" s="7">
        <f>C23+D23</f>
        <v/>
      </c>
      <c r="F23" s="10" t="n"/>
    </row>
    <row r="24" ht="18" customHeight="1" s="14">
      <c r="A24" s="9" t="n">
        <v>42514</v>
      </c>
      <c r="B24" s="7" t="inlineStr">
        <is>
          <t>Zhang 6</t>
        </is>
      </c>
      <c r="C24" s="7" t="n">
        <v>1166</v>
      </c>
      <c r="D24" s="7" t="n">
        <v>5</v>
      </c>
      <c r="E24" s="7">
        <f>C24+D24</f>
        <v/>
      </c>
      <c r="F24" s="10" t="n"/>
    </row>
    <row r="25" ht="18" customHeight="1" s="14">
      <c r="A25" s="9" t="n">
        <v>42514</v>
      </c>
      <c r="B25" s="7" t="inlineStr">
        <is>
          <t>Zhang7</t>
        </is>
      </c>
      <c r="C25" s="7" t="n">
        <v>1551</v>
      </c>
      <c r="D25" s="7" t="n">
        <v>7</v>
      </c>
      <c r="E25" s="7">
        <f>C25+D25</f>
        <v/>
      </c>
      <c r="F25" s="10" t="n"/>
    </row>
    <row r="26" ht="18" customHeight="1" s="14">
      <c r="A26" s="9" t="n">
        <v>42514</v>
      </c>
      <c r="B26" s="7" t="inlineStr">
        <is>
          <t>Zhang 8</t>
        </is>
      </c>
      <c r="C26" s="7" t="n">
        <v>1040</v>
      </c>
      <c r="D26" s="7" t="n">
        <v>6</v>
      </c>
      <c r="E26" s="7">
        <f>C26+D26</f>
        <v/>
      </c>
      <c r="F26" s="10" t="n"/>
    </row>
    <row r="27" ht="18" customHeight="1" s="14">
      <c r="A27" s="9" t="n">
        <v>42515</v>
      </c>
      <c r="B27" s="7" t="inlineStr">
        <is>
          <t>Zhang 1</t>
        </is>
      </c>
      <c r="C27" s="7" t="n">
        <v>1545</v>
      </c>
      <c r="D27" s="7" t="n">
        <v>4</v>
      </c>
      <c r="E27" s="7">
        <f>C27+D27</f>
        <v/>
      </c>
      <c r="F27" s="10" t="n"/>
    </row>
    <row r="28" ht="18" customHeight="1" s="14">
      <c r="A28" s="9" t="n">
        <v>42515</v>
      </c>
      <c r="B28" s="7" t="inlineStr">
        <is>
          <t>Zhang 2</t>
        </is>
      </c>
      <c r="C28" s="7" t="n">
        <v>1129</v>
      </c>
      <c r="D28" s="7" t="n">
        <v>10</v>
      </c>
      <c r="E28" s="7">
        <f>C28+D28</f>
        <v/>
      </c>
      <c r="F28" s="10" t="n"/>
    </row>
    <row r="29" ht="18" customHeight="1" s="14">
      <c r="A29" s="9" t="n">
        <v>42515</v>
      </c>
      <c r="B29" s="7" t="inlineStr">
        <is>
          <t>Zhang3</t>
        </is>
      </c>
      <c r="C29" s="7" t="n">
        <v>1129</v>
      </c>
      <c r="D29" s="7" t="n">
        <v>9</v>
      </c>
      <c r="E29" s="7">
        <f>C29+D29</f>
        <v/>
      </c>
      <c r="F29" s="10" t="n"/>
    </row>
    <row r="30" ht="18" customHeight="1" s="14">
      <c r="A30" s="9" t="n">
        <v>42515</v>
      </c>
      <c r="B30" s="7" t="inlineStr">
        <is>
          <t>Zhang4</t>
        </is>
      </c>
      <c r="C30" s="7" t="n">
        <v>1380</v>
      </c>
      <c r="D30" s="7" t="n">
        <v>4</v>
      </c>
      <c r="E30" s="7">
        <f>C30+D30</f>
        <v/>
      </c>
      <c r="F30" s="10" t="n"/>
    </row>
    <row r="31" ht="18" customHeight="1" s="14">
      <c r="A31" s="9" t="n">
        <v>42515</v>
      </c>
      <c r="B31" s="7" t="inlineStr">
        <is>
          <t>Zhang5</t>
        </is>
      </c>
      <c r="C31" s="7" t="n">
        <v>1269</v>
      </c>
      <c r="D31" s="7" t="n">
        <v>3</v>
      </c>
      <c r="E31" s="7">
        <f>C31+D31</f>
        <v/>
      </c>
      <c r="F31" s="10" t="n"/>
    </row>
    <row r="32" ht="18" customHeight="1" s="14">
      <c r="A32" s="9" t="n">
        <v>42515</v>
      </c>
      <c r="B32" s="7" t="inlineStr">
        <is>
          <t>Zhang 6</t>
        </is>
      </c>
      <c r="C32" s="7" t="n">
        <v>1572</v>
      </c>
      <c r="D32" s="7" t="n">
        <v>2</v>
      </c>
      <c r="E32" s="7">
        <f>C32+D32</f>
        <v/>
      </c>
      <c r="F32" s="10" t="n"/>
    </row>
    <row r="33" ht="18" customHeight="1" s="14">
      <c r="A33" s="9" t="n">
        <v>42515</v>
      </c>
      <c r="B33" s="7" t="inlineStr">
        <is>
          <t>Zhang7</t>
        </is>
      </c>
      <c r="C33" s="7" t="n">
        <v>1219</v>
      </c>
      <c r="D33" s="7" t="n">
        <v>4</v>
      </c>
      <c r="E33" s="7">
        <f>C33+D33</f>
        <v/>
      </c>
      <c r="F33" s="10" t="n"/>
    </row>
    <row r="34" ht="18" customHeight="1" s="14">
      <c r="A34" s="9" t="n">
        <v>42515</v>
      </c>
      <c r="B34" s="7" t="inlineStr">
        <is>
          <t>Zhang 8</t>
        </is>
      </c>
      <c r="C34" s="7" t="n">
        <v>1053</v>
      </c>
      <c r="D34" s="7" t="n">
        <v>4</v>
      </c>
      <c r="E34" s="7">
        <f>C34+D34</f>
        <v/>
      </c>
      <c r="F34" s="10" t="n"/>
    </row>
    <row r="35" ht="18" customHeight="1" s="14">
      <c r="A35" s="9" t="n">
        <v>42516</v>
      </c>
      <c r="B35" s="7" t="inlineStr">
        <is>
          <t>Zhang 1</t>
        </is>
      </c>
      <c r="C35" s="7" t="n">
        <v>1192</v>
      </c>
      <c r="D35" s="7" t="n">
        <v>4</v>
      </c>
      <c r="E35" s="7">
        <f>C35+D35</f>
        <v/>
      </c>
      <c r="F35" s="10" t="n"/>
    </row>
    <row r="36" ht="18" customHeight="1" s="14">
      <c r="A36" s="9" t="n">
        <v>42516</v>
      </c>
      <c r="B36" s="7" t="inlineStr">
        <is>
          <t>Zhang 2</t>
        </is>
      </c>
      <c r="C36" s="7" t="n">
        <v>1405</v>
      </c>
      <c r="D36" s="7" t="n">
        <v>1</v>
      </c>
      <c r="E36" s="7">
        <f>C36+D36</f>
        <v/>
      </c>
      <c r="F36" s="10" t="n"/>
    </row>
    <row r="37" ht="18" customHeight="1" s="14">
      <c r="A37" s="9" t="n">
        <v>42516</v>
      </c>
      <c r="B37" s="7" t="inlineStr">
        <is>
          <t>Zhang3</t>
        </is>
      </c>
      <c r="C37" s="7" t="n">
        <v>1127</v>
      </c>
      <c r="D37" s="7" t="n">
        <v>7</v>
      </c>
      <c r="E37" s="7">
        <f>C37+D37</f>
        <v/>
      </c>
      <c r="F37" s="10" t="n"/>
    </row>
    <row r="38" ht="18" customHeight="1" s="14">
      <c r="A38" s="9" t="n">
        <v>42516</v>
      </c>
      <c r="B38" s="7" t="inlineStr">
        <is>
          <t>Zhang4</t>
        </is>
      </c>
      <c r="C38" s="7" t="n">
        <v>1508</v>
      </c>
      <c r="D38" s="7" t="n">
        <v>1</v>
      </c>
      <c r="E38" s="7">
        <f>C38+D38</f>
        <v/>
      </c>
      <c r="F38" s="10" t="n"/>
    </row>
    <row r="39" ht="18" customHeight="1" s="14">
      <c r="A39" s="9" t="n">
        <v>42516</v>
      </c>
      <c r="B39" s="7" t="inlineStr">
        <is>
          <t>Zhang5</t>
        </is>
      </c>
      <c r="C39" s="7" t="n">
        <v>1208</v>
      </c>
      <c r="D39" s="7" t="n">
        <v>2</v>
      </c>
      <c r="E39" s="7">
        <f>C39+D39</f>
        <v/>
      </c>
      <c r="F39" s="10" t="n"/>
    </row>
    <row r="40" ht="18" customHeight="1" s="14">
      <c r="A40" s="9" t="n">
        <v>42516</v>
      </c>
      <c r="B40" s="7" t="inlineStr">
        <is>
          <t>Zhang 6</t>
        </is>
      </c>
      <c r="C40" s="7" t="n">
        <v>1518</v>
      </c>
      <c r="D40" s="7" t="n">
        <v>2</v>
      </c>
      <c r="E40" s="7">
        <f>C40+D40</f>
        <v/>
      </c>
      <c r="F40" s="10" t="n"/>
    </row>
    <row r="41" ht="18" customHeight="1" s="14">
      <c r="A41" s="9" t="n">
        <v>42516</v>
      </c>
      <c r="B41" s="7" t="inlineStr">
        <is>
          <t>Zhang7</t>
        </is>
      </c>
      <c r="C41" s="7" t="n">
        <v>1564</v>
      </c>
      <c r="D41" s="7" t="n">
        <v>8</v>
      </c>
      <c r="E41" s="7">
        <f>C41+D41</f>
        <v/>
      </c>
      <c r="F41" s="10" t="n"/>
    </row>
    <row r="42" ht="18" customHeight="1" s="14">
      <c r="A42" s="9" t="n">
        <v>42516</v>
      </c>
      <c r="B42" s="7" t="inlineStr">
        <is>
          <t>Zhang 8</t>
        </is>
      </c>
      <c r="C42" s="7" t="n">
        <v>1339</v>
      </c>
      <c r="D42" s="7" t="n">
        <v>3</v>
      </c>
      <c r="E42" s="7">
        <f>C42+D42</f>
        <v/>
      </c>
      <c r="F42" s="10" t="n"/>
    </row>
    <row r="43" ht="18" customHeight="1" s="14">
      <c r="A43" s="9" t="n">
        <v>42517</v>
      </c>
      <c r="B43" s="7" t="inlineStr">
        <is>
          <t>Zhang 1</t>
        </is>
      </c>
      <c r="C43" s="7" t="n">
        <v>1477</v>
      </c>
      <c r="D43" s="7" t="n">
        <v>1</v>
      </c>
      <c r="E43" s="7">
        <f>C43+D43</f>
        <v/>
      </c>
      <c r="F43" s="10" t="n"/>
    </row>
    <row r="44" ht="18" customHeight="1" s="14">
      <c r="A44" s="9" t="n">
        <v>42517</v>
      </c>
      <c r="B44" s="7" t="inlineStr">
        <is>
          <t>Zhang 2</t>
        </is>
      </c>
      <c r="C44" s="7" t="n">
        <v>1521</v>
      </c>
      <c r="D44" s="7" t="n">
        <v>3</v>
      </c>
      <c r="E44" s="7">
        <f>C44+D44</f>
        <v/>
      </c>
      <c r="F44" s="10" t="n"/>
    </row>
    <row r="45" ht="18" customHeight="1" s="14">
      <c r="A45" s="9" t="n">
        <v>42517</v>
      </c>
      <c r="B45" s="7" t="inlineStr">
        <is>
          <t>Zhang3</t>
        </is>
      </c>
      <c r="C45" s="7" t="n">
        <v>1589</v>
      </c>
      <c r="D45" s="7" t="n">
        <v>3</v>
      </c>
      <c r="E45" s="7">
        <f>C45+D45</f>
        <v/>
      </c>
      <c r="F45" s="10" t="n"/>
    </row>
    <row r="46" ht="18" customHeight="1" s="14">
      <c r="A46" s="9" t="n">
        <v>42517</v>
      </c>
      <c r="B46" s="7" t="inlineStr">
        <is>
          <t>Zhang4</t>
        </is>
      </c>
      <c r="C46" s="7" t="n">
        <v>1133</v>
      </c>
      <c r="D46" s="7" t="n">
        <v>7</v>
      </c>
      <c r="E46" s="7">
        <f>C46+D46</f>
        <v/>
      </c>
      <c r="F46" s="10" t="n"/>
    </row>
    <row r="47" ht="18" customHeight="1" s="14">
      <c r="A47" s="9" t="n">
        <v>42517</v>
      </c>
      <c r="B47" s="7" t="inlineStr">
        <is>
          <t>Zhang5</t>
        </is>
      </c>
      <c r="C47" s="7" t="n">
        <v>1350</v>
      </c>
      <c r="D47" s="7" t="n">
        <v>8</v>
      </c>
      <c r="E47" s="7">
        <f>C47+D47</f>
        <v/>
      </c>
      <c r="F47" s="10" t="n"/>
    </row>
    <row r="48" ht="18" customHeight="1" s="14">
      <c r="A48" s="9" t="n">
        <v>42517</v>
      </c>
      <c r="B48" s="7" t="inlineStr">
        <is>
          <t>Zhang 6</t>
        </is>
      </c>
      <c r="C48" s="7" t="n">
        <v>1120</v>
      </c>
      <c r="D48" s="7" t="n">
        <v>10</v>
      </c>
      <c r="E48" s="7">
        <f>C48+D48</f>
        <v/>
      </c>
      <c r="F48" s="10" t="n"/>
    </row>
    <row r="49" ht="18" customHeight="1" s="14">
      <c r="A49" s="9" t="n">
        <v>42517</v>
      </c>
      <c r="B49" s="7" t="inlineStr">
        <is>
          <t>Zhang7</t>
        </is>
      </c>
      <c r="C49" s="7" t="n">
        <v>1382</v>
      </c>
      <c r="D49" s="7" t="n">
        <v>4</v>
      </c>
      <c r="E49" s="7">
        <f>C49+D49</f>
        <v/>
      </c>
      <c r="F49" s="10" t="n"/>
    </row>
    <row r="50" ht="18" customHeight="1" s="14">
      <c r="A50" s="9" t="n">
        <v>42517</v>
      </c>
      <c r="B50" s="7" t="inlineStr">
        <is>
          <t>Zhang 8</t>
        </is>
      </c>
      <c r="C50" s="7" t="n">
        <v>1053</v>
      </c>
      <c r="D50" s="7" t="n">
        <v>9</v>
      </c>
      <c r="E50" s="7">
        <f>C50+D50</f>
        <v/>
      </c>
      <c r="F50" s="10" t="n"/>
    </row>
    <row r="51" ht="18" customHeight="1" s="14">
      <c r="A51" s="9" t="n">
        <v>42518</v>
      </c>
      <c r="B51" s="7" t="inlineStr">
        <is>
          <t>Zhang 1</t>
        </is>
      </c>
      <c r="C51" s="7" t="n">
        <v>1200</v>
      </c>
      <c r="D51" s="7" t="n">
        <v>11</v>
      </c>
      <c r="E51" s="7">
        <f>C51+D51</f>
        <v/>
      </c>
      <c r="F51" s="10" t="n"/>
    </row>
    <row r="52" ht="18" customHeight="1" s="14">
      <c r="A52" s="9" t="n">
        <v>42518</v>
      </c>
      <c r="B52" s="7" t="inlineStr">
        <is>
          <t>Zhang 2</t>
        </is>
      </c>
      <c r="C52" s="7" t="n">
        <v>1367</v>
      </c>
      <c r="D52" s="7" t="n">
        <v>9</v>
      </c>
      <c r="E52" s="7">
        <f>C52+D52</f>
        <v/>
      </c>
      <c r="F52" s="10" t="n"/>
    </row>
    <row r="53" ht="18" customHeight="1" s="14">
      <c r="A53" s="9" t="n">
        <v>42518</v>
      </c>
      <c r="B53" s="7" t="inlineStr">
        <is>
          <t>Zhang3</t>
        </is>
      </c>
      <c r="C53" s="7" t="n">
        <v>1443</v>
      </c>
      <c r="D53" s="7" t="n">
        <v>5</v>
      </c>
      <c r="E53" s="7">
        <f>C53+D53</f>
        <v/>
      </c>
      <c r="F53" s="10" t="n"/>
    </row>
    <row r="54" ht="18" customHeight="1" s="14">
      <c r="A54" s="9" t="n">
        <v>42518</v>
      </c>
      <c r="B54" s="7" t="inlineStr">
        <is>
          <t>Zhang4</t>
        </is>
      </c>
      <c r="C54" s="7" t="n">
        <v>1352</v>
      </c>
      <c r="D54" s="7" t="n">
        <v>10</v>
      </c>
      <c r="E54" s="7">
        <f>C54+D54</f>
        <v/>
      </c>
      <c r="F54" s="10" t="n"/>
    </row>
    <row r="55" ht="18" customHeight="1" s="14">
      <c r="A55" s="9" t="n">
        <v>42518</v>
      </c>
      <c r="B55" s="7" t="inlineStr">
        <is>
          <t>Zhang5</t>
        </is>
      </c>
      <c r="C55" s="7" t="n">
        <v>1134</v>
      </c>
      <c r="D55" s="7" t="n">
        <v>9</v>
      </c>
      <c r="E55" s="7">
        <f>C55+D55</f>
        <v/>
      </c>
      <c r="F55" s="10" t="n"/>
    </row>
    <row r="56" ht="18" customHeight="1" s="14">
      <c r="A56" s="9" t="n">
        <v>42518</v>
      </c>
      <c r="B56" s="7" t="inlineStr">
        <is>
          <t>Zhang 6</t>
        </is>
      </c>
      <c r="C56" s="7" t="n">
        <v>1203</v>
      </c>
      <c r="D56" s="7" t="n">
        <v>11</v>
      </c>
      <c r="E56" s="7">
        <f>C56+D56</f>
        <v/>
      </c>
      <c r="F56" s="10" t="n"/>
    </row>
    <row r="57" ht="18" customHeight="1" s="14">
      <c r="A57" s="9" t="n">
        <v>42518</v>
      </c>
      <c r="B57" s="7" t="inlineStr">
        <is>
          <t>Zhang7</t>
        </is>
      </c>
      <c r="C57" s="7" t="n">
        <v>1157</v>
      </c>
      <c r="D57" s="7" t="n">
        <v>6</v>
      </c>
      <c r="E57" s="7">
        <f>C57+D57</f>
        <v/>
      </c>
      <c r="F57" s="10" t="n"/>
    </row>
    <row r="58" ht="18" customHeight="1" s="14">
      <c r="A58" s="9" t="n">
        <v>42518</v>
      </c>
      <c r="B58" s="7" t="inlineStr">
        <is>
          <t>Zhang 8</t>
        </is>
      </c>
      <c r="C58" s="7" t="n">
        <v>1012</v>
      </c>
      <c r="D58" s="7" t="n">
        <v>4</v>
      </c>
      <c r="E58" s="7">
        <f>C58+D58</f>
        <v/>
      </c>
      <c r="F58" s="10" t="n"/>
    </row>
    <row r="59" ht="18" customHeight="1" s="14">
      <c r="A59" s="9" t="n">
        <v>42519</v>
      </c>
      <c r="B59" s="7" t="inlineStr">
        <is>
          <t>Zhang 1</t>
        </is>
      </c>
      <c r="C59" s="7" t="n">
        <v>1392</v>
      </c>
      <c r="D59" s="7" t="n">
        <v>7</v>
      </c>
      <c r="E59" s="7">
        <f>C59+D59</f>
        <v/>
      </c>
      <c r="F59" s="10" t="n"/>
    </row>
    <row r="60" ht="18" customHeight="1" s="14">
      <c r="A60" s="9" t="n">
        <v>42519</v>
      </c>
      <c r="B60" s="7" t="inlineStr">
        <is>
          <t>Zhang 2</t>
        </is>
      </c>
      <c r="C60" s="7" t="n">
        <v>1428</v>
      </c>
      <c r="D60" s="7" t="n">
        <v>6</v>
      </c>
      <c r="E60" s="7">
        <f>C60+D60</f>
        <v/>
      </c>
      <c r="F60" s="10" t="n"/>
    </row>
    <row r="61" ht="18" customHeight="1" s="14">
      <c r="A61" s="9" t="n">
        <v>42519</v>
      </c>
      <c r="B61" s="7" t="inlineStr">
        <is>
          <t>Zhang3</t>
        </is>
      </c>
      <c r="C61" s="7" t="n">
        <v>1206</v>
      </c>
      <c r="D61" s="7" t="n">
        <v>6</v>
      </c>
      <c r="E61" s="7">
        <f>C61+D61</f>
        <v/>
      </c>
      <c r="F61" s="10" t="n"/>
    </row>
    <row r="62" ht="18" customHeight="1" s="14">
      <c r="A62" s="9" t="n">
        <v>42519</v>
      </c>
      <c r="B62" s="7" t="inlineStr">
        <is>
          <t>Zhang4</t>
        </is>
      </c>
      <c r="C62" s="7" t="n">
        <v>1158</v>
      </c>
      <c r="D62" s="7" t="n">
        <v>5</v>
      </c>
      <c r="E62" s="7">
        <f>C62+D62</f>
        <v/>
      </c>
      <c r="F62" s="10" t="n"/>
    </row>
    <row r="63" ht="18" customHeight="1" s="14">
      <c r="A63" s="9" t="n">
        <v>42519</v>
      </c>
      <c r="B63" s="7" t="inlineStr">
        <is>
          <t>Zhang5</t>
        </is>
      </c>
      <c r="C63" s="7" t="n">
        <v>1188</v>
      </c>
      <c r="D63" s="7" t="n">
        <v>7</v>
      </c>
      <c r="E63" s="7">
        <f>C63+D63</f>
        <v/>
      </c>
      <c r="F63" s="10" t="n"/>
    </row>
    <row r="64" ht="18" customHeight="1" s="14">
      <c r="A64" s="9" t="n">
        <v>42519</v>
      </c>
      <c r="B64" s="7" t="inlineStr">
        <is>
          <t>Zhang 6</t>
        </is>
      </c>
      <c r="C64" s="7" t="n">
        <v>1519</v>
      </c>
      <c r="D64" s="7" t="n">
        <v>2</v>
      </c>
      <c r="E64" s="7">
        <f>C64+D64</f>
        <v/>
      </c>
      <c r="F64" s="10" t="n"/>
    </row>
    <row r="65" ht="18" customHeight="1" s="14">
      <c r="A65" s="9" t="n">
        <v>42519</v>
      </c>
      <c r="B65" s="7" t="inlineStr">
        <is>
          <t>Zhang7</t>
        </is>
      </c>
      <c r="C65" s="7" t="n">
        <v>1493</v>
      </c>
      <c r="D65" s="7" t="n">
        <v>3</v>
      </c>
      <c r="E65" s="7">
        <f>C65+D65</f>
        <v/>
      </c>
      <c r="F65" s="10" t="n"/>
    </row>
    <row r="66" ht="18" customHeight="1" s="14">
      <c r="A66" s="9" t="n">
        <v>42519</v>
      </c>
      <c r="B66" s="7" t="inlineStr">
        <is>
          <t>Zhang 8</t>
        </is>
      </c>
      <c r="C66" s="7" t="n">
        <v>1096</v>
      </c>
      <c r="D66" s="7" t="n">
        <v>8</v>
      </c>
      <c r="E66" s="7">
        <f>C66+D66</f>
        <v/>
      </c>
      <c r="F66" s="10" t="n"/>
    </row>
  </sheetData>
  <autoFilter ref="A2:F66"/>
  <mergeCells count="3">
    <mergeCell ref="C1:E1"/>
    <mergeCell ref="B1:B2"/>
    <mergeCell ref="A1:A2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K14"/>
  <sheetViews>
    <sheetView showGridLines="0" topLeftCell="A1" workbookViewId="0">
      <selection activeCell="D1" sqref="D1"/>
    </sheetView>
  </sheetViews>
  <sheetFormatPr baseColWidth="8" defaultColWidth="9.00390625" defaultRowHeight="13.5"/>
  <cols>
    <col width="4.375" customWidth="1" min="1" max="1"/>
    <col width="26.50390625" customWidth="1" min="2" max="2"/>
    <col width="18.50390625" customWidth="1" min="3" max="3"/>
    <col width="12.75390625" customWidth="1" min="4" max="11"/>
  </cols>
  <sheetData>
    <row r="1" ht="9" customHeight="1" s="14"/>
    <row r="2" ht="9" customHeight="1" s="14"/>
    <row r="3" ht="32.25" customHeight="1" s="14">
      <c r="B3" s="3" t="inlineStr">
        <is>
          <t>Date</t>
        </is>
      </c>
      <c r="C3" s="2" t="n">
        <v>42517</v>
      </c>
      <c r="D3" s="3" t="inlineStr">
        <is>
          <t>Daily Target Production</t>
        </is>
      </c>
      <c r="E3" s="18" t="n"/>
      <c r="F3" s="3" t="n">
        <v>10800</v>
      </c>
      <c r="G3" s="18" t="n"/>
      <c r="H3" s="3" t="inlineStr">
        <is>
          <t>Daily Target Yield Rate</t>
        </is>
      </c>
      <c r="I3" s="18" t="n"/>
      <c r="J3" s="6" t="n">
        <v>0.995</v>
      </c>
      <c r="K3" s="18" t="n"/>
    </row>
    <row r="4" ht="32.25" customHeight="1" s="14">
      <c r="B4" s="4" t="inlineStr">
        <is>
          <t>Name</t>
        </is>
      </c>
      <c r="C4" s="4" t="inlineStr">
        <is>
          <t>Zhang 1</t>
        </is>
      </c>
      <c r="D4" s="4" t="inlineStr">
        <is>
          <t>Zhang 2</t>
        </is>
      </c>
      <c r="E4" s="4" t="inlineStr">
        <is>
          <t>Zhang3</t>
        </is>
      </c>
      <c r="F4" s="4" t="inlineStr">
        <is>
          <t>Zhang4</t>
        </is>
      </c>
      <c r="G4" s="4" t="inlineStr">
        <is>
          <t>Zhang5</t>
        </is>
      </c>
      <c r="H4" s="4" t="inlineStr">
        <is>
          <t>Zhang 6</t>
        </is>
      </c>
      <c r="I4" s="4" t="inlineStr">
        <is>
          <t>Zhang7</t>
        </is>
      </c>
      <c r="J4" s="4" t="inlineStr">
        <is>
          <t>Zhang 8</t>
        </is>
      </c>
      <c r="K4" s="4" t="inlineStr">
        <is>
          <t>Total</t>
        </is>
      </c>
    </row>
    <row r="5" ht="32.25" customHeight="1" s="14">
      <c r="B5" s="3" t="inlineStr">
        <is>
          <t>Qualified Production Quantity</t>
        </is>
      </c>
      <c r="C5" s="3">
        <f>SUMIFS(Production_Record_Table!$C:$C,Production_Record_Table!$B:$B,Production_Analysis_Table!C4,Production_Record_Table!$A:$A,Production_Analysis_Table!$C$3)</f>
        <v/>
      </c>
      <c r="D5" s="3">
        <f>SUMIFS(Production_Record_Table!$C:$C,Production_Record_Table!$B:$B,Production_Analysis_Table!D4,Production_Record_Table!$A:$A,Production_Analysis_Table!$C$3)</f>
        <v/>
      </c>
      <c r="E5" s="3">
        <f>SUMIFS(Production_Record_Table!$C:$C,Production_Record_Table!$B:$B,Production_Analysis_Table!E4,Production_Record_Table!$A:$A,Production_Analysis_Table!$C$3)</f>
        <v/>
      </c>
      <c r="F5" s="3">
        <f>SUMIFS(Production_Record_Table!$C:$C,Production_Record_Table!$B:$B,Production_Analysis_Table!F4,Production_Record_Table!$A:$A,Production_Analysis_Table!$C$3)</f>
        <v/>
      </c>
      <c r="G5" s="3">
        <f>SUMIFS(Production_Record_Table!$C:$C,Production_Record_Table!$B:$B,Production_Analysis_Table!G4,Production_Record_Table!$A:$A,Production_Analysis_Table!$C$3)</f>
        <v/>
      </c>
      <c r="H5" s="3">
        <f>SUMIFS(Production_Record_Table!$C:$C,Production_Record_Table!$B:$B,Production_Analysis_Table!H4,Production_Record_Table!$A:$A,Production_Analysis_Table!$C$3)</f>
        <v/>
      </c>
      <c r="I5" s="3">
        <f>SUMIFS(Production_Record_Table!$C:$C,Production_Record_Table!$B:$B,Production_Analysis_Table!I4,Production_Record_Table!$A:$A,Production_Analysis_Table!$C$3)</f>
        <v/>
      </c>
      <c r="J5" s="3">
        <f>SUMIFS(Production_Record_Table!$C:$C,Production_Record_Table!$B:$B,Production_Analysis_Table!J4,Production_Record_Table!$A:$A,Production_Analysis_Table!$C$3)</f>
        <v/>
      </c>
      <c r="K5" s="3">
        <f>SUM(C5:J5)</f>
        <v/>
      </c>
    </row>
    <row r="6" ht="32.25" customHeight="1" s="14">
      <c r="B6" s="3" t="inlineStr">
        <is>
          <t>Defective Production Quantity</t>
        </is>
      </c>
      <c r="C6" s="3">
        <f>SUMIFS(Production_Record_Table!$D:$D,Production_Record_Table!$B:$B,Production_Analysis_Table!C4,Production_Record_Table!$A:$A,Production_Analysis_Table!$C$3)</f>
        <v/>
      </c>
      <c r="D6" s="3">
        <f>SUMIFS(Production_Record_Table!$D:$D,Production_Record_Table!$B:$B,Production_Analysis_Table!D4,Production_Record_Table!$A:$A,Production_Analysis_Table!$C$3)</f>
        <v/>
      </c>
      <c r="E6" s="3">
        <f>SUMIFS(Production_Record_Table!$D:$D,Production_Record_Table!$B:$B,Production_Analysis_Table!E4,Production_Record_Table!$A:$A,Production_Analysis_Table!$C$3)</f>
        <v/>
      </c>
      <c r="F6" s="3">
        <f>SUMIFS(Production_Record_Table!$D:$D,Production_Record_Table!$B:$B,Production_Analysis_Table!F4,Production_Record_Table!$A:$A,Production_Analysis_Table!$C$3)</f>
        <v/>
      </c>
      <c r="G6" s="3">
        <f>SUMIFS(Production_Record_Table!$D:$D,Production_Record_Table!$B:$B,Production_Analysis_Table!G4,Production_Record_Table!$A:$A,Production_Analysis_Table!$C$3)</f>
        <v/>
      </c>
      <c r="H6" s="3">
        <f>SUMIFS(Production_Record_Table!$D:$D,Production_Record_Table!$B:$B,Production_Analysis_Table!H4,Production_Record_Table!$A:$A,Production_Analysis_Table!$C$3)</f>
        <v/>
      </c>
      <c r="I6" s="3">
        <f>SUMIFS(Production_Record_Table!$D:$D,Production_Record_Table!$B:$B,Production_Analysis_Table!I4,Production_Record_Table!$A:$A,Production_Analysis_Table!$C$3)</f>
        <v/>
      </c>
      <c r="J6" s="3">
        <f>SUMIFS(Production_Record_Table!$D:$D,Production_Record_Table!$B:$B,Production_Analysis_Table!J4,Production_Record_Table!$A:$A,Production_Analysis_Table!$C$3)</f>
        <v/>
      </c>
      <c r="K6" s="3">
        <f>SUM(C6:J6)</f>
        <v/>
      </c>
    </row>
    <row r="7" ht="32.25" customHeight="1" s="14">
      <c r="B7" s="4" t="inlineStr">
        <is>
          <t>Production quantity</t>
        </is>
      </c>
      <c r="C7" s="4">
        <f>C6+C5</f>
        <v/>
      </c>
      <c r="D7" s="4">
        <f>D6+D5</f>
        <v/>
      </c>
      <c r="E7" s="4">
        <f>E6+E5</f>
        <v/>
      </c>
      <c r="F7" s="4">
        <f>F6+F5</f>
        <v/>
      </c>
      <c r="G7" s="4">
        <f>G6+G5</f>
        <v/>
      </c>
      <c r="H7" s="4">
        <f>H6+H5</f>
        <v/>
      </c>
      <c r="I7" s="4">
        <f>I6+I5</f>
        <v/>
      </c>
      <c r="J7" s="4">
        <f>J6+J5</f>
        <v/>
      </c>
      <c r="K7" s="4">
        <f>K6+K5</f>
        <v/>
      </c>
    </row>
    <row r="8" ht="32.25" customHeight="1" s="14">
      <c r="B8" s="3" t="inlineStr">
        <is>
          <t>Production Ranking</t>
        </is>
      </c>
      <c r="C8" s="3">
        <f>RANK(C7,$C$7:$J$7)</f>
        <v/>
      </c>
      <c r="D8" s="3">
        <f>RANK(D7,$C$7:$J$7)</f>
        <v/>
      </c>
      <c r="E8" s="3">
        <f>RANK(E7,$C$7:$J$7)</f>
        <v/>
      </c>
      <c r="F8" s="3">
        <f>RANK(F7,$C$7:$J$7)</f>
        <v/>
      </c>
      <c r="G8" s="3">
        <f>RANK(G7,$C$7:$J$7)</f>
        <v/>
      </c>
      <c r="H8" s="3">
        <f>RANK(H7,$C$7:$J$7)</f>
        <v/>
      </c>
      <c r="I8" s="3">
        <f>RANK(I7,$C$7:$J$7)</f>
        <v/>
      </c>
      <c r="J8" s="3">
        <f>RANK(J7,$C$7:$J$7)</f>
        <v/>
      </c>
      <c r="K8" s="3" t="inlineStr">
        <is>
          <t>\</t>
        </is>
      </c>
    </row>
    <row r="9" ht="32.25" customHeight="1" s="14">
      <c r="B9" s="4" t="inlineStr">
        <is>
          <t>Yield Rate</t>
        </is>
      </c>
      <c r="C9" s="5">
        <f>1-C6/C5</f>
        <v/>
      </c>
      <c r="D9" s="5">
        <f>1-D6/D5</f>
        <v/>
      </c>
      <c r="E9" s="5">
        <f>1-E6/E5</f>
        <v/>
      </c>
      <c r="F9" s="5">
        <f>1-F6/F5</f>
        <v/>
      </c>
      <c r="G9" s="5">
        <f>1-G6/G5</f>
        <v/>
      </c>
      <c r="H9" s="5">
        <f>1-H6/H5</f>
        <v/>
      </c>
      <c r="I9" s="5">
        <f>1-I6/I5</f>
        <v/>
      </c>
      <c r="J9" s="5">
        <f>1-J6/J5</f>
        <v/>
      </c>
      <c r="K9" s="5">
        <f>1-K6/K5</f>
        <v/>
      </c>
    </row>
    <row r="10" ht="32.25" customHeight="1" s="14">
      <c r="B10" s="3" t="inlineStr">
        <is>
          <t>Yield Rate Ranking</t>
        </is>
      </c>
      <c r="C10" s="3">
        <f>RANK(C9,$C$9:$J$9)</f>
        <v/>
      </c>
      <c r="D10" s="3">
        <f>RANK(D9,$C$9:$J$9)</f>
        <v/>
      </c>
      <c r="E10" s="3">
        <f>RANK(E9,$C$9:$J$9)</f>
        <v/>
      </c>
      <c r="F10" s="3">
        <f>RANK(F9,$C$9:$J$9)</f>
        <v/>
      </c>
      <c r="G10" s="3">
        <f>RANK(G9,$C$9:$J$9)</f>
        <v/>
      </c>
      <c r="H10" s="3">
        <f>RANK(H9,$C$9:$J$9)</f>
        <v/>
      </c>
      <c r="I10" s="3">
        <f>RANK(I9,$C$9:$J$9)</f>
        <v/>
      </c>
      <c r="J10" s="3">
        <f>RANK(J9,$C$9:$J$9)</f>
        <v/>
      </c>
      <c r="K10" s="3" t="inlineStr">
        <is>
          <t>\</t>
        </is>
      </c>
    </row>
    <row r="11" ht="32.25" customHeight="1" s="14">
      <c r="B11" s="4" t="inlineStr">
        <is>
          <t>Total Production This Month</t>
        </is>
      </c>
      <c r="C11" s="4">
        <f>SUMPRODUCT((MONTH(Production_Record_Table!$A$2:$A$10000)=MONTH($C$3))*(Production_Record_Table!$B$2:$B$10000=Production_Analysis_Table!C4),Production_Record_Table!$E$2:$E$10000)</f>
        <v/>
      </c>
      <c r="D11" s="4">
        <f>SUMPRODUCT((MONTH(Production_Record_Table!$A$2:$A$10000)=MONTH($C$3))*(Production_Record_Table!$B$2:$B$10000=Production_Analysis_Table!D4),Production_Record_Table!$E$2:$E$10000)</f>
        <v/>
      </c>
      <c r="E11" s="4">
        <f>SUMPRODUCT((MONTH(Production_Record_Table!$A$2:$A$10000)=MONTH($C$3))*(Production_Record_Table!$B$2:$B$10000=Production_Analysis_Table!E4),Production_Record_Table!$E$2:$E$10000)</f>
        <v/>
      </c>
      <c r="F11" s="4">
        <f>SUMPRODUCT((MONTH(Production_Record_Table!$A$2:$A$10000)=MONTH($C$3))*(Production_Record_Table!$B$2:$B$10000=Production_Analysis_Table!F4),Production_Record_Table!$E$2:$E$10000)</f>
        <v/>
      </c>
      <c r="G11" s="4">
        <f>SUMPRODUCT((MONTH(Production_Record_Table!$A$2:$A$10000)=MONTH($C$3))*(Production_Record_Table!$B$2:$B$10000=Production_Analysis_Table!G4),Production_Record_Table!$E$2:$E$10000)</f>
        <v/>
      </c>
      <c r="H11" s="4">
        <f>SUMPRODUCT((MONTH(Production_Record_Table!$A$2:$A$10000)=MONTH($C$3))*(Production_Record_Table!$B$2:$B$10000=Production_Analysis_Table!H4),Production_Record_Table!$E$2:$E$10000)</f>
        <v/>
      </c>
      <c r="I11" s="4">
        <f>SUMPRODUCT((MONTH(Production_Record_Table!$A$2:$A$10000)=MONTH($C$3))*(Production_Record_Table!$B$2:$B$10000=Production_Analysis_Table!I4),Production_Record_Table!$E$2:$E$10000)</f>
        <v/>
      </c>
      <c r="J11" s="4">
        <f>SUMPRODUCT((MONTH(Production_Record_Table!$A$2:$A$10000)=MONTH($C$3))*(Production_Record_Table!$B$2:$B$10000=Production_Analysis_Table!J4),Production_Record_Table!$E$2:$E$10000)</f>
        <v/>
      </c>
      <c r="K11" s="4">
        <f>SUM(C11:J11)</f>
        <v/>
      </c>
    </row>
    <row r="12" ht="32.25" customHeight="1" s="14">
      <c r="B12" s="3" t="inlineStr">
        <is>
          <t>Monthly Cumulative Production Ranking</t>
        </is>
      </c>
      <c r="C12" s="3">
        <f>RANK(C11,$C$11:$J$11)</f>
        <v/>
      </c>
      <c r="D12" s="3">
        <f>RANK(D11,$C$11:$J$11)</f>
        <v/>
      </c>
      <c r="E12" s="3">
        <f>RANK(E11,$C$11:$J$11)</f>
        <v/>
      </c>
      <c r="F12" s="3">
        <f>RANK(F11,$C$11:$J$11)</f>
        <v/>
      </c>
      <c r="G12" s="3">
        <f>RANK(G11,$C$11:$J$11)</f>
        <v/>
      </c>
      <c r="H12" s="3">
        <f>RANK(H11,$C$11:$J$11)</f>
        <v/>
      </c>
      <c r="I12" s="3">
        <f>RANK(I11,$C$11:$J$11)</f>
        <v/>
      </c>
      <c r="J12" s="3">
        <f>RANK(J11,$C$11:$J$11)</f>
        <v/>
      </c>
      <c r="K12" s="3" t="inlineStr">
        <is>
          <t>\</t>
        </is>
      </c>
    </row>
    <row r="13" ht="32.25" customHeight="1" s="14">
      <c r="B13" s="4" t="inlineStr">
        <is>
          <t>Cumulative pass rate this month</t>
        </is>
      </c>
      <c r="C13" s="5">
        <f>1-SUMPRODUCT((MONTH(Production_Record_Table!$A$2:$A$10000)=MONTH($C$3))*(Production_Record_Table!$B$2:$B$10000=Production_Analysis_Table!C4),Production_Record_Table!$D$2:$D$10000)/(SUMPRODUCT((MONTH(Production_Record_Table!$A$2:$A$10000)=MONTH($C$3))*(Production_Record_Table!$B$2:$B$10000=Production_Analysis_Table!C4),Production_Record_Table!$E$2:$E$10000))</f>
        <v/>
      </c>
      <c r="D13" s="5">
        <f>1-SUMPRODUCT((MONTH(Production_Record_Table!$A$2:$A$10000)=MONTH($C$3))*(Production_Record_Table!$B$2:$B$10000=Production_Analysis_Table!D4),Production_Record_Table!$D$2:$D$10000)/(SUMPRODUCT((MONTH(Production_Record_Table!$A$2:$A$10000)=MONTH($C$3))*(Production_Record_Table!$B$2:$B$10000=Production_Analysis_Table!D4),Production_Record_Table!$E$2:$E$10000))</f>
        <v/>
      </c>
      <c r="E13" s="5">
        <f>1-SUMPRODUCT((MONTH(Production_Record_Table!$A$2:$A$10000)=MONTH($C$3))*(Production_Record_Table!$B$2:$B$10000=Production_Analysis_Table!E4),Production_Record_Table!$D$2:$D$10000)/(SUMPRODUCT((MONTH(Production_Record_Table!$A$2:$A$10000)=MONTH($C$3))*(Production_Record_Table!$B$2:$B$10000=Production_Analysis_Table!E4),Production_Record_Table!$E$2:$E$10000))</f>
        <v/>
      </c>
      <c r="F13" s="5">
        <f>1-SUMPRODUCT((MONTH(Production_Record_Table!$A$2:$A$10000)=MONTH($C$3))*(Production_Record_Table!$B$2:$B$10000=Production_Analysis_Table!F4),Production_Record_Table!$D$2:$D$10000)/(SUMPRODUCT((MONTH(Production_Record_Table!$A$2:$A$10000)=MONTH($C$3))*(Production_Record_Table!$B$2:$B$10000=Production_Analysis_Table!F4),Production_Record_Table!$E$2:$E$10000))</f>
        <v/>
      </c>
      <c r="G13" s="5">
        <f>1-SUMPRODUCT((MONTH(Production_Record_Table!$A$2:$A$10000)=MONTH($C$3))*(Production_Record_Table!$B$2:$B$10000=Production_Analysis_Table!G4),Production_Record_Table!$D$2:$D$10000)/(SUMPRODUCT((MONTH(Production_Record_Table!$A$2:$A$10000)=MONTH($C$3))*(Production_Record_Table!$B$2:$B$10000=Production_Analysis_Table!G4),Production_Record_Table!$E$2:$E$10000))</f>
        <v/>
      </c>
      <c r="H13" s="5">
        <f>1-SUMPRODUCT((MONTH(Production_Record_Table!$A$2:$A$10000)=MONTH($C$3))*(Production_Record_Table!$B$2:$B$10000=Production_Analysis_Table!H4),Production_Record_Table!$D$2:$D$10000)/(SUMPRODUCT((MONTH(Production_Record_Table!$A$2:$A$10000)=MONTH($C$3))*(Production_Record_Table!$B$2:$B$10000=Production_Analysis_Table!H4),Production_Record_Table!$E$2:$E$10000))</f>
        <v/>
      </c>
      <c r="I13" s="5">
        <f>1-SUMPRODUCT((MONTH(Production_Record_Table!$A$2:$A$10000)=MONTH($C$3))*(Production_Record_Table!$B$2:$B$10000=Production_Analysis_Table!I4),Production_Record_Table!$D$2:$D$10000)/(SUMPRODUCT((MONTH(Production_Record_Table!$A$2:$A$10000)=MONTH($C$3))*(Production_Record_Table!$B$2:$B$10000=Production_Analysis_Table!I4),Production_Record_Table!$E$2:$E$10000))</f>
        <v/>
      </c>
      <c r="J13" s="5">
        <f>1-SUMPRODUCT((MONTH(Production_Record_Table!$A$2:$A$10000)=MONTH($C$3))*(Production_Record_Table!$B$2:$B$10000=Production_Analysis_Table!J4),Production_Record_Table!$D$2:$D$10000)/(SUMPRODUCT((MONTH(Production_Record_Table!$A$2:$A$10000)=MONTH($C$3))*(Production_Record_Table!$B$2:$B$10000=Production_Analysis_Table!J4),Production_Record_Table!$E$2:$E$10000))</f>
        <v/>
      </c>
      <c r="K13" s="5">
        <f>1-SUMPRODUCT((MONTH(Production_Record_Table!$A$2:$A$10000)=MONTH($C$3))*1,Production_Record_Table!$D$2:$D$10000)/(SUMPRODUCT((MONTH(Production_Record_Table!$A$2:$A$10000)=MONTH($C$3))*1,Production_Record_Table!$E$2:$E$10000))</f>
        <v/>
      </c>
    </row>
    <row r="14" ht="32.25" customHeight="1" s="14">
      <c r="B14" s="3" t="inlineStr">
        <is>
          <t>Ranking of Monthly Cumulative First Pass Rate</t>
        </is>
      </c>
      <c r="C14" s="3">
        <f>RANK(C13,$C$13:$J$13)</f>
        <v/>
      </c>
      <c r="D14" s="3">
        <f>RANK(D13,$C$13:$J$13)</f>
        <v/>
      </c>
      <c r="E14" s="3">
        <f>RANK(E13,$C$13:$J$13)</f>
        <v/>
      </c>
      <c r="F14" s="3">
        <f>RANK(F13,$C$13:$J$13)</f>
        <v/>
      </c>
      <c r="G14" s="3">
        <f>RANK(G13,$C$13:$J$13)</f>
        <v/>
      </c>
      <c r="H14" s="3">
        <f>RANK(H13,$C$13:$J$13)</f>
        <v/>
      </c>
      <c r="I14" s="3">
        <f>RANK(I13,$C$13:$J$13)</f>
        <v/>
      </c>
      <c r="J14" s="3">
        <f>RANK(J13,$C$13:$J$13)</f>
        <v/>
      </c>
      <c r="K14" s="3" t="inlineStr">
        <is>
          <t>\</t>
        </is>
      </c>
    </row>
  </sheetData>
  <mergeCells count="4">
    <mergeCell ref="F3:G3"/>
    <mergeCell ref="D3:E3"/>
    <mergeCell ref="J3:K3"/>
    <mergeCell ref="H3:I3"/>
  </mergeCells>
  <conditionalFormatting sqref="F3:G3">
    <cfRule type="cellIs" priority="3" operator="greaterThanOrEqual" dxfId="0">
      <formula>$K$7</formula>
    </cfRule>
    <cfRule type="cellIs" priority="4" operator="lessThan" dxfId="1">
      <formula>$K$7</formula>
    </cfRule>
  </conditionalFormatting>
  <conditionalFormatting sqref="J3:K3">
    <cfRule type="cellIs" priority="1" operator="greaterThanOrEqual" dxfId="0">
      <formula>$K$9</formula>
    </cfRule>
    <cfRule type="cellIs" priority="2" operator="lessThan" dxfId="2">
      <formula>$K$9</formula>
    </cfRule>
  </conditionalFormatting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2006-09-13T11:21:00Z</dcterms:created>
  <dcterms:modified xsi:type="dcterms:W3CDTF">2025-07-07T17:31:02Z</dcterms:modified>
  <cp:lastModifiedBy>海绵没宝宝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D6EB7C1111F442F6A7A9F055B5558523_11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v1.0_mb_U/XBNk476k5e3oU9GYrVfw==</vt:lpwstr>
  </property>
</Properties>
</file>