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Method_of_U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&quot;倍&quot;"/>
  </numFmts>
  <fonts count="32">
    <font>
      <name val="ＭＳ Ｐゴシック"/>
      <family val="2"/>
      <sz val="11"/>
    </font>
    <font>
      <name val="Arial"/>
      <family val="2"/>
      <sz val="10"/>
    </font>
    <font>
      <name val="宋体"/>
      <family val="2"/>
      <b val="1"/>
      <sz val="18"/>
    </font>
    <font>
      <name val="宋体"/>
      <family val="2"/>
      <sz val="11"/>
    </font>
    <font>
      <name val="宋体"/>
      <family val="2"/>
      <b val="1"/>
      <sz val="14"/>
    </font>
    <font>
      <name val="宋体"/>
      <family val="2"/>
      <sz val="12"/>
    </font>
    <font>
      <name val="宋体"/>
      <family val="2"/>
      <color indexed="21"/>
      <sz val="10"/>
    </font>
    <font>
      <name val="宋体"/>
      <family val="2"/>
      <sz val="14"/>
    </font>
    <font>
      <name val="宋体"/>
      <family val="2"/>
      <b val="1"/>
      <sz val="12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Times New Roman"/>
      <family val="2"/>
      <b val="1"/>
      <sz val="14"/>
    </font>
    <font>
      <name val="Times New Roman"/>
      <family val="2"/>
      <sz val="12"/>
    </font>
    <font>
      <name val="ＭＳ Ｐゴシック"/>
      <family val="2"/>
      <b val="1"/>
      <sz val="11"/>
    </font>
    <font>
      <name val="ＭＳ Ｐゴシック"/>
      <family val="2"/>
      <color rgb="FF0000FF"/>
      <sz val="11"/>
      <u val="single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lightUp">
        <fgColor indexed="11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lightGray">
        <fgColor indexed="22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dotted"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 style="dotted"/>
      <bottom style="dotted"/>
    </border>
    <border>
      <left/>
      <right/>
      <top style="thin"/>
      <bottom style="thin"/>
    </border>
    <border>
      <left style="thin"/>
      <right/>
      <top style="thin"/>
      <bottom style="double"/>
    </border>
    <border>
      <left/>
      <right style="thin"/>
      <top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double"/>
      <bottom style="dotted"/>
    </border>
    <border>
      <left style="thin"/>
      <right style="thin"/>
      <top/>
      <bottom style="dotted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double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9" fillId="0" borderId="0"/>
    <xf numFmtId="44" fontId="9" fillId="0" borderId="0"/>
    <xf numFmtId="9" fontId="0" fillId="0" borderId="0"/>
    <xf numFmtId="38" fontId="0" fillId="0" borderId="0"/>
    <xf numFmtId="42" fontId="9" fillId="0" borderId="0"/>
    <xf numFmtId="0" fontId="10" fillId="0" borderId="0"/>
    <xf numFmtId="0" fontId="11" fillId="0" borderId="0"/>
    <xf numFmtId="0" fontId="9" fillId="2" borderId="1"/>
    <xf numFmtId="0" fontId="12" fillId="0" borderId="0"/>
    <xf numFmtId="0" fontId="13" fillId="0" borderId="0"/>
    <xf numFmtId="0" fontId="14" fillId="0" borderId="0"/>
    <xf numFmtId="0" fontId="15" fillId="0" borderId="2"/>
    <xf numFmtId="0" fontId="16" fillId="0" borderId="2"/>
    <xf numFmtId="0" fontId="17" fillId="0" borderId="3"/>
    <xf numFmtId="0" fontId="17" fillId="0" borderId="0"/>
    <xf numFmtId="0" fontId="18" fillId="3" borderId="4"/>
    <xf numFmtId="0" fontId="19" fillId="4" borderId="5"/>
    <xf numFmtId="0" fontId="20" fillId="4" borderId="4"/>
    <xf numFmtId="0" fontId="21" fillId="5" borderId="6"/>
    <xf numFmtId="0" fontId="22" fillId="0" borderId="7"/>
    <xf numFmtId="0" fontId="23" fillId="0" borderId="8"/>
    <xf numFmtId="0" fontId="24" fillId="6" borderId="0"/>
    <xf numFmtId="0" fontId="25" fillId="7" borderId="0"/>
    <xf numFmtId="0" fontId="26" fillId="8" borderId="0"/>
    <xf numFmtId="0" fontId="27" fillId="9" borderId="0"/>
    <xf numFmtId="0" fontId="9" fillId="10" borderId="0"/>
    <xf numFmtId="0" fontId="9" fillId="11" borderId="0"/>
    <xf numFmtId="0" fontId="27" fillId="12" borderId="0"/>
    <xf numFmtId="0" fontId="27" fillId="13" borderId="0"/>
    <xf numFmtId="0" fontId="9" fillId="14" borderId="0"/>
    <xf numFmtId="0" fontId="9" fillId="15" borderId="0"/>
    <xf numFmtId="0" fontId="27" fillId="16" borderId="0"/>
    <xf numFmtId="0" fontId="27" fillId="17" borderId="0"/>
    <xf numFmtId="0" fontId="9" fillId="18" borderId="0"/>
    <xf numFmtId="0" fontId="9" fillId="19" borderId="0"/>
    <xf numFmtId="0" fontId="27" fillId="20" borderId="0"/>
    <xf numFmtId="0" fontId="27" fillId="21" borderId="0"/>
    <xf numFmtId="0" fontId="9" fillId="22" borderId="0"/>
    <xf numFmtId="0" fontId="9" fillId="23" borderId="0"/>
    <xf numFmtId="0" fontId="27" fillId="24" borderId="0"/>
    <xf numFmtId="0" fontId="27" fillId="25" borderId="0"/>
    <xf numFmtId="0" fontId="9" fillId="26" borderId="0"/>
    <xf numFmtId="0" fontId="9" fillId="27" borderId="0"/>
    <xf numFmtId="0" fontId="27" fillId="28" borderId="0"/>
    <xf numFmtId="0" fontId="27" fillId="29" borderId="0"/>
    <xf numFmtId="0" fontId="9" fillId="30" borderId="0"/>
    <xf numFmtId="0" fontId="9" fillId="31" borderId="0"/>
    <xf numFmtId="0" fontId="27" fillId="32" borderId="0"/>
    <xf numFmtId="0" fontId="31" fillId="0" borderId="0"/>
  </cellStyleXfs>
  <cellXfs count="66">
    <xf numFmtId="0" fontId="0" fillId="0" borderId="0" pivotButton="0" quotePrefix="0" xfId="0"/>
    <xf numFmtId="0" fontId="2" fillId="3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4" borderId="9" applyAlignment="1" pivotButton="0" quotePrefix="0" xfId="0">
      <alignment horizontal="left"/>
    </xf>
    <xf numFmtId="0" fontId="5" fillId="35" borderId="9" applyAlignment="1" pivotButton="0" quotePrefix="0" xfId="0">
      <alignment horizontal="left"/>
    </xf>
    <xf numFmtId="0" fontId="6" fillId="0" borderId="0" pivotButton="0" quotePrefix="0" xfId="0"/>
    <xf numFmtId="0" fontId="3" fillId="0" borderId="0" applyAlignment="1" pivotButton="0" quotePrefix="0" xfId="0">
      <alignment horizontal="left"/>
    </xf>
    <xf numFmtId="0" fontId="4" fillId="3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/>
    </xf>
    <xf numFmtId="38" fontId="7" fillId="35" borderId="10" applyAlignment="1" pivotButton="0" quotePrefix="0" xfId="23">
      <alignment horizontal="right"/>
    </xf>
    <xf numFmtId="0" fontId="5" fillId="0" borderId="11" pivotButton="0" quotePrefix="0" xfId="0"/>
    <xf numFmtId="38" fontId="7" fillId="35" borderId="11" pivotButton="0" quotePrefix="0" xfId="23"/>
    <xf numFmtId="0" fontId="4" fillId="34" borderId="12" applyAlignment="1" pivotButton="0" quotePrefix="0" xfId="0">
      <alignment horizontal="left"/>
    </xf>
    <xf numFmtId="0" fontId="4" fillId="34" borderId="13" applyAlignment="1" pivotButton="0" quotePrefix="0" xfId="0">
      <alignment horizontal="left"/>
    </xf>
    <xf numFmtId="38" fontId="7" fillId="35" borderId="9" pivotButton="0" quotePrefix="0" xfId="23"/>
    <xf numFmtId="0" fontId="4" fillId="34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/>
    </xf>
    <xf numFmtId="9" fontId="7" fillId="35" borderId="10" pivotButton="0" quotePrefix="0" xfId="22"/>
    <xf numFmtId="0" fontId="6" fillId="0" borderId="0" pivotButton="0" quotePrefix="0" xfId="0"/>
    <xf numFmtId="0" fontId="4" fillId="34" borderId="15" applyAlignment="1" pivotButton="0" quotePrefix="0" xfId="0">
      <alignment horizontal="left" vertical="center"/>
    </xf>
    <xf numFmtId="0" fontId="5" fillId="0" borderId="16" pivotButton="0" quotePrefix="0" xfId="0"/>
    <xf numFmtId="38" fontId="7" fillId="36" borderId="16" pivotButton="0" quotePrefix="0" xfId="23"/>
    <xf numFmtId="0" fontId="4" fillId="34" borderId="11" applyAlignment="1" pivotButton="0" quotePrefix="0" xfId="0">
      <alignment horizontal="left" vertical="center"/>
    </xf>
    <xf numFmtId="0" fontId="5" fillId="0" borderId="11" pivotButton="0" quotePrefix="0" xfId="0"/>
    <xf numFmtId="38" fontId="7" fillId="36" borderId="11" pivotButton="0" quotePrefix="0" xfId="23"/>
    <xf numFmtId="10" fontId="7" fillId="35" borderId="9" pivotButton="0" quotePrefix="0" xfId="0"/>
    <xf numFmtId="0" fontId="4" fillId="0" borderId="17" applyAlignment="1" pivotButton="0" quotePrefix="0" xfId="0">
      <alignment horizontal="left"/>
    </xf>
    <xf numFmtId="38" fontId="7" fillId="0" borderId="17" pivotButton="0" quotePrefix="0" xfId="23"/>
    <xf numFmtId="0" fontId="4" fillId="34" borderId="18" applyAlignment="1" pivotButton="0" quotePrefix="0" xfId="0">
      <alignment horizontal="left"/>
    </xf>
    <xf numFmtId="0" fontId="4" fillId="34" borderId="19" applyAlignment="1" pivotButton="0" quotePrefix="0" xfId="0">
      <alignment horizontal="left"/>
    </xf>
    <xf numFmtId="38" fontId="7" fillId="35" borderId="20" pivotButton="0" quotePrefix="0" xfId="23"/>
    <xf numFmtId="0" fontId="7" fillId="35" borderId="20" pivotButton="0" quotePrefix="0" xfId="0"/>
    <xf numFmtId="0" fontId="5" fillId="0" borderId="21" applyAlignment="1" pivotButton="0" quotePrefix="0" xfId="0">
      <alignment horizontal="left"/>
    </xf>
    <xf numFmtId="38" fontId="7" fillId="36" borderId="21" pivotButton="0" quotePrefix="0" xfId="23"/>
    <xf numFmtId="0" fontId="5" fillId="0" borderId="11" applyAlignment="1" pivotButton="0" quotePrefix="0" xfId="0">
      <alignment horizontal="left"/>
    </xf>
    <xf numFmtId="0" fontId="8" fillId="0" borderId="10" pivotButton="0" quotePrefix="0" xfId="0"/>
    <xf numFmtId="38" fontId="4" fillId="36" borderId="10" pivotButton="0" quotePrefix="0" xfId="0"/>
    <xf numFmtId="0" fontId="8" fillId="0" borderId="11" pivotButton="0" quotePrefix="0" xfId="0"/>
    <xf numFmtId="38" fontId="4" fillId="36" borderId="11" pivotButton="0" quotePrefix="0" xfId="0"/>
    <xf numFmtId="38" fontId="4" fillId="36" borderId="9" pivotButton="0" quotePrefix="0" xfId="0"/>
    <xf numFmtId="38" fontId="7" fillId="36" borderId="20" pivotButton="0" quotePrefix="0" xfId="23"/>
    <xf numFmtId="38" fontId="7" fillId="36" borderId="21" pivotButton="0" quotePrefix="0" xfId="0"/>
    <xf numFmtId="38" fontId="7" fillId="36" borderId="11" pivotButton="0" quotePrefix="0" xfId="0"/>
    <xf numFmtId="0" fontId="4" fillId="34" borderId="9" applyAlignment="1" pivotButton="0" quotePrefix="0" xfId="0">
      <alignment horizontal="center"/>
    </xf>
    <xf numFmtId="38" fontId="7" fillId="36" borderId="9" pivotButton="0" quotePrefix="0" xfId="0"/>
    <xf numFmtId="0" fontId="5" fillId="0" borderId="10" pivotButton="0" quotePrefix="0" xfId="0"/>
    <xf numFmtId="38" fontId="7" fillId="36" borderId="10" pivotButton="0" quotePrefix="0" xfId="0"/>
    <xf numFmtId="164" fontId="4" fillId="36" borderId="9" pivotButton="0" quotePrefix="0" xfId="0"/>
    <xf numFmtId="0" fontId="5" fillId="35" borderId="12" applyAlignment="1" pivotButton="0" quotePrefix="0" xfId="0">
      <alignment horizontal="left"/>
    </xf>
    <xf numFmtId="0" fontId="5" fillId="35" borderId="13" applyAlignment="1" pivotButton="0" quotePrefix="0" xfId="0">
      <alignment horizontal="left"/>
    </xf>
    <xf numFmtId="9" fontId="7" fillId="35" borderId="10" pivotButton="0" quotePrefix="0" xfId="22"/>
    <xf numFmtId="0" fontId="5" fillId="0" borderId="22" pivotButton="0" quotePrefix="0" xfId="0"/>
    <xf numFmtId="38" fontId="7" fillId="36" borderId="22" pivotButton="0" quotePrefix="0" xfId="23"/>
    <xf numFmtId="0" fontId="3" fillId="0" borderId="0" pivotButton="0" quotePrefix="0" xfId="0"/>
    <xf numFmtId="0" fontId="4" fillId="34" borderId="20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10" pivotButton="0" quotePrefix="0" xfId="0"/>
    <xf numFmtId="38" fontId="7" fillId="36" borderId="22" pivotButton="0" quotePrefix="0" xfId="0"/>
    <xf numFmtId="0" fontId="30" fillId="0" borderId="0" pivotButton="0" quotePrefix="0" xfId="0"/>
    <xf numFmtId="0" fontId="31" fillId="0" borderId="0" pivotButton="0" quotePrefix="0" xfId="68"/>
    <xf numFmtId="0" fontId="31" fillId="0" borderId="0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6" pivotButton="0" quotePrefix="0" xfId="0"/>
    <xf numFmtId="164" fontId="4" fillId="36" borderId="9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">
    <dxf>
      <font>
        <color indexed="10"/>
      </font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H60"/>
  <sheetViews>
    <sheetView topLeftCell="A42" workbookViewId="0">
      <selection activeCell="H54" sqref="H54"/>
    </sheetView>
  </sheetViews>
  <sheetFormatPr baseColWidth="8" defaultColWidth="9.00390625" defaultRowHeight="13.5"/>
  <cols>
    <col width="15.50390625" customWidth="1" min="1" max="1"/>
    <col width="26.50390625" customWidth="1" min="2" max="2"/>
    <col width="12.625" customWidth="1" min="3" max="3"/>
    <col width="13.25390625" customWidth="1" min="4" max="8"/>
  </cols>
  <sheetData>
    <row r="1" ht="23.25" customHeight="1">
      <c r="A1" s="1" t="inlineStr">
        <is>
          <t>Long-term Loan Repayment Plan</t>
        </is>
      </c>
    </row>
    <row r="2" ht="13.5" customHeight="1">
      <c r="A2" s="53" t="n"/>
      <c r="B2" s="53" t="n"/>
      <c r="C2" s="53" t="n"/>
      <c r="D2" s="53" t="n"/>
      <c r="E2" s="53" t="n"/>
      <c r="F2" s="53" t="n"/>
      <c r="G2" s="53" t="n"/>
      <c r="H2" s="53" t="n"/>
    </row>
    <row r="3" ht="18.75" customHeight="1">
      <c r="A3" s="3" t="inlineStr">
        <is>
          <t>Purchased Items</t>
        </is>
      </c>
      <c r="B3" s="4" t="inlineStr">
        <is>
          <t>High-end consumer goods</t>
        </is>
      </c>
      <c r="C3" s="61" t="n"/>
      <c r="D3" s="18" t="n"/>
      <c r="E3" s="53" t="n"/>
      <c r="F3" s="53" t="n"/>
      <c r="G3" s="53" t="n"/>
      <c r="H3" s="53" t="n"/>
    </row>
    <row r="4" ht="13.5" customHeight="1">
      <c r="A4" s="6" t="n"/>
      <c r="B4" s="53" t="n"/>
      <c r="C4" s="53" t="n"/>
      <c r="D4" s="53" t="n"/>
      <c r="E4" s="53" t="n"/>
      <c r="F4" s="53" t="n"/>
      <c r="G4" s="53" t="n"/>
      <c r="H4" s="53" t="n"/>
    </row>
    <row r="5" ht="18.75" customHeight="1">
      <c r="A5" s="7" t="inlineStr">
        <is>
          <t>Payment Terms</t>
        </is>
      </c>
      <c r="B5" s="16" t="inlineStr">
        <is>
          <t>Monthly salary repayment cap</t>
        </is>
      </c>
      <c r="C5" s="9" t="n">
        <v>1000</v>
      </c>
      <c r="D5" s="18" t="n"/>
      <c r="E5" s="53" t="n"/>
      <c r="F5" s="53" t="n"/>
      <c r="G5" s="53" t="n"/>
      <c r="H5" s="53" t="n"/>
    </row>
    <row r="6" ht="18.75" customHeight="1">
      <c r="A6" s="62" t="n"/>
      <c r="B6" s="23" t="inlineStr">
        <is>
          <t>Maximum repayment limit for income outside of salary each time</t>
        </is>
      </c>
      <c r="C6" s="11" t="n">
        <v>4000</v>
      </c>
      <c r="D6" s="18" t="n"/>
      <c r="E6" s="53" t="n"/>
      <c r="F6" s="53" t="n"/>
      <c r="G6" s="53" t="n"/>
      <c r="H6" s="53" t="n"/>
    </row>
    <row r="7" ht="13.5" customHeight="1">
      <c r="A7" s="53" t="n"/>
      <c r="B7" s="53" t="n"/>
      <c r="C7" s="53" t="n"/>
      <c r="D7" s="53" t="n"/>
      <c r="E7" s="53" t="n"/>
      <c r="F7" s="53" t="n"/>
      <c r="G7" s="53" t="n"/>
      <c r="H7" s="53" t="n"/>
    </row>
    <row r="8" ht="18.75" customHeight="1">
      <c r="A8" s="3" t="inlineStr">
        <is>
          <t>Amount Borrowed</t>
        </is>
      </c>
      <c r="B8" s="61" t="n"/>
      <c r="C8" s="14" t="n">
        <v>28000</v>
      </c>
      <c r="D8" s="18" t="n"/>
      <c r="E8" s="53" t="n"/>
      <c r="F8" s="53" t="n"/>
      <c r="G8" s="53" t="n"/>
      <c r="H8" s="53" t="n"/>
    </row>
    <row r="9" ht="18.75" customHeight="1">
      <c r="A9" s="7" t="inlineStr">
        <is>
          <t>Loan Item Details</t>
        </is>
      </c>
      <c r="B9" s="16" t="inlineStr">
        <is>
          <t>Rate (Monthly)</t>
        </is>
      </c>
      <c r="C9" s="50" t="n">
        <v>0.4</v>
      </c>
      <c r="D9" s="18" t="n"/>
      <c r="E9" s="53" t="n"/>
      <c r="F9" s="53" t="n"/>
      <c r="G9" s="53" t="n"/>
      <c r="H9" s="53" t="n"/>
    </row>
    <row r="10" ht="18.75" customHeight="1">
      <c r="A10" s="63" t="n"/>
      <c r="B10" s="20" t="inlineStr">
        <is>
          <t>Total salary repayment amount</t>
        </is>
      </c>
      <c r="C10" s="21">
        <f>C8*C9</f>
        <v/>
      </c>
      <c r="D10" s="53" t="n"/>
      <c r="E10" s="53" t="n"/>
      <c r="F10" s="53" t="n"/>
      <c r="G10" s="53" t="n"/>
      <c r="H10" s="53" t="n"/>
    </row>
    <row r="11" ht="18.75" customHeight="1">
      <c r="A11" s="62" t="n"/>
      <c r="B11" s="23" t="inlineStr">
        <is>
          <t>Total repayment from income outside of salary</t>
        </is>
      </c>
      <c r="C11" s="24">
        <f>C8-C10</f>
        <v/>
      </c>
      <c r="D11" s="53" t="n"/>
      <c r="E11" s="53" t="n"/>
      <c r="F11" s="53" t="n"/>
      <c r="G11" s="53" t="n"/>
      <c r="H11" s="53" t="n"/>
    </row>
    <row r="12" ht="18.75" customHeight="1">
      <c r="A12" s="3" t="inlineStr">
        <is>
          <t>Interest (annual interest rate, e.g., 2.5%)</t>
        </is>
      </c>
      <c r="B12" s="61" t="n"/>
      <c r="C12" s="25" t="n">
        <v>0.0326</v>
      </c>
      <c r="D12" s="18" t="n"/>
      <c r="E12" s="53" t="n"/>
      <c r="F12" s="53" t="n"/>
      <c r="G12" s="53" t="n"/>
      <c r="H12" s="53" t="n"/>
    </row>
    <row r="13" ht="18.75" customHeight="1">
      <c r="A13" s="3" t="inlineStr">
        <is>
          <t>Payment Status</t>
        </is>
      </c>
      <c r="B13" s="61" t="n"/>
      <c r="C13" s="14" t="n">
        <v>0</v>
      </c>
      <c r="D13" s="18" t="n"/>
      <c r="E13" s="53" t="n"/>
      <c r="F13" s="53" t="n"/>
      <c r="G13" s="53" t="n"/>
      <c r="H13" s="53" t="n"/>
    </row>
    <row r="14" ht="18.75" customHeight="1">
      <c r="A14" s="26" t="n"/>
      <c r="B14" s="26" t="n"/>
      <c r="C14" s="27" t="n"/>
      <c r="D14" s="18" t="n"/>
      <c r="E14" s="53" t="n"/>
      <c r="F14" s="53" t="n"/>
      <c r="G14" s="53" t="n"/>
      <c r="H14" s="53" t="n"/>
    </row>
    <row r="15" ht="19.5" customHeight="1">
      <c r="A15" s="54" t="inlineStr">
        <is>
          <t>Repayment Period (Years)</t>
        </is>
      </c>
      <c r="B15" s="64" t="n"/>
      <c r="C15" s="30" t="n">
        <v>35</v>
      </c>
      <c r="D15" s="31" t="n">
        <v>30</v>
      </c>
      <c r="E15" s="31" t="n">
        <v>25</v>
      </c>
      <c r="F15" s="31" t="n">
        <v>20</v>
      </c>
      <c r="G15" s="31" t="n">
        <v>15</v>
      </c>
      <c r="H15" s="31" t="n">
        <v>10</v>
      </c>
    </row>
    <row r="16" ht="19.5" customHeight="1">
      <c r="A16" s="22" t="inlineStr">
        <is>
          <t>Detailed Time Limit</t>
        </is>
      </c>
      <c r="B16" s="32" t="inlineStr">
        <is>
          <t>Number of salary repayment instances</t>
        </is>
      </c>
      <c r="C16" s="33">
        <f>C15*12</f>
        <v/>
      </c>
      <c r="D16" s="33">
        <f>D15*12</f>
        <v/>
      </c>
      <c r="E16" s="33">
        <f>E15*12</f>
        <v/>
      </c>
      <c r="F16" s="33">
        <f>F15*12</f>
        <v/>
      </c>
      <c r="G16" s="33">
        <f>G15*12</f>
        <v/>
      </c>
      <c r="H16" s="33">
        <f>H15*12</f>
        <v/>
      </c>
    </row>
    <row r="17" ht="18.75" customHeight="1">
      <c r="A17" s="62" t="n"/>
      <c r="B17" s="34" t="inlineStr">
        <is>
          <t>Number of repayments from income outside of salary</t>
        </is>
      </c>
      <c r="C17" s="24">
        <f>C15*2</f>
        <v/>
      </c>
      <c r="D17" s="24">
        <f>D15*2</f>
        <v/>
      </c>
      <c r="E17" s="24">
        <f>E15*2</f>
        <v/>
      </c>
      <c r="F17" s="24">
        <f>F15*2</f>
        <v/>
      </c>
      <c r="G17" s="24">
        <f>G15*2</f>
        <v/>
      </c>
      <c r="H17" s="24">
        <f>H15*2</f>
        <v/>
      </c>
    </row>
    <row r="18" ht="18.75" customHeight="1">
      <c r="A18" s="7" t="inlineStr">
        <is>
          <t>Repayment Details</t>
        </is>
      </c>
      <c r="B18" s="35" t="inlineStr">
        <is>
          <t>Monthly salary repayment amount</t>
        </is>
      </c>
      <c r="C18" s="36">
        <f>IF(C15="","",-PMT($C$12/12,C$16,$C$10,0,$C$13))</f>
        <v/>
      </c>
      <c r="D18" s="36">
        <f>IF(D15="","",-PMT($C$12/12,D$16,$C$10,0,$C$13))</f>
        <v/>
      </c>
      <c r="E18" s="36">
        <f>IF(E15="","",-PMT($C$12/12,E$16,$C$10,0,$C$13))</f>
        <v/>
      </c>
      <c r="F18" s="36">
        <f>IF(F15="","",-PMT($C$12/12,F$16,$C$10,0,$C$13))</f>
        <v/>
      </c>
      <c r="G18" s="36">
        <f>IF(G15="","",-PMT($C$12/12,G$16,$C$10,0,$C$13))</f>
        <v/>
      </c>
      <c r="H18" s="36">
        <f>IF(H15="","",-PMT($C$12/12,H$16,$C$10,0,$C$13))</f>
        <v/>
      </c>
    </row>
    <row r="19" ht="18.75" customHeight="1">
      <c r="A19" s="62" t="n"/>
      <c r="B19" s="37" t="inlineStr">
        <is>
          <t>Repayment amount from income other than salary each time</t>
        </is>
      </c>
      <c r="C19" s="38">
        <f>IF(C15="","",-PMT($C$12/2,C$17,$C$11,0,$C$13))</f>
        <v/>
      </c>
      <c r="D19" s="38">
        <f>-PMT($C$12/2,D$17,$C$11,0,$C$13)</f>
        <v/>
      </c>
      <c r="E19" s="38">
        <f>-PMT($C$12/2,E$17,$C$11,0,$C$13)</f>
        <v/>
      </c>
      <c r="F19" s="38">
        <f>-PMT($C$12/2,F$17,$C$11,0,$C$13)</f>
        <v/>
      </c>
      <c r="G19" s="38">
        <f>-PMT($C$12/2,G$17,$C$11,0,$C$13)</f>
        <v/>
      </c>
      <c r="H19" s="38">
        <f>-PMT($C$12/2,H$17,$C$11,0,$C$13)</f>
        <v/>
      </c>
    </row>
    <row r="20" ht="18.75" customHeight="1">
      <c r="A20" s="3" t="inlineStr">
        <is>
          <t>Repayment Judgment</t>
        </is>
      </c>
      <c r="B20" s="61" t="n"/>
      <c r="C20" s="39">
        <f>IF(AND($C$5="",$C$6=""),"",IF(AND($C$5&gt;=C18,$C$6&gt;=C19),"可以还款","无法还款"))</f>
        <v/>
      </c>
      <c r="D20" s="39">
        <f>IF(AND($C$5="",$C$6=""),"",IF(AND($C$5&gt;=D18,$C$6&gt;=D19),"可以还款","无法还款"))</f>
        <v/>
      </c>
      <c r="E20" s="39">
        <f>IF(AND($C$5="",$C$6=""),"",IF(AND($C$5&gt;=E18,$C$6&gt;=E19),"可以还款","无法还款"))</f>
        <v/>
      </c>
      <c r="F20" s="39">
        <f>IF(AND($C$5="",$C$6=""),"",IF(AND($C$5&gt;=F18,$C$6&gt;=F19),"可以还款","无法还款"))</f>
        <v/>
      </c>
      <c r="G20" s="39">
        <f>IF(AND($C$5="",$C$6=""),"",IF(AND($C$5&gt;=G18,$C$6&gt;=G19),"可以还款","无法还款"))</f>
        <v/>
      </c>
      <c r="H20" s="39">
        <f>IF(AND($C$5="",$C$6=""),"",IF(AND($C$5&gt;=H18,$C$6&gt;=H19),"可以还款","无法还款"))</f>
        <v/>
      </c>
    </row>
    <row r="21" ht="19.5" customHeight="1">
      <c r="A21" s="53" t="n"/>
      <c r="B21" s="53" t="n"/>
      <c r="C21" s="53" t="n"/>
      <c r="D21" s="53" t="n"/>
      <c r="E21" s="53" t="n"/>
      <c r="F21" s="53" t="n"/>
      <c r="G21" s="53" t="n"/>
      <c r="H21" s="53" t="n"/>
    </row>
    <row r="22" ht="19.5" customHeight="1">
      <c r="A22" s="54" t="inlineStr">
        <is>
          <t>Repayment Period (Years)</t>
        </is>
      </c>
      <c r="B22" s="64" t="n"/>
      <c r="C22" s="40">
        <f>IF(C15="","",C15)</f>
        <v/>
      </c>
      <c r="D22" s="40">
        <f>IF(D15="","",D15)</f>
        <v/>
      </c>
      <c r="E22" s="40">
        <f>IF(E15="","",E15)</f>
        <v/>
      </c>
      <c r="F22" s="40">
        <f>IF(F15="","",F15)</f>
        <v/>
      </c>
      <c r="G22" s="40">
        <f>IF(G15="","",G15)</f>
        <v/>
      </c>
      <c r="H22" s="40">
        <f>IF(H15="","",H15)</f>
        <v/>
      </c>
    </row>
    <row r="23" ht="19.5" customHeight="1">
      <c r="A23" s="22" t="inlineStr">
        <is>
          <t>Total repayment amount</t>
        </is>
      </c>
      <c r="B23" s="32" t="inlineStr">
        <is>
          <t>Portion of Salary</t>
        </is>
      </c>
      <c r="C23" s="41">
        <f>IF(ISERROR(C18*C16),"",C18*C16)</f>
        <v/>
      </c>
      <c r="D23" s="41">
        <f>IF(ISERROR(D18*D16),"",D18*D16)</f>
        <v/>
      </c>
      <c r="E23" s="41">
        <f>IF(ISERROR(E18*E16),"",E18*E16)</f>
        <v/>
      </c>
      <c r="F23" s="41">
        <f>IF(ISERROR(F18*F16),"",F18*F16)</f>
        <v/>
      </c>
      <c r="G23" s="41">
        <f>IF(ISERROR(G18*G16),"",G18*G16)</f>
        <v/>
      </c>
      <c r="H23" s="41">
        <f>IF(ISERROR(H18*H16),"",H18*H16)</f>
        <v/>
      </c>
    </row>
    <row r="24" ht="18.75" customHeight="1">
      <c r="A24" s="62" t="n"/>
      <c r="B24" s="34" t="inlineStr">
        <is>
          <t>Portion of income outside of salary</t>
        </is>
      </c>
      <c r="C24" s="42">
        <f>IF(ISERROR(C19*C17),"",C19*C17)</f>
        <v/>
      </c>
      <c r="D24" s="42">
        <f>IF(ISERROR(D19*D17),"",D19*D17)</f>
        <v/>
      </c>
      <c r="E24" s="42">
        <f>IF(ISERROR(E19*E17),"",E19*E17)</f>
        <v/>
      </c>
      <c r="F24" s="42">
        <f>IF(ISERROR(F19*F17),"",F19*F17)</f>
        <v/>
      </c>
      <c r="G24" s="42">
        <f>IF(ISERROR(G19*G17),"",G19*G17)</f>
        <v/>
      </c>
      <c r="H24" s="42">
        <f>IF(ISERROR(H19*H17),"",H19*H17)</f>
        <v/>
      </c>
    </row>
    <row r="25" ht="18.75" customHeight="1">
      <c r="A25" s="43" t="inlineStr">
        <is>
          <t>Total repayment amount</t>
        </is>
      </c>
      <c r="B25" s="61" t="n"/>
      <c r="C25" s="44">
        <f>SUM(C23:C24)</f>
        <v/>
      </c>
      <c r="D25" s="44">
        <f>SUM(D23:D24)</f>
        <v/>
      </c>
      <c r="E25" s="44">
        <f>SUM(E23:E24)</f>
        <v/>
      </c>
      <c r="F25" s="44">
        <f>SUM(F23:F24)</f>
        <v/>
      </c>
      <c r="G25" s="44">
        <f>SUM(G23:G24)</f>
        <v/>
      </c>
      <c r="H25" s="44">
        <f>SUM(H23:H24)</f>
        <v/>
      </c>
    </row>
    <row r="26" ht="18.75" customHeight="1">
      <c r="A26" s="7" t="inlineStr">
        <is>
          <t>Total Interest</t>
        </is>
      </c>
      <c r="B26" s="56" t="inlineStr">
        <is>
          <t>Portion of Salary</t>
        </is>
      </c>
      <c r="C26" s="46">
        <f>IF(ISERROR(C23-$C10),"",C23-$C10)</f>
        <v/>
      </c>
      <c r="D26" s="46">
        <f>IF(ISERROR(D23-$C10),"",D23-$C10)</f>
        <v/>
      </c>
      <c r="E26" s="46">
        <f>IF(ISERROR(E23-$C10),"",E23-$C10)</f>
        <v/>
      </c>
      <c r="F26" s="46">
        <f>IF(ISERROR(F23-$C10),"",F23-$C10)</f>
        <v/>
      </c>
      <c r="G26" s="46">
        <f>IF(ISERROR(G23-$C10),"",G23-$C10)</f>
        <v/>
      </c>
      <c r="H26" s="46">
        <f>IF(ISERROR(H23-$C10),"",H23-$C10)</f>
        <v/>
      </c>
    </row>
    <row r="27" ht="18.75" customHeight="1">
      <c r="A27" s="62" t="n"/>
      <c r="B27" s="23" t="inlineStr">
        <is>
          <t>Portion of income outside of salary</t>
        </is>
      </c>
      <c r="C27" s="42">
        <f>IF(ISERROR(C24-$C11),"",C24-$C11)</f>
        <v/>
      </c>
      <c r="D27" s="42">
        <f>IF(ISERROR(D24-$C11),"",D24-$C11)</f>
        <v/>
      </c>
      <c r="E27" s="42">
        <f>IF(ISERROR(E24-$C11),"",E24-$C11)</f>
        <v/>
      </c>
      <c r="F27" s="42">
        <f>IF(ISERROR(F24-$C11),"",F24-$C11)</f>
        <v/>
      </c>
      <c r="G27" s="42">
        <f>IF(ISERROR(G24-$C11),"",G24-$C11)</f>
        <v/>
      </c>
      <c r="H27" s="42">
        <f>IF(ISERROR(H24-$C11),"",H24-$C11)</f>
        <v/>
      </c>
    </row>
    <row r="28" ht="18.75" customHeight="1">
      <c r="A28" s="3" t="inlineStr">
        <is>
          <t>Total Interest Amount</t>
        </is>
      </c>
      <c r="B28" s="61" t="n"/>
      <c r="C28" s="44">
        <f>SUM(C26:C27)</f>
        <v/>
      </c>
      <c r="D28" s="44">
        <f>SUM(D26:D27)</f>
        <v/>
      </c>
      <c r="E28" s="44">
        <f>SUM(E26:E27)</f>
        <v/>
      </c>
      <c r="F28" s="44">
        <f>SUM(F26:F27)</f>
        <v/>
      </c>
      <c r="G28" s="44">
        <f>SUM(G26:G27)</f>
        <v/>
      </c>
      <c r="H28" s="44">
        <f>SUM(H26:H27)</f>
        <v/>
      </c>
    </row>
    <row r="29" ht="18.75" customHeight="1">
      <c r="A29" s="3" t="inlineStr">
        <is>
          <t>The ratio of the total repayment amount to the principal</t>
        </is>
      </c>
      <c r="B29" s="61" t="n"/>
      <c r="C29" s="65">
        <f>IF($C$8="","",C25/$C$8)</f>
        <v/>
      </c>
      <c r="D29" s="65">
        <f>IF($C$8="","",D25/$C$8)</f>
        <v/>
      </c>
      <c r="E29" s="65">
        <f>IF($C$8="","",E25/$C$8)</f>
        <v/>
      </c>
      <c r="F29" s="65">
        <f>IF($C$8="","",F25/$C$8)</f>
        <v/>
      </c>
      <c r="G29" s="65">
        <f>IF($C$8="","",G25/$C$8)</f>
        <v/>
      </c>
      <c r="H29" s="65">
        <f>IF($C$8="","",H25/$C$8)</f>
        <v/>
      </c>
    </row>
    <row r="30" ht="13.5" customHeight="1"/>
    <row r="31" ht="13.5" customHeight="1"/>
    <row r="32" ht="22.5" customHeight="1">
      <c r="A32" s="1" t="inlineStr">
        <is>
          <t>Long-term Loan Repayment Plan</t>
        </is>
      </c>
    </row>
    <row r="33" ht="13.5" customHeight="1">
      <c r="A33" s="53" t="n"/>
      <c r="B33" s="53" t="n"/>
      <c r="C33" s="53" t="n"/>
      <c r="D33" s="53" t="n"/>
      <c r="E33" s="53" t="n"/>
      <c r="F33" s="53" t="n"/>
      <c r="G33" s="53" t="n"/>
      <c r="H33" s="53" t="n"/>
    </row>
    <row r="34" ht="18.75" customHeight="1">
      <c r="A34" s="3" t="inlineStr">
        <is>
          <t>Purchased Items</t>
        </is>
      </c>
      <c r="B34" s="4" t="n"/>
      <c r="C34" s="61" t="n"/>
      <c r="D34" s="18" t="n"/>
      <c r="E34" s="53" t="n"/>
      <c r="F34" s="53" t="n"/>
      <c r="G34" s="53" t="n"/>
      <c r="H34" s="53" t="n"/>
    </row>
    <row r="35" ht="13.5" customHeight="1">
      <c r="A35" s="53" t="n"/>
      <c r="B35" s="53" t="n"/>
      <c r="C35" s="53" t="n"/>
      <c r="D35" s="53" t="n"/>
      <c r="E35" s="53" t="n"/>
      <c r="F35" s="53" t="n"/>
      <c r="G35" s="53" t="n"/>
      <c r="H35" s="53" t="n"/>
    </row>
    <row r="36" ht="18.75" customHeight="1">
      <c r="A36" s="7" t="inlineStr">
        <is>
          <t>Payment Terms</t>
        </is>
      </c>
      <c r="B36" s="16" t="inlineStr">
        <is>
          <t>Monthly salary repayment cap</t>
        </is>
      </c>
      <c r="C36" s="9" t="n">
        <v>2000</v>
      </c>
      <c r="D36" s="18" t="n"/>
      <c r="E36" s="53" t="n"/>
      <c r="F36" s="53" t="n"/>
      <c r="G36" s="53" t="n"/>
      <c r="H36" s="53" t="n"/>
    </row>
    <row r="37" ht="18.75" customHeight="1">
      <c r="A37" s="62" t="n"/>
      <c r="B37" s="23" t="inlineStr">
        <is>
          <t>Maximum repayment limit for income outside of salary each time</t>
        </is>
      </c>
      <c r="C37" s="11" t="n">
        <v>4000</v>
      </c>
      <c r="D37" s="18" t="n"/>
      <c r="E37" s="53" t="n"/>
      <c r="F37" s="53" t="n"/>
      <c r="G37" s="53" t="n"/>
      <c r="H37" s="53" t="n"/>
    </row>
    <row r="38" ht="13.5" customHeight="1">
      <c r="A38" s="53" t="n"/>
      <c r="B38" s="53" t="n"/>
      <c r="C38" s="53" t="n"/>
      <c r="D38" s="53" t="n"/>
      <c r="E38" s="53" t="n"/>
      <c r="F38" s="53" t="n"/>
      <c r="G38" s="53" t="n"/>
      <c r="H38" s="53" t="n"/>
    </row>
    <row r="39" ht="18.75" customHeight="1">
      <c r="A39" s="3" t="inlineStr">
        <is>
          <t>Amount Borrowed</t>
        </is>
      </c>
      <c r="B39" s="61" t="n"/>
      <c r="C39" s="14" t="n">
        <v>36000</v>
      </c>
      <c r="D39" s="18" t="n"/>
      <c r="E39" s="53" t="n"/>
      <c r="F39" s="53" t="n"/>
      <c r="G39" s="53" t="n"/>
      <c r="H39" s="53" t="n"/>
    </row>
    <row r="40" ht="18.75" customHeight="1">
      <c r="A40" s="7" t="inlineStr">
        <is>
          <t>Loan Item Details</t>
        </is>
      </c>
      <c r="B40" s="16" t="inlineStr">
        <is>
          <t>Rate (Monthly) (e.g. 50%)</t>
        </is>
      </c>
      <c r="C40" s="50" t="n">
        <v>0.3</v>
      </c>
      <c r="D40" s="18" t="n"/>
      <c r="E40" s="53" t="n"/>
      <c r="F40" s="53" t="n"/>
      <c r="G40" s="53" t="n"/>
      <c r="H40" s="53" t="n"/>
    </row>
    <row r="41" ht="18.75" customHeight="1">
      <c r="A41" s="63" t="n"/>
      <c r="B41" s="51" t="inlineStr">
        <is>
          <t>Total salary repayment amount</t>
        </is>
      </c>
      <c r="C41" s="52">
        <f>C39*C40</f>
        <v/>
      </c>
      <c r="D41" s="53" t="n"/>
      <c r="E41" s="53" t="n"/>
      <c r="F41" s="53" t="n"/>
      <c r="G41" s="53" t="n"/>
      <c r="H41" s="53" t="n"/>
    </row>
    <row r="42" ht="18.75" customHeight="1">
      <c r="A42" s="62" t="n"/>
      <c r="B42" s="23" t="inlineStr">
        <is>
          <t>Total repayment from income outside of salary</t>
        </is>
      </c>
      <c r="C42" s="24">
        <f>C39-C41</f>
        <v/>
      </c>
      <c r="D42" s="53" t="n"/>
      <c r="E42" s="53" t="n"/>
      <c r="F42" s="53" t="n"/>
      <c r="G42" s="53" t="n"/>
      <c r="H42" s="53" t="n"/>
    </row>
    <row r="43" ht="18.75" customHeight="1">
      <c r="A43" s="3" t="inlineStr">
        <is>
          <t>Interest (annual interest rate, e.g., 2.5%)</t>
        </is>
      </c>
      <c r="B43" s="61" t="n"/>
      <c r="C43" s="25" t="n">
        <v>0.023</v>
      </c>
      <c r="D43" s="18" t="n"/>
      <c r="E43" s="53" t="n"/>
      <c r="F43" s="53" t="n"/>
      <c r="G43" s="53" t="n"/>
      <c r="H43" s="53" t="n"/>
    </row>
    <row r="44" ht="18.75" customHeight="1">
      <c r="A44" s="3" t="inlineStr">
        <is>
          <t>Payment Status</t>
        </is>
      </c>
      <c r="B44" s="61" t="n"/>
      <c r="C44" s="14" t="n">
        <v>0</v>
      </c>
      <c r="D44" s="18" t="n"/>
      <c r="E44" s="53" t="n"/>
      <c r="F44" s="53" t="n"/>
      <c r="G44" s="53" t="n"/>
      <c r="H44" s="53" t="n"/>
    </row>
    <row r="45" ht="18.75" customHeight="1">
      <c r="A45" s="26" t="n"/>
      <c r="B45" s="26" t="n"/>
      <c r="C45" s="27" t="n"/>
      <c r="D45" s="18" t="n"/>
      <c r="E45" s="53" t="n"/>
      <c r="F45" s="53" t="n"/>
      <c r="G45" s="53" t="n"/>
      <c r="H45" s="53" t="n"/>
    </row>
    <row r="46" ht="19.5" customHeight="1">
      <c r="A46" s="54" t="inlineStr">
        <is>
          <t>Repayment Period (Years)</t>
        </is>
      </c>
      <c r="B46" s="64" t="n"/>
      <c r="C46" s="30" t="n">
        <v>20</v>
      </c>
      <c r="D46" s="31" t="n">
        <v>10</v>
      </c>
      <c r="E46" s="31" t="n">
        <v>5</v>
      </c>
      <c r="F46" s="31" t="n">
        <v>3</v>
      </c>
      <c r="G46" s="31" t="n">
        <v>2</v>
      </c>
      <c r="H46" s="31" t="n">
        <v>1</v>
      </c>
    </row>
    <row r="47" ht="19.5" customHeight="1">
      <c r="A47" s="22" t="inlineStr">
        <is>
          <t>Detailed Time Limit</t>
        </is>
      </c>
      <c r="B47" s="55" t="inlineStr">
        <is>
          <t>Number of salary repayment instances</t>
        </is>
      </c>
      <c r="C47" s="52">
        <f>C46*12</f>
        <v/>
      </c>
      <c r="D47" s="52">
        <f>D46*12</f>
        <v/>
      </c>
      <c r="E47" s="52">
        <f>E46*12</f>
        <v/>
      </c>
      <c r="F47" s="52">
        <f>F46*12</f>
        <v/>
      </c>
      <c r="G47" s="52">
        <f>G46*12</f>
        <v/>
      </c>
      <c r="H47" s="52">
        <f>H46*12</f>
        <v/>
      </c>
    </row>
    <row r="48" ht="18.75" customHeight="1">
      <c r="A48" s="62" t="n"/>
      <c r="B48" s="34" t="inlineStr">
        <is>
          <t>Number of repayments from income outside of salary</t>
        </is>
      </c>
      <c r="C48" s="24">
        <f>C46*2</f>
        <v/>
      </c>
      <c r="D48" s="24">
        <f>D46*2</f>
        <v/>
      </c>
      <c r="E48" s="24">
        <f>E46*2</f>
        <v/>
      </c>
      <c r="F48" s="24">
        <f>F46*2</f>
        <v/>
      </c>
      <c r="G48" s="24">
        <f>G46*2</f>
        <v/>
      </c>
      <c r="H48" s="24">
        <f>H46*2</f>
        <v/>
      </c>
    </row>
    <row r="49" ht="18.75" customHeight="1">
      <c r="A49" s="7" t="inlineStr">
        <is>
          <t>Repayment Details</t>
        </is>
      </c>
      <c r="B49" s="56" t="inlineStr">
        <is>
          <t>Monthly salary repayment amount</t>
        </is>
      </c>
      <c r="C49" s="36">
        <f>IF(C46="","",-PMT($C$12/12,C$16,$C$10,0,$C$13))</f>
        <v/>
      </c>
      <c r="D49" s="36">
        <f>IF(D46="","",-PMT($C$12/12,D$16,$C$10,0,$C$13))</f>
        <v/>
      </c>
      <c r="E49" s="36">
        <f>IF(E46="","",-PMT($C$12/12,E$16,$C$10,0,$C$13))</f>
        <v/>
      </c>
      <c r="F49" s="36">
        <f>IF(F46="","",-PMT($C$12/12,F$16,$C$10,0,$C$13))</f>
        <v/>
      </c>
      <c r="G49" s="36">
        <f>IF(G46="","",-PMT($C$12/12,G$16,$C$10,0,$C$13))</f>
        <v/>
      </c>
      <c r="H49" s="36">
        <f>IF(H46="","",-PMT($C$12/12,H$16,$C$10,0,$C$13))</f>
        <v/>
      </c>
    </row>
    <row r="50" ht="18.75" customHeight="1">
      <c r="A50" s="62" t="n"/>
      <c r="B50" s="23" t="inlineStr">
        <is>
          <t>Repayment amount from income other than salary each time</t>
        </is>
      </c>
      <c r="C50" s="38">
        <f>IF(C46="","",-PMT($C$12/2,C$17,$C$11,0,$C$13))</f>
        <v/>
      </c>
      <c r="D50" s="38">
        <f>IF(D46="","",-PMT($C$12/2,D$17,$C$11,0,$C$13))</f>
        <v/>
      </c>
      <c r="E50" s="38">
        <f>IF(E46="","",-PMT($C$12/2,E$17,$C$11,0,$C$13))</f>
        <v/>
      </c>
      <c r="F50" s="38">
        <f>IF(F46="","",-PMT($C$12/2,F$17,$C$11,0,$C$13))</f>
        <v/>
      </c>
      <c r="G50" s="38">
        <f>IF(G46="","",-PMT($C$12/2,G$17,$C$11,0,$C$13))</f>
        <v/>
      </c>
      <c r="H50" s="38">
        <f>IF(H46="","",-PMT($C$12/2,H$17,$C$11,0,$C$13))</f>
        <v/>
      </c>
    </row>
    <row r="51" ht="18.75" customHeight="1">
      <c r="A51" s="3" t="inlineStr">
        <is>
          <t>Repayment Judgment</t>
        </is>
      </c>
      <c r="B51" s="61" t="n"/>
      <c r="C51" s="39">
        <f>IF(AND($C$5="",$C$6=""),"",IF(AND($C$5&gt;=C49,$C$6&gt;=C50),"还款OK","返済不可"))</f>
        <v/>
      </c>
      <c r="D51" s="39">
        <f>IF(AND($C$5="",$C$6=""),"",IF(AND($C$5&gt;=D49,$C$6&gt;=D50),"还款OK","返済不可"))</f>
        <v/>
      </c>
      <c r="E51" s="39">
        <f>IF(AND($C$5="",$C$6=""),"",IF(AND($C$5&gt;=E49,$C$6&gt;=E50),"还款OK","返済不可"))</f>
        <v/>
      </c>
      <c r="F51" s="39">
        <f>IF(AND($C$5="",$C$6=""),"",IF(AND($C$5&gt;=F49,$C$6&gt;=F50),"还款OK","返済不可"))</f>
        <v/>
      </c>
      <c r="G51" s="39">
        <f>IF(AND($C$5="",$C$6=""),"",IF(AND($C$5&gt;=G49,$C$6&gt;=G50),"还款OK","返済不可"))</f>
        <v/>
      </c>
      <c r="H51" s="39">
        <f>IF(AND($C$5="",$C$6=""),"",IF(AND($C$5&gt;=H49,$C$6&gt;=H50),"还款OK","返済不可"))</f>
        <v/>
      </c>
    </row>
    <row r="52" ht="13.5" customHeight="1">
      <c r="A52" s="53" t="n"/>
      <c r="B52" s="53" t="n"/>
      <c r="C52" s="53" t="n"/>
      <c r="D52" s="53" t="n"/>
      <c r="E52" s="53" t="n"/>
      <c r="F52" s="53" t="n"/>
      <c r="G52" s="53" t="n"/>
      <c r="H52" s="53" t="n"/>
    </row>
    <row r="53" ht="19.5" customHeight="1">
      <c r="A53" s="54" t="inlineStr">
        <is>
          <t>Repayment Period (Years)</t>
        </is>
      </c>
      <c r="B53" s="64" t="n"/>
      <c r="C53" s="40">
        <f>IF(C46="","",C46)</f>
        <v/>
      </c>
      <c r="D53" s="40">
        <f>IF(D46="","",D46)</f>
        <v/>
      </c>
      <c r="E53" s="40">
        <f>IF(E46="","",E46)</f>
        <v/>
      </c>
      <c r="F53" s="40">
        <f>IF(F46="","",F46)</f>
        <v/>
      </c>
      <c r="G53" s="40">
        <f>IF(G46="","",G46)</f>
        <v/>
      </c>
      <c r="H53" s="40">
        <f>IF(H46="","",H46)</f>
        <v/>
      </c>
    </row>
    <row r="54" ht="19.5" customHeight="1">
      <c r="A54" s="22" t="inlineStr">
        <is>
          <t>Total repayment amount</t>
        </is>
      </c>
      <c r="B54" s="55" t="inlineStr">
        <is>
          <t>Portion of Salary</t>
        </is>
      </c>
      <c r="C54" s="57">
        <f>IF(ISERROR(C49*C47),"",C49*C47)</f>
        <v/>
      </c>
      <c r="D54" s="57">
        <f>IF(ISERROR(D49*D47),"",D49*D47)</f>
        <v/>
      </c>
      <c r="E54" s="57">
        <f>IF(ISERROR(E49*E47),"",E49*E47)</f>
        <v/>
      </c>
      <c r="F54" s="57">
        <f>IF(ISERROR(F49*F47),"",F49*F47)</f>
        <v/>
      </c>
      <c r="G54" s="57">
        <f>IF(ISERROR(G49*G47),"",G49*G47)</f>
        <v/>
      </c>
      <c r="H54" s="57">
        <f>IF(ISERROR(H49*H47),"",H49*H47)</f>
        <v/>
      </c>
    </row>
    <row r="55" ht="18.75" customHeight="1">
      <c r="A55" s="62" t="n"/>
      <c r="B55" s="34" t="inlineStr">
        <is>
          <t>Portion of income outside of salary</t>
        </is>
      </c>
      <c r="C55" s="42">
        <f>IF(ISERROR(C50*C48),"",C50*C48)</f>
        <v/>
      </c>
      <c r="D55" s="42">
        <f>IF(ISERROR(D50*D48),"",D50*D48)</f>
        <v/>
      </c>
      <c r="E55" s="42">
        <f>IF(ISERROR(E50*E48),"",E50*E48)</f>
        <v/>
      </c>
      <c r="F55" s="42">
        <f>IF(ISERROR(F50*F48),"",F50*F48)</f>
        <v/>
      </c>
      <c r="G55" s="42">
        <f>IF(ISERROR(G50*G48),"",G50*G48)</f>
        <v/>
      </c>
      <c r="H55" s="42">
        <f>IF(ISERROR(H50*H48),"",H50*H48)</f>
        <v/>
      </c>
    </row>
    <row r="56" ht="18.75" customHeight="1">
      <c r="A56" s="3" t="inlineStr">
        <is>
          <t>Total repayment amount</t>
        </is>
      </c>
      <c r="B56" s="61" t="n"/>
      <c r="C56" s="44">
        <f>SUM(C54:C55)</f>
        <v/>
      </c>
      <c r="D56" s="44">
        <f>SUM(D54:D55)</f>
        <v/>
      </c>
      <c r="E56" s="44">
        <f>SUM(E54:E55)</f>
        <v/>
      </c>
      <c r="F56" s="44">
        <f>SUM(F54:F55)</f>
        <v/>
      </c>
      <c r="G56" s="44">
        <f>SUM(G54:G55)</f>
        <v/>
      </c>
      <c r="H56" s="44">
        <f>SUM(H54:H55)</f>
        <v/>
      </c>
    </row>
    <row r="57" ht="18.75" customHeight="1">
      <c r="A57" s="7" t="inlineStr">
        <is>
          <t>Total Interest</t>
        </is>
      </c>
      <c r="B57" s="16" t="inlineStr">
        <is>
          <t>Portion of Salary</t>
        </is>
      </c>
      <c r="C57" s="46">
        <f>IF(ISERROR(C54-$C41),"",C54-$C41)</f>
        <v/>
      </c>
      <c r="D57" s="46">
        <f>IF(ISERROR(D54-$C41),"",D54-$C41)</f>
        <v/>
      </c>
      <c r="E57" s="46">
        <f>IF(ISERROR(E54-$C41),"",E54-$C41)</f>
        <v/>
      </c>
      <c r="F57" s="46">
        <f>IF(ISERROR(F54-$C41),"",F54-$C41)</f>
        <v/>
      </c>
      <c r="G57" s="46">
        <f>IF(ISERROR(G54-$C41),"",G54-$C41)</f>
        <v/>
      </c>
      <c r="H57" s="46">
        <f>IF(ISERROR(H54-$C41),"",H54-$C41)</f>
        <v/>
      </c>
    </row>
    <row r="58" ht="18.75" customHeight="1">
      <c r="A58" s="62" t="n"/>
      <c r="B58" s="34" t="inlineStr">
        <is>
          <t>Portion of income outside of salary</t>
        </is>
      </c>
      <c r="C58" s="42">
        <f>IF(ISERROR(C55-$C42),"",C55-$C42)</f>
        <v/>
      </c>
      <c r="D58" s="42">
        <f>IF(ISERROR(D55-$C42),"",D55-$C42)</f>
        <v/>
      </c>
      <c r="E58" s="42">
        <f>IF(ISERROR(E55-$C42),"",E55-$C42)</f>
        <v/>
      </c>
      <c r="F58" s="42">
        <f>IF(ISERROR(F55-$C42),"",F55-$C42)</f>
        <v/>
      </c>
      <c r="G58" s="42">
        <f>IF(ISERROR(G55-$C42),"",G55-$C42)</f>
        <v/>
      </c>
      <c r="H58" s="42">
        <f>IF(ISERROR(H55-$C42),"",H55-$C42)</f>
        <v/>
      </c>
    </row>
    <row r="59" ht="18.75" customHeight="1">
      <c r="A59" s="3" t="inlineStr">
        <is>
          <t>Total Interest Amount</t>
        </is>
      </c>
      <c r="B59" s="61" t="n"/>
      <c r="C59" s="44">
        <f>SUM(C57:C58)</f>
        <v/>
      </c>
      <c r="D59" s="44">
        <f>SUM(D57:D58)</f>
        <v/>
      </c>
      <c r="E59" s="44">
        <f>SUM(E57:E58)</f>
        <v/>
      </c>
      <c r="F59" s="44">
        <f>SUM(F57:F58)</f>
        <v/>
      </c>
      <c r="G59" s="44">
        <f>SUM(G57:G58)</f>
        <v/>
      </c>
      <c r="H59" s="44">
        <f>SUM(H57:H58)</f>
        <v/>
      </c>
    </row>
    <row r="60" ht="18.75" customHeight="1">
      <c r="A60" s="3" t="inlineStr">
        <is>
          <t>The ratio of the total repayment amount to the principal</t>
        </is>
      </c>
      <c r="B60" s="61" t="n"/>
      <c r="C60" s="65">
        <f>IF($C$8="","",C56/$C$8)</f>
        <v/>
      </c>
      <c r="D60" s="65">
        <f>IF($C$8="","",D56/$C$8)</f>
        <v/>
      </c>
      <c r="E60" s="65">
        <f>IF($C$8="","",E56/$C$8)</f>
        <v/>
      </c>
      <c r="F60" s="65">
        <f>IF($C$8="","",F56/$C$8)</f>
        <v/>
      </c>
      <c r="G60" s="65">
        <f>IF($C$8="","",G56/$C$8)</f>
        <v/>
      </c>
      <c r="H60" s="65">
        <f>IF($C$8="","",H56/$C$8)</f>
        <v/>
      </c>
    </row>
  </sheetData>
  <mergeCells count="34">
    <mergeCell ref="A15:B15"/>
    <mergeCell ref="A59:B59"/>
    <mergeCell ref="A60:B60"/>
    <mergeCell ref="B3:C3"/>
    <mergeCell ref="A51:B51"/>
    <mergeCell ref="A36:A37"/>
    <mergeCell ref="A16:A17"/>
    <mergeCell ref="A54:A55"/>
    <mergeCell ref="A1:H1"/>
    <mergeCell ref="A25:B25"/>
    <mergeCell ref="A26:A27"/>
    <mergeCell ref="A46:B46"/>
    <mergeCell ref="A56:B56"/>
    <mergeCell ref="A18:A19"/>
    <mergeCell ref="A40:A42"/>
    <mergeCell ref="A9:A11"/>
    <mergeCell ref="A12:B12"/>
    <mergeCell ref="A5:A6"/>
    <mergeCell ref="A57:A58"/>
    <mergeCell ref="B34:C34"/>
    <mergeCell ref="A47:A48"/>
    <mergeCell ref="A23:A24"/>
    <mergeCell ref="A32:H32"/>
    <mergeCell ref="A8:B8"/>
    <mergeCell ref="A53:B53"/>
    <mergeCell ref="A22:B22"/>
    <mergeCell ref="A20:B20"/>
    <mergeCell ref="A29:B29"/>
    <mergeCell ref="A43:B43"/>
    <mergeCell ref="A28:B28"/>
    <mergeCell ref="A13:B13"/>
    <mergeCell ref="A44:B44"/>
    <mergeCell ref="A49:A50"/>
    <mergeCell ref="A39:B39"/>
  </mergeCells>
  <conditionalFormatting sqref="C20:H20">
    <cfRule type="expression" priority="2" dxfId="0" stopIfTrue="1">
      <formula>C20="返済OK"</formula>
    </cfRule>
  </conditionalFormatting>
  <conditionalFormatting sqref="C51:H51">
    <cfRule type="expression" priority="1" dxfId="0" stopIfTrue="1">
      <formula>C51="返済OK"</formula>
    </cfRule>
  </conditionalFormatting>
  <printOptions horizontalCentered="1"/>
  <pageMargins left="0.590551181102362" right="0.590551181102362" top="0.78740157480315" bottom="0.78740157480315" header="0.511811023622047" footer="0.511811023622047"/>
  <pageSetup orientation="landscape" paperSize="9" cellComments="asDisplayed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2003-04-02T10:03:00Z</dcterms:created>
  <dcterms:modified xsi:type="dcterms:W3CDTF">2025-07-07T17:31:55Z</dcterms:modified>
  <cp:lastModifiedBy>清律</cp:lastModifiedBy>
  <cp:lastPrinted>2003-05-15T04:58:00Z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TC100622622052</vt:lpwstr>
  </property>
  <property name="ICV" fmtid="{D5CDD505-2E9C-101B-9397-08002B2CF9AE}" pid="3">
    <vt:lpwstr>D9497454C7A54B929200BBB4A8188027_12</vt:lpwstr>
  </property>
  <property name="KSOProductBuildVer" fmtid="{D5CDD505-2E9C-101B-9397-08002B2CF9AE}" pid="4">
    <vt:lpwstr>2052-12.1.0.16250</vt:lpwstr>
  </property>
</Properties>
</file>