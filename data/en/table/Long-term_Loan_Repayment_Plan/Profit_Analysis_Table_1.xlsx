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160" windowHeight="12375" tabRatio="600" firstSheet="1" autoFilterDateGrouping="1"/>
  </bookViews>
  <sheets>
    <sheet name="Main_Table" sheetId="1" state="visible" r:id="rId1"/>
  </sheets>
  <externalReferences>
    <externalReference r:id="rId2"/>
    <externalReference r:id="rId3"/>
    <externalReference r:id="rId4"/>
  </externalReferences>
  <definedNames>
    <definedName name="月份">#REF!</definedName>
    <definedName name="销售比例">'[3]Sheet1 (2)'!$G:$G</definedName>
    <definedName name="外购入库序时簿">'[2]外购入库序时簿'!$C$1:$W$675</definedName>
    <definedName name="委外加工入库序时簿">'[2]委外加工入库序时簿'!$B$1:$S$206</definedName>
    <definedName name="委外加工出库单序时簿">'[1]委外加工出库单序时簿'!$A$1:$S$507</definedName>
    <definedName name="_xlnm.Print_Area" localSheetId="0">'Main_Table'!$B$1:$N$12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_ "/>
    <numFmt numFmtId="165" formatCode="General&quot;月&quot;"/>
  </numFmts>
  <fonts count="24">
    <font>
      <name val="宋体"/>
      <family val="2"/>
      <color theme="1"/>
      <sz val="11"/>
      <scheme val="minor"/>
    </font>
    <font>
      <name val="Arial"/>
      <family val="2"/>
      <sz val="10"/>
    </font>
    <font>
      <name val="汉仪雅酷黑 55W"/>
      <family val="2"/>
      <sz val="15"/>
    </font>
    <font>
      <name val="汉仪雅酷黑 55W"/>
      <family val="2"/>
      <sz val="30"/>
    </font>
    <font>
      <name val="汉仪雅酷黑 55W"/>
      <family val="2"/>
      <color theme="0"/>
      <sz val="15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Times New Roman"/>
      <family val="2"/>
      <sz val="12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5E7492"/>
        <bgColor indexed="64"/>
      </patternFill>
    </fill>
  </fills>
  <borders count="3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medium">
        <color theme="0"/>
      </bottom>
    </border>
    <border>
      <left style="thin">
        <color rgb="FF5E7492"/>
      </left>
      <right style="thin">
        <color theme="0"/>
      </right>
      <top/>
      <bottom style="thin">
        <color rgb="FF5E7492"/>
      </bottom>
    </border>
    <border>
      <left style="thin">
        <color theme="0"/>
      </left>
      <right style="thin">
        <color theme="0"/>
      </right>
      <top/>
      <bottom style="thin">
        <color rgb="FF5E7492"/>
      </bottom>
    </border>
    <border>
      <left style="thin">
        <color theme="0"/>
      </left>
      <right style="thin">
        <color rgb="FF5E7492"/>
      </right>
      <top/>
      <bottom style="thin">
        <color rgb="FF5E7492"/>
      </bottom>
    </border>
    <border>
      <left/>
      <right style="thin">
        <color theme="0"/>
      </right>
      <top/>
      <bottom/>
    </border>
    <border>
      <left style="thin">
        <color theme="0"/>
      </left>
      <right style="thin">
        <color theme="0"/>
      </right>
      <top/>
      <bottom/>
    </border>
    <border>
      <left style="thin">
        <color rgb="FF5E7492"/>
      </left>
      <right style="thin">
        <color rgb="FF5E7492"/>
      </right>
      <top style="thin">
        <color rgb="FF5E7492"/>
      </top>
      <bottom style="thin">
        <color rgb="FF5E7492"/>
      </bottom>
    </border>
    <border>
      <left style="thin">
        <color rgb="FF5E7492"/>
      </left>
      <right/>
      <top style="thin">
        <color rgb="FF5E7492"/>
      </top>
      <bottom style="thin">
        <color rgb="FF5E7492"/>
      </bottom>
    </border>
    <border>
      <left/>
      <right/>
      <top style="thin">
        <color rgb="FF5E7492"/>
      </top>
      <bottom style="thin">
        <color rgb="FF5E7492"/>
      </bottom>
    </border>
    <border>
      <left/>
      <right style="thin">
        <color rgb="FF5E7492"/>
      </right>
      <top style="thin">
        <color rgb="FF5E7492"/>
      </top>
      <bottom style="thin">
        <color rgb="FF5E7492"/>
      </bottom>
    </border>
    <border>
      <left style="thin">
        <color rgb="FF5E7492"/>
      </left>
      <right style="thin">
        <color theme="0"/>
      </right>
      <top style="thin">
        <color rgb="FF5E7492"/>
      </top>
      <bottom style="thin">
        <color rgb="FF5E7492"/>
      </bottom>
    </border>
    <border>
      <left style="thin">
        <color theme="0"/>
      </left>
      <right style="thin">
        <color theme="0"/>
      </right>
      <top style="thin">
        <color rgb="FF5E7492"/>
      </top>
      <bottom style="thin">
        <color rgb="FF5E7492"/>
      </bottom>
    </border>
    <border>
      <left style="thin">
        <color theme="0"/>
      </left>
      <right style="thin">
        <color rgb="FF5E7492"/>
      </right>
      <top style="thin">
        <color rgb="FF5E7492"/>
      </top>
      <bottom style="thin">
        <color rgb="FF5E7492"/>
      </bottom>
    </border>
    <border>
      <left style="thin">
        <color theme="0"/>
      </left>
      <right/>
      <top/>
      <bottom/>
    </border>
    <border>
      <left/>
      <right/>
      <top/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rgb="FF5E7492"/>
      </bottom>
      <diagonal/>
    </border>
    <border>
      <left/>
      <right style="thin">
        <color theme="0"/>
      </right>
      <top/>
      <bottom style="thin">
        <color rgb="FF5E7492"/>
      </bottom>
      <diagonal/>
    </border>
    <border>
      <left/>
      <right/>
      <top style="thin">
        <color rgb="FF5E7492"/>
      </top>
      <bottom/>
      <diagonal/>
    </border>
    <border>
      <left/>
      <right style="thin">
        <color rgb="FF5E7492"/>
      </right>
      <top style="thin">
        <color rgb="FF5E7492"/>
      </top>
      <bottom/>
      <diagonal/>
    </border>
    <border>
      <left/>
      <right style="thin">
        <color rgb="FF5E7492"/>
      </right>
      <top style="thin">
        <color rgb="FF5E7492"/>
      </top>
      <bottom style="thin">
        <color rgb="FF5E7492"/>
      </bottom>
      <diagonal/>
    </border>
    <border>
      <left/>
      <right style="thin">
        <color theme="0"/>
      </right>
      <top style="thin">
        <color rgb="FF5E7492"/>
      </top>
      <bottom/>
      <diagonal/>
    </border>
    <border>
      <left/>
      <right/>
      <top style="thin">
        <color rgb="FF5E7492"/>
      </top>
      <bottom style="thin">
        <color rgb="FF5E7492"/>
      </bottom>
      <diagonal/>
    </border>
    <border>
      <left/>
      <right style="thin">
        <color theme="0"/>
      </right>
      <top style="thin">
        <color rgb="FF5E7492"/>
      </top>
      <bottom style="thin">
        <color rgb="FF5E7492"/>
      </bottom>
      <diagonal/>
    </border>
  </borders>
  <cellStyleXfs count="56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5" fillId="0" borderId="0"/>
    <xf numFmtId="0" fontId="6" fillId="0" borderId="0"/>
    <xf numFmtId="0" fontId="0" fillId="2" borderId="1"/>
    <xf numFmtId="0" fontId="7" fillId="0" borderId="0"/>
    <xf numFmtId="0" fontId="8" fillId="0" borderId="0"/>
    <xf numFmtId="0" fontId="9" fillId="0" borderId="0"/>
    <xf numFmtId="0" fontId="10" fillId="0" borderId="2"/>
    <xf numFmtId="0" fontId="11" fillId="0" borderId="2"/>
    <xf numFmtId="0" fontId="12" fillId="0" borderId="3"/>
    <xf numFmtId="0" fontId="12" fillId="0" borderId="0"/>
    <xf numFmtId="0" fontId="13" fillId="3" borderId="4"/>
    <xf numFmtId="0" fontId="14" fillId="4" borderId="5"/>
    <xf numFmtId="0" fontId="15" fillId="4" borderId="4"/>
    <xf numFmtId="0" fontId="16" fillId="5" borderId="6"/>
    <xf numFmtId="0" fontId="17" fillId="0" borderId="7"/>
    <xf numFmtId="0" fontId="18" fillId="0" borderId="8"/>
    <xf numFmtId="0" fontId="19" fillId="6" borderId="0"/>
    <xf numFmtId="0" fontId="20" fillId="7" borderId="0"/>
    <xf numFmtId="0" fontId="21" fillId="8" borderId="0"/>
    <xf numFmtId="0" fontId="22" fillId="9" borderId="0"/>
    <xf numFmtId="0" fontId="0" fillId="10" borderId="0"/>
    <xf numFmtId="0" fontId="0" fillId="11" borderId="0"/>
    <xf numFmtId="0" fontId="22" fillId="12" borderId="0"/>
    <xf numFmtId="0" fontId="22" fillId="13" borderId="0"/>
    <xf numFmtId="0" fontId="0" fillId="14" borderId="0"/>
    <xf numFmtId="0" fontId="0" fillId="15" borderId="0"/>
    <xf numFmtId="0" fontId="22" fillId="16" borderId="0"/>
    <xf numFmtId="0" fontId="22" fillId="17" borderId="0"/>
    <xf numFmtId="0" fontId="0" fillId="18" borderId="0"/>
    <xf numFmtId="0" fontId="0" fillId="19" borderId="0"/>
    <xf numFmtId="0" fontId="22" fillId="20" borderId="0"/>
    <xf numFmtId="0" fontId="22" fillId="21" borderId="0"/>
    <xf numFmtId="0" fontId="0" fillId="22" borderId="0"/>
    <xf numFmtId="0" fontId="0" fillId="23" borderId="0"/>
    <xf numFmtId="0" fontId="22" fillId="24" borderId="0"/>
    <xf numFmtId="0" fontId="22" fillId="25" borderId="0"/>
    <xf numFmtId="0" fontId="0" fillId="26" borderId="0"/>
    <xf numFmtId="0" fontId="0" fillId="27" borderId="0"/>
    <xf numFmtId="0" fontId="22" fillId="28" borderId="0"/>
    <xf numFmtId="0" fontId="22" fillId="29" borderId="0"/>
    <xf numFmtId="0" fontId="0" fillId="30" borderId="0"/>
    <xf numFmtId="0" fontId="0" fillId="31" borderId="0"/>
    <xf numFmtId="0" fontId="22" fillId="32" borderId="0"/>
    <xf numFmtId="0" fontId="23" fillId="0" borderId="0"/>
    <xf numFmtId="0" fontId="5" fillId="0" borderId="0" applyAlignment="1">
      <alignment vertical="center"/>
    </xf>
  </cellStyleXfs>
  <cellXfs count="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left" vertical="center"/>
    </xf>
    <xf numFmtId="0" fontId="2" fillId="33" borderId="9" applyAlignment="1" pivotButton="0" quotePrefix="0" xfId="0">
      <alignment horizontal="center" vertical="center"/>
    </xf>
    <xf numFmtId="0" fontId="4" fillId="33" borderId="10" applyAlignment="1" pivotButton="0" quotePrefix="0" xfId="0">
      <alignment horizontal="center" vertical="center"/>
    </xf>
    <xf numFmtId="0" fontId="4" fillId="33" borderId="11" applyAlignment="1" pivotButton="0" quotePrefix="0" xfId="0">
      <alignment horizontal="center" vertical="center"/>
    </xf>
    <xf numFmtId="0" fontId="4" fillId="33" borderId="12" applyAlignment="1" pivotButton="0" quotePrefix="0" xfId="0">
      <alignment horizontal="center" vertical="center"/>
    </xf>
    <xf numFmtId="0" fontId="4" fillId="33" borderId="13" applyAlignment="1" pivotButton="0" quotePrefix="0" xfId="0">
      <alignment horizontal="center" vertical="center"/>
    </xf>
    <xf numFmtId="0" fontId="4" fillId="33" borderId="14" applyAlignment="1" pivotButton="0" quotePrefix="0" xfId="0">
      <alignment horizontal="center" vertical="center"/>
    </xf>
    <xf numFmtId="165" fontId="2" fillId="0" borderId="15" applyAlignment="1" pivotButton="0" quotePrefix="0" xfId="0">
      <alignment horizontal="center" vertical="center"/>
    </xf>
    <xf numFmtId="164" fontId="2" fillId="0" borderId="16" applyAlignment="1" pivotButton="0" quotePrefix="0" xfId="0">
      <alignment horizontal="left" vertical="center"/>
    </xf>
    <xf numFmtId="164" fontId="2" fillId="0" borderId="17" applyAlignment="1" pivotButton="0" quotePrefix="0" xfId="0">
      <alignment horizontal="center" vertical="center"/>
    </xf>
    <xf numFmtId="164" fontId="2" fillId="0" borderId="18" applyAlignment="1" pivotButton="0" quotePrefix="0" xfId="0">
      <alignment horizontal="center" vertical="center"/>
    </xf>
    <xf numFmtId="164" fontId="2" fillId="0" borderId="15" applyAlignment="1" pivotButton="0" quotePrefix="0" xfId="0">
      <alignment horizontal="center" vertical="center"/>
    </xf>
    <xf numFmtId="165" fontId="4" fillId="33" borderId="19" applyAlignment="1" pivotButton="0" quotePrefix="0" xfId="0">
      <alignment horizontal="center" vertical="center"/>
    </xf>
    <xf numFmtId="164" fontId="4" fillId="33" borderId="20" applyAlignment="1" pivotButton="0" quotePrefix="0" xfId="0">
      <alignment horizontal="center" vertical="center"/>
    </xf>
    <xf numFmtId="164" fontId="4" fillId="33" borderId="21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left" vertical="center"/>
    </xf>
    <xf numFmtId="10" fontId="2" fillId="0" borderId="0" applyAlignment="1" pivotButton="0" quotePrefix="0" xfId="0">
      <alignment horizontal="center" vertical="center"/>
    </xf>
    <xf numFmtId="0" fontId="4" fillId="33" borderId="22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/>
    </xf>
    <xf numFmtId="0" fontId="5" fillId="0" borderId="0" applyAlignment="1" pivotButton="0" quotePrefix="0" xfId="69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pivotButton="0" quotePrefix="0" xfId="0"/>
    <xf numFmtId="0" fontId="0" fillId="0" borderId="26" pivotButton="0" quotePrefix="0" xfId="0"/>
    <xf numFmtId="165" fontId="2" fillId="0" borderId="15" applyAlignment="1" pivotButton="0" quotePrefix="0" xfId="0">
      <alignment horizontal="center" vertical="center"/>
    </xf>
    <xf numFmtId="164" fontId="2" fillId="0" borderId="16" applyAlignment="1" pivotButton="0" quotePrefix="0" xfId="0">
      <alignment horizontal="left" vertical="center"/>
    </xf>
    <xf numFmtId="164" fontId="2" fillId="0" borderId="18" applyAlignment="1" pivotButton="0" quotePrefix="0" xfId="0">
      <alignment horizontal="center" vertical="center"/>
    </xf>
    <xf numFmtId="0" fontId="0" fillId="0" borderId="29" pivotButton="0" quotePrefix="0" xfId="0"/>
    <xf numFmtId="164" fontId="2" fillId="0" borderId="15" applyAlignment="1" pivotButton="0" quotePrefix="0" xfId="0">
      <alignment horizontal="center" vertical="center"/>
    </xf>
    <xf numFmtId="165" fontId="4" fillId="33" borderId="19" applyAlignment="1" pivotButton="0" quotePrefix="0" xfId="0">
      <alignment horizontal="center" vertical="center"/>
    </xf>
    <xf numFmtId="164" fontId="4" fillId="33" borderId="2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164" fontId="4" fillId="33" borderId="21" applyAlignment="1" pivotButton="0" quotePrefix="0" xfId="0">
      <alignment horizontal="center" vertical="center"/>
    </xf>
    <xf numFmtId="164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</cellXfs>
  <cellStyles count="56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常规_Sheet1" xfId="54"/>
    <cellStyle name="Hyperlink" xfId="5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\\www\&#24212;&#20184;\NBC\2020&#24180;&#24212;&#20184;\202012\&#24212;&#20184;&#26126;&#32454;12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\\www\anencw$\&#36130;&#21153;&#25253;&#34920;\&#24212;&#20184;&#36134;&#27454;\2021\2021&#24180;&#24212;&#20184;&#26126;&#32454;01-09%20-%20&#26368;&#26032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Users\HUAWEI\AppData\Roaming\Kingsoft\office6\templates\download\26a9d546-e213-4b30-b68c-6cb874c70dd9\&#24180;&#24230;&#19994;&#32489;&#32479;&#35745;&#20998;&#26512;&#25490;&#21517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外购入库序时簿"/>
      <sheetName val="委外加工入库序时簿"/>
      <sheetName val="委外加工出库单序时簿"/>
      <sheetName val="委外结存数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采购分析-供应商"/>
      <sheetName val="采购分析-物料汇总"/>
      <sheetName val="加工费-供应商分析"/>
      <sheetName val="加工费-产品分析"/>
      <sheetName val="委外加工入库序时簿"/>
      <sheetName val="采购入库物料"/>
      <sheetName val="外购入库序时簿"/>
      <sheetName val="委外加工出库单序时簿"/>
      <sheetName val="委外结存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版权说明"/>
      <sheetName val="Sheet1 (2)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14"/>
  <sheetViews>
    <sheetView showGridLines="0" topLeftCell="A1" workbookViewId="0">
      <selection activeCell="A12" sqref="A12:XFD17"/>
    </sheetView>
  </sheetViews>
  <sheetFormatPr baseColWidth="8" defaultColWidth="11.75390625" defaultRowHeight="31.5" customHeight="1"/>
  <cols>
    <col width="2.375" customWidth="1" style="1" min="1" max="1"/>
    <col width="10.50390625" customWidth="1" style="1" min="2" max="2"/>
    <col width="14.375" customWidth="1" style="2" min="3" max="5"/>
    <col width="1.00390625" customWidth="1" style="1" min="6" max="6"/>
    <col width="10.50390625" customWidth="1" style="1" min="7" max="7"/>
    <col width="14.375" customWidth="1" style="1" min="8" max="14"/>
    <col width="11.75390625" customWidth="1" style="1" min="15" max="16382"/>
    <col width="11.75390625" customWidth="1" style="1" min="16383" max="16384"/>
  </cols>
  <sheetData>
    <row r="1" ht="12.75" customHeight="1" s="30"/>
    <row r="2" ht="31.5" customHeight="1" s="30">
      <c r="B2" s="5" t="inlineStr">
        <is>
          <t>Profit Analysis Table</t>
        </is>
      </c>
    </row>
    <row r="3" ht="12.75" customFormat="1" customHeight="1" s="1">
      <c r="A3" s="1" t="n"/>
      <c r="B3" s="31" t="n"/>
      <c r="O3" s="31" t="n"/>
      <c r="P3" s="24" t="n"/>
    </row>
    <row r="4" ht="15" customFormat="1" customHeight="1" s="1">
      <c r="A4" s="1" t="n"/>
      <c r="B4" s="8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1" t="n"/>
      <c r="P4" s="1" t="n"/>
    </row>
    <row r="5" ht="37.5" customFormat="1" customHeight="1" s="1">
      <c r="A5" s="1" t="n"/>
      <c r="B5" s="9" t="n">
        <v>2022</v>
      </c>
      <c r="C5" s="10" t="inlineStr">
        <is>
          <t>Operating Profit and Ratio Analysis</t>
        </is>
      </c>
      <c r="D5" s="33" t="n"/>
      <c r="E5" s="34" t="n"/>
      <c r="F5" s="1" t="n"/>
      <c r="G5" s="12" t="n">
        <v>2022</v>
      </c>
      <c r="H5" s="13" t="inlineStr">
        <is>
          <t>Operating Revenue</t>
        </is>
      </c>
      <c r="I5" s="13" t="inlineStr">
        <is>
          <t>Operating Cost</t>
        </is>
      </c>
      <c r="J5" s="13" t="inlineStr">
        <is>
          <t>Taxes and Surcharges</t>
        </is>
      </c>
      <c r="K5" s="13" t="inlineStr">
        <is>
          <t>Sales Expenses</t>
        </is>
      </c>
      <c r="L5" s="13" t="inlineStr">
        <is>
          <t>Management expenses</t>
        </is>
      </c>
      <c r="M5" s="13" t="inlineStr">
        <is>
          <t>R&amp;D expenses</t>
        </is>
      </c>
      <c r="N5" s="25" t="inlineStr">
        <is>
          <t>Financial expenses</t>
        </is>
      </c>
      <c r="O5" s="1" t="n"/>
      <c r="P5" s="1" t="n"/>
    </row>
    <row r="6" ht="37.5" customFormat="1" customHeight="1" s="1">
      <c r="A6" s="1" t="n"/>
      <c r="B6" s="35" t="n">
        <v>1</v>
      </c>
      <c r="C6" s="36">
        <f>H6-SUM(I6:N6)</f>
        <v/>
      </c>
      <c r="D6" s="37">
        <f>C6</f>
        <v/>
      </c>
      <c r="E6" s="38" t="n"/>
      <c r="F6" s="1" t="n"/>
      <c r="G6" s="35" t="n">
        <v>1</v>
      </c>
      <c r="H6" s="39" t="n">
        <v>50000</v>
      </c>
      <c r="I6" s="39" t="n">
        <v>15000</v>
      </c>
      <c r="J6" s="39" t="n">
        <v>6750</v>
      </c>
      <c r="K6" s="39" t="n">
        <v>8100</v>
      </c>
      <c r="L6" s="39" t="n">
        <v>10800</v>
      </c>
      <c r="M6" s="39" t="n">
        <v>4050</v>
      </c>
      <c r="N6" s="39" t="n">
        <v>270</v>
      </c>
      <c r="O6" s="1" t="n"/>
      <c r="P6" s="1" t="n"/>
    </row>
    <row r="7" ht="37.5" customFormat="1" customHeight="1" s="1">
      <c r="A7" s="1" t="n"/>
      <c r="B7" s="35" t="n">
        <v>2</v>
      </c>
      <c r="C7" s="36">
        <f>H7-SUM(I7:N7)</f>
        <v/>
      </c>
      <c r="D7" s="37">
        <f>C7</f>
        <v/>
      </c>
      <c r="E7" s="38" t="n"/>
      <c r="F7" s="1" t="n"/>
      <c r="G7" s="35" t="n">
        <v>2</v>
      </c>
      <c r="H7" s="39" t="n">
        <v>60000</v>
      </c>
      <c r="I7" s="39" t="n">
        <v>18000</v>
      </c>
      <c r="J7" s="39" t="n">
        <v>6375</v>
      </c>
      <c r="K7" s="39" t="n">
        <v>7650</v>
      </c>
      <c r="L7" s="39" t="n">
        <v>10200</v>
      </c>
      <c r="M7" s="39" t="n">
        <v>3825</v>
      </c>
      <c r="N7" s="39" t="n">
        <v>255</v>
      </c>
      <c r="O7" s="1" t="n"/>
      <c r="P7" s="1" t="n"/>
    </row>
    <row r="8" ht="37.5" customFormat="1" customHeight="1" s="1">
      <c r="A8" s="1" t="n"/>
      <c r="B8" s="35" t="n">
        <v>3</v>
      </c>
      <c r="C8" s="36">
        <f>H8-SUM(I8:N8)</f>
        <v/>
      </c>
      <c r="D8" s="37">
        <f>C8</f>
        <v/>
      </c>
      <c r="E8" s="38" t="n"/>
      <c r="F8" s="1" t="n"/>
      <c r="G8" s="35" t="n">
        <v>3</v>
      </c>
      <c r="H8" s="39" t="n">
        <v>70000</v>
      </c>
      <c r="I8" s="39" t="n">
        <v>21000</v>
      </c>
      <c r="J8" s="39" t="n">
        <v>6000</v>
      </c>
      <c r="K8" s="39" t="n">
        <v>7200</v>
      </c>
      <c r="L8" s="39" t="n">
        <v>9600</v>
      </c>
      <c r="M8" s="39" t="n">
        <v>3600</v>
      </c>
      <c r="N8" s="39" t="n">
        <v>240</v>
      </c>
      <c r="O8" s="31" t="n"/>
      <c r="P8" s="24" t="n"/>
    </row>
    <row r="9" ht="37.5" customFormat="1" customHeight="1" s="1">
      <c r="A9" s="1" t="n"/>
      <c r="B9" s="35" t="n">
        <v>4</v>
      </c>
      <c r="C9" s="36">
        <f>H9-SUM(I9:N9)</f>
        <v/>
      </c>
      <c r="D9" s="37">
        <f>C9</f>
        <v/>
      </c>
      <c r="E9" s="38" t="n"/>
      <c r="F9" s="1" t="n"/>
      <c r="G9" s="35" t="n">
        <v>4</v>
      </c>
      <c r="H9" s="39" t="n">
        <v>80000</v>
      </c>
      <c r="I9" s="39" t="n">
        <v>24000</v>
      </c>
      <c r="J9" s="39" t="n">
        <v>5625</v>
      </c>
      <c r="K9" s="39" t="n">
        <v>6750</v>
      </c>
      <c r="L9" s="39" t="n">
        <v>9000</v>
      </c>
      <c r="M9" s="39" t="n">
        <v>3375</v>
      </c>
      <c r="N9" s="39" t="n">
        <v>225</v>
      </c>
      <c r="O9" s="31" t="n"/>
      <c r="P9" s="24" t="n"/>
    </row>
    <row r="10" ht="37.5" customFormat="1" customHeight="1" s="1">
      <c r="A10" s="1" t="n"/>
      <c r="B10" s="35" t="n">
        <v>5</v>
      </c>
      <c r="C10" s="36">
        <f>H10-SUM(I10:N10)</f>
        <v/>
      </c>
      <c r="D10" s="37">
        <f>C10</f>
        <v/>
      </c>
      <c r="E10" s="38" t="n"/>
      <c r="F10" s="1" t="n"/>
      <c r="G10" s="35" t="n">
        <v>5</v>
      </c>
      <c r="H10" s="39" t="n">
        <v>90000</v>
      </c>
      <c r="I10" s="39" t="n">
        <v>27000</v>
      </c>
      <c r="J10" s="39" t="n">
        <v>5250</v>
      </c>
      <c r="K10" s="39" t="n">
        <v>6300</v>
      </c>
      <c r="L10" s="39" t="n">
        <v>8400</v>
      </c>
      <c r="M10" s="39" t="n">
        <v>3150</v>
      </c>
      <c r="N10" s="39" t="n">
        <v>210</v>
      </c>
      <c r="O10" s="31" t="n"/>
      <c r="P10" s="24" t="n"/>
    </row>
    <row r="11" ht="37.5" customFormat="1" customHeight="1" s="1">
      <c r="A11" s="1" t="n"/>
      <c r="B11" s="35" t="n">
        <v>6</v>
      </c>
      <c r="C11" s="36">
        <f>H11-SUM(I11:N11)</f>
        <v/>
      </c>
      <c r="D11" s="37">
        <f>C11</f>
        <v/>
      </c>
      <c r="E11" s="38" t="n"/>
      <c r="F11" s="1" t="n"/>
      <c r="G11" s="35" t="n">
        <v>6</v>
      </c>
      <c r="H11" s="39" t="n">
        <v>66000</v>
      </c>
      <c r="I11" s="39" t="n">
        <v>19800</v>
      </c>
      <c r="J11" s="39" t="n">
        <v>4875</v>
      </c>
      <c r="K11" s="39" t="n">
        <v>5850</v>
      </c>
      <c r="L11" s="39" t="n">
        <v>7800</v>
      </c>
      <c r="M11" s="39" t="n">
        <v>2925</v>
      </c>
      <c r="N11" s="39" t="n">
        <v>195</v>
      </c>
      <c r="O11" s="31" t="n"/>
      <c r="P11" s="24" t="n"/>
    </row>
    <row r="12" ht="37.5" customHeight="1" s="30">
      <c r="B12" s="40" t="inlineStr">
        <is>
          <t>Total</t>
        </is>
      </c>
      <c r="C12" s="41">
        <f>SUM(C6:C11)</f>
        <v/>
      </c>
      <c r="D12" s="42" t="n"/>
      <c r="E12" s="43" t="n"/>
      <c r="G12" s="40" t="inlineStr">
        <is>
          <t>Total</t>
        </is>
      </c>
      <c r="H12" s="41">
        <f>SUM(H6:H11)</f>
        <v/>
      </c>
      <c r="I12" s="41">
        <f>SUM(I6:I11)</f>
        <v/>
      </c>
      <c r="J12" s="41">
        <f>SUM(J6:J11)</f>
        <v/>
      </c>
      <c r="K12" s="41">
        <f>SUM(K6:K11)</f>
        <v/>
      </c>
      <c r="L12" s="41">
        <f>SUM(L6:L11)</f>
        <v/>
      </c>
      <c r="M12" s="41">
        <f>SUM(M6:M11)</f>
        <v/>
      </c>
      <c r="N12" s="44">
        <f>SUM(N6:N11)</f>
        <v/>
      </c>
      <c r="O12" s="31" t="n"/>
      <c r="P12" s="24" t="n"/>
    </row>
    <row r="13" ht="31.5" customHeight="1" s="30">
      <c r="B13" s="31" t="n"/>
      <c r="C13" s="45" t="n"/>
      <c r="D13" s="45" t="n"/>
      <c r="E13" s="45" t="n"/>
      <c r="G13" s="31" t="n"/>
      <c r="H13" s="31" t="n"/>
      <c r="I13" s="24" t="n"/>
      <c r="J13" s="31" t="n"/>
      <c r="K13" s="24" t="n"/>
      <c r="L13" s="24" t="n"/>
      <c r="M13" s="31" t="n"/>
      <c r="N13" s="46" t="n"/>
      <c r="O13" s="31" t="n"/>
      <c r="P13" s="24" t="n"/>
    </row>
    <row r="14" ht="31.5" customHeight="1" s="30">
      <c r="B14" s="31" t="n"/>
      <c r="C14" s="45" t="n"/>
      <c r="D14" s="45" t="n"/>
      <c r="E14" s="45" t="n"/>
      <c r="G14" s="31" t="n"/>
      <c r="H14" s="31" t="n"/>
      <c r="I14" s="24" t="n"/>
      <c r="J14" s="31" t="n"/>
      <c r="K14" s="24" t="n"/>
      <c r="L14" s="24" t="n"/>
      <c r="M14" s="31" t="n"/>
      <c r="N14" s="46" t="n"/>
      <c r="O14" s="31" t="n"/>
      <c r="P14" s="24" t="n"/>
    </row>
  </sheetData>
  <mergeCells count="11">
    <mergeCell ref="D8:E8"/>
    <mergeCell ref="D6:E6"/>
    <mergeCell ref="D10:E10"/>
    <mergeCell ref="D7:E7"/>
    <mergeCell ref="C5:E5"/>
    <mergeCell ref="B3:N3"/>
    <mergeCell ref="D11:E11"/>
    <mergeCell ref="B4:N4"/>
    <mergeCell ref="D9:E9"/>
    <mergeCell ref="B2:N2"/>
    <mergeCell ref="C12:E12"/>
  </mergeCells>
  <conditionalFormatting sqref="D6:D11">
    <cfRule type="dataBar" priority="6">
      <dataBar minLength="0" maxLength="100" showValue="0">
        <cfvo type="min"/>
        <cfvo type="max"/>
        <color rgb="FF638EC6"/>
      </dataBar>
    </cfRule>
  </conditionalFormatting>
  <pageMargins left="0.236111111111111" right="0" top="0.314583333333333" bottom="0" header="0.5" footer="0.5"/>
  <pageSetup orientation="landscape" paperSize="9" scale="88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nbc-cwb01</dc:creator>
  <dcterms:created xsi:type="dcterms:W3CDTF">2020-03-18T06:02:00Z</dcterms:created>
  <dcterms:modified xsi:type="dcterms:W3CDTF">2025-07-07T17:30:16Z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5FFB7739CDB441E8A4E4040424F2ABF4_11</vt:lpwstr>
  </property>
  <property name="KSOProductBuildVer" fmtid="{D5CDD505-2E9C-101B-9397-08002B2CF9AE}" pid="3">
    <vt:lpwstr>2052-12.1.0.16250</vt:lpwstr>
  </property>
  <property name="commondata" fmtid="{D5CDD505-2E9C-101B-9397-08002B2CF9AE}" pid="4">
    <vt:lpwstr>eyJoZGlkIjoiZDY3MWU2OWViZDA2OWMyYWU0OTgzZDZmZGNiNTUxYWEifQ==</vt:lpwstr>
  </property>
  <property name="KSOTemplateUUID" fmtid="{D5CDD505-2E9C-101B-9397-08002B2CF9AE}" pid="5">
    <vt:lpwstr>v1.0_mb_ly9JVsAIfCf2ig9DA6BSlA==</vt:lpwstr>
  </property>
</Properties>
</file>