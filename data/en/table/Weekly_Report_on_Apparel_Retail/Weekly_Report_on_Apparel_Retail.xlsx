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2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10"/>
      <scheme val="minor"/>
    </font>
    <font>
      <name val="宋体"/>
      <family val="2"/>
      <sz val="11"/>
      <scheme val="minor"/>
    </font>
    <font>
      <name val="宋体"/>
      <family val="2"/>
      <color theme="1"/>
      <sz val="9"/>
      <scheme val="minor"/>
    </font>
    <font>
      <name val="宋体"/>
      <family val="2"/>
      <sz val="9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 tint="-0.1499900072813034"/>
        <bgColor indexed="64"/>
      </patternFill>
    </fill>
    <fill>
      <patternFill patternType="solid">
        <fgColor theme="0" tint="-0.2499700039625168"/>
        <bgColor indexed="64"/>
      </patternFill>
    </fill>
  </fills>
  <borders count="4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8"/>
      </left>
      <right/>
      <top style="thin">
        <color indexed="65"/>
      </top>
      <bottom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>
        <color indexed="8"/>
      </left>
      <right/>
      <top style="thin">
        <color indexed="8"/>
      </top>
      <bottom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indexed="8"/>
      </right>
      <top/>
      <bottom/>
    </border>
    <border>
      <left/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 style="thin">
        <color indexed="8"/>
      </bottom>
    </border>
    <border>
      <left style="thin"/>
      <right style="thin"/>
      <top/>
      <bottom/>
    </border>
    <border>
      <left style="thin"/>
      <right style="thin"/>
      <top style="thin">
        <color indexed="8"/>
      </top>
      <bottom/>
    </border>
    <border>
      <left style="thin"/>
      <right style="thin"/>
      <top style="thin">
        <color indexed="8"/>
      </top>
      <bottom style="thin"/>
    </border>
    <border>
      <left style="thin">
        <color indexed="65"/>
      </left>
      <right/>
      <top/>
      <bottom/>
    </border>
    <border>
      <left style="thin"/>
      <right/>
      <top style="thin"/>
      <bottom/>
    </border>
    <border>
      <left style="thin">
        <color indexed="8"/>
      </left>
      <right/>
      <top style="thin"/>
      <bottom/>
    </border>
    <border>
      <left/>
      <right/>
      <top style="thin"/>
      <bottom/>
    </border>
    <border>
      <left style="thin"/>
      <right/>
      <top style="thin">
        <color indexed="65"/>
      </top>
      <bottom/>
    </border>
    <border>
      <left style="thin"/>
      <right/>
      <top style="thin">
        <color indexed="65"/>
      </top>
      <bottom style="thin"/>
    </border>
    <border>
      <left style="thin">
        <color indexed="8"/>
      </left>
      <right/>
      <top style="thin">
        <color indexed="65"/>
      </top>
      <bottom style="thin"/>
    </border>
    <border>
      <left style="thin">
        <color indexed="8"/>
      </left>
      <right/>
      <top style="thin">
        <color indexed="8"/>
      </top>
      <bottom style="thin"/>
    </border>
    <border>
      <left/>
      <right/>
      <top style="thin">
        <color indexed="8"/>
      </top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>
        <color indexed="8"/>
      </left>
      <right style="thin"/>
      <top style="thin">
        <color indexed="8"/>
      </top>
      <bottom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/>
      <top style="thin"/>
      <bottom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26" borderId="10" applyAlignment="1" pivotButton="0" quotePrefix="0" xfId="0">
      <alignment horizontal="center" vertical="center"/>
    </xf>
    <xf numFmtId="0" fontId="2" fillId="26" borderId="11" applyAlignment="1" pivotButton="0" quotePrefix="0" xfId="0">
      <alignment horizontal="center" vertical="center"/>
    </xf>
    <xf numFmtId="0" fontId="2" fillId="26" borderId="10" applyAlignment="1" pivotButton="0" quotePrefix="0" xfId="0">
      <alignment horizontal="center" vertical="center"/>
    </xf>
    <xf numFmtId="0" fontId="2" fillId="26" borderId="12" applyAlignment="1" pivotButton="0" quotePrefix="0" xfId="0">
      <alignment horizontal="center" vertical="center"/>
    </xf>
    <xf numFmtId="0" fontId="2" fillId="33" borderId="13" applyAlignment="1" pivotButton="0" quotePrefix="0" xfId="0">
      <alignment vertical="center"/>
    </xf>
    <xf numFmtId="0" fontId="2" fillId="33" borderId="14" applyAlignment="1" pivotButton="0" quotePrefix="0" xfId="0">
      <alignment vertical="center"/>
    </xf>
    <xf numFmtId="0" fontId="2" fillId="33" borderId="15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2" fillId="33" borderId="16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9" fontId="2" fillId="0" borderId="13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9" fontId="2" fillId="0" borderId="16" applyAlignment="1" pivotButton="0" quotePrefix="0" xfId="0">
      <alignment vertical="center"/>
    </xf>
    <xf numFmtId="0" fontId="2" fillId="33" borderId="19" applyAlignment="1" pivotButton="0" quotePrefix="0" xfId="0">
      <alignment vertical="center"/>
    </xf>
    <xf numFmtId="0" fontId="2" fillId="33" borderId="20" applyAlignment="1" pivotButton="0" quotePrefix="0" xfId="0">
      <alignment vertical="center"/>
    </xf>
    <xf numFmtId="0" fontId="2" fillId="33" borderId="19" applyAlignment="1" pivotButton="0" quotePrefix="0" xfId="0">
      <alignment vertical="center"/>
    </xf>
    <xf numFmtId="0" fontId="2" fillId="33" borderId="21" applyAlignment="1" pivotButton="0" quotePrefix="0" xfId="0">
      <alignment vertical="center"/>
    </xf>
    <xf numFmtId="9" fontId="2" fillId="33" borderId="19" applyAlignment="1" pivotButton="0" quotePrefix="0" xfId="0">
      <alignment vertical="center"/>
    </xf>
    <xf numFmtId="0" fontId="2" fillId="33" borderId="22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9" fontId="2" fillId="0" borderId="22" applyAlignment="1" pivotButton="0" quotePrefix="0" xfId="0">
      <alignment vertical="center"/>
    </xf>
    <xf numFmtId="9" fontId="2" fillId="33" borderId="2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164" fontId="4" fillId="0" borderId="18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164" fontId="4" fillId="0" borderId="33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164" fontId="4" fillId="0" borderId="28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9" fontId="4" fillId="34" borderId="34" applyAlignment="1" pivotButton="0" quotePrefix="0" xfId="0">
      <alignment horizontal="center" vertical="center"/>
    </xf>
    <xf numFmtId="165" fontId="4" fillId="34" borderId="34" applyAlignment="1" pivotButton="0" quotePrefix="0" xfId="0">
      <alignment horizontal="center" vertical="center"/>
    </xf>
    <xf numFmtId="9" fontId="4" fillId="34" borderId="35" applyAlignment="1" pivotButton="0" quotePrefix="0" xfId="0">
      <alignment horizontal="center" vertical="center"/>
    </xf>
    <xf numFmtId="165" fontId="4" fillId="34" borderId="35" applyAlignment="1" pivotButton="0" quotePrefix="0" xfId="0">
      <alignment horizontal="center" vertical="center"/>
    </xf>
    <xf numFmtId="9" fontId="4" fillId="0" borderId="13" applyAlignment="1" pivotButton="0" quotePrefix="0" xfId="0">
      <alignment vertical="center"/>
    </xf>
    <xf numFmtId="165" fontId="4" fillId="0" borderId="36" applyAlignment="1" pivotButton="0" quotePrefix="0" xfId="0">
      <alignment vertical="center"/>
    </xf>
    <xf numFmtId="9" fontId="4" fillId="0" borderId="32" applyAlignment="1" pivotButton="0" quotePrefix="0" xfId="0">
      <alignment vertical="center"/>
    </xf>
    <xf numFmtId="165" fontId="4" fillId="0" borderId="37" applyAlignment="1" pivotButton="0" quotePrefix="0" xfId="0">
      <alignment vertical="center"/>
    </xf>
    <xf numFmtId="9" fontId="4" fillId="0" borderId="27" applyAlignment="1" pivotButton="0" quotePrefix="0" xfId="0">
      <alignment vertical="center"/>
    </xf>
    <xf numFmtId="165" fontId="4" fillId="0" borderId="38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32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9" fontId="4" fillId="34" borderId="39" applyAlignment="1" pivotButton="0" quotePrefix="0" xfId="0">
      <alignment horizontal="center" vertical="center"/>
    </xf>
    <xf numFmtId="165" fontId="4" fillId="34" borderId="39" applyAlignment="1" pivotButton="0" quotePrefix="0" xfId="0">
      <alignment horizontal="center" vertical="center"/>
    </xf>
    <xf numFmtId="0" fontId="0" fillId="0" borderId="46" pivotButton="0" quotePrefix="0" xfId="0"/>
    <xf numFmtId="164" fontId="4" fillId="0" borderId="18" applyAlignment="1" pivotButton="0" quotePrefix="0" xfId="0">
      <alignment vertical="center"/>
    </xf>
    <xf numFmtId="165" fontId="4" fillId="0" borderId="36" applyAlignment="1" pivotButton="0" quotePrefix="0" xfId="0">
      <alignment vertical="center"/>
    </xf>
    <xf numFmtId="164" fontId="4" fillId="0" borderId="33" applyAlignment="1" pivotButton="0" quotePrefix="0" xfId="0">
      <alignment vertical="center"/>
    </xf>
    <xf numFmtId="165" fontId="4" fillId="0" borderId="37" applyAlignment="1" pivotButton="0" quotePrefix="0" xfId="0">
      <alignment vertical="center"/>
    </xf>
    <xf numFmtId="164" fontId="4" fillId="0" borderId="28" applyAlignment="1" pivotButton="0" quotePrefix="0" xfId="0">
      <alignment vertical="center"/>
    </xf>
    <xf numFmtId="165" fontId="4" fillId="0" borderId="38" applyAlignment="1" pivotButton="0" quotePrefix="0" xfId="0">
      <alignment vertical="center"/>
    </xf>
    <xf numFmtId="0" fontId="2" fillId="26" borderId="3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"/>
  <sheetViews>
    <sheetView topLeftCell="A1" workbookViewId="0">
      <selection activeCell="A1" sqref="A1:AE1048576"/>
    </sheetView>
  </sheetViews>
  <sheetFormatPr baseColWidth="8" defaultColWidth="8.75390625" defaultRowHeight="13.5"/>
  <cols>
    <col width="10.50390625" customWidth="1" style="31" min="1" max="2"/>
    <col width="11.375" customWidth="1" style="31" min="3" max="3"/>
    <col width="6.00390625" customWidth="1" style="31" min="4" max="4"/>
    <col width="7.50390625" customWidth="1" style="31" min="5" max="5"/>
    <col width="6.75390625" customWidth="1" style="31" min="6" max="6"/>
    <col width="7.50390625" customWidth="1" style="31" min="7" max="7"/>
    <col width="5.25390625" customWidth="1" style="31" min="8" max="9"/>
    <col width="6.75390625" customWidth="1" style="31" min="10" max="10"/>
    <col width="6.00390625" customWidth="1" style="31" min="11" max="12"/>
    <col width="3.875" customWidth="1" style="31" min="13" max="13"/>
    <col width="10.50390625" customWidth="1" style="31" min="14" max="15"/>
    <col width="11.375" customWidth="1" style="31" min="16" max="16"/>
    <col width="6.00390625" customWidth="1" style="31" min="17" max="17"/>
    <col width="7.50390625" customWidth="1" style="32" min="18" max="18"/>
    <col width="6.75390625" customWidth="1" style="31" min="19" max="20"/>
    <col width="5.25390625" customWidth="1" style="31" min="21" max="22"/>
    <col width="6.75390625" customWidth="1" style="31" min="23" max="24"/>
    <col width="6.00390625" customWidth="1" style="31" min="25" max="25"/>
    <col width="9.00390625" customWidth="1" style="31" min="26" max="31"/>
  </cols>
  <sheetData>
    <row r="1" ht="13.5" customHeight="1" s="75">
      <c r="A1" s="76" t="inlineStr">
        <is>
          <t>Top 10 Sales Rankings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8" t="n"/>
      <c r="M1" s="31" t="n"/>
      <c r="N1" s="76" t="inlineStr">
        <is>
          <t>Sales Ranking Bottom Ten</t>
        </is>
      </c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8" t="n"/>
    </row>
    <row r="2" ht="13.5" customHeight="1" s="75">
      <c r="A2" s="35" t="n"/>
      <c r="B2" s="36" t="n"/>
      <c r="C2" s="36" t="n"/>
      <c r="D2" s="36" t="n"/>
      <c r="E2" s="35" t="inlineStr">
        <is>
          <t>Cumulative Sales</t>
        </is>
      </c>
      <c r="F2" s="36" t="n"/>
      <c r="G2" s="36" t="n"/>
      <c r="H2" s="37" t="n"/>
      <c r="I2" s="35" t="inlineStr">
        <is>
          <t>Inventory</t>
        </is>
      </c>
      <c r="J2" s="36" t="n"/>
      <c r="K2" s="79" t="inlineStr">
        <is>
          <t>Sell-through rate</t>
        </is>
      </c>
      <c r="L2" s="80" t="inlineStr">
        <is>
          <t>Stock-to-Sales Ratio</t>
        </is>
      </c>
      <c r="N2" s="35" t="n"/>
      <c r="O2" s="36" t="n"/>
      <c r="P2" s="36" t="n"/>
      <c r="Q2" s="36" t="n"/>
      <c r="R2" s="67" t="inlineStr">
        <is>
          <t>Cumulative Sales</t>
        </is>
      </c>
      <c r="S2" s="36" t="n"/>
      <c r="T2" s="36" t="n"/>
      <c r="U2" s="37" t="n"/>
      <c r="V2" s="35" t="inlineStr">
        <is>
          <t>Inventory</t>
        </is>
      </c>
      <c r="W2" s="36" t="n"/>
      <c r="X2" s="79" t="inlineStr">
        <is>
          <t>Sell-through rate</t>
        </is>
      </c>
      <c r="Y2" s="80" t="inlineStr">
        <is>
          <t>Stock-to-Sales Ratio</t>
        </is>
      </c>
    </row>
    <row r="3" ht="13.5" customHeight="1" s="75">
      <c r="A3" s="38" t="inlineStr">
        <is>
          <t>Series</t>
        </is>
      </c>
      <c r="B3" s="53" t="inlineStr">
        <is>
          <t>Category</t>
        </is>
      </c>
      <c r="C3" s="53" t="inlineStr">
        <is>
          <t>Style Number\Color Code</t>
        </is>
      </c>
      <c r="D3" s="53" t="inlineStr">
        <is>
          <t>Tag Price</t>
        </is>
      </c>
      <c r="E3" s="53" t="inlineStr">
        <is>
          <t>Quantity</t>
        </is>
      </c>
      <c r="F3" s="54" t="inlineStr">
        <is>
          <t>Tag Price Amount</t>
        </is>
      </c>
      <c r="G3" s="54" t="inlineStr">
        <is>
          <t>Sales Amount</t>
        </is>
      </c>
      <c r="H3" s="54" t="inlineStr">
        <is>
          <t>Discount</t>
        </is>
      </c>
      <c r="I3" s="53" t="inlineStr">
        <is>
          <t>Quantity</t>
        </is>
      </c>
      <c r="J3" s="54" t="inlineStr">
        <is>
          <t>Tag Price Amount</t>
        </is>
      </c>
      <c r="K3" s="81" t="n"/>
      <c r="L3" s="81" t="n"/>
      <c r="M3" s="31" t="n"/>
      <c r="N3" s="38" t="inlineStr">
        <is>
          <t>Series</t>
        </is>
      </c>
      <c r="O3" s="53" t="inlineStr">
        <is>
          <t>Category</t>
        </is>
      </c>
      <c r="P3" s="53" t="inlineStr">
        <is>
          <t>Style Number\Color Code</t>
        </is>
      </c>
      <c r="Q3" s="53" t="inlineStr">
        <is>
          <t>Tag Price</t>
        </is>
      </c>
      <c r="R3" s="71" t="inlineStr">
        <is>
          <t>Quantity</t>
        </is>
      </c>
      <c r="S3" s="54" t="inlineStr">
        <is>
          <t>Tag Price Amount</t>
        </is>
      </c>
      <c r="T3" s="54" t="inlineStr">
        <is>
          <t>Sales Amount</t>
        </is>
      </c>
      <c r="U3" s="54" t="inlineStr">
        <is>
          <t>Discount</t>
        </is>
      </c>
      <c r="V3" s="53" t="inlineStr">
        <is>
          <t>Quantity</t>
        </is>
      </c>
      <c r="W3" s="54" t="inlineStr">
        <is>
          <t>Tag Price Amount</t>
        </is>
      </c>
      <c r="X3" s="81" t="n"/>
      <c r="Y3" s="81" t="n"/>
    </row>
    <row r="4" ht="13.5" customHeight="1" s="75">
      <c r="A4" s="41" t="inlineStr">
        <is>
          <t>Spring and Summer Home</t>
        </is>
      </c>
      <c r="B4" s="42" t="inlineStr">
        <is>
          <t>Trousers</t>
        </is>
      </c>
      <c r="C4" s="44" t="inlineStr">
        <is>
          <t>113841101\61</t>
        </is>
      </c>
      <c r="D4" s="44" t="n">
        <v>199</v>
      </c>
      <c r="E4" s="44" t="n">
        <v>60</v>
      </c>
      <c r="F4" s="45" t="n">
        <v>11940</v>
      </c>
      <c r="G4" s="45" t="n">
        <v>8781.700000000001</v>
      </c>
      <c r="H4" s="82" t="n">
        <v>0.735485762144054</v>
      </c>
      <c r="I4" s="44" t="n">
        <v>141</v>
      </c>
      <c r="J4" s="45" t="n">
        <v>28059</v>
      </c>
      <c r="K4" s="61">
        <f>E4/(I4+E4)</f>
        <v/>
      </c>
      <c r="L4" s="83">
        <f>I4/(E4/2.1)</f>
        <v/>
      </c>
      <c r="N4" s="41" t="inlineStr">
        <is>
          <t>Spring and Summer Home</t>
        </is>
      </c>
      <c r="O4" s="42" t="inlineStr">
        <is>
          <t>Trousers</t>
        </is>
      </c>
      <c r="P4" s="44" t="inlineStr">
        <is>
          <t>113851106\49</t>
        </is>
      </c>
      <c r="Q4" s="44" t="n">
        <v>799</v>
      </c>
      <c r="R4" s="69" t="n">
        <v>1</v>
      </c>
      <c r="S4" s="45" t="n">
        <v>799</v>
      </c>
      <c r="T4" s="45" t="n">
        <v>562.4</v>
      </c>
      <c r="U4" s="82" t="n">
        <v>0.703879849812265</v>
      </c>
      <c r="V4" s="44" t="n">
        <v>48</v>
      </c>
      <c r="W4" s="45" t="n">
        <v>38352</v>
      </c>
      <c r="X4" s="61">
        <f>R4/(V4+R4)</f>
        <v/>
      </c>
      <c r="Y4" s="83">
        <f>V4/(R4/2.1)</f>
        <v/>
      </c>
    </row>
    <row r="5" ht="13.5" customHeight="1" s="75">
      <c r="A5" s="41" t="inlineStr">
        <is>
          <t>Spring and Summer Home</t>
        </is>
      </c>
      <c r="B5" s="42" t="inlineStr">
        <is>
          <t>Trousers</t>
        </is>
      </c>
      <c r="C5" s="44" t="inlineStr">
        <is>
          <t>113841101\92</t>
        </is>
      </c>
      <c r="D5" s="44" t="n">
        <v>199</v>
      </c>
      <c r="E5" s="44" t="n">
        <v>50</v>
      </c>
      <c r="F5" s="45" t="n">
        <v>9950</v>
      </c>
      <c r="G5" s="45" t="n">
        <v>6955.5</v>
      </c>
      <c r="H5" s="82" t="n">
        <v>0.699045226130653</v>
      </c>
      <c r="I5" s="44" t="n">
        <v>204</v>
      </c>
      <c r="J5" s="45" t="n">
        <v>40596</v>
      </c>
      <c r="K5" s="61">
        <f>E5/(I5+E5)</f>
        <v/>
      </c>
      <c r="L5" s="83">
        <f>I5/(E5/2.1)</f>
        <v/>
      </c>
      <c r="N5" s="41" t="inlineStr">
        <is>
          <t>Spring and Summer Home</t>
        </is>
      </c>
      <c r="O5" s="42" t="inlineStr">
        <is>
          <t>Trousers</t>
        </is>
      </c>
      <c r="P5" s="44" t="inlineStr">
        <is>
          <t>113851106\75</t>
        </is>
      </c>
      <c r="Q5" s="44" t="n">
        <v>799</v>
      </c>
      <c r="R5" s="69" t="n">
        <v>1</v>
      </c>
      <c r="S5" s="45" t="n">
        <v>799</v>
      </c>
      <c r="T5" s="45" t="n">
        <v>639</v>
      </c>
      <c r="U5" s="82" t="n">
        <v>0.7997496871088861</v>
      </c>
      <c r="V5" s="44" t="n">
        <v>54</v>
      </c>
      <c r="W5" s="45" t="n">
        <v>43146</v>
      </c>
      <c r="X5" s="61">
        <f>R5/(V5+R5)</f>
        <v/>
      </c>
      <c r="Y5" s="83">
        <f>V5/(R5/2.1)</f>
        <v/>
      </c>
    </row>
    <row r="6" ht="13.5" customHeight="1" s="75">
      <c r="A6" s="41" t="inlineStr">
        <is>
          <t>Spring and Summer Home</t>
        </is>
      </c>
      <c r="B6" s="42" t="inlineStr">
        <is>
          <t>Trousers</t>
        </is>
      </c>
      <c r="C6" s="44" t="inlineStr">
        <is>
          <t>113841101\80</t>
        </is>
      </c>
      <c r="D6" s="44" t="n">
        <v>199</v>
      </c>
      <c r="E6" s="44" t="n">
        <v>47</v>
      </c>
      <c r="F6" s="45" t="n">
        <v>9353</v>
      </c>
      <c r="G6" s="45" t="n">
        <v>6454.6</v>
      </c>
      <c r="H6" s="82" t="n">
        <v>0.690110125093553</v>
      </c>
      <c r="I6" s="44" t="n">
        <v>74</v>
      </c>
      <c r="J6" s="45" t="n">
        <v>14726</v>
      </c>
      <c r="K6" s="61">
        <f>E6/(I6+E6)</f>
        <v/>
      </c>
      <c r="L6" s="83">
        <f>I6/(E6/2.1)</f>
        <v/>
      </c>
      <c r="N6" s="41" t="inlineStr">
        <is>
          <t>Spring and Summer Home</t>
        </is>
      </c>
      <c r="O6" s="42" t="inlineStr">
        <is>
          <t>Short sleeve</t>
        </is>
      </c>
      <c r="P6" s="44" t="inlineStr">
        <is>
          <t>113811801\75</t>
        </is>
      </c>
      <c r="Q6" s="44" t="n">
        <v>799</v>
      </c>
      <c r="R6" s="69" t="n">
        <v>1</v>
      </c>
      <c r="S6" s="45" t="n">
        <v>799</v>
      </c>
      <c r="T6" s="45" t="n">
        <v>639</v>
      </c>
      <c r="U6" s="82" t="n">
        <v>0.7997496871088861</v>
      </c>
      <c r="V6" s="44" t="n">
        <v>122</v>
      </c>
      <c r="W6" s="45" t="n">
        <v>97478</v>
      </c>
      <c r="X6" s="61">
        <f>R6/(V6+R6)</f>
        <v/>
      </c>
      <c r="Y6" s="83">
        <f>V6/(R6/2.1)</f>
        <v/>
      </c>
    </row>
    <row r="7" ht="13.5" customHeight="1" s="75">
      <c r="A7" s="41" t="inlineStr">
        <is>
          <t>Spring and Summer Home</t>
        </is>
      </c>
      <c r="B7" s="42" t="inlineStr">
        <is>
          <t>Trousers</t>
        </is>
      </c>
      <c r="C7" s="44" t="inlineStr">
        <is>
          <t>113841102\60</t>
        </is>
      </c>
      <c r="D7" s="44" t="n">
        <v>299</v>
      </c>
      <c r="E7" s="44" t="n">
        <v>41</v>
      </c>
      <c r="F7" s="45" t="n">
        <v>12259</v>
      </c>
      <c r="G7" s="45" t="n">
        <v>8399.799999999999</v>
      </c>
      <c r="H7" s="82" t="n">
        <v>0.685194550942165</v>
      </c>
      <c r="I7" s="44" t="n">
        <v>146</v>
      </c>
      <c r="J7" s="45" t="n">
        <v>43654</v>
      </c>
      <c r="K7" s="61">
        <f>E7/(I7+E7)</f>
        <v/>
      </c>
      <c r="L7" s="83">
        <f>I7/(E7/2.1)</f>
        <v/>
      </c>
      <c r="N7" s="41" t="inlineStr">
        <is>
          <t>Spring and Summer Home</t>
        </is>
      </c>
      <c r="O7" s="42" t="inlineStr">
        <is>
          <t>Trousers</t>
        </is>
      </c>
      <c r="P7" s="44" t="inlineStr">
        <is>
          <t>112851305\53</t>
        </is>
      </c>
      <c r="Q7" s="44" t="n">
        <v>259</v>
      </c>
      <c r="R7" s="69" t="n">
        <v>1</v>
      </c>
      <c r="S7" s="45" t="n">
        <v>259</v>
      </c>
      <c r="T7" s="45" t="n">
        <v>233</v>
      </c>
      <c r="U7" s="82" t="n">
        <v>0.8996138996139</v>
      </c>
      <c r="V7" s="44" t="n">
        <v>309</v>
      </c>
      <c r="W7" s="45" t="n">
        <v>80031</v>
      </c>
      <c r="X7" s="61">
        <f>R7/(V7+R7)</f>
        <v/>
      </c>
      <c r="Y7" s="83">
        <f>V7/(R7/2.1)</f>
        <v/>
      </c>
    </row>
    <row r="8" ht="13.5" customHeight="1" s="75">
      <c r="A8" s="41" t="inlineStr">
        <is>
          <t>Spring and Summer Home</t>
        </is>
      </c>
      <c r="B8" s="42" t="inlineStr">
        <is>
          <t>Five-pocket pants</t>
        </is>
      </c>
      <c r="C8" s="44" t="inlineStr">
        <is>
          <t>113851506\75</t>
        </is>
      </c>
      <c r="D8" s="44" t="n">
        <v>299</v>
      </c>
      <c r="E8" s="44" t="n">
        <v>32</v>
      </c>
      <c r="F8" s="45" t="n">
        <v>9568</v>
      </c>
      <c r="G8" s="45" t="n">
        <v>6631.4</v>
      </c>
      <c r="H8" s="82" t="n">
        <v>0.6930811036789301</v>
      </c>
      <c r="I8" s="44" t="n">
        <v>189</v>
      </c>
      <c r="J8" s="45" t="n">
        <v>56511</v>
      </c>
      <c r="K8" s="61">
        <f>E8/(I8+E8)</f>
        <v/>
      </c>
      <c r="L8" s="83">
        <f>I8/(E8/2.1)</f>
        <v/>
      </c>
      <c r="N8" s="41" t="inlineStr">
        <is>
          <t>Spring and Summer Home</t>
        </is>
      </c>
      <c r="O8" s="42" t="inlineStr">
        <is>
          <t>Trousers</t>
        </is>
      </c>
      <c r="P8" s="44" t="inlineStr">
        <is>
          <t>113851105\62</t>
        </is>
      </c>
      <c r="Q8" s="44" t="n">
        <v>399</v>
      </c>
      <c r="R8" s="69" t="n">
        <v>3</v>
      </c>
      <c r="S8" s="45" t="n">
        <v>1197</v>
      </c>
      <c r="T8" s="45" t="n">
        <v>949.5</v>
      </c>
      <c r="U8" s="82" t="n">
        <v>0.793233082706767</v>
      </c>
      <c r="V8" s="44" t="n">
        <v>36</v>
      </c>
      <c r="W8" s="45" t="n">
        <v>14364</v>
      </c>
      <c r="X8" s="61">
        <f>R8/(V8+R8)</f>
        <v/>
      </c>
      <c r="Y8" s="83">
        <f>V8/(R8/2.1)</f>
        <v/>
      </c>
    </row>
    <row r="9" ht="13.5" customHeight="1" s="75">
      <c r="A9" s="41" t="inlineStr">
        <is>
          <t>Spring and Summer Home</t>
        </is>
      </c>
      <c r="B9" s="42" t="inlineStr">
        <is>
          <t>Five-pocket pants</t>
        </is>
      </c>
      <c r="C9" s="44" t="inlineStr">
        <is>
          <t>113851506\62</t>
        </is>
      </c>
      <c r="D9" s="44" t="n">
        <v>299</v>
      </c>
      <c r="E9" s="44" t="n">
        <v>20</v>
      </c>
      <c r="F9" s="45" t="n">
        <v>5980</v>
      </c>
      <c r="G9" s="45" t="n">
        <v>4371.3</v>
      </c>
      <c r="H9" s="82" t="n">
        <v>0.730986622073579</v>
      </c>
      <c r="I9" s="44" t="n">
        <v>195</v>
      </c>
      <c r="J9" s="45" t="n">
        <v>58305</v>
      </c>
      <c r="K9" s="61">
        <f>E9/(I9+E9)</f>
        <v/>
      </c>
      <c r="L9" s="83">
        <f>I9/(E9/2.1)</f>
        <v/>
      </c>
      <c r="N9" s="41" t="inlineStr">
        <is>
          <t>Spring and Summer Home</t>
        </is>
      </c>
      <c r="O9" s="42" t="inlineStr">
        <is>
          <t>Set/Wardrobe</t>
        </is>
      </c>
      <c r="P9" s="44" t="inlineStr">
        <is>
          <t>114871105\80</t>
        </is>
      </c>
      <c r="Q9" s="44" t="n">
        <v>499</v>
      </c>
      <c r="R9" s="69" t="n">
        <v>3</v>
      </c>
      <c r="S9" s="45" t="n">
        <v>1497</v>
      </c>
      <c r="T9" s="45" t="n">
        <v>1347</v>
      </c>
      <c r="U9" s="82" t="n">
        <v>0.899799599198397</v>
      </c>
      <c r="V9" s="44" t="n">
        <v>23</v>
      </c>
      <c r="W9" s="45" t="n">
        <v>11477</v>
      </c>
      <c r="X9" s="61">
        <f>R9/(V9+R9)</f>
        <v/>
      </c>
      <c r="Y9" s="83">
        <f>V9/(R9/2.1)</f>
        <v/>
      </c>
    </row>
    <row r="10" ht="13.5" customHeight="1" s="75">
      <c r="A10" s="41" t="inlineStr">
        <is>
          <t>Spring and Summer Home</t>
        </is>
      </c>
      <c r="B10" s="42" t="inlineStr">
        <is>
          <t>Set/Wardrobe</t>
        </is>
      </c>
      <c r="C10" s="44" t="inlineStr">
        <is>
          <t>112871102\73</t>
        </is>
      </c>
      <c r="D10" s="44" t="n">
        <v>399</v>
      </c>
      <c r="E10" s="44" t="n">
        <v>18</v>
      </c>
      <c r="F10" s="45" t="n">
        <v>7182</v>
      </c>
      <c r="G10" s="45" t="n">
        <v>4971.4</v>
      </c>
      <c r="H10" s="82" t="n">
        <v>0.692202729044834</v>
      </c>
      <c r="I10" s="44" t="n">
        <v>257</v>
      </c>
      <c r="J10" s="45" t="n">
        <v>102543</v>
      </c>
      <c r="K10" s="61">
        <f>E10/(I10+E10)</f>
        <v/>
      </c>
      <c r="L10" s="83">
        <f>I10/(E10/2.1)</f>
        <v/>
      </c>
      <c r="N10" s="41" t="inlineStr">
        <is>
          <t>Spring and Summer Home</t>
        </is>
      </c>
      <c r="O10" s="42" t="inlineStr">
        <is>
          <t>Set/Wardrobe</t>
        </is>
      </c>
      <c r="P10" s="44" t="inlineStr">
        <is>
          <t>114871105\75</t>
        </is>
      </c>
      <c r="Q10" s="44" t="n">
        <v>499</v>
      </c>
      <c r="R10" s="69" t="n">
        <v>4</v>
      </c>
      <c r="S10" s="45" t="n">
        <v>1996</v>
      </c>
      <c r="T10" s="45" t="n">
        <v>1646.5</v>
      </c>
      <c r="U10" s="82" t="n">
        <v>0.824899799599198</v>
      </c>
      <c r="V10" s="44" t="n">
        <v>22</v>
      </c>
      <c r="W10" s="45" t="n">
        <v>10978</v>
      </c>
      <c r="X10" s="61">
        <f>R10/(V10+R10)</f>
        <v/>
      </c>
      <c r="Y10" s="83">
        <f>V10/(R10/2.1)</f>
        <v/>
      </c>
    </row>
    <row r="11" ht="13.5" customHeight="1" s="75">
      <c r="A11" s="41" t="inlineStr">
        <is>
          <t>Spring and Summer Home</t>
        </is>
      </c>
      <c r="B11" s="42" t="inlineStr">
        <is>
          <t>Five-pocket pants</t>
        </is>
      </c>
      <c r="C11" s="44" t="inlineStr">
        <is>
          <t>113851503\73</t>
        </is>
      </c>
      <c r="D11" s="44" t="n">
        <v>299</v>
      </c>
      <c r="E11" s="44" t="n">
        <v>11</v>
      </c>
      <c r="F11" s="45" t="n">
        <v>3289</v>
      </c>
      <c r="G11" s="45" t="n">
        <v>2632.2</v>
      </c>
      <c r="H11" s="82" t="n">
        <v>0.800304043782305</v>
      </c>
      <c r="I11" s="44" t="n">
        <v>254</v>
      </c>
      <c r="J11" s="45" t="n">
        <v>75946</v>
      </c>
      <c r="K11" s="61">
        <f>E11/(I11+E11)</f>
        <v/>
      </c>
      <c r="L11" s="83">
        <f>I11/(E11/2.1)</f>
        <v/>
      </c>
      <c r="N11" s="41" t="inlineStr">
        <is>
          <t>Spring and Summer Home</t>
        </is>
      </c>
      <c r="O11" s="42" t="inlineStr">
        <is>
          <t>Five-pocket pants</t>
        </is>
      </c>
      <c r="P11" s="44" t="inlineStr">
        <is>
          <t>113851505\28</t>
        </is>
      </c>
      <c r="Q11" s="44" t="n">
        <v>399</v>
      </c>
      <c r="R11" s="69" t="n">
        <v>4</v>
      </c>
      <c r="S11" s="45" t="n">
        <v>1596</v>
      </c>
      <c r="T11" s="45" t="n">
        <v>1286.3</v>
      </c>
      <c r="U11" s="82" t="n">
        <v>0.805952380952381</v>
      </c>
      <c r="V11" s="44" t="n">
        <v>160</v>
      </c>
      <c r="W11" s="45" t="n">
        <v>63840</v>
      </c>
      <c r="X11" s="61">
        <f>R11/(V11+R11)</f>
        <v/>
      </c>
      <c r="Y11" s="83">
        <f>V11/(R11/2.1)</f>
        <v/>
      </c>
    </row>
    <row r="12" ht="13.5" customHeight="1" s="75">
      <c r="A12" s="47" t="inlineStr">
        <is>
          <t>Spring and Summer Home</t>
        </is>
      </c>
      <c r="B12" s="48" t="inlineStr">
        <is>
          <t>Trousers</t>
        </is>
      </c>
      <c r="C12" s="50" t="inlineStr">
        <is>
          <t>113851105\75</t>
        </is>
      </c>
      <c r="D12" s="50" t="n">
        <v>399</v>
      </c>
      <c r="E12" s="50" t="n">
        <v>8</v>
      </c>
      <c r="F12" s="51" t="n">
        <v>3192</v>
      </c>
      <c r="G12" s="51" t="n">
        <v>2323.5</v>
      </c>
      <c r="H12" s="84" t="n">
        <v>0.727913533834586</v>
      </c>
      <c r="I12" s="50" t="n">
        <v>28</v>
      </c>
      <c r="J12" s="51" t="n">
        <v>11172</v>
      </c>
      <c r="K12" s="63">
        <f>E12/(I12+E12)</f>
        <v/>
      </c>
      <c r="L12" s="85">
        <f>I12/(E12/2.1)</f>
        <v/>
      </c>
      <c r="N12" s="47" t="inlineStr">
        <is>
          <t>Spring and Summer Home</t>
        </is>
      </c>
      <c r="O12" s="48" t="inlineStr">
        <is>
          <t>Short sleeve</t>
        </is>
      </c>
      <c r="P12" s="50" t="inlineStr">
        <is>
          <t>113811402\75</t>
        </is>
      </c>
      <c r="Q12" s="50" t="n">
        <v>399</v>
      </c>
      <c r="R12" s="70" t="n">
        <v>6</v>
      </c>
      <c r="S12" s="51" t="n">
        <v>2394</v>
      </c>
      <c r="T12" s="51" t="n">
        <v>1676.5</v>
      </c>
      <c r="U12" s="84" t="n">
        <v>0.700292397660819</v>
      </c>
      <c r="V12" s="50" t="n">
        <v>141</v>
      </c>
      <c r="W12" s="51" t="n">
        <v>56259</v>
      </c>
      <c r="X12" s="61">
        <f>R12/(V12+R12)</f>
        <v/>
      </c>
      <c r="Y12" s="83">
        <f>V12/(R12/2.1)</f>
        <v/>
      </c>
    </row>
    <row r="13" ht="13.5" customHeight="1" s="75">
      <c r="A13" s="38" t="inlineStr">
        <is>
          <t>Spring and Summer Underwear</t>
        </is>
      </c>
      <c r="B13" s="53" t="inlineStr">
        <is>
          <t>Tank top</t>
        </is>
      </c>
      <c r="C13" s="53" t="inlineStr">
        <is>
          <t>114511103\00</t>
        </is>
      </c>
      <c r="D13" s="53" t="n">
        <v>99</v>
      </c>
      <c r="E13" s="53" t="n">
        <v>380</v>
      </c>
      <c r="F13" s="54" t="n">
        <v>37620</v>
      </c>
      <c r="G13" s="54" t="n">
        <v>36977</v>
      </c>
      <c r="H13" s="86" t="n">
        <v>0.98290802764487</v>
      </c>
      <c r="I13" s="53" t="n">
        <v>528</v>
      </c>
      <c r="J13" s="54" t="n">
        <v>52272</v>
      </c>
      <c r="K13" s="65">
        <f>E13/(I13+E13)</f>
        <v/>
      </c>
      <c r="L13" s="87">
        <f>I13/(E13/2.1)</f>
        <v/>
      </c>
      <c r="N13" s="38" t="inlineStr">
        <is>
          <t>Spring and Summer Underwear</t>
        </is>
      </c>
      <c r="O13" s="53" t="inlineStr">
        <is>
          <t>Tank top</t>
        </is>
      </c>
      <c r="P13" s="53" t="inlineStr">
        <is>
          <t>111501401\92</t>
        </is>
      </c>
      <c r="Q13" s="53" t="n">
        <v>299</v>
      </c>
      <c r="R13" s="71" t="n">
        <v>1</v>
      </c>
      <c r="S13" s="54" t="n">
        <v>299</v>
      </c>
      <c r="T13" s="54" t="n">
        <v>269</v>
      </c>
      <c r="U13" s="86" t="n">
        <v>0.8996655518394649</v>
      </c>
      <c r="V13" s="53" t="n">
        <v>123</v>
      </c>
      <c r="W13" s="54" t="n">
        <v>36777</v>
      </c>
      <c r="X13" s="61">
        <f>R13/(V13+R13)</f>
        <v/>
      </c>
      <c r="Y13" s="83">
        <f>V13/(R13/2.1)</f>
        <v/>
      </c>
    </row>
    <row r="14" ht="13.5" customHeight="1" s="75">
      <c r="A14" s="41" t="inlineStr">
        <is>
          <t>Spring and Summer Underwear</t>
        </is>
      </c>
      <c r="B14" s="42" t="inlineStr">
        <is>
          <t>Short sleeve</t>
        </is>
      </c>
      <c r="C14" s="44" t="inlineStr">
        <is>
          <t>112511402\10</t>
        </is>
      </c>
      <c r="D14" s="44" t="n">
        <v>159</v>
      </c>
      <c r="E14" s="44" t="n">
        <v>206</v>
      </c>
      <c r="F14" s="45" t="n">
        <v>32754</v>
      </c>
      <c r="G14" s="45" t="n">
        <v>25127.95</v>
      </c>
      <c r="H14" s="82" t="n">
        <v>0.76717194846431</v>
      </c>
      <c r="I14" s="44" t="n">
        <v>697</v>
      </c>
      <c r="J14" s="45" t="n">
        <v>110823</v>
      </c>
      <c r="K14" s="61">
        <f>E14/(I14+E14)</f>
        <v/>
      </c>
      <c r="L14" s="83">
        <f>I14/(E14/2.1)</f>
        <v/>
      </c>
      <c r="N14" s="41" t="inlineStr">
        <is>
          <t>Spring and Summer Underwear</t>
        </is>
      </c>
      <c r="O14" s="42" t="inlineStr">
        <is>
          <t>Tank top</t>
        </is>
      </c>
      <c r="P14" s="44" t="inlineStr">
        <is>
          <t>113511101\10</t>
        </is>
      </c>
      <c r="Q14" s="44" t="n">
        <v>499</v>
      </c>
      <c r="R14" s="69" t="n">
        <v>1</v>
      </c>
      <c r="S14" s="45" t="n">
        <v>499</v>
      </c>
      <c r="T14" s="45" t="n">
        <v>399.2</v>
      </c>
      <c r="U14" s="82" t="n">
        <v>0.8</v>
      </c>
      <c r="V14" s="44" t="n">
        <v>50</v>
      </c>
      <c r="W14" s="45" t="n">
        <v>24950</v>
      </c>
      <c r="X14" s="61">
        <f>R14/(V14+R14)</f>
        <v/>
      </c>
      <c r="Y14" s="83">
        <f>V14/(R14/2.1)</f>
        <v/>
      </c>
    </row>
    <row r="15" ht="13.5" customHeight="1" s="75">
      <c r="A15" s="41" t="inlineStr">
        <is>
          <t>Spring and Summer Underwear</t>
        </is>
      </c>
      <c r="B15" s="42" t="inlineStr">
        <is>
          <t>Short sleeve</t>
        </is>
      </c>
      <c r="C15" s="44" t="inlineStr">
        <is>
          <t>112511402\62</t>
        </is>
      </c>
      <c r="D15" s="44" t="n">
        <v>159</v>
      </c>
      <c r="E15" s="44" t="n">
        <v>191</v>
      </c>
      <c r="F15" s="45" t="n">
        <v>30369</v>
      </c>
      <c r="G15" s="45" t="n">
        <v>23689.4</v>
      </c>
      <c r="H15" s="82" t="n">
        <v>0.7800520267377919</v>
      </c>
      <c r="I15" s="44" t="n">
        <v>691</v>
      </c>
      <c r="J15" s="45" t="n">
        <v>109869</v>
      </c>
      <c r="K15" s="61">
        <f>E15/(I15+E15)</f>
        <v/>
      </c>
      <c r="L15" s="83">
        <f>I15/(E15/2.1)</f>
        <v/>
      </c>
      <c r="N15" s="41" t="inlineStr">
        <is>
          <t>Spring and Summer Underwear</t>
        </is>
      </c>
      <c r="O15" s="42" t="inlineStr">
        <is>
          <t>Short sleeve</t>
        </is>
      </c>
      <c r="P15" s="44" t="inlineStr">
        <is>
          <t>111501101\37</t>
        </is>
      </c>
      <c r="Q15" s="44" t="n">
        <v>329</v>
      </c>
      <c r="R15" s="69" t="n">
        <v>1</v>
      </c>
      <c r="S15" s="45" t="n">
        <v>329</v>
      </c>
      <c r="T15" s="45" t="n">
        <v>329</v>
      </c>
      <c r="U15" s="82" t="n">
        <v>1</v>
      </c>
      <c r="V15" s="44" t="n">
        <v>171</v>
      </c>
      <c r="W15" s="45" t="n">
        <v>56259</v>
      </c>
      <c r="X15" s="61">
        <f>R15/(V15+R15)</f>
        <v/>
      </c>
      <c r="Y15" s="83">
        <f>V15/(R15/2.1)</f>
        <v/>
      </c>
    </row>
    <row r="16" ht="13.5" customHeight="1" s="75">
      <c r="A16" s="41" t="inlineStr">
        <is>
          <t>Spring and Summer Underwear</t>
        </is>
      </c>
      <c r="B16" s="42" t="inlineStr">
        <is>
          <t>Short sleeve</t>
        </is>
      </c>
      <c r="C16" s="44" t="inlineStr">
        <is>
          <t>114511104\00</t>
        </is>
      </c>
      <c r="D16" s="44" t="n">
        <v>99</v>
      </c>
      <c r="E16" s="44" t="n">
        <v>169</v>
      </c>
      <c r="F16" s="45" t="n">
        <v>16731</v>
      </c>
      <c r="G16" s="45" t="n">
        <v>16335</v>
      </c>
      <c r="H16" s="82" t="n">
        <v>0.976331360946746</v>
      </c>
      <c r="I16" s="44" t="n">
        <v>946</v>
      </c>
      <c r="J16" s="45" t="n">
        <v>93654</v>
      </c>
      <c r="K16" s="61">
        <f>E16/(I16+E16)</f>
        <v/>
      </c>
      <c r="L16" s="83">
        <f>I16/(E16/2.1)</f>
        <v/>
      </c>
      <c r="N16" s="41" t="inlineStr">
        <is>
          <t>Spring and Summer Underwear</t>
        </is>
      </c>
      <c r="O16" s="42" t="inlineStr">
        <is>
          <t>Short sleeve</t>
        </is>
      </c>
      <c r="P16" s="44" t="inlineStr">
        <is>
          <t>111501301\80</t>
        </is>
      </c>
      <c r="Q16" s="44" t="n">
        <v>329</v>
      </c>
      <c r="R16" s="69" t="n">
        <v>1</v>
      </c>
      <c r="S16" s="45" t="n">
        <v>329</v>
      </c>
      <c r="T16" s="45" t="n">
        <v>356.75</v>
      </c>
      <c r="U16" s="82" t="n">
        <v>1.08434650455927</v>
      </c>
      <c r="V16" s="44" t="n">
        <v>191</v>
      </c>
      <c r="W16" s="45" t="n">
        <v>62839</v>
      </c>
      <c r="X16" s="61">
        <f>R16/(V16+R16)</f>
        <v/>
      </c>
      <c r="Y16" s="83">
        <f>V16/(R16/2.1)</f>
        <v/>
      </c>
    </row>
    <row r="17" ht="13.5" customHeight="1" s="75">
      <c r="A17" s="41" t="inlineStr">
        <is>
          <t>Spring and Summer Underwear</t>
        </is>
      </c>
      <c r="B17" s="42" t="inlineStr">
        <is>
          <t>Short sleeve</t>
        </is>
      </c>
      <c r="C17" s="44" t="inlineStr">
        <is>
          <t>514105\75</t>
        </is>
      </c>
      <c r="D17" s="44" t="n">
        <v>168</v>
      </c>
      <c r="E17" s="44" t="n">
        <v>138</v>
      </c>
      <c r="F17" s="45" t="n">
        <v>23184</v>
      </c>
      <c r="G17" s="45" t="n">
        <v>17811.2</v>
      </c>
      <c r="H17" s="82" t="n">
        <v>0.768253968253968</v>
      </c>
      <c r="I17" s="44" t="n">
        <v>958</v>
      </c>
      <c r="J17" s="45" t="n">
        <v>160944</v>
      </c>
      <c r="K17" s="61">
        <f>E17/(I17+E17)</f>
        <v/>
      </c>
      <c r="L17" s="83">
        <f>I17/(E17/2.1)</f>
        <v/>
      </c>
      <c r="N17" s="41" t="inlineStr">
        <is>
          <t>Spring and Summer Underwear</t>
        </is>
      </c>
      <c r="O17" s="42" t="inlineStr">
        <is>
          <t>Short sleeve</t>
        </is>
      </c>
      <c r="P17" s="44" t="inlineStr">
        <is>
          <t>111511102\73</t>
        </is>
      </c>
      <c r="Q17" s="44" t="n">
        <v>389</v>
      </c>
      <c r="R17" s="69" t="n">
        <v>1</v>
      </c>
      <c r="S17" s="45" t="n">
        <v>389</v>
      </c>
      <c r="T17" s="45" t="n">
        <v>310</v>
      </c>
      <c r="U17" s="82" t="n">
        <v>0.796915167095116</v>
      </c>
      <c r="V17" s="44" t="n">
        <v>256</v>
      </c>
      <c r="W17" s="45" t="n">
        <v>99584</v>
      </c>
      <c r="X17" s="61">
        <f>R17/(V17+R17)</f>
        <v/>
      </c>
      <c r="Y17" s="83">
        <f>V17/(R17/2.1)</f>
        <v/>
      </c>
    </row>
    <row r="18" ht="13.5" customHeight="1" s="75">
      <c r="A18" s="41" t="inlineStr">
        <is>
          <t>Spring and Summer Underwear</t>
        </is>
      </c>
      <c r="B18" s="42" t="inlineStr">
        <is>
          <t>Short sleeve</t>
        </is>
      </c>
      <c r="C18" s="44" t="inlineStr">
        <is>
          <t>112511402\45</t>
        </is>
      </c>
      <c r="D18" s="44" t="n">
        <v>159</v>
      </c>
      <c r="E18" s="44" t="n">
        <v>120</v>
      </c>
      <c r="F18" s="45" t="n">
        <v>19080</v>
      </c>
      <c r="G18" s="45" t="n">
        <v>15461.02</v>
      </c>
      <c r="H18" s="82" t="n">
        <v>0.8103259958071281</v>
      </c>
      <c r="I18" s="44" t="n">
        <v>1089</v>
      </c>
      <c r="J18" s="45" t="n">
        <v>173151</v>
      </c>
      <c r="K18" s="61">
        <f>E18/(I18+E18)</f>
        <v/>
      </c>
      <c r="L18" s="83">
        <f>I18/(E18/2.1)</f>
        <v/>
      </c>
      <c r="N18" s="41" t="inlineStr">
        <is>
          <t>Spring and Summer Underwear</t>
        </is>
      </c>
      <c r="O18" s="42" t="inlineStr">
        <is>
          <t>Short sleeve</t>
        </is>
      </c>
      <c r="P18" s="44" t="inlineStr">
        <is>
          <t>111511401\80</t>
        </is>
      </c>
      <c r="Q18" s="44" t="n">
        <v>299</v>
      </c>
      <c r="R18" s="69" t="n">
        <v>1</v>
      </c>
      <c r="S18" s="45" t="n">
        <v>299</v>
      </c>
      <c r="T18" s="45" t="n">
        <v>239.2</v>
      </c>
      <c r="U18" s="82" t="n">
        <v>0.8</v>
      </c>
      <c r="V18" s="44" t="n">
        <v>32</v>
      </c>
      <c r="W18" s="45" t="n">
        <v>9568</v>
      </c>
      <c r="X18" s="61">
        <f>R18/(V18+R18)</f>
        <v/>
      </c>
      <c r="Y18" s="83">
        <f>V18/(R18/2.1)</f>
        <v/>
      </c>
    </row>
    <row r="19" ht="13.5" customHeight="1" s="75">
      <c r="A19" s="41" t="inlineStr">
        <is>
          <t>Spring and Summer Underwear</t>
        </is>
      </c>
      <c r="B19" s="42" t="inlineStr">
        <is>
          <t>Short sleeve</t>
        </is>
      </c>
      <c r="C19" s="44" t="inlineStr">
        <is>
          <t>112511402\80</t>
        </is>
      </c>
      <c r="D19" s="44" t="n">
        <v>159</v>
      </c>
      <c r="E19" s="44" t="n">
        <v>99</v>
      </c>
      <c r="F19" s="45" t="n">
        <v>15741</v>
      </c>
      <c r="G19" s="45" t="n">
        <v>12617.95</v>
      </c>
      <c r="H19" s="82" t="n">
        <v>0.801597738390191</v>
      </c>
      <c r="I19" s="44" t="n">
        <v>1110</v>
      </c>
      <c r="J19" s="45" t="n">
        <v>176490</v>
      </c>
      <c r="K19" s="61">
        <f>E19/(I19+E19)</f>
        <v/>
      </c>
      <c r="L19" s="83">
        <f>I19/(E19/2.1)</f>
        <v/>
      </c>
      <c r="N19" s="41" t="inlineStr">
        <is>
          <t>Spring and Summer Underwear</t>
        </is>
      </c>
      <c r="O19" s="42" t="inlineStr">
        <is>
          <t>Short sleeve</t>
        </is>
      </c>
      <c r="P19" s="44" t="inlineStr">
        <is>
          <t>112501301\80</t>
        </is>
      </c>
      <c r="Q19" s="44" t="n">
        <v>329</v>
      </c>
      <c r="R19" s="69" t="n">
        <v>1</v>
      </c>
      <c r="S19" s="45" t="n">
        <v>329</v>
      </c>
      <c r="T19" s="45" t="n">
        <v>246.75</v>
      </c>
      <c r="U19" s="82" t="n">
        <v>0.75</v>
      </c>
      <c r="V19" s="44" t="n">
        <v>106</v>
      </c>
      <c r="W19" s="45" t="n">
        <v>34874</v>
      </c>
      <c r="X19" s="61">
        <f>R19/(V19+R19)</f>
        <v/>
      </c>
      <c r="Y19" s="83">
        <f>V19/(R19/2.1)</f>
        <v/>
      </c>
    </row>
    <row r="20" ht="13.5" customHeight="1" s="75">
      <c r="A20" s="41" t="inlineStr">
        <is>
          <t>Spring and Summer Underwear</t>
        </is>
      </c>
      <c r="B20" s="42" t="inlineStr">
        <is>
          <t>Short sleeve</t>
        </is>
      </c>
      <c r="C20" s="44" t="inlineStr">
        <is>
          <t>112511114\62</t>
        </is>
      </c>
      <c r="D20" s="44" t="n">
        <v>159</v>
      </c>
      <c r="E20" s="44" t="n">
        <v>88</v>
      </c>
      <c r="F20" s="45" t="n">
        <v>13992</v>
      </c>
      <c r="G20" s="45" t="n">
        <v>10507.6</v>
      </c>
      <c r="H20" s="82" t="n">
        <v>0.750971983990852</v>
      </c>
      <c r="I20" s="44" t="n">
        <v>685</v>
      </c>
      <c r="J20" s="45" t="n">
        <v>108915</v>
      </c>
      <c r="K20" s="61">
        <f>E20/(I20+E20)</f>
        <v/>
      </c>
      <c r="L20" s="83">
        <f>I20/(E20/2.1)</f>
        <v/>
      </c>
      <c r="N20" s="41" t="inlineStr">
        <is>
          <t>Spring and Summer Underwear</t>
        </is>
      </c>
      <c r="O20" s="42" t="inlineStr">
        <is>
          <t>Short sleeve</t>
        </is>
      </c>
      <c r="P20" s="44" t="inlineStr">
        <is>
          <t>112501302\48</t>
        </is>
      </c>
      <c r="Q20" s="44" t="n">
        <v>329</v>
      </c>
      <c r="R20" s="69" t="n">
        <v>1</v>
      </c>
      <c r="S20" s="45" t="n">
        <v>329</v>
      </c>
      <c r="T20" s="45" t="n">
        <v>296</v>
      </c>
      <c r="U20" s="82" t="n">
        <v>0.899696048632219</v>
      </c>
      <c r="V20" s="44" t="n">
        <v>85</v>
      </c>
      <c r="W20" s="45" t="n">
        <v>27965</v>
      </c>
      <c r="X20" s="61">
        <f>R20/(V20+R20)</f>
        <v/>
      </c>
      <c r="Y20" s="83">
        <f>V20/(R20/2.1)</f>
        <v/>
      </c>
    </row>
    <row r="21" ht="13.5" customHeight="1" s="75">
      <c r="A21" s="41" t="inlineStr">
        <is>
          <t>Spring and Summer Underwear</t>
        </is>
      </c>
      <c r="B21" s="42" t="inlineStr">
        <is>
          <t>Tank top</t>
        </is>
      </c>
      <c r="C21" s="44" t="inlineStr">
        <is>
          <t>112511103\10</t>
        </is>
      </c>
      <c r="D21" s="44" t="n">
        <v>129</v>
      </c>
      <c r="E21" s="44" t="n">
        <v>78</v>
      </c>
      <c r="F21" s="45" t="n">
        <v>10062</v>
      </c>
      <c r="G21" s="45" t="n">
        <v>8120.3</v>
      </c>
      <c r="H21" s="82" t="n">
        <v>0.8070264360962039</v>
      </c>
      <c r="I21" s="44" t="n">
        <v>758</v>
      </c>
      <c r="J21" s="45" t="n">
        <v>97782</v>
      </c>
      <c r="K21" s="61">
        <f>E21/(I21+E21)</f>
        <v/>
      </c>
      <c r="L21" s="83">
        <f>I21/(E21/2.1)</f>
        <v/>
      </c>
      <c r="N21" s="41" t="inlineStr">
        <is>
          <t>Spring and Summer Underwear</t>
        </is>
      </c>
      <c r="O21" s="42" t="inlineStr">
        <is>
          <t>Short sleeve</t>
        </is>
      </c>
      <c r="P21" s="44" t="inlineStr">
        <is>
          <t>112511102\10</t>
        </is>
      </c>
      <c r="Q21" s="44" t="n">
        <v>389</v>
      </c>
      <c r="R21" s="69" t="n">
        <v>1</v>
      </c>
      <c r="S21" s="45" t="n">
        <v>389</v>
      </c>
      <c r="T21" s="45" t="n">
        <v>272.3</v>
      </c>
      <c r="U21" s="82" t="n">
        <v>0.7</v>
      </c>
      <c r="V21" s="44" t="n">
        <v>195</v>
      </c>
      <c r="W21" s="45" t="n">
        <v>75855</v>
      </c>
      <c r="X21" s="61">
        <f>R21/(V21+R21)</f>
        <v/>
      </c>
      <c r="Y21" s="83">
        <f>V21/(R21/2.1)</f>
        <v/>
      </c>
    </row>
    <row r="22" ht="13.5" customHeight="1" s="75">
      <c r="A22" s="47" t="inlineStr">
        <is>
          <t>Spring and Summer Underwear</t>
        </is>
      </c>
      <c r="B22" s="48" t="inlineStr">
        <is>
          <t>Short sleeve</t>
        </is>
      </c>
      <c r="C22" s="50" t="inlineStr">
        <is>
          <t>514105\10</t>
        </is>
      </c>
      <c r="D22" s="50" t="n">
        <v>168</v>
      </c>
      <c r="E22" s="50" t="n">
        <v>70</v>
      </c>
      <c r="F22" s="51" t="n">
        <v>11760</v>
      </c>
      <c r="G22" s="51" t="n">
        <v>8872.799999999999</v>
      </c>
      <c r="H22" s="84" t="n">
        <v>0.754489795918367</v>
      </c>
      <c r="I22" s="50" t="n">
        <v>1220</v>
      </c>
      <c r="J22" s="51" t="n">
        <v>204960</v>
      </c>
      <c r="K22" s="63">
        <f>E22/(I22+E22)</f>
        <v/>
      </c>
      <c r="L22" s="85">
        <f>I22/(E22/2.1)</f>
        <v/>
      </c>
      <c r="N22" s="47" t="inlineStr">
        <is>
          <t>Spring and Summer Underwear</t>
        </is>
      </c>
      <c r="O22" s="48" t="inlineStr">
        <is>
          <t>Short sleeve</t>
        </is>
      </c>
      <c r="P22" s="50" t="inlineStr">
        <is>
          <t>114511107\10</t>
        </is>
      </c>
      <c r="Q22" s="50" t="n">
        <v>599</v>
      </c>
      <c r="R22" s="70" t="n">
        <v>1</v>
      </c>
      <c r="S22" s="51" t="n">
        <v>599</v>
      </c>
      <c r="T22" s="51" t="n">
        <v>419.3</v>
      </c>
      <c r="U22" s="84" t="n">
        <v>0.7</v>
      </c>
      <c r="V22" s="50" t="n">
        <v>46</v>
      </c>
      <c r="W22" s="51" t="n">
        <v>27554</v>
      </c>
      <c r="X22" s="61">
        <f>R22/(V22+R22)</f>
        <v/>
      </c>
      <c r="Y22" s="83">
        <f>V22/(R22/2.1)</f>
        <v/>
      </c>
    </row>
    <row r="23" ht="13.5" customHeight="1" s="75">
      <c r="A23" s="38" t="inlineStr">
        <is>
          <t>Underwear</t>
        </is>
      </c>
      <c r="B23" s="53" t="inlineStr">
        <is>
          <t>Straight-leg pants</t>
        </is>
      </c>
      <c r="C23" s="53" t="inlineStr">
        <is>
          <t>114631208\00</t>
        </is>
      </c>
      <c r="D23" s="53" t="n">
        <v>99</v>
      </c>
      <c r="E23" s="53" t="n">
        <v>258</v>
      </c>
      <c r="F23" s="54" t="n">
        <v>25542</v>
      </c>
      <c r="G23" s="54" t="n">
        <v>25351</v>
      </c>
      <c r="H23" s="86" t="n">
        <v>0.992522120429097</v>
      </c>
      <c r="I23" s="53" t="n">
        <v>1196</v>
      </c>
      <c r="J23" s="54" t="n">
        <v>118404</v>
      </c>
      <c r="K23" s="65">
        <f>E23/(I23+E23)</f>
        <v/>
      </c>
      <c r="L23" s="87">
        <f>I23/(E23/2.1)</f>
        <v/>
      </c>
      <c r="N23" s="38" t="inlineStr">
        <is>
          <t>Underwear</t>
        </is>
      </c>
      <c r="O23" s="53" t="inlineStr">
        <is>
          <t>Boxer Briefs</t>
        </is>
      </c>
      <c r="P23" s="53" t="inlineStr">
        <is>
          <t>110621204\97</t>
        </is>
      </c>
      <c r="Q23" s="53" t="n">
        <v>98</v>
      </c>
      <c r="R23" s="71" t="n">
        <v>1</v>
      </c>
      <c r="S23" s="54" t="n">
        <v>98</v>
      </c>
      <c r="T23" s="54" t="n">
        <v>98</v>
      </c>
      <c r="U23" s="86" t="n">
        <v>1</v>
      </c>
      <c r="V23" s="53" t="n">
        <v>110</v>
      </c>
      <c r="W23" s="54" t="n">
        <v>10780</v>
      </c>
      <c r="X23" s="61">
        <f>R23/(V23+R23)</f>
        <v/>
      </c>
      <c r="Y23" s="83">
        <f>V23/(R23/2.1)</f>
        <v/>
      </c>
    </row>
    <row r="24" ht="13.5" customHeight="1" s="75">
      <c r="A24" s="41" t="inlineStr">
        <is>
          <t>Underwear</t>
        </is>
      </c>
      <c r="B24" s="42" t="inlineStr">
        <is>
          <t>Triangle Shorts</t>
        </is>
      </c>
      <c r="C24" s="44" t="inlineStr">
        <is>
          <t>614202\95</t>
        </is>
      </c>
      <c r="D24" s="44" t="n">
        <v>68</v>
      </c>
      <c r="E24" s="44" t="n">
        <v>230</v>
      </c>
      <c r="F24" s="45" t="n">
        <v>15640</v>
      </c>
      <c r="G24" s="45" t="n">
        <v>11514.04</v>
      </c>
      <c r="H24" s="82" t="n">
        <v>0.736191815856777</v>
      </c>
      <c r="I24" s="44" t="n">
        <v>1452</v>
      </c>
      <c r="J24" s="45" t="n">
        <v>98736</v>
      </c>
      <c r="K24" s="61">
        <f>E24/(I24+E24)</f>
        <v/>
      </c>
      <c r="L24" s="83">
        <f>I24/(E24/2.1)</f>
        <v/>
      </c>
      <c r="N24" s="41" t="inlineStr">
        <is>
          <t>Underwear</t>
        </is>
      </c>
      <c r="O24" s="42" t="inlineStr">
        <is>
          <t>Boxer Briefs</t>
        </is>
      </c>
      <c r="P24" s="44" t="inlineStr">
        <is>
          <t>110631301\61</t>
        </is>
      </c>
      <c r="Q24" s="44" t="n">
        <v>88</v>
      </c>
      <c r="R24" s="69" t="n">
        <v>1</v>
      </c>
      <c r="S24" s="45" t="n">
        <v>88</v>
      </c>
      <c r="T24" s="45" t="n">
        <v>86</v>
      </c>
      <c r="U24" s="82" t="n">
        <v>0.977272727272727</v>
      </c>
      <c r="V24" s="44" t="n">
        <v>-1</v>
      </c>
      <c r="W24" s="45" t="n">
        <v>-88</v>
      </c>
      <c r="X24" s="61">
        <f>R24/(V24+R24)</f>
        <v/>
      </c>
      <c r="Y24" s="83">
        <f>V24/(R24/2.1)</f>
        <v/>
      </c>
    </row>
    <row r="25" ht="13.5" customHeight="1" s="75">
      <c r="A25" s="41" t="inlineStr">
        <is>
          <t>Underwear</t>
        </is>
      </c>
      <c r="B25" s="42" t="inlineStr">
        <is>
          <t>Triangle Shorts</t>
        </is>
      </c>
      <c r="C25" s="44" t="inlineStr">
        <is>
          <t>614202\75</t>
        </is>
      </c>
      <c r="D25" s="44" t="n">
        <v>68</v>
      </c>
      <c r="E25" s="44" t="n">
        <v>217</v>
      </c>
      <c r="F25" s="45" t="n">
        <v>14756</v>
      </c>
      <c r="G25" s="45" t="n">
        <v>11029.48</v>
      </c>
      <c r="H25" s="82" t="n">
        <v>0.7474573055028459</v>
      </c>
      <c r="I25" s="44" t="n">
        <v>932</v>
      </c>
      <c r="J25" s="45" t="n">
        <v>63376</v>
      </c>
      <c r="K25" s="61">
        <f>E25/(I25+E25)</f>
        <v/>
      </c>
      <c r="L25" s="83">
        <f>I25/(E25/2.1)</f>
        <v/>
      </c>
      <c r="N25" s="41" t="inlineStr">
        <is>
          <t>Underwear</t>
        </is>
      </c>
      <c r="O25" s="42" t="inlineStr">
        <is>
          <t>Straight-leg pants</t>
        </is>
      </c>
      <c r="P25" s="44" t="inlineStr">
        <is>
          <t>111631209\90</t>
        </is>
      </c>
      <c r="Q25" s="44" t="n">
        <v>158</v>
      </c>
      <c r="R25" s="69" t="n">
        <v>1</v>
      </c>
      <c r="S25" s="45" t="n">
        <v>158</v>
      </c>
      <c r="T25" s="45" t="n">
        <v>111</v>
      </c>
      <c r="U25" s="82" t="n">
        <v>0.70253164556962</v>
      </c>
      <c r="V25" s="44" t="n">
        <v>-5</v>
      </c>
      <c r="W25" s="45" t="n">
        <v>-790</v>
      </c>
      <c r="X25" s="61">
        <f>R25/(V25+R25)</f>
        <v/>
      </c>
      <c r="Y25" s="83">
        <f>V25/(R25/2.1)</f>
        <v/>
      </c>
    </row>
    <row r="26" ht="13.5" customHeight="1" s="75">
      <c r="A26" s="41" t="inlineStr">
        <is>
          <t>Underwear</t>
        </is>
      </c>
      <c r="B26" s="42" t="inlineStr">
        <is>
          <t>Triangle Shorts</t>
        </is>
      </c>
      <c r="C26" s="44" t="inlineStr">
        <is>
          <t>109611208\64</t>
        </is>
      </c>
      <c r="D26" s="44" t="n">
        <v>69</v>
      </c>
      <c r="E26" s="44" t="n">
        <v>208</v>
      </c>
      <c r="F26" s="45" t="n">
        <v>14352</v>
      </c>
      <c r="G26" s="45" t="n">
        <v>10676.16</v>
      </c>
      <c r="H26" s="82" t="n">
        <v>0.743879598662207</v>
      </c>
      <c r="I26" s="44" t="n">
        <v>1122</v>
      </c>
      <c r="J26" s="45" t="n">
        <v>77418</v>
      </c>
      <c r="K26" s="61">
        <f>E26/(I26+E26)</f>
        <v/>
      </c>
      <c r="L26" s="83">
        <f>I26/(E26/2.1)</f>
        <v/>
      </c>
      <c r="N26" s="41" t="inlineStr">
        <is>
          <t>Underwear</t>
        </is>
      </c>
      <c r="O26" s="42" t="inlineStr">
        <is>
          <t>Straight-leg pants</t>
        </is>
      </c>
      <c r="P26" s="44" t="inlineStr">
        <is>
          <t>112621203\80</t>
        </is>
      </c>
      <c r="Q26" s="44" t="n">
        <v>69</v>
      </c>
      <c r="R26" s="69" t="n">
        <v>1</v>
      </c>
      <c r="S26" s="45" t="n">
        <v>69</v>
      </c>
      <c r="T26" s="45" t="n">
        <v>69</v>
      </c>
      <c r="U26" s="82" t="n">
        <v>1</v>
      </c>
      <c r="V26" s="44" t="n">
        <v>7</v>
      </c>
      <c r="W26" s="45" t="n">
        <v>483</v>
      </c>
      <c r="X26" s="61">
        <f>R26/(V26+R26)</f>
        <v/>
      </c>
      <c r="Y26" s="83">
        <f>V26/(R26/2.1)</f>
        <v/>
      </c>
    </row>
    <row r="27" ht="13.5" customHeight="1" s="75">
      <c r="A27" s="41" t="inlineStr">
        <is>
          <t>Underwear</t>
        </is>
      </c>
      <c r="B27" s="42" t="inlineStr">
        <is>
          <t>Triangle Shorts</t>
        </is>
      </c>
      <c r="C27" s="44" t="inlineStr">
        <is>
          <t>614202\90</t>
        </is>
      </c>
      <c r="D27" s="44" t="n">
        <v>68</v>
      </c>
      <c r="E27" s="44" t="n">
        <v>202</v>
      </c>
      <c r="F27" s="45" t="n">
        <v>13736</v>
      </c>
      <c r="G27" s="45" t="n">
        <v>10572.86</v>
      </c>
      <c r="H27" s="82" t="n">
        <v>0.769718986604543</v>
      </c>
      <c r="I27" s="44" t="n">
        <v>673</v>
      </c>
      <c r="J27" s="45" t="n">
        <v>45764</v>
      </c>
      <c r="K27" s="61">
        <f>E27/(I27+E27)</f>
        <v/>
      </c>
      <c r="L27" s="83">
        <f>I27/(E27/2.1)</f>
        <v/>
      </c>
      <c r="N27" s="41" t="inlineStr">
        <is>
          <t>Underwear</t>
        </is>
      </c>
      <c r="O27" s="42" t="inlineStr">
        <is>
          <t>Straight-leg pants</t>
        </is>
      </c>
      <c r="P27" s="44" t="inlineStr">
        <is>
          <t>112621204\80</t>
        </is>
      </c>
      <c r="Q27" s="44" t="n">
        <v>69</v>
      </c>
      <c r="R27" s="69" t="n">
        <v>1</v>
      </c>
      <c r="S27" s="45" t="n">
        <v>69</v>
      </c>
      <c r="T27" s="45" t="n">
        <v>69</v>
      </c>
      <c r="U27" s="82" t="n">
        <v>1</v>
      </c>
      <c r="V27" s="44" t="n">
        <v>10</v>
      </c>
      <c r="W27" s="45" t="n">
        <v>690</v>
      </c>
      <c r="X27" s="61">
        <f>R27/(V27+R27)</f>
        <v/>
      </c>
      <c r="Y27" s="83">
        <f>V27/(R27/2.1)</f>
        <v/>
      </c>
    </row>
    <row r="28" ht="13.5" customHeight="1" s="75">
      <c r="A28" s="41" t="inlineStr">
        <is>
          <t>Underwear</t>
        </is>
      </c>
      <c r="B28" s="42" t="inlineStr">
        <is>
          <t>Triangle Shorts</t>
        </is>
      </c>
      <c r="C28" s="44" t="inlineStr">
        <is>
          <t>109611208\48</t>
        </is>
      </c>
      <c r="D28" s="44" t="n">
        <v>69</v>
      </c>
      <c r="E28" s="44" t="n">
        <v>187</v>
      </c>
      <c r="F28" s="45" t="n">
        <v>12903</v>
      </c>
      <c r="G28" s="45" t="n">
        <v>9595.469999999999</v>
      </c>
      <c r="H28" s="82" t="n">
        <v>0.743661939083934</v>
      </c>
      <c r="I28" s="44" t="n">
        <v>905</v>
      </c>
      <c r="J28" s="45" t="n">
        <v>62445</v>
      </c>
      <c r="K28" s="61">
        <f>E28/(I28+E28)</f>
        <v/>
      </c>
      <c r="L28" s="83">
        <f>I28/(E28/2.1)</f>
        <v/>
      </c>
      <c r="N28" s="41" t="inlineStr">
        <is>
          <t>Underwear</t>
        </is>
      </c>
      <c r="O28" s="42" t="inlineStr">
        <is>
          <t>Straight-leg pants</t>
        </is>
      </c>
      <c r="P28" s="44" t="inlineStr">
        <is>
          <t>112621205\10</t>
        </is>
      </c>
      <c r="Q28" s="44" t="n">
        <v>69</v>
      </c>
      <c r="R28" s="69" t="n">
        <v>1</v>
      </c>
      <c r="S28" s="45" t="n">
        <v>69</v>
      </c>
      <c r="T28" s="45" t="n">
        <v>69</v>
      </c>
      <c r="U28" s="82" t="n">
        <v>1</v>
      </c>
      <c r="V28" s="44" t="n">
        <v>6</v>
      </c>
      <c r="W28" s="45" t="n">
        <v>414</v>
      </c>
      <c r="X28" s="61">
        <f>R28/(V28+R28)</f>
        <v/>
      </c>
      <c r="Y28" s="83">
        <f>V28/(R28/2.1)</f>
        <v/>
      </c>
    </row>
    <row r="29" ht="13.5" customHeight="1" s="75">
      <c r="A29" s="41" t="inlineStr">
        <is>
          <t>Underwear</t>
        </is>
      </c>
      <c r="B29" s="42" t="inlineStr">
        <is>
          <t>Triangle Shorts</t>
        </is>
      </c>
      <c r="C29" s="44" t="inlineStr">
        <is>
          <t>614202\61</t>
        </is>
      </c>
      <c r="D29" s="44" t="n">
        <v>68</v>
      </c>
      <c r="E29" s="44" t="n">
        <v>181</v>
      </c>
      <c r="F29" s="45" t="n">
        <v>12308</v>
      </c>
      <c r="G29" s="45" t="n">
        <v>8677.540000000001</v>
      </c>
      <c r="H29" s="82" t="n">
        <v>0.70503249918752</v>
      </c>
      <c r="I29" s="44" t="n">
        <v>1684</v>
      </c>
      <c r="J29" s="45" t="n">
        <v>114512</v>
      </c>
      <c r="K29" s="61">
        <f>E29/(I29+E29)</f>
        <v/>
      </c>
      <c r="L29" s="83">
        <f>I29/(E29/2.1)</f>
        <v/>
      </c>
      <c r="N29" s="41" t="inlineStr">
        <is>
          <t>Underwear</t>
        </is>
      </c>
      <c r="O29" s="42" t="inlineStr">
        <is>
          <t>Straight-leg pants</t>
        </is>
      </c>
      <c r="P29" s="44" t="inlineStr">
        <is>
          <t>112631204\95</t>
        </is>
      </c>
      <c r="Q29" s="44" t="n">
        <v>99</v>
      </c>
      <c r="R29" s="69" t="n">
        <v>1</v>
      </c>
      <c r="S29" s="45" t="n">
        <v>99</v>
      </c>
      <c r="T29" s="45" t="n">
        <v>99</v>
      </c>
      <c r="U29" s="82" t="n">
        <v>1</v>
      </c>
      <c r="V29" s="44" t="n">
        <v>11</v>
      </c>
      <c r="W29" s="45" t="n">
        <v>1089</v>
      </c>
      <c r="X29" s="61">
        <f>R29/(V29+R29)</f>
        <v/>
      </c>
      <c r="Y29" s="83">
        <f>V29/(R29/2.1)</f>
        <v/>
      </c>
    </row>
    <row r="30" ht="13.5" customHeight="1" s="75">
      <c r="A30" s="41" t="inlineStr">
        <is>
          <t>Underwear</t>
        </is>
      </c>
      <c r="B30" s="42" t="inlineStr">
        <is>
          <t>Straight-leg pants</t>
        </is>
      </c>
      <c r="C30" s="44" t="inlineStr">
        <is>
          <t>637214\64</t>
        </is>
      </c>
      <c r="D30" s="44" t="n">
        <v>118</v>
      </c>
      <c r="E30" s="44" t="n">
        <v>161</v>
      </c>
      <c r="F30" s="45" t="n">
        <v>18998</v>
      </c>
      <c r="G30" s="45" t="n">
        <v>13544.78</v>
      </c>
      <c r="H30" s="82" t="n">
        <v>0.712958206126961</v>
      </c>
      <c r="I30" s="44" t="n">
        <v>1815</v>
      </c>
      <c r="J30" s="45" t="n">
        <v>214170</v>
      </c>
      <c r="K30" s="61">
        <f>E30/(I30+E30)</f>
        <v/>
      </c>
      <c r="L30" s="83">
        <f>I30/(E30/2.1)</f>
        <v/>
      </c>
      <c r="N30" s="41" t="inlineStr">
        <is>
          <t>Underwear</t>
        </is>
      </c>
      <c r="O30" s="42" t="inlineStr">
        <is>
          <t>Straight-leg pants</t>
        </is>
      </c>
      <c r="P30" s="44" t="inlineStr">
        <is>
          <t>112631208\16</t>
        </is>
      </c>
      <c r="Q30" s="44" t="n">
        <v>299</v>
      </c>
      <c r="R30" s="69" t="n">
        <v>1</v>
      </c>
      <c r="S30" s="45" t="n">
        <v>299</v>
      </c>
      <c r="T30" s="45" t="n">
        <v>263.1</v>
      </c>
      <c r="U30" s="82" t="n">
        <v>0.879933110367893</v>
      </c>
      <c r="V30" s="44" t="n">
        <v>102</v>
      </c>
      <c r="W30" s="45" t="n">
        <v>30498</v>
      </c>
      <c r="X30" s="61">
        <f>R30/(V30+R30)</f>
        <v/>
      </c>
      <c r="Y30" s="83">
        <f>V30/(R30/2.1)</f>
        <v/>
      </c>
    </row>
    <row r="31" ht="13.5" customHeight="1" s="75">
      <c r="A31" s="41" t="inlineStr">
        <is>
          <t>Underwear</t>
        </is>
      </c>
      <c r="B31" s="42" t="inlineStr">
        <is>
          <t>Straight-leg pants</t>
        </is>
      </c>
      <c r="C31" s="44" t="inlineStr">
        <is>
          <t>637214\90</t>
        </is>
      </c>
      <c r="D31" s="44" t="n">
        <v>118</v>
      </c>
      <c r="E31" s="44" t="n">
        <v>161</v>
      </c>
      <c r="F31" s="45" t="n">
        <v>18998</v>
      </c>
      <c r="G31" s="45" t="n">
        <v>14662.64</v>
      </c>
      <c r="H31" s="82" t="n">
        <v>0.771799136751237</v>
      </c>
      <c r="I31" s="44" t="n">
        <v>1026</v>
      </c>
      <c r="J31" s="45" t="n">
        <v>121068</v>
      </c>
      <c r="K31" s="61">
        <f>E31/(I31+E31)</f>
        <v/>
      </c>
      <c r="L31" s="83">
        <f>I31/(E31/2.1)</f>
        <v/>
      </c>
      <c r="N31" s="41" t="inlineStr">
        <is>
          <t>Underwear</t>
        </is>
      </c>
      <c r="O31" s="42" t="inlineStr">
        <is>
          <t>Straight-leg pants</t>
        </is>
      </c>
      <c r="P31" s="44" t="inlineStr">
        <is>
          <t>112631208\74</t>
        </is>
      </c>
      <c r="Q31" s="44" t="n">
        <v>299</v>
      </c>
      <c r="R31" s="69" t="n">
        <v>1</v>
      </c>
      <c r="S31" s="45" t="n">
        <v>299</v>
      </c>
      <c r="T31" s="45" t="n">
        <v>255</v>
      </c>
      <c r="U31" s="82" t="n">
        <v>0.852842809364548</v>
      </c>
      <c r="V31" s="44" t="n">
        <v>86</v>
      </c>
      <c r="W31" s="45" t="n">
        <v>25714</v>
      </c>
      <c r="X31" s="61">
        <f>R31/(V31+R31)</f>
        <v/>
      </c>
      <c r="Y31" s="83">
        <f>V31/(R31/2.1)</f>
        <v/>
      </c>
    </row>
    <row r="32" ht="13.5" customHeight="1" s="75">
      <c r="A32" s="47" t="inlineStr">
        <is>
          <t>Underwear</t>
        </is>
      </c>
      <c r="B32" s="48" t="inlineStr">
        <is>
          <t>Straight-leg pants</t>
        </is>
      </c>
      <c r="C32" s="50" t="inlineStr">
        <is>
          <t>626248\92</t>
        </is>
      </c>
      <c r="D32" s="50" t="n">
        <v>48</v>
      </c>
      <c r="E32" s="50" t="n">
        <v>150</v>
      </c>
      <c r="F32" s="51" t="n">
        <v>7200</v>
      </c>
      <c r="G32" s="51" t="n">
        <v>5032.2</v>
      </c>
      <c r="H32" s="84" t="n">
        <v>0.698916666666667</v>
      </c>
      <c r="I32" s="50" t="n">
        <v>1811</v>
      </c>
      <c r="J32" s="51" t="n">
        <v>86928</v>
      </c>
      <c r="K32" s="63">
        <f>E32/(I32+E32)</f>
        <v/>
      </c>
      <c r="L32" s="85">
        <f>I32/(E32/2.1)</f>
        <v/>
      </c>
      <c r="N32" s="47" t="inlineStr">
        <is>
          <t>Underwear</t>
        </is>
      </c>
      <c r="O32" s="48" t="inlineStr">
        <is>
          <t>Straight-leg pants</t>
        </is>
      </c>
      <c r="P32" s="50" t="inlineStr">
        <is>
          <t>112631224\80</t>
        </is>
      </c>
      <c r="Q32" s="50" t="n">
        <v>499</v>
      </c>
      <c r="R32" s="70" t="n">
        <v>1</v>
      </c>
      <c r="S32" s="51" t="n">
        <v>499</v>
      </c>
      <c r="T32" s="51" t="n">
        <v>449</v>
      </c>
      <c r="U32" s="84" t="n">
        <v>0.899799599198397</v>
      </c>
      <c r="V32" s="50" t="n">
        <v>12</v>
      </c>
      <c r="W32" s="51" t="n">
        <v>5988</v>
      </c>
      <c r="X32" s="61">
        <f>R32/(V32+R32)</f>
        <v/>
      </c>
      <c r="Y32" s="83">
        <f>V32/(R32/2.1)</f>
        <v/>
      </c>
    </row>
    <row r="33" ht="13.5" customHeight="1" s="75">
      <c r="A33" s="38" t="inlineStr">
        <is>
          <t>Fitness Yoga</t>
        </is>
      </c>
      <c r="B33" s="53" t="inlineStr">
        <is>
          <t>Seven-Eighths Pants</t>
        </is>
      </c>
      <c r="C33" s="53" t="inlineStr">
        <is>
          <t>111321705\80</t>
        </is>
      </c>
      <c r="D33" s="53" t="n">
        <v>278</v>
      </c>
      <c r="E33" s="53" t="n">
        <v>65</v>
      </c>
      <c r="F33" s="54" t="n">
        <v>18070</v>
      </c>
      <c r="G33" s="54" t="n">
        <v>15566.19</v>
      </c>
      <c r="H33" s="86" t="n">
        <v>0.861438295517432</v>
      </c>
      <c r="I33" s="53" t="n">
        <v>65</v>
      </c>
      <c r="J33" s="54" t="n">
        <v>18070</v>
      </c>
      <c r="K33" s="65">
        <f>E33/(I33+E33)</f>
        <v/>
      </c>
      <c r="L33" s="87">
        <f>I33/(E33/2.1)</f>
        <v/>
      </c>
      <c r="N33" s="38" t="inlineStr">
        <is>
          <t>Fitness Yoga</t>
        </is>
      </c>
      <c r="O33" s="53" t="inlineStr">
        <is>
          <t>Tank top</t>
        </is>
      </c>
      <c r="P33" s="53" t="inlineStr">
        <is>
          <t>110301216\31</t>
        </is>
      </c>
      <c r="Q33" s="53" t="n">
        <v>218</v>
      </c>
      <c r="R33" s="71" t="n">
        <v>1</v>
      </c>
      <c r="S33" s="54" t="n">
        <v>218</v>
      </c>
      <c r="T33" s="54" t="n">
        <v>153</v>
      </c>
      <c r="U33" s="86" t="n">
        <v>0.701834862385321</v>
      </c>
      <c r="V33" s="53" t="n">
        <v>93</v>
      </c>
      <c r="W33" s="54" t="n">
        <v>20274</v>
      </c>
      <c r="X33" s="61">
        <f>R33/(V33+R33)</f>
        <v/>
      </c>
      <c r="Y33" s="83">
        <f>V33/(R33/2.1)</f>
        <v/>
      </c>
    </row>
    <row r="34" ht="13.5" customHeight="1" s="75">
      <c r="A34" s="41" t="inlineStr">
        <is>
          <t>Fitness Yoga</t>
        </is>
      </c>
      <c r="B34" s="42" t="inlineStr">
        <is>
          <t>Seven-Eighths Pants</t>
        </is>
      </c>
      <c r="C34" s="44" t="inlineStr">
        <is>
          <t>112321701\80</t>
        </is>
      </c>
      <c r="D34" s="44" t="n">
        <v>298</v>
      </c>
      <c r="E34" s="44" t="n">
        <v>55</v>
      </c>
      <c r="F34" s="45" t="n">
        <v>16390</v>
      </c>
      <c r="G34" s="45" t="n">
        <v>13646.1</v>
      </c>
      <c r="H34" s="82" t="n">
        <v>0.832586943258084</v>
      </c>
      <c r="I34" s="44" t="n">
        <v>65</v>
      </c>
      <c r="J34" s="45" t="n">
        <v>19370</v>
      </c>
      <c r="K34" s="61">
        <f>E34/(I34+E34)</f>
        <v/>
      </c>
      <c r="L34" s="83">
        <f>I34/(E34/2.1)</f>
        <v/>
      </c>
      <c r="N34" s="41" t="inlineStr">
        <is>
          <t>Fitness Yoga</t>
        </is>
      </c>
      <c r="O34" s="42" t="inlineStr">
        <is>
          <t>Tank top</t>
        </is>
      </c>
      <c r="P34" s="44" t="inlineStr">
        <is>
          <t>110301216\38</t>
        </is>
      </c>
      <c r="Q34" s="44" t="n">
        <v>218</v>
      </c>
      <c r="R34" s="69" t="n">
        <v>1</v>
      </c>
      <c r="S34" s="45" t="n">
        <v>218</v>
      </c>
      <c r="T34" s="45" t="n">
        <v>153</v>
      </c>
      <c r="U34" s="82" t="n">
        <v>0.701834862385321</v>
      </c>
      <c r="V34" s="44" t="n">
        <v>77</v>
      </c>
      <c r="W34" s="45" t="n">
        <v>16786</v>
      </c>
      <c r="X34" s="61">
        <f>R34/(V34+R34)</f>
        <v/>
      </c>
      <c r="Y34" s="83">
        <f>V34/(R34/2.1)</f>
        <v/>
      </c>
    </row>
    <row r="35" ht="13.5" customHeight="1" s="75">
      <c r="A35" s="41" t="inlineStr">
        <is>
          <t>Fitness Yoga</t>
        </is>
      </c>
      <c r="B35" s="42" t="inlineStr">
        <is>
          <t>Straight Fit Trousers</t>
        </is>
      </c>
      <c r="C35" s="44" t="inlineStr">
        <is>
          <t>109381111\80</t>
        </is>
      </c>
      <c r="D35" s="44" t="n">
        <v>238</v>
      </c>
      <c r="E35" s="44" t="n">
        <v>38</v>
      </c>
      <c r="F35" s="45" t="n">
        <v>9044</v>
      </c>
      <c r="G35" s="45" t="n">
        <v>7274.97</v>
      </c>
      <c r="H35" s="82" t="n">
        <v>0.804397390535161</v>
      </c>
      <c r="I35" s="44" t="n">
        <v>55</v>
      </c>
      <c r="J35" s="45" t="n">
        <v>13090</v>
      </c>
      <c r="K35" s="61">
        <f>E35/(I35+E35)</f>
        <v/>
      </c>
      <c r="L35" s="83">
        <f>I35/(E35/2.1)</f>
        <v/>
      </c>
      <c r="N35" s="41" t="inlineStr">
        <is>
          <t>Fitness Yoga</t>
        </is>
      </c>
      <c r="O35" s="42" t="inlineStr">
        <is>
          <t>Tank top</t>
        </is>
      </c>
      <c r="P35" s="44" t="inlineStr">
        <is>
          <t>110361202\91</t>
        </is>
      </c>
      <c r="Q35" s="44" t="n">
        <v>238</v>
      </c>
      <c r="R35" s="69" t="n">
        <v>1</v>
      </c>
      <c r="S35" s="45" t="n">
        <v>238</v>
      </c>
      <c r="T35" s="45" t="n">
        <v>167</v>
      </c>
      <c r="U35" s="82" t="n">
        <v>0.701680672268908</v>
      </c>
      <c r="V35" s="44" t="n">
        <v>20</v>
      </c>
      <c r="W35" s="45" t="n">
        <v>4760</v>
      </c>
      <c r="X35" s="61">
        <f>R35/(V35+R35)</f>
        <v/>
      </c>
      <c r="Y35" s="83">
        <f>V35/(R35/2.1)</f>
        <v/>
      </c>
    </row>
    <row r="36" ht="13.5" customHeight="1" s="75">
      <c r="A36" s="41" t="inlineStr">
        <is>
          <t>Fitness Yoga</t>
        </is>
      </c>
      <c r="B36" s="42" t="inlineStr">
        <is>
          <t>Bralette</t>
        </is>
      </c>
      <c r="C36" s="44" t="inlineStr">
        <is>
          <t>110421207\80</t>
        </is>
      </c>
      <c r="D36" s="44" t="n">
        <v>158</v>
      </c>
      <c r="E36" s="44" t="n">
        <v>33</v>
      </c>
      <c r="F36" s="45" t="n">
        <v>5214</v>
      </c>
      <c r="G36" s="45" t="n">
        <v>4491.4</v>
      </c>
      <c r="H36" s="82" t="n">
        <v>0.861411584196394</v>
      </c>
      <c r="I36" s="44" t="n">
        <v>59</v>
      </c>
      <c r="J36" s="45" t="n">
        <v>9322</v>
      </c>
      <c r="K36" s="61">
        <f>E36/(I36+E36)</f>
        <v/>
      </c>
      <c r="L36" s="83">
        <f>I36/(E36/2.1)</f>
        <v/>
      </c>
      <c r="N36" s="41" t="inlineStr">
        <is>
          <t>Fitness Yoga</t>
        </is>
      </c>
      <c r="O36" s="42" t="inlineStr">
        <is>
          <t>Tank top</t>
        </is>
      </c>
      <c r="P36" s="44" t="inlineStr">
        <is>
          <t>111301201\71</t>
        </is>
      </c>
      <c r="Q36" s="44" t="n">
        <v>238</v>
      </c>
      <c r="R36" s="69" t="n">
        <v>1</v>
      </c>
      <c r="S36" s="45" t="n">
        <v>238</v>
      </c>
      <c r="T36" s="45" t="n">
        <v>190.5</v>
      </c>
      <c r="U36" s="82" t="n">
        <v>0.800420168067227</v>
      </c>
      <c r="V36" s="44" t="n">
        <v>59</v>
      </c>
      <c r="W36" s="45" t="n">
        <v>14042</v>
      </c>
      <c r="X36" s="61">
        <f>R36/(V36+R36)</f>
        <v/>
      </c>
      <c r="Y36" s="83">
        <f>V36/(R36/2.1)</f>
        <v/>
      </c>
    </row>
    <row r="37" ht="13.5" customHeight="1" s="75">
      <c r="A37" s="41" t="inlineStr">
        <is>
          <t>Fitness Yoga</t>
        </is>
      </c>
      <c r="B37" s="42" t="inlineStr">
        <is>
          <t>Tank Top</t>
        </is>
      </c>
      <c r="C37" s="44" t="inlineStr">
        <is>
          <t>112421209\97</t>
        </is>
      </c>
      <c r="D37" s="44" t="n">
        <v>198</v>
      </c>
      <c r="E37" s="44" t="n">
        <v>29</v>
      </c>
      <c r="F37" s="45" t="n">
        <v>5742</v>
      </c>
      <c r="G37" s="45" t="n">
        <v>4647.8</v>
      </c>
      <c r="H37" s="82" t="n">
        <v>0.809439219784047</v>
      </c>
      <c r="I37" s="44" t="n">
        <v>68</v>
      </c>
      <c r="J37" s="45" t="n">
        <v>13464</v>
      </c>
      <c r="K37" s="61">
        <f>E37/(I37+E37)</f>
        <v/>
      </c>
      <c r="L37" s="83">
        <f>I37/(E37/2.1)</f>
        <v/>
      </c>
      <c r="N37" s="41" t="inlineStr">
        <is>
          <t>Fitness Yoga</t>
        </is>
      </c>
      <c r="O37" s="42" t="inlineStr">
        <is>
          <t>Tank top</t>
        </is>
      </c>
      <c r="P37" s="44" t="inlineStr">
        <is>
          <t>111301215\93</t>
        </is>
      </c>
      <c r="Q37" s="44" t="n">
        <v>238</v>
      </c>
      <c r="R37" s="69" t="n">
        <v>1</v>
      </c>
      <c r="S37" s="45" t="n">
        <v>238</v>
      </c>
      <c r="T37" s="45" t="n">
        <v>190</v>
      </c>
      <c r="U37" s="82" t="n">
        <v>0.798319327731092</v>
      </c>
      <c r="V37" s="44" t="n">
        <v>1</v>
      </c>
      <c r="W37" s="45" t="n">
        <v>238</v>
      </c>
      <c r="X37" s="61">
        <f>R37/(V37+R37)</f>
        <v/>
      </c>
      <c r="Y37" s="83">
        <f>V37/(R37/2.1)</f>
        <v/>
      </c>
    </row>
    <row r="38" ht="13.5" customHeight="1" s="75">
      <c r="A38" s="41" t="inlineStr">
        <is>
          <t>Fitness Yoga</t>
        </is>
      </c>
      <c r="B38" s="42" t="inlineStr">
        <is>
          <t>Straight Fit Trousers</t>
        </is>
      </c>
      <c r="C38" s="44" t="inlineStr">
        <is>
          <t>111321101\80</t>
        </is>
      </c>
      <c r="D38" s="44" t="n">
        <v>278</v>
      </c>
      <c r="E38" s="44" t="n">
        <v>29</v>
      </c>
      <c r="F38" s="45" t="n">
        <v>8062</v>
      </c>
      <c r="G38" s="45" t="n">
        <v>6551.7</v>
      </c>
      <c r="H38" s="82" t="n">
        <v>0.812664351277599</v>
      </c>
      <c r="I38" s="44" t="n">
        <v>58</v>
      </c>
      <c r="J38" s="45" t="n">
        <v>16124</v>
      </c>
      <c r="K38" s="61">
        <f>E38/(I38+E38)</f>
        <v/>
      </c>
      <c r="L38" s="83">
        <f>I38/(E38/2.1)</f>
        <v/>
      </c>
      <c r="N38" s="41" t="inlineStr">
        <is>
          <t>Fitness Yoga</t>
        </is>
      </c>
      <c r="O38" s="42" t="inlineStr">
        <is>
          <t>Tank top</t>
        </is>
      </c>
      <c r="P38" s="44" t="inlineStr">
        <is>
          <t>112361203\80</t>
        </is>
      </c>
      <c r="Q38" s="44" t="n">
        <v>368</v>
      </c>
      <c r="R38" s="69" t="n">
        <v>1</v>
      </c>
      <c r="S38" s="45" t="n">
        <v>368</v>
      </c>
      <c r="T38" s="45" t="n">
        <v>323.8</v>
      </c>
      <c r="U38" s="82" t="n">
        <v>0.879891304347826</v>
      </c>
      <c r="V38" s="44" t="n">
        <v>122</v>
      </c>
      <c r="W38" s="45" t="n">
        <v>44896</v>
      </c>
      <c r="X38" s="61">
        <f>R38/(V38+R38)</f>
        <v/>
      </c>
      <c r="Y38" s="83">
        <f>V38/(R38/2.1)</f>
        <v/>
      </c>
    </row>
    <row r="39" ht="13.5" customHeight="1" s="75">
      <c r="A39" s="41" t="inlineStr">
        <is>
          <t>Fitness Yoga</t>
        </is>
      </c>
      <c r="B39" s="42" t="inlineStr">
        <is>
          <t>Tank top</t>
        </is>
      </c>
      <c r="C39" s="44" t="inlineStr">
        <is>
          <t>112301205\93</t>
        </is>
      </c>
      <c r="D39" s="44" t="n">
        <v>298</v>
      </c>
      <c r="E39" s="44" t="n">
        <v>23</v>
      </c>
      <c r="F39" s="45" t="n">
        <v>6854</v>
      </c>
      <c r="G39" s="45" t="n">
        <v>5820.9</v>
      </c>
      <c r="H39" s="82" t="n">
        <v>0.849270498978699</v>
      </c>
      <c r="I39" s="44" t="n">
        <v>93</v>
      </c>
      <c r="J39" s="45" t="n">
        <v>27714</v>
      </c>
      <c r="K39" s="61">
        <f>E39/(I39+E39)</f>
        <v/>
      </c>
      <c r="L39" s="83">
        <f>I39/(E39/2.1)</f>
        <v/>
      </c>
      <c r="N39" s="41" t="inlineStr">
        <is>
          <t>Fitness Yoga</t>
        </is>
      </c>
      <c r="O39" s="42" t="inlineStr">
        <is>
          <t>Tank top</t>
        </is>
      </c>
      <c r="P39" s="44" t="inlineStr">
        <is>
          <t>113304202\80</t>
        </is>
      </c>
      <c r="Q39" s="44" t="n">
        <v>368</v>
      </c>
      <c r="R39" s="69" t="n">
        <v>1</v>
      </c>
      <c r="S39" s="45" t="n">
        <v>368</v>
      </c>
      <c r="T39" s="45" t="n">
        <v>294</v>
      </c>
      <c r="U39" s="82" t="n">
        <v>0.798913043478261</v>
      </c>
      <c r="V39" s="44" t="n">
        <v>39</v>
      </c>
      <c r="W39" s="45" t="n">
        <v>14352</v>
      </c>
      <c r="X39" s="61">
        <f>R39/(V39+R39)</f>
        <v/>
      </c>
      <c r="Y39" s="83">
        <f>V39/(R39/2.1)</f>
        <v/>
      </c>
    </row>
    <row r="40" ht="13.5" customHeight="1" s="75">
      <c r="A40" s="41" t="inlineStr">
        <is>
          <t>Fitness Yoga</t>
        </is>
      </c>
      <c r="B40" s="42" t="inlineStr">
        <is>
          <t>Nine-Tenths Pant</t>
        </is>
      </c>
      <c r="C40" s="44" t="inlineStr">
        <is>
          <t>111321901\80</t>
        </is>
      </c>
      <c r="D40" s="44" t="n">
        <v>258</v>
      </c>
      <c r="E40" s="44" t="n">
        <v>23</v>
      </c>
      <c r="F40" s="45" t="n">
        <v>5934</v>
      </c>
      <c r="G40" s="45" t="n">
        <v>4287.8</v>
      </c>
      <c r="H40" s="82" t="n">
        <v>0.722581732389619</v>
      </c>
      <c r="I40" s="44" t="n">
        <v>54</v>
      </c>
      <c r="J40" s="45" t="n">
        <v>13932</v>
      </c>
      <c r="K40" s="61">
        <f>E40/(I40+E40)</f>
        <v/>
      </c>
      <c r="L40" s="83">
        <f>I40/(E40/2.1)</f>
        <v/>
      </c>
      <c r="N40" s="41" t="inlineStr">
        <is>
          <t>Fitness Yoga</t>
        </is>
      </c>
      <c r="O40" s="42" t="inlineStr">
        <is>
          <t>Tank top</t>
        </is>
      </c>
      <c r="P40" s="44" t="inlineStr">
        <is>
          <t>113304202\97</t>
        </is>
      </c>
      <c r="Q40" s="44" t="n">
        <v>368</v>
      </c>
      <c r="R40" s="69" t="n">
        <v>1</v>
      </c>
      <c r="S40" s="45" t="n">
        <v>368</v>
      </c>
      <c r="T40" s="45" t="n">
        <v>331.2</v>
      </c>
      <c r="U40" s="82" t="n">
        <v>0.9</v>
      </c>
      <c r="V40" s="44" t="n">
        <v>38</v>
      </c>
      <c r="W40" s="45" t="n">
        <v>13984</v>
      </c>
      <c r="X40" s="61">
        <f>R40/(V40+R40)</f>
        <v/>
      </c>
      <c r="Y40" s="83">
        <f>V40/(R40/2.1)</f>
        <v/>
      </c>
    </row>
    <row r="41" ht="13.5" customHeight="1" s="75">
      <c r="A41" s="41" t="inlineStr">
        <is>
          <t>Fitness Yoga</t>
        </is>
      </c>
      <c r="B41" s="42" t="inlineStr">
        <is>
          <t>Seven-Eighths Pants</t>
        </is>
      </c>
      <c r="C41" s="44" t="inlineStr">
        <is>
          <t>112321702\64</t>
        </is>
      </c>
      <c r="D41" s="44" t="n">
        <v>298</v>
      </c>
      <c r="E41" s="44" t="n">
        <v>22</v>
      </c>
      <c r="F41" s="45" t="n">
        <v>6556</v>
      </c>
      <c r="G41" s="45" t="n">
        <v>5138.7</v>
      </c>
      <c r="H41" s="82" t="n">
        <v>0.783816351433801</v>
      </c>
      <c r="I41" s="44" t="n">
        <v>93</v>
      </c>
      <c r="J41" s="45" t="n">
        <v>27714</v>
      </c>
      <c r="K41" s="61">
        <f>E41/(I41+E41)</f>
        <v/>
      </c>
      <c r="L41" s="83">
        <f>I41/(E41/2.1)</f>
        <v/>
      </c>
      <c r="N41" s="41" t="inlineStr">
        <is>
          <t>Fitness Yoga</t>
        </is>
      </c>
      <c r="O41" s="42" t="inlineStr">
        <is>
          <t>Tank top</t>
        </is>
      </c>
      <c r="P41" s="44" t="inlineStr">
        <is>
          <t>114361201\72</t>
        </is>
      </c>
      <c r="Q41" s="44" t="n">
        <v>368</v>
      </c>
      <c r="R41" s="69" t="n">
        <v>1</v>
      </c>
      <c r="S41" s="45" t="n">
        <v>368</v>
      </c>
      <c r="T41" s="45" t="n">
        <v>331.2</v>
      </c>
      <c r="U41" s="82" t="n">
        <v>0.9</v>
      </c>
      <c r="V41" s="44" t="n">
        <v>24</v>
      </c>
      <c r="W41" s="45" t="n">
        <v>8832</v>
      </c>
      <c r="X41" s="61">
        <f>R41/(V41+R41)</f>
        <v/>
      </c>
      <c r="Y41" s="83">
        <f>V41/(R41/2.1)</f>
        <v/>
      </c>
    </row>
    <row r="42" ht="13.5" customHeight="1" s="75">
      <c r="A42" s="47" t="inlineStr">
        <is>
          <t>Fitness Yoga</t>
        </is>
      </c>
      <c r="B42" s="48" t="inlineStr">
        <is>
          <t>Bra</t>
        </is>
      </c>
      <c r="C42" s="50" t="inlineStr">
        <is>
          <t>111421209\80</t>
        </is>
      </c>
      <c r="D42" s="50" t="n">
        <v>138</v>
      </c>
      <c r="E42" s="50" t="n">
        <v>22</v>
      </c>
      <c r="F42" s="51" t="n">
        <v>3036</v>
      </c>
      <c r="G42" s="51" t="n">
        <v>2585.4</v>
      </c>
      <c r="H42" s="84" t="n">
        <v>0.851581027667984</v>
      </c>
      <c r="I42" s="50" t="n">
        <v>73</v>
      </c>
      <c r="J42" s="51" t="n">
        <v>10074</v>
      </c>
      <c r="K42" s="63">
        <f>E42/(I42+E42)</f>
        <v/>
      </c>
      <c r="L42" s="85">
        <f>I42/(E42/2.1)</f>
        <v/>
      </c>
      <c r="N42" s="47" t="inlineStr">
        <is>
          <t>Fitness Yoga</t>
        </is>
      </c>
      <c r="O42" s="48" t="inlineStr">
        <is>
          <t>Tank top</t>
        </is>
      </c>
      <c r="P42" s="50" t="inlineStr">
        <is>
          <t>114361201\92</t>
        </is>
      </c>
      <c r="Q42" s="50" t="n">
        <v>368</v>
      </c>
      <c r="R42" s="70" t="n">
        <v>1</v>
      </c>
      <c r="S42" s="51" t="n">
        <v>368</v>
      </c>
      <c r="T42" s="51" t="n">
        <v>331.2</v>
      </c>
      <c r="U42" s="84" t="n">
        <v>0.9</v>
      </c>
      <c r="V42" s="50" t="n">
        <v>24</v>
      </c>
      <c r="W42" s="51" t="n">
        <v>8832</v>
      </c>
      <c r="X42" s="61">
        <f>R42/(V42+R42)</f>
        <v/>
      </c>
      <c r="Y42" s="83">
        <f>V42/(R42/2.1)</f>
        <v/>
      </c>
    </row>
    <row r="43" ht="13.5" customHeight="1" s="75">
      <c r="A43" s="38" t="inlineStr">
        <is>
          <t>Fitness Yoga Life</t>
        </is>
      </c>
      <c r="B43" s="53" t="inlineStr">
        <is>
          <t>Seven-Eighths Pants</t>
        </is>
      </c>
      <c r="C43" s="53" t="inlineStr">
        <is>
          <t>114394701\67</t>
        </is>
      </c>
      <c r="D43" s="53" t="n">
        <v>398</v>
      </c>
      <c r="E43" s="53" t="n">
        <v>10</v>
      </c>
      <c r="F43" s="54" t="n">
        <v>3980</v>
      </c>
      <c r="G43" s="54" t="n">
        <v>3108.4</v>
      </c>
      <c r="H43" s="86" t="n">
        <v>0.781005025125628</v>
      </c>
      <c r="I43" s="53" t="n">
        <v>30</v>
      </c>
      <c r="J43" s="54" t="n">
        <v>11940</v>
      </c>
      <c r="K43" s="65">
        <f>E43/(I43+E43)</f>
        <v/>
      </c>
      <c r="L43" s="87">
        <f>I43/(E43/2.1)</f>
        <v/>
      </c>
      <c r="N43" s="38" t="inlineStr">
        <is>
          <t>Fitness Yoga Life</t>
        </is>
      </c>
      <c r="O43" s="53" t="inlineStr">
        <is>
          <t>Tank top</t>
        </is>
      </c>
      <c r="P43" s="53" t="inlineStr">
        <is>
          <t>111317202\64</t>
        </is>
      </c>
      <c r="Q43" s="53" t="n">
        <v>238</v>
      </c>
      <c r="R43" s="71" t="n">
        <v>1</v>
      </c>
      <c r="S43" s="54" t="n">
        <v>238</v>
      </c>
      <c r="T43" s="54" t="n">
        <v>167</v>
      </c>
      <c r="U43" s="86" t="n">
        <v>0.701680672268908</v>
      </c>
      <c r="V43" s="53" t="n">
        <v>50</v>
      </c>
      <c r="W43" s="54" t="n">
        <v>11900</v>
      </c>
      <c r="X43" s="61">
        <f>R43/(V43+R43)</f>
        <v/>
      </c>
      <c r="Y43" s="83">
        <f>V43/(R43/2.1)</f>
        <v/>
      </c>
    </row>
    <row r="44" ht="13.5" customHeight="1" s="75">
      <c r="A44" s="41" t="inlineStr">
        <is>
          <t>Fitness Yoga Life</t>
        </is>
      </c>
      <c r="B44" s="44" t="inlineStr">
        <is>
          <t>Knit Hooded Jacket</t>
        </is>
      </c>
      <c r="C44" s="44" t="inlineStr">
        <is>
          <t>113901301\92</t>
        </is>
      </c>
      <c r="D44" s="44" t="n">
        <v>368</v>
      </c>
      <c r="E44" s="44" t="n">
        <v>7</v>
      </c>
      <c r="F44" s="45" t="n">
        <v>2576</v>
      </c>
      <c r="G44" s="45" t="n">
        <v>2170.4</v>
      </c>
      <c r="H44" s="82" t="n">
        <v>0.842546583850932</v>
      </c>
      <c r="I44" s="44" t="n">
        <v>66</v>
      </c>
      <c r="J44" s="45" t="n">
        <v>24288</v>
      </c>
      <c r="K44" s="61">
        <f>E44/(I44+E44)</f>
        <v/>
      </c>
      <c r="L44" s="83">
        <f>I44/(E44/2.1)</f>
        <v/>
      </c>
      <c r="N44" s="41" t="inlineStr">
        <is>
          <t>Fitness Yoga Life</t>
        </is>
      </c>
      <c r="O44" s="44" t="inlineStr">
        <is>
          <t>Short-sleeve Knit Cap Sleeve Top</t>
        </is>
      </c>
      <c r="P44" s="44" t="inlineStr">
        <is>
          <t>114392301\92</t>
        </is>
      </c>
      <c r="Q44" s="44" t="n">
        <v>298</v>
      </c>
      <c r="R44" s="69" t="n">
        <v>1</v>
      </c>
      <c r="S44" s="45" t="n">
        <v>298</v>
      </c>
      <c r="T44" s="45" t="n">
        <v>238</v>
      </c>
      <c r="U44" s="82" t="n">
        <v>0.798657718120805</v>
      </c>
      <c r="V44" s="44" t="n">
        <v>29</v>
      </c>
      <c r="W44" s="45" t="n">
        <v>8642</v>
      </c>
      <c r="X44" s="61">
        <f>R44/(V44+R44)</f>
        <v/>
      </c>
      <c r="Y44" s="83">
        <f>V44/(R44/2.1)</f>
        <v/>
      </c>
    </row>
    <row r="45" ht="13.5" customHeight="1" s="75">
      <c r="A45" s="41" t="inlineStr">
        <is>
          <t>Fitness Yoga Life</t>
        </is>
      </c>
      <c r="B45" s="42" t="inlineStr">
        <is>
          <t>Seven-Eighths Pants</t>
        </is>
      </c>
      <c r="C45" s="44" t="inlineStr">
        <is>
          <t>114394701\61</t>
        </is>
      </c>
      <c r="D45" s="44" t="n">
        <v>398</v>
      </c>
      <c r="E45" s="44" t="n">
        <v>6</v>
      </c>
      <c r="F45" s="45" t="n">
        <v>2388</v>
      </c>
      <c r="G45" s="45" t="n">
        <v>2128.9</v>
      </c>
      <c r="H45" s="82" t="n">
        <v>0.891499162479062</v>
      </c>
      <c r="I45" s="44" t="n">
        <v>38</v>
      </c>
      <c r="J45" s="45" t="n">
        <v>15124</v>
      </c>
      <c r="K45" s="61">
        <f>E45/(I45+E45)</f>
        <v/>
      </c>
      <c r="L45" s="83">
        <f>I45/(E45/2.1)</f>
        <v/>
      </c>
      <c r="N45" s="41" t="inlineStr">
        <is>
          <t>Fitness Yoga Life</t>
        </is>
      </c>
      <c r="O45" s="42" t="inlineStr">
        <is>
          <t>Cardigan</t>
        </is>
      </c>
      <c r="P45" s="44" t="inlineStr">
        <is>
          <t>112901202\92</t>
        </is>
      </c>
      <c r="Q45" s="44" t="n">
        <v>498</v>
      </c>
      <c r="R45" s="69" t="n">
        <v>1</v>
      </c>
      <c r="S45" s="45" t="n">
        <v>498</v>
      </c>
      <c r="T45" s="45" t="n">
        <v>349</v>
      </c>
      <c r="U45" s="82" t="n">
        <v>0.700803212851406</v>
      </c>
      <c r="V45" s="44" t="n">
        <v>24</v>
      </c>
      <c r="W45" s="45" t="n">
        <v>11952</v>
      </c>
      <c r="X45" s="61">
        <f>R45/(V45+R45)</f>
        <v/>
      </c>
      <c r="Y45" s="83">
        <f>V45/(R45/2.1)</f>
        <v/>
      </c>
    </row>
    <row r="46" ht="13.5" customHeight="1" s="75">
      <c r="A46" s="41" t="inlineStr">
        <is>
          <t>Fitness Yoga Life</t>
        </is>
      </c>
      <c r="B46" s="42" t="inlineStr">
        <is>
          <t>Straight Leg Trousers</t>
        </is>
      </c>
      <c r="C46" s="44" t="inlineStr">
        <is>
          <t>113921101\92</t>
        </is>
      </c>
      <c r="D46" s="44" t="n">
        <v>298</v>
      </c>
      <c r="E46" s="44" t="n">
        <v>6</v>
      </c>
      <c r="F46" s="45" t="n">
        <v>1788</v>
      </c>
      <c r="G46" s="45" t="n">
        <v>1520.4</v>
      </c>
      <c r="H46" s="82" t="n">
        <v>0.850335570469799</v>
      </c>
      <c r="I46" s="44" t="n">
        <v>77</v>
      </c>
      <c r="J46" s="45" t="n">
        <v>22946</v>
      </c>
      <c r="K46" s="61">
        <f>E46/(I46+E46)</f>
        <v/>
      </c>
      <c r="L46" s="83">
        <f>I46/(E46/2.1)</f>
        <v/>
      </c>
      <c r="N46" s="41" t="inlineStr">
        <is>
          <t>Fitness Yoga Life</t>
        </is>
      </c>
      <c r="O46" s="42" t="inlineStr">
        <is>
          <t>Loose Fit Straight Leggings</t>
        </is>
      </c>
      <c r="P46" s="44" t="inlineStr">
        <is>
          <t>111394104\83</t>
        </is>
      </c>
      <c r="Q46" s="44" t="n">
        <v>238</v>
      </c>
      <c r="R46" s="69" t="n">
        <v>1</v>
      </c>
      <c r="S46" s="45" t="n">
        <v>238</v>
      </c>
      <c r="T46" s="45" t="n">
        <v>167</v>
      </c>
      <c r="U46" s="82" t="n">
        <v>0.701680672268908</v>
      </c>
      <c r="V46" s="44" t="n">
        <v>63</v>
      </c>
      <c r="W46" s="45" t="n">
        <v>14994</v>
      </c>
      <c r="X46" s="61">
        <f>R46/(V46+R46)</f>
        <v/>
      </c>
      <c r="Y46" s="83">
        <f>V46/(R46/2.1)</f>
        <v/>
      </c>
    </row>
    <row r="47" ht="13.5" customHeight="1" s="75">
      <c r="A47" s="41" t="inlineStr">
        <is>
          <t>Fitness Yoga Life</t>
        </is>
      </c>
      <c r="B47" s="42" t="inlineStr">
        <is>
          <t>Knit Cardigan Coat</t>
        </is>
      </c>
      <c r="C47" s="44" t="inlineStr">
        <is>
          <t>114392303\41</t>
        </is>
      </c>
      <c r="D47" s="44" t="n">
        <v>398</v>
      </c>
      <c r="E47" s="44" t="n">
        <v>5</v>
      </c>
      <c r="F47" s="45" t="n">
        <v>1990</v>
      </c>
      <c r="G47" s="45" t="n">
        <v>1690.2</v>
      </c>
      <c r="H47" s="82" t="n">
        <v>0.849346733668342</v>
      </c>
      <c r="I47" s="44" t="n">
        <v>18</v>
      </c>
      <c r="J47" s="45" t="n">
        <v>7164</v>
      </c>
      <c r="K47" s="61">
        <f>E47/(I47+E47)</f>
        <v/>
      </c>
      <c r="L47" s="83">
        <f>I47/(E47/2.1)</f>
        <v/>
      </c>
      <c r="N47" s="41" t="inlineStr">
        <is>
          <t>Fitness Yoga Life</t>
        </is>
      </c>
      <c r="O47" s="42" t="inlineStr">
        <is>
          <t>Hooded Cardigan</t>
        </is>
      </c>
      <c r="P47" s="44" t="inlineStr">
        <is>
          <t>112901304\80</t>
        </is>
      </c>
      <c r="Q47" s="44" t="n">
        <v>398</v>
      </c>
      <c r="R47" s="69" t="n">
        <v>1</v>
      </c>
      <c r="S47" s="45" t="n">
        <v>398</v>
      </c>
      <c r="T47" s="45" t="n">
        <v>378.1</v>
      </c>
      <c r="U47" s="82" t="n">
        <v>0.95</v>
      </c>
      <c r="V47" s="44" t="n">
        <v>77</v>
      </c>
      <c r="W47" s="45" t="n">
        <v>30646</v>
      </c>
      <c r="X47" s="61">
        <f>R47/(V47+R47)</f>
        <v/>
      </c>
      <c r="Y47" s="83">
        <f>V47/(R47/2.1)</f>
        <v/>
      </c>
    </row>
    <row r="48" ht="13.5" customHeight="1" s="75">
      <c r="A48" s="41" t="inlineStr">
        <is>
          <t>Fitness Yoga Life</t>
        </is>
      </c>
      <c r="B48" s="42" t="inlineStr">
        <is>
          <t>Knit Hooded Jacket</t>
        </is>
      </c>
      <c r="C48" s="44" t="inlineStr">
        <is>
          <t>113901301\61</t>
        </is>
      </c>
      <c r="D48" s="44" t="n">
        <v>368</v>
      </c>
      <c r="E48" s="44" t="n">
        <v>5</v>
      </c>
      <c r="F48" s="45" t="n">
        <v>1840</v>
      </c>
      <c r="G48" s="45" t="n">
        <v>1324.8</v>
      </c>
      <c r="H48" s="82" t="n">
        <v>0.72</v>
      </c>
      <c r="I48" s="44" t="n">
        <v>74</v>
      </c>
      <c r="J48" s="45" t="n">
        <v>27232</v>
      </c>
      <c r="K48" s="61">
        <f>E48/(I48+E48)</f>
        <v/>
      </c>
      <c r="L48" s="83">
        <f>I48/(E48/2.1)</f>
        <v/>
      </c>
      <c r="N48" s="41" t="inlineStr">
        <is>
          <t>Fitness Yoga Life</t>
        </is>
      </c>
      <c r="O48" s="42" t="inlineStr">
        <is>
          <t>Hooded Pullover</t>
        </is>
      </c>
      <c r="P48" s="44" t="inlineStr">
        <is>
          <t>111901101\62</t>
        </is>
      </c>
      <c r="Q48" s="44" t="n">
        <v>498</v>
      </c>
      <c r="R48" s="69" t="n">
        <v>1</v>
      </c>
      <c r="S48" s="45" t="n">
        <v>498</v>
      </c>
      <c r="T48" s="45" t="n">
        <v>398.4</v>
      </c>
      <c r="U48" s="82" t="n">
        <v>0.8</v>
      </c>
      <c r="V48" s="44" t="n">
        <v>141</v>
      </c>
      <c r="W48" s="45" t="n">
        <v>70218</v>
      </c>
      <c r="X48" s="61">
        <f>R48/(V48+R48)</f>
        <v/>
      </c>
      <c r="Y48" s="83">
        <f>V48/(R48/2.1)</f>
        <v/>
      </c>
    </row>
    <row r="49" ht="13.5" customHeight="1" s="75">
      <c r="A49" s="41" t="inlineStr">
        <is>
          <t>Fitness Yoga Life</t>
        </is>
      </c>
      <c r="B49" s="42" t="inlineStr">
        <is>
          <t>Straight Leg Trousers</t>
        </is>
      </c>
      <c r="C49" s="44" t="inlineStr">
        <is>
          <t>113921101\61</t>
        </is>
      </c>
      <c r="D49" s="44" t="n">
        <v>298</v>
      </c>
      <c r="E49" s="44" t="n">
        <v>4</v>
      </c>
      <c r="F49" s="45" t="n">
        <v>1192</v>
      </c>
      <c r="G49" s="45" t="n">
        <v>834.8</v>
      </c>
      <c r="H49" s="82" t="n">
        <v>0.700335570469799</v>
      </c>
      <c r="I49" s="44" t="n">
        <v>77</v>
      </c>
      <c r="J49" s="45" t="n">
        <v>22946</v>
      </c>
      <c r="K49" s="61">
        <f>E49/(I49+E49)</f>
        <v/>
      </c>
      <c r="L49" s="83">
        <f>I49/(E49/2.1)</f>
        <v/>
      </c>
      <c r="N49" s="41" t="inlineStr">
        <is>
          <t>Fitness Yoga Life</t>
        </is>
      </c>
      <c r="O49" s="42" t="inlineStr">
        <is>
          <t>Hooded Pullover</t>
        </is>
      </c>
      <c r="P49" s="44" t="inlineStr">
        <is>
          <t>113903101\31</t>
        </is>
      </c>
      <c r="Q49" s="44" t="n">
        <v>398</v>
      </c>
      <c r="R49" s="69" t="n">
        <v>1</v>
      </c>
      <c r="S49" s="45" t="n">
        <v>398</v>
      </c>
      <c r="T49" s="45" t="n">
        <v>318</v>
      </c>
      <c r="U49" s="82" t="n">
        <v>0.798994974874372</v>
      </c>
      <c r="V49" s="44" t="n">
        <v>13</v>
      </c>
      <c r="W49" s="45" t="n">
        <v>5174</v>
      </c>
      <c r="X49" s="61">
        <f>R49/(V49+R49)</f>
        <v/>
      </c>
      <c r="Y49" s="83">
        <f>V49/(R49/2.1)</f>
        <v/>
      </c>
    </row>
    <row r="50" ht="13.5" customHeight="1" s="75">
      <c r="A50" s="41" t="inlineStr">
        <is>
          <t>Fitness Yoga Life</t>
        </is>
      </c>
      <c r="B50" s="42" t="inlineStr">
        <is>
          <t>Straight Leg Trousers</t>
        </is>
      </c>
      <c r="C50" s="44" t="inlineStr">
        <is>
          <t>114394101\41</t>
        </is>
      </c>
      <c r="D50" s="44" t="n">
        <v>298</v>
      </c>
      <c r="E50" s="44" t="n">
        <v>4</v>
      </c>
      <c r="F50" s="45" t="n">
        <v>1192</v>
      </c>
      <c r="G50" s="45" t="n">
        <v>1028.2</v>
      </c>
      <c r="H50" s="82" t="n">
        <v>0.8625838926174501</v>
      </c>
      <c r="I50" s="44" t="n">
        <v>21</v>
      </c>
      <c r="J50" s="45" t="n">
        <v>6258</v>
      </c>
      <c r="K50" s="61">
        <f>E50/(I50+E50)</f>
        <v/>
      </c>
      <c r="L50" s="83">
        <f>I50/(E50/2.1)</f>
        <v/>
      </c>
      <c r="N50" s="41" t="inlineStr">
        <is>
          <t>Fitness Yoga Life</t>
        </is>
      </c>
      <c r="O50" s="42" t="inlineStr">
        <is>
          <t>Hooded Pullover</t>
        </is>
      </c>
      <c r="P50" s="44" t="inlineStr">
        <is>
          <t>113903101\61</t>
        </is>
      </c>
      <c r="Q50" s="44" t="n">
        <v>398</v>
      </c>
      <c r="R50" s="69" t="n">
        <v>1</v>
      </c>
      <c r="S50" s="45" t="n">
        <v>398</v>
      </c>
      <c r="T50" s="45" t="n">
        <v>318</v>
      </c>
      <c r="U50" s="82" t="n">
        <v>0.798994974874372</v>
      </c>
      <c r="V50" s="44" t="n">
        <v>12</v>
      </c>
      <c r="W50" s="45" t="n">
        <v>4776</v>
      </c>
      <c r="X50" s="61">
        <f>R50/(V50+R50)</f>
        <v/>
      </c>
      <c r="Y50" s="83">
        <f>V50/(R50/2.1)</f>
        <v/>
      </c>
    </row>
    <row r="51" ht="13.5" customHeight="1" s="75">
      <c r="A51" s="41" t="inlineStr">
        <is>
          <t>Fitness Yoga Life</t>
        </is>
      </c>
      <c r="B51" s="42" t="inlineStr">
        <is>
          <t>Cardigan</t>
        </is>
      </c>
      <c r="C51" s="44" t="inlineStr">
        <is>
          <t>111901202\93</t>
        </is>
      </c>
      <c r="D51" s="44" t="n">
        <v>368</v>
      </c>
      <c r="E51" s="44" t="n">
        <v>3</v>
      </c>
      <c r="F51" s="45" t="n">
        <v>1104</v>
      </c>
      <c r="G51" s="45" t="n">
        <v>774</v>
      </c>
      <c r="H51" s="82" t="n">
        <v>0.701086956521739</v>
      </c>
      <c r="I51" s="44" t="n">
        <v>19</v>
      </c>
      <c r="J51" s="45" t="n">
        <v>6992</v>
      </c>
      <c r="K51" s="61">
        <f>E51/(I51+E51)</f>
        <v/>
      </c>
      <c r="L51" s="83">
        <f>I51/(E51/2.1)</f>
        <v/>
      </c>
      <c r="N51" s="41" t="inlineStr">
        <is>
          <t>Fitness Yoga Life</t>
        </is>
      </c>
      <c r="O51" s="42" t="inlineStr">
        <is>
          <t>Vest</t>
        </is>
      </c>
      <c r="P51" s="44" t="inlineStr">
        <is>
          <t>111901307\76</t>
        </is>
      </c>
      <c r="Q51" s="44" t="n">
        <v>428</v>
      </c>
      <c r="R51" s="69" t="n">
        <v>1</v>
      </c>
      <c r="S51" s="45" t="n">
        <v>428</v>
      </c>
      <c r="T51" s="45" t="n">
        <v>385</v>
      </c>
      <c r="U51" s="82" t="n">
        <v>0.899532710280374</v>
      </c>
      <c r="V51" s="44" t="n">
        <v>93</v>
      </c>
      <c r="W51" s="45" t="n">
        <v>39804</v>
      </c>
      <c r="X51" s="61">
        <f>R51/(V51+R51)</f>
        <v/>
      </c>
      <c r="Y51" s="83">
        <f>V51/(R51/2.1)</f>
        <v/>
      </c>
    </row>
    <row r="52" ht="13.5" customHeight="1" s="75">
      <c r="A52" s="47" t="inlineStr">
        <is>
          <t>Fitness Yoga Life</t>
        </is>
      </c>
      <c r="B52" s="48" t="inlineStr">
        <is>
          <t>Loose Fit Straight Leggings</t>
        </is>
      </c>
      <c r="C52" s="50" t="inlineStr">
        <is>
          <t>111394104\80</t>
        </is>
      </c>
      <c r="D52" s="50" t="n">
        <v>238</v>
      </c>
      <c r="E52" s="50" t="n">
        <v>3</v>
      </c>
      <c r="F52" s="51" t="n">
        <v>714</v>
      </c>
      <c r="G52" s="51" t="n">
        <v>594.2</v>
      </c>
      <c r="H52" s="84" t="n">
        <v>0.832212885154062</v>
      </c>
      <c r="I52" s="50" t="n">
        <v>61</v>
      </c>
      <c r="J52" s="51" t="n">
        <v>14518</v>
      </c>
      <c r="K52" s="63">
        <f>E52/(I52+E52)</f>
        <v/>
      </c>
      <c r="L52" s="85">
        <f>I52/(E52/2.1)</f>
        <v/>
      </c>
      <c r="N52" s="47" t="inlineStr">
        <is>
          <t>Fitness Yoga Life</t>
        </is>
      </c>
      <c r="O52" s="48" t="inlineStr">
        <is>
          <t>Seven-Eighths Pants</t>
        </is>
      </c>
      <c r="P52" s="50" t="inlineStr">
        <is>
          <t>113394701\60</t>
        </is>
      </c>
      <c r="Q52" s="50" t="n">
        <v>298</v>
      </c>
      <c r="R52" s="70" t="n">
        <v>1</v>
      </c>
      <c r="S52" s="51" t="n">
        <v>298</v>
      </c>
      <c r="T52" s="51" t="n">
        <v>268</v>
      </c>
      <c r="U52" s="84" t="n">
        <v>0.8993288590604031</v>
      </c>
      <c r="V52" s="50" t="n">
        <v>32</v>
      </c>
      <c r="W52" s="51" t="n">
        <v>9536</v>
      </c>
      <c r="X52" s="61">
        <f>R52/(V52+R52)</f>
        <v/>
      </c>
      <c r="Y52" s="83">
        <f>V52/(R52/2.1)</f>
        <v/>
      </c>
    </row>
    <row r="53" ht="13.5" customHeight="1" s="75">
      <c r="A53" s="38" t="inlineStr">
        <is>
          <t>Running Series</t>
        </is>
      </c>
      <c r="B53" s="53" t="inlineStr">
        <is>
          <t>Six-Fourth Pants</t>
        </is>
      </c>
      <c r="C53" s="53" t="inlineStr">
        <is>
          <t>111322701\80</t>
        </is>
      </c>
      <c r="D53" s="53" t="n">
        <v>238</v>
      </c>
      <c r="E53" s="53" t="n">
        <v>9</v>
      </c>
      <c r="F53" s="54" t="n">
        <v>2142</v>
      </c>
      <c r="G53" s="54" t="n">
        <v>1469</v>
      </c>
      <c r="H53" s="86" t="n">
        <v>0.685807656395892</v>
      </c>
      <c r="I53" s="53" t="n">
        <v>63</v>
      </c>
      <c r="J53" s="54" t="n">
        <v>14994</v>
      </c>
      <c r="K53" s="65">
        <f>E53/(I53+E53)</f>
        <v/>
      </c>
      <c r="L53" s="87">
        <f>I53/(E53/2.1)</f>
        <v/>
      </c>
      <c r="N53" s="38" t="inlineStr">
        <is>
          <t>Running Series</t>
        </is>
      </c>
      <c r="O53" s="53" t="inlineStr">
        <is>
          <t>Tank top</t>
        </is>
      </c>
      <c r="P53" s="53" t="inlineStr">
        <is>
          <t>111302205\72</t>
        </is>
      </c>
      <c r="Q53" s="53" t="n">
        <v>258</v>
      </c>
      <c r="R53" s="71" t="n">
        <v>1</v>
      </c>
      <c r="S53" s="54" t="n">
        <v>258</v>
      </c>
      <c r="T53" s="54" t="n">
        <v>245.1</v>
      </c>
      <c r="U53" s="86" t="n">
        <v>0.95</v>
      </c>
      <c r="V53" s="53" t="n">
        <v>43</v>
      </c>
      <c r="W53" s="54" t="n">
        <v>11094</v>
      </c>
      <c r="X53" s="61">
        <f>R53/(V53+R53)</f>
        <v/>
      </c>
      <c r="Y53" s="83">
        <f>V53/(R53/2.1)</f>
        <v/>
      </c>
    </row>
    <row r="54" ht="13.5" customHeight="1" s="75">
      <c r="A54" s="41" t="inlineStr">
        <is>
          <t>Running Series</t>
        </is>
      </c>
      <c r="B54" s="42" t="inlineStr">
        <is>
          <t>Six-Fourth Pants</t>
        </is>
      </c>
      <c r="C54" s="44" t="inlineStr">
        <is>
          <t>111322701\83</t>
        </is>
      </c>
      <c r="D54" s="44" t="n">
        <v>238</v>
      </c>
      <c r="E54" s="44" t="n">
        <v>7</v>
      </c>
      <c r="F54" s="45" t="n">
        <v>1666</v>
      </c>
      <c r="G54" s="45" t="n">
        <v>1152</v>
      </c>
      <c r="H54" s="82" t="n">
        <v>0.691476590636255</v>
      </c>
      <c r="I54" s="44" t="n">
        <v>35</v>
      </c>
      <c r="J54" s="45" t="n">
        <v>8330</v>
      </c>
      <c r="K54" s="61">
        <f>E54/(I54+E54)</f>
        <v/>
      </c>
      <c r="L54" s="83">
        <f>I54/(E54/2.1)</f>
        <v/>
      </c>
      <c r="N54" s="41" t="inlineStr">
        <is>
          <t>Running Series</t>
        </is>
      </c>
      <c r="O54" s="42" t="inlineStr">
        <is>
          <t>Tank top</t>
        </is>
      </c>
      <c r="P54" s="44" t="inlineStr">
        <is>
          <t>111302206\93</t>
        </is>
      </c>
      <c r="Q54" s="44" t="n">
        <v>258</v>
      </c>
      <c r="R54" s="69" t="n">
        <v>1</v>
      </c>
      <c r="S54" s="45" t="n">
        <v>258</v>
      </c>
      <c r="T54" s="45" t="n">
        <v>258</v>
      </c>
      <c r="U54" s="82" t="n">
        <v>1</v>
      </c>
      <c r="V54" s="44" t="n">
        <v>35</v>
      </c>
      <c r="W54" s="45" t="n">
        <v>9030</v>
      </c>
      <c r="X54" s="61">
        <f>R54/(V54+R54)</f>
        <v/>
      </c>
      <c r="Y54" s="83">
        <f>V54/(R54/2.1)</f>
        <v/>
      </c>
    </row>
    <row r="55" ht="13.5" customHeight="1" s="75">
      <c r="A55" s="41" t="inlineStr">
        <is>
          <t>Running Series</t>
        </is>
      </c>
      <c r="B55" s="42" t="inlineStr">
        <is>
          <t>Woven Cardigan Coat</t>
        </is>
      </c>
      <c r="C55" s="44" t="inlineStr">
        <is>
          <t>114905201\40</t>
        </is>
      </c>
      <c r="D55" s="44" t="n">
        <v>568</v>
      </c>
      <c r="E55" s="44" t="n">
        <v>6</v>
      </c>
      <c r="F55" s="45" t="n">
        <v>3408</v>
      </c>
      <c r="G55" s="45" t="n">
        <v>2895.8</v>
      </c>
      <c r="H55" s="82" t="n">
        <v>0.849706572769953</v>
      </c>
      <c r="I55" s="44" t="n">
        <v>12</v>
      </c>
      <c r="J55" s="45" t="n">
        <v>6816</v>
      </c>
      <c r="K55" s="61">
        <f>E55/(I55+E55)</f>
        <v/>
      </c>
      <c r="L55" s="83">
        <f>I55/(E55/2.1)</f>
        <v/>
      </c>
      <c r="N55" s="41" t="inlineStr">
        <is>
          <t>Running Series</t>
        </is>
      </c>
      <c r="O55" s="42" t="inlineStr">
        <is>
          <t>Shorts</t>
        </is>
      </c>
      <c r="P55" s="44" t="inlineStr">
        <is>
          <t>110332203\64</t>
        </is>
      </c>
      <c r="Q55" s="44" t="n">
        <v>218</v>
      </c>
      <c r="R55" s="69" t="n">
        <v>1</v>
      </c>
      <c r="S55" s="45" t="n">
        <v>218</v>
      </c>
      <c r="T55" s="45" t="n">
        <v>196.2</v>
      </c>
      <c r="U55" s="82" t="n">
        <v>0.9</v>
      </c>
      <c r="V55" s="44" t="n">
        <v>37</v>
      </c>
      <c r="W55" s="45" t="n">
        <v>8066</v>
      </c>
      <c r="X55" s="61">
        <f>R55/(V55+R55)</f>
        <v/>
      </c>
      <c r="Y55" s="83">
        <f>V55/(R55/2.1)</f>
        <v/>
      </c>
    </row>
    <row r="56" ht="13.5" customHeight="1" s="75">
      <c r="A56" s="41" t="inlineStr">
        <is>
          <t>Running Series</t>
        </is>
      </c>
      <c r="B56" s="42" t="inlineStr">
        <is>
          <t>Short-sleeve T-shirt</t>
        </is>
      </c>
      <c r="C56" s="44" t="inlineStr">
        <is>
          <t>114302402\37</t>
        </is>
      </c>
      <c r="D56" s="44" t="n">
        <v>298</v>
      </c>
      <c r="E56" s="44" t="n">
        <v>5</v>
      </c>
      <c r="F56" s="45" t="n">
        <v>1490</v>
      </c>
      <c r="G56" s="45" t="n">
        <v>1250.4</v>
      </c>
      <c r="H56" s="82" t="n">
        <v>0.839194630872483</v>
      </c>
      <c r="I56" s="44" t="n">
        <v>25</v>
      </c>
      <c r="J56" s="45" t="n">
        <v>7450</v>
      </c>
      <c r="K56" s="61">
        <f>E56/(I56+E56)</f>
        <v/>
      </c>
      <c r="L56" s="83">
        <f>I56/(E56/2.1)</f>
        <v/>
      </c>
      <c r="N56" s="41" t="inlineStr">
        <is>
          <t>Running Series</t>
        </is>
      </c>
      <c r="O56" s="42" t="inlineStr">
        <is>
          <t>Shorts</t>
        </is>
      </c>
      <c r="P56" s="44" t="inlineStr">
        <is>
          <t>111332502\80</t>
        </is>
      </c>
      <c r="Q56" s="44" t="n">
        <v>238</v>
      </c>
      <c r="R56" s="69" t="n">
        <v>1</v>
      </c>
      <c r="S56" s="45" t="n">
        <v>238</v>
      </c>
      <c r="T56" s="45" t="n">
        <v>167</v>
      </c>
      <c r="U56" s="82" t="n">
        <v>0.701680672268908</v>
      </c>
      <c r="V56" s="44" t="n">
        <v>15</v>
      </c>
      <c r="W56" s="45" t="n">
        <v>3570</v>
      </c>
      <c r="X56" s="61">
        <f>R56/(V56+R56)</f>
        <v/>
      </c>
      <c r="Y56" s="83">
        <f>V56/(R56/2.1)</f>
        <v/>
      </c>
    </row>
    <row r="57" ht="13.5" customHeight="1" s="75">
      <c r="A57" s="41" t="inlineStr">
        <is>
          <t>Running Series</t>
        </is>
      </c>
      <c r="B57" s="42" t="inlineStr">
        <is>
          <t>Woven Cardigan Coat</t>
        </is>
      </c>
      <c r="C57" s="44" t="inlineStr">
        <is>
          <t>114905201\93</t>
        </is>
      </c>
      <c r="D57" s="44" t="n">
        <v>568</v>
      </c>
      <c r="E57" s="44" t="n">
        <v>5</v>
      </c>
      <c r="F57" s="45" t="n">
        <v>2840</v>
      </c>
      <c r="G57" s="45" t="n">
        <v>2384.8</v>
      </c>
      <c r="H57" s="82" t="n">
        <v>0.839718309859155</v>
      </c>
      <c r="I57" s="44" t="n">
        <v>17</v>
      </c>
      <c r="J57" s="45" t="n">
        <v>9656</v>
      </c>
      <c r="K57" s="61">
        <f>E57/(I57+E57)</f>
        <v/>
      </c>
      <c r="L57" s="83">
        <f>I57/(E57/2.1)</f>
        <v/>
      </c>
      <c r="N57" s="41" t="inlineStr">
        <is>
          <t>Running Series</t>
        </is>
      </c>
      <c r="O57" s="42" t="inlineStr">
        <is>
          <t>Short sleeve</t>
        </is>
      </c>
      <c r="P57" s="44" t="inlineStr">
        <is>
          <t>113302401\94</t>
        </is>
      </c>
      <c r="Q57" s="44" t="n">
        <v>168</v>
      </c>
      <c r="R57" s="69" t="n">
        <v>1</v>
      </c>
      <c r="S57" s="45" t="n">
        <v>168</v>
      </c>
      <c r="T57" s="45" t="n">
        <v>160</v>
      </c>
      <c r="U57" s="82" t="n">
        <v>0.952380952380952</v>
      </c>
      <c r="V57" s="44" t="n">
        <v>45</v>
      </c>
      <c r="W57" s="45" t="n">
        <v>7560</v>
      </c>
      <c r="X57" s="61">
        <f>R57/(V57+R57)</f>
        <v/>
      </c>
      <c r="Y57" s="83">
        <f>V57/(R57/2.1)</f>
        <v/>
      </c>
    </row>
    <row r="58" ht="13.5" customHeight="1" s="75">
      <c r="A58" s="41" t="inlineStr">
        <is>
          <t>Running Series</t>
        </is>
      </c>
      <c r="B58" s="42" t="inlineStr">
        <is>
          <t>Tank top</t>
        </is>
      </c>
      <c r="C58" s="44" t="inlineStr">
        <is>
          <t>318001\10</t>
        </is>
      </c>
      <c r="D58" s="44" t="n">
        <v>168</v>
      </c>
      <c r="E58" s="44" t="n">
        <v>4</v>
      </c>
      <c r="F58" s="45" t="n">
        <v>672</v>
      </c>
      <c r="G58" s="45" t="n">
        <v>472</v>
      </c>
      <c r="H58" s="82" t="n">
        <v>0.702380952380952</v>
      </c>
      <c r="I58" s="44" t="n">
        <v>86</v>
      </c>
      <c r="J58" s="45" t="n">
        <v>14448</v>
      </c>
      <c r="K58" s="61">
        <f>E58/(I58+E58)</f>
        <v/>
      </c>
      <c r="L58" s="83">
        <f>I58/(E58/2.1)</f>
        <v/>
      </c>
      <c r="N58" s="41" t="inlineStr">
        <is>
          <t>Running Series</t>
        </is>
      </c>
      <c r="O58" s="42" t="inlineStr">
        <is>
          <t>Nine-Tenths Pant</t>
        </is>
      </c>
      <c r="P58" s="44" t="inlineStr">
        <is>
          <t>111322901\64</t>
        </is>
      </c>
      <c r="Q58" s="44" t="n">
        <v>198</v>
      </c>
      <c r="R58" s="69" t="n">
        <v>1</v>
      </c>
      <c r="S58" s="45" t="n">
        <v>198</v>
      </c>
      <c r="T58" s="45" t="n">
        <v>188.1</v>
      </c>
      <c r="U58" s="82" t="n">
        <v>0.95</v>
      </c>
      <c r="V58" s="44" t="n">
        <v>16</v>
      </c>
      <c r="W58" s="45" t="n">
        <v>3168</v>
      </c>
      <c r="X58" s="61">
        <f>R58/(V58+R58)</f>
        <v/>
      </c>
      <c r="Y58" s="83">
        <f>V58/(R58/2.1)</f>
        <v/>
      </c>
    </row>
    <row r="59" ht="13.5" customHeight="1" s="75">
      <c r="A59" s="41" t="inlineStr">
        <is>
          <t>Running Series</t>
        </is>
      </c>
      <c r="B59" s="42" t="inlineStr">
        <is>
          <t>Short-sleeve T-shirt</t>
        </is>
      </c>
      <c r="C59" s="44" t="inlineStr">
        <is>
          <t>114302402\10</t>
        </is>
      </c>
      <c r="D59" s="44" t="n">
        <v>298</v>
      </c>
      <c r="E59" s="44" t="n">
        <v>4</v>
      </c>
      <c r="F59" s="45" t="n">
        <v>1192</v>
      </c>
      <c r="G59" s="45" t="n">
        <v>1042</v>
      </c>
      <c r="H59" s="82" t="n">
        <v>0.874161073825503</v>
      </c>
      <c r="I59" s="44" t="n">
        <v>27</v>
      </c>
      <c r="J59" s="45" t="n">
        <v>8046</v>
      </c>
      <c r="K59" s="61">
        <f>E59/(I59+E59)</f>
        <v/>
      </c>
      <c r="L59" s="83">
        <f>I59/(E59/2.1)</f>
        <v/>
      </c>
      <c r="N59" s="41" t="inlineStr">
        <is>
          <t>Running Series</t>
        </is>
      </c>
      <c r="O59" s="42" t="inlineStr">
        <is>
          <t>Nine-Tenths Pant</t>
        </is>
      </c>
      <c r="P59" s="44" t="inlineStr">
        <is>
          <t>111322901\80</t>
        </is>
      </c>
      <c r="Q59" s="44" t="n">
        <v>198</v>
      </c>
      <c r="R59" s="69" t="n">
        <v>1</v>
      </c>
      <c r="S59" s="45" t="n">
        <v>198</v>
      </c>
      <c r="T59" s="45" t="n">
        <v>188.1</v>
      </c>
      <c r="U59" s="82" t="n">
        <v>0.95</v>
      </c>
      <c r="V59" s="44" t="n">
        <v>35</v>
      </c>
      <c r="W59" s="45" t="n">
        <v>6930</v>
      </c>
      <c r="X59" s="61">
        <f>R59/(V59+R59)</f>
        <v/>
      </c>
      <c r="Y59" s="83">
        <f>V59/(R59/2.1)</f>
        <v/>
      </c>
    </row>
    <row r="60" ht="13.5" customHeight="1" s="75">
      <c r="A60" s="41" t="inlineStr">
        <is>
          <t>Running Series</t>
        </is>
      </c>
      <c r="B60" s="42" t="inlineStr">
        <is>
          <t>Seven-Eighths Pants</t>
        </is>
      </c>
      <c r="C60" s="44" t="inlineStr">
        <is>
          <t>114322701\95</t>
        </is>
      </c>
      <c r="D60" s="44" t="n">
        <v>398</v>
      </c>
      <c r="E60" s="44" t="n">
        <v>4</v>
      </c>
      <c r="F60" s="45" t="n">
        <v>1592</v>
      </c>
      <c r="G60" s="45" t="n">
        <v>1432</v>
      </c>
      <c r="H60" s="82" t="n">
        <v>0.899497487437186</v>
      </c>
      <c r="I60" s="44" t="n">
        <v>21</v>
      </c>
      <c r="J60" s="45" t="n">
        <v>8358</v>
      </c>
      <c r="K60" s="61">
        <f>E60/(I60+E60)</f>
        <v/>
      </c>
      <c r="L60" s="83">
        <f>I60/(E60/2.1)</f>
        <v/>
      </c>
      <c r="N60" s="41" t="inlineStr">
        <is>
          <t>Running Series</t>
        </is>
      </c>
      <c r="O60" s="42" t="inlineStr">
        <is>
          <t>Seven-Eighths Pants</t>
        </is>
      </c>
      <c r="P60" s="44" t="inlineStr">
        <is>
          <t>111322703\77</t>
        </is>
      </c>
      <c r="Q60" s="44" t="n">
        <v>138</v>
      </c>
      <c r="R60" s="69" t="n">
        <v>1</v>
      </c>
      <c r="S60" s="45" t="n">
        <v>138</v>
      </c>
      <c r="T60" s="45" t="n">
        <v>138</v>
      </c>
      <c r="U60" s="82" t="n">
        <v>1</v>
      </c>
      <c r="V60" s="44" t="n">
        <v>52</v>
      </c>
      <c r="W60" s="45" t="n">
        <v>7176</v>
      </c>
      <c r="X60" s="61">
        <f>R60/(V60+R60)</f>
        <v/>
      </c>
      <c r="Y60" s="83">
        <f>V60/(R60/2.1)</f>
        <v/>
      </c>
    </row>
    <row r="61" ht="13.5" customHeight="1" s="75">
      <c r="A61" s="41" t="inlineStr">
        <is>
          <t>Running Series</t>
        </is>
      </c>
      <c r="B61" s="44" t="inlineStr">
        <is>
          <t>Short-sleeve T-shirt</t>
        </is>
      </c>
      <c r="C61" s="44" t="inlineStr">
        <is>
          <t>114302402\93</t>
        </is>
      </c>
      <c r="D61" s="44" t="n">
        <v>298</v>
      </c>
      <c r="E61" s="44" t="n">
        <v>3</v>
      </c>
      <c r="F61" s="45" t="n">
        <v>894</v>
      </c>
      <c r="G61" s="45" t="n">
        <v>714</v>
      </c>
      <c r="H61" s="82" t="n">
        <v>0.798657718120805</v>
      </c>
      <c r="I61" s="44" t="n">
        <v>27</v>
      </c>
      <c r="J61" s="45" t="n">
        <v>8046</v>
      </c>
      <c r="K61" s="61">
        <f>E61/(I61+E61)</f>
        <v/>
      </c>
      <c r="L61" s="83">
        <f>I61/(E61/2.1)</f>
        <v/>
      </c>
      <c r="N61" s="41" t="inlineStr">
        <is>
          <t>Running Series</t>
        </is>
      </c>
      <c r="O61" s="44" t="inlineStr">
        <is>
          <t>Five-pocket pants</t>
        </is>
      </c>
      <c r="P61" s="44" t="inlineStr">
        <is>
          <t>110332204\64</t>
        </is>
      </c>
      <c r="Q61" s="44" t="n">
        <v>218</v>
      </c>
      <c r="R61" s="69" t="n">
        <v>1</v>
      </c>
      <c r="S61" s="45" t="n">
        <v>218</v>
      </c>
      <c r="T61" s="45" t="n">
        <v>196.2</v>
      </c>
      <c r="U61" s="82" t="n">
        <v>0.9</v>
      </c>
      <c r="V61" s="44" t="n">
        <v>65</v>
      </c>
      <c r="W61" s="45" t="n">
        <v>14170</v>
      </c>
      <c r="X61" s="61">
        <f>R61/(V61+R61)</f>
        <v/>
      </c>
      <c r="Y61" s="83">
        <f>V61/(R61/2.1)</f>
        <v/>
      </c>
    </row>
    <row r="62" ht="13.5" customHeight="1" s="75">
      <c r="A62" s="47" t="inlineStr">
        <is>
          <t>Running Series</t>
        </is>
      </c>
      <c r="B62" s="48" t="inlineStr">
        <is>
          <t>Tank top</t>
        </is>
      </c>
      <c r="C62" s="50" t="inlineStr">
        <is>
          <t>318001\90</t>
        </is>
      </c>
      <c r="D62" s="50" t="n">
        <v>168</v>
      </c>
      <c r="E62" s="50" t="n">
        <v>2</v>
      </c>
      <c r="F62" s="51" t="n">
        <v>336</v>
      </c>
      <c r="G62" s="51" t="n">
        <v>244</v>
      </c>
      <c r="H62" s="84" t="n">
        <v>0.7261904761904761</v>
      </c>
      <c r="I62" s="50" t="n">
        <v>88</v>
      </c>
      <c r="J62" s="51" t="n">
        <v>14784</v>
      </c>
      <c r="K62" s="63">
        <f>E62/(I62+E62)</f>
        <v/>
      </c>
      <c r="L62" s="85">
        <f>I62/(E62/2.1)</f>
        <v/>
      </c>
      <c r="N62" s="47" t="inlineStr">
        <is>
          <t>Running Series</t>
        </is>
      </c>
      <c r="O62" s="48" t="inlineStr">
        <is>
          <t>Shorts</t>
        </is>
      </c>
      <c r="P62" s="50" t="inlineStr">
        <is>
          <t>113322201\42</t>
        </is>
      </c>
      <c r="Q62" s="50" t="n">
        <v>368</v>
      </c>
      <c r="R62" s="70" t="n">
        <v>2</v>
      </c>
      <c r="S62" s="51" t="n">
        <v>736</v>
      </c>
      <c r="T62" s="51" t="n">
        <v>662.4</v>
      </c>
      <c r="U62" s="84" t="n">
        <v>0.9</v>
      </c>
      <c r="V62" s="50" t="n">
        <v>23</v>
      </c>
      <c r="W62" s="51" t="n">
        <v>8464</v>
      </c>
      <c r="X62" s="61">
        <f>R62/(V62+R62)</f>
        <v/>
      </c>
      <c r="Y62" s="83">
        <f>V62/(R62/2.1)</f>
        <v/>
      </c>
    </row>
    <row r="63" ht="13.5" customHeight="1" s="75">
      <c r="A63" s="38" t="inlineStr">
        <is>
          <t>Swim Trunks for Kids</t>
        </is>
      </c>
      <c r="B63" s="53" t="inlineStr">
        <is>
          <t>Flat mouth</t>
        </is>
      </c>
      <c r="C63" s="53" t="inlineStr">
        <is>
          <t>113151602\75</t>
        </is>
      </c>
      <c r="D63" s="53" t="n">
        <v>158</v>
      </c>
      <c r="E63" s="53" t="n">
        <v>27</v>
      </c>
      <c r="F63" s="54" t="n">
        <v>4266</v>
      </c>
      <c r="G63" s="54" t="n">
        <v>3422.3</v>
      </c>
      <c r="H63" s="86" t="n">
        <v>0.802226910454759</v>
      </c>
      <c r="I63" s="53" t="n">
        <v>639</v>
      </c>
      <c r="J63" s="54" t="n">
        <v>100962</v>
      </c>
      <c r="K63" s="65">
        <f>E63/(I63+E63)</f>
        <v/>
      </c>
      <c r="L63" s="87">
        <f>I63/(E63/2.1)</f>
        <v/>
      </c>
      <c r="N63" s="38" t="inlineStr">
        <is>
          <t>Swim Trunks for Kids</t>
        </is>
      </c>
      <c r="O63" s="53" t="inlineStr">
        <is>
          <t>Flat mouth</t>
        </is>
      </c>
      <c r="P63" s="53" t="inlineStr">
        <is>
          <t>112151608\80</t>
        </is>
      </c>
      <c r="Q63" s="53" t="n">
        <v>128</v>
      </c>
      <c r="R63" s="71" t="n">
        <v>1</v>
      </c>
      <c r="S63" s="54" t="n">
        <v>128</v>
      </c>
      <c r="T63" s="54" t="n">
        <v>96</v>
      </c>
      <c r="U63" s="86" t="n">
        <v>0.75</v>
      </c>
      <c r="V63" s="53" t="n">
        <v>325</v>
      </c>
      <c r="W63" s="54" t="n">
        <v>41600</v>
      </c>
      <c r="X63" s="61">
        <f>R63/(V63+R63)</f>
        <v/>
      </c>
      <c r="Y63" s="83">
        <f>V63/(R63/2.1)</f>
        <v/>
      </c>
    </row>
    <row r="64" ht="13.5" customHeight="1" s="75">
      <c r="A64" s="41" t="inlineStr">
        <is>
          <t>Swim Trunks for Kids</t>
        </is>
      </c>
      <c r="B64" s="42" t="inlineStr">
        <is>
          <t>Flat mouth</t>
        </is>
      </c>
      <c r="C64" s="44" t="inlineStr">
        <is>
          <t>113151602\68</t>
        </is>
      </c>
      <c r="D64" s="44" t="n">
        <v>158</v>
      </c>
      <c r="E64" s="44" t="n">
        <v>26</v>
      </c>
      <c r="F64" s="45" t="n">
        <v>4108</v>
      </c>
      <c r="G64" s="45" t="n">
        <v>3091.6</v>
      </c>
      <c r="H64" s="82" t="n">
        <v>0.752580331061344</v>
      </c>
      <c r="I64" s="44" t="n">
        <v>618</v>
      </c>
      <c r="J64" s="45" t="n">
        <v>97644</v>
      </c>
      <c r="K64" s="61">
        <f>E64/(I64+E64)</f>
        <v/>
      </c>
      <c r="L64" s="83">
        <f>I64/(E64/2.1)</f>
        <v/>
      </c>
      <c r="N64" s="41" t="inlineStr">
        <is>
          <t>Swim Trunks for Kids</t>
        </is>
      </c>
      <c r="O64" s="42" t="inlineStr">
        <is>
          <t>Flat mouth</t>
        </is>
      </c>
      <c r="P64" s="44" t="inlineStr">
        <is>
          <t>111151601\76</t>
        </is>
      </c>
      <c r="Q64" s="44" t="n">
        <v>108</v>
      </c>
      <c r="R64" s="69" t="n">
        <v>2</v>
      </c>
      <c r="S64" s="45" t="n">
        <v>216</v>
      </c>
      <c r="T64" s="45" t="n">
        <v>162</v>
      </c>
      <c r="U64" s="82" t="n">
        <v>0.75</v>
      </c>
      <c r="V64" s="44" t="n">
        <v>26</v>
      </c>
      <c r="W64" s="45" t="n">
        <v>2808</v>
      </c>
      <c r="X64" s="61">
        <f>R64/(V64+R64)</f>
        <v/>
      </c>
      <c r="Y64" s="83">
        <f>V64/(R64/2.1)</f>
        <v/>
      </c>
    </row>
    <row r="65" ht="13.5" customHeight="1" s="75">
      <c r="A65" s="41" t="inlineStr">
        <is>
          <t>Swim Trunks for Kids</t>
        </is>
      </c>
      <c r="B65" s="42" t="inlineStr">
        <is>
          <t>Flat mouth</t>
        </is>
      </c>
      <c r="C65" s="44" t="inlineStr">
        <is>
          <t>111151602\75</t>
        </is>
      </c>
      <c r="D65" s="44" t="n">
        <v>108</v>
      </c>
      <c r="E65" s="44" t="n">
        <v>24</v>
      </c>
      <c r="F65" s="45" t="n">
        <v>2592</v>
      </c>
      <c r="G65" s="45" t="n">
        <v>1943.04</v>
      </c>
      <c r="H65" s="82" t="n">
        <v>0.74962962962963</v>
      </c>
      <c r="I65" s="44" t="n">
        <v>394</v>
      </c>
      <c r="J65" s="45" t="n">
        <v>42552</v>
      </c>
      <c r="K65" s="61">
        <f>E65/(I65+E65)</f>
        <v/>
      </c>
      <c r="L65" s="83">
        <f>I65/(E65/2.1)</f>
        <v/>
      </c>
      <c r="N65" s="41" t="inlineStr">
        <is>
          <t>Swim Trunks for Kids</t>
        </is>
      </c>
      <c r="O65" s="42" t="inlineStr">
        <is>
          <t>Flat mouth</t>
        </is>
      </c>
      <c r="P65" s="44" t="inlineStr">
        <is>
          <t>111151604\75</t>
        </is>
      </c>
      <c r="Q65" s="44" t="n">
        <v>108</v>
      </c>
      <c r="R65" s="69" t="n">
        <v>3</v>
      </c>
      <c r="S65" s="45" t="n">
        <v>324</v>
      </c>
      <c r="T65" s="45" t="n">
        <v>258</v>
      </c>
      <c r="U65" s="82" t="n">
        <v>0.7962962962962959</v>
      </c>
      <c r="V65" s="44" t="n">
        <v>7</v>
      </c>
      <c r="W65" s="45" t="n">
        <v>756</v>
      </c>
      <c r="X65" s="61">
        <f>R65/(V65+R65)</f>
        <v/>
      </c>
      <c r="Y65" s="83">
        <f>V65/(R65/2.1)</f>
        <v/>
      </c>
    </row>
    <row r="66" ht="13.5" customHeight="1" s="75">
      <c r="A66" s="41" t="inlineStr">
        <is>
          <t>Swim Trunks for Kids</t>
        </is>
      </c>
      <c r="B66" s="42" t="inlineStr">
        <is>
          <t>Flat mouth</t>
        </is>
      </c>
      <c r="C66" s="44" t="inlineStr">
        <is>
          <t>112151602\75</t>
        </is>
      </c>
      <c r="D66" s="44" t="n">
        <v>138</v>
      </c>
      <c r="E66" s="44" t="n">
        <v>19</v>
      </c>
      <c r="F66" s="45" t="n">
        <v>2622</v>
      </c>
      <c r="G66" s="45" t="n">
        <v>2140.4</v>
      </c>
      <c r="H66" s="82" t="n">
        <v>0.816323417238749</v>
      </c>
      <c r="I66" s="44" t="n">
        <v>236</v>
      </c>
      <c r="J66" s="45" t="n">
        <v>32568</v>
      </c>
      <c r="K66" s="61">
        <f>E66/(I66+E66)</f>
        <v/>
      </c>
      <c r="L66" s="83">
        <f>I66/(E66/2.1)</f>
        <v/>
      </c>
      <c r="N66" s="41" t="inlineStr">
        <is>
          <t>Swim Trunks for Kids</t>
        </is>
      </c>
      <c r="O66" s="42" t="inlineStr">
        <is>
          <t>Flat mouth</t>
        </is>
      </c>
      <c r="P66" s="44" t="inlineStr">
        <is>
          <t>112151608\75</t>
        </is>
      </c>
      <c r="Q66" s="44" t="n">
        <v>128</v>
      </c>
      <c r="R66" s="69" t="n">
        <v>4</v>
      </c>
      <c r="S66" s="45" t="n">
        <v>512</v>
      </c>
      <c r="T66" s="45" t="n">
        <v>380.8</v>
      </c>
      <c r="U66" s="82" t="n">
        <v>0.74375</v>
      </c>
      <c r="V66" s="44" t="n">
        <v>248</v>
      </c>
      <c r="W66" s="45" t="n">
        <v>31744</v>
      </c>
      <c r="X66" s="61">
        <f>R66/(V66+R66)</f>
        <v/>
      </c>
      <c r="Y66" s="83">
        <f>V66/(R66/2.1)</f>
        <v/>
      </c>
    </row>
    <row r="67" ht="13.5" customHeight="1" s="75">
      <c r="A67" s="41" t="inlineStr">
        <is>
          <t>Swim Trunks for Kids</t>
        </is>
      </c>
      <c r="B67" s="42" t="inlineStr">
        <is>
          <t>Flat mouth</t>
        </is>
      </c>
      <c r="C67" s="44" t="inlineStr">
        <is>
          <t>113151606\75</t>
        </is>
      </c>
      <c r="D67" s="44" t="n">
        <v>128</v>
      </c>
      <c r="E67" s="44" t="n">
        <v>17</v>
      </c>
      <c r="F67" s="45" t="n">
        <v>2176</v>
      </c>
      <c r="G67" s="45" t="n">
        <v>1865.6</v>
      </c>
      <c r="H67" s="82" t="n">
        <v>0.857352941176471</v>
      </c>
      <c r="I67" s="44" t="n">
        <v>473</v>
      </c>
      <c r="J67" s="45" t="n">
        <v>60544</v>
      </c>
      <c r="K67" s="61">
        <f>E67/(I67+E67)</f>
        <v/>
      </c>
      <c r="L67" s="83">
        <f>I67/(E67/2.1)</f>
        <v/>
      </c>
      <c r="N67" s="41" t="inlineStr">
        <is>
          <t>Swim Trunks for Kids</t>
        </is>
      </c>
      <c r="O67" s="42" t="inlineStr">
        <is>
          <t>Flat mouth</t>
        </is>
      </c>
      <c r="P67" s="44" t="inlineStr">
        <is>
          <t>112151603\75</t>
        </is>
      </c>
      <c r="Q67" s="44" t="n">
        <v>138</v>
      </c>
      <c r="R67" s="69" t="n">
        <v>6</v>
      </c>
      <c r="S67" s="45" t="n">
        <v>828</v>
      </c>
      <c r="T67" s="45" t="n">
        <v>610.5</v>
      </c>
      <c r="U67" s="82" t="n">
        <v>0.73731884057971</v>
      </c>
      <c r="V67" s="44" t="n">
        <v>581</v>
      </c>
      <c r="W67" s="45" t="n">
        <v>80178</v>
      </c>
      <c r="X67" s="61">
        <f>R67/(V67+R67)</f>
        <v/>
      </c>
      <c r="Y67" s="83">
        <f>V67/(R67/2.1)</f>
        <v/>
      </c>
    </row>
    <row r="68" ht="13.5" customHeight="1" s="75">
      <c r="A68" s="47" t="inlineStr">
        <is>
          <t>Swim Trunks for Kids</t>
        </is>
      </c>
      <c r="B68" s="48" t="inlineStr">
        <is>
          <t>Flat mouth</t>
        </is>
      </c>
      <c r="C68" s="50" t="inlineStr">
        <is>
          <t>112151602\90</t>
        </is>
      </c>
      <c r="D68" s="50" t="n">
        <v>138</v>
      </c>
      <c r="E68" s="50" t="n">
        <v>11</v>
      </c>
      <c r="F68" s="51" t="n">
        <v>1518</v>
      </c>
      <c r="G68" s="51" t="n">
        <v>1163.8</v>
      </c>
      <c r="H68" s="84" t="n">
        <v>0.7666666666666671</v>
      </c>
      <c r="I68" s="50" t="n">
        <v>343</v>
      </c>
      <c r="J68" s="51" t="n">
        <v>47334</v>
      </c>
      <c r="K68" s="63">
        <f>E68/(I68+E68)</f>
        <v/>
      </c>
      <c r="L68" s="85">
        <f>I68/(E68/2.1)</f>
        <v/>
      </c>
      <c r="N68" s="47" t="inlineStr">
        <is>
          <t>Swim Trunks for Kids</t>
        </is>
      </c>
      <c r="O68" s="48" t="inlineStr">
        <is>
          <t>Flat mouth</t>
        </is>
      </c>
      <c r="P68" s="50" t="inlineStr">
        <is>
          <t>113151605\73</t>
        </is>
      </c>
      <c r="Q68" s="50" t="n">
        <v>128</v>
      </c>
      <c r="R68" s="70" t="n">
        <v>10</v>
      </c>
      <c r="S68" s="51" t="n">
        <v>1280</v>
      </c>
      <c r="T68" s="51" t="n">
        <v>1017.8</v>
      </c>
      <c r="U68" s="84" t="n">
        <v>0.79515625</v>
      </c>
      <c r="V68" s="50" t="n">
        <v>164</v>
      </c>
      <c r="W68" s="51" t="n">
        <v>20992</v>
      </c>
      <c r="X68" s="61">
        <f>R68/(V68+R68)</f>
        <v/>
      </c>
      <c r="Y68" s="83">
        <f>V68/(R68/2.1)</f>
        <v/>
      </c>
    </row>
    <row r="69" ht="13.5" customHeight="1" s="75">
      <c r="A69" s="38" t="inlineStr">
        <is>
          <t>Swimwear for children</t>
        </is>
      </c>
      <c r="B69" s="53" t="inlineStr">
        <is>
          <t>One-piece long dress</t>
        </is>
      </c>
      <c r="C69" s="53" t="inlineStr">
        <is>
          <t>113121105\90</t>
        </is>
      </c>
      <c r="D69" s="53" t="n">
        <v>208</v>
      </c>
      <c r="E69" s="53" t="n">
        <v>27</v>
      </c>
      <c r="F69" s="54" t="n">
        <v>5616</v>
      </c>
      <c r="G69" s="54" t="n">
        <v>4464.8</v>
      </c>
      <c r="H69" s="86" t="n">
        <v>0.795014245014245</v>
      </c>
      <c r="I69" s="53" t="n">
        <v>281</v>
      </c>
      <c r="J69" s="54" t="n">
        <v>58448</v>
      </c>
      <c r="K69" s="65">
        <f>E69/(I69+E69)</f>
        <v/>
      </c>
      <c r="L69" s="87">
        <f>I69/(E69/2.1)</f>
        <v/>
      </c>
      <c r="N69" s="38" t="inlineStr">
        <is>
          <t>Swimwear for children</t>
        </is>
      </c>
      <c r="O69" s="53" t="inlineStr">
        <is>
          <t>One-piece long dress</t>
        </is>
      </c>
      <c r="P69" s="53" t="inlineStr">
        <is>
          <t>113121102\92</t>
        </is>
      </c>
      <c r="Q69" s="53" t="n">
        <v>238</v>
      </c>
      <c r="R69" s="71" t="n">
        <v>1</v>
      </c>
      <c r="S69" s="54" t="n">
        <v>238</v>
      </c>
      <c r="T69" s="54" t="n">
        <v>166</v>
      </c>
      <c r="U69" s="86" t="n">
        <v>0.697478991596639</v>
      </c>
      <c r="V69" s="53" t="n">
        <v>350</v>
      </c>
      <c r="W69" s="54" t="n">
        <v>83300</v>
      </c>
      <c r="X69" s="61">
        <f>R69/(V69+R69)</f>
        <v/>
      </c>
      <c r="Y69" s="83">
        <f>V69/(R69/2.1)</f>
        <v/>
      </c>
    </row>
    <row r="70" ht="13.5" customHeight="1" s="75">
      <c r="A70" s="41" t="inlineStr">
        <is>
          <t>Swimwear for children</t>
        </is>
      </c>
      <c r="B70" s="42" t="inlineStr">
        <is>
          <t>One-piece long dress</t>
        </is>
      </c>
      <c r="C70" s="44" t="inlineStr">
        <is>
          <t>113121105\75</t>
        </is>
      </c>
      <c r="D70" s="44" t="n">
        <v>208</v>
      </c>
      <c r="E70" s="44" t="n">
        <v>17</v>
      </c>
      <c r="F70" s="45" t="n">
        <v>3536</v>
      </c>
      <c r="G70" s="45" t="n">
        <v>2716.1</v>
      </c>
      <c r="H70" s="82" t="n">
        <v>0.768127828054299</v>
      </c>
      <c r="I70" s="44" t="n">
        <v>327</v>
      </c>
      <c r="J70" s="45" t="n">
        <v>68016</v>
      </c>
      <c r="K70" s="61">
        <f>E70/(I70+E70)</f>
        <v/>
      </c>
      <c r="L70" s="83">
        <f>I70/(E70/2.1)</f>
        <v/>
      </c>
      <c r="N70" s="41" t="inlineStr">
        <is>
          <t>Swimwear for children</t>
        </is>
      </c>
      <c r="O70" s="42" t="inlineStr">
        <is>
          <t>Two-piece separated dress</t>
        </is>
      </c>
      <c r="P70" s="44" t="inlineStr">
        <is>
          <t>112121204\75</t>
        </is>
      </c>
      <c r="Q70" s="44" t="n">
        <v>198</v>
      </c>
      <c r="R70" s="69" t="n">
        <v>2</v>
      </c>
      <c r="S70" s="45" t="n">
        <v>396</v>
      </c>
      <c r="T70" s="45" t="n">
        <v>278</v>
      </c>
      <c r="U70" s="82" t="n">
        <v>0.702020202020202</v>
      </c>
      <c r="V70" s="44" t="n">
        <v>2</v>
      </c>
      <c r="W70" s="45" t="n">
        <v>396</v>
      </c>
      <c r="X70" s="61">
        <f>R70/(V70+R70)</f>
        <v/>
      </c>
      <c r="Y70" s="83">
        <f>V70/(R70/2.1)</f>
        <v/>
      </c>
    </row>
    <row r="71" ht="13.5" customHeight="1" s="75">
      <c r="A71" s="41" t="inlineStr">
        <is>
          <t>Swimwear for children</t>
        </is>
      </c>
      <c r="B71" s="42" t="inlineStr">
        <is>
          <t>One-piece long dress</t>
        </is>
      </c>
      <c r="C71" s="44" t="inlineStr">
        <is>
          <t>114121101\92</t>
        </is>
      </c>
      <c r="D71" s="44" t="n">
        <v>198</v>
      </c>
      <c r="E71" s="44" t="n">
        <v>12</v>
      </c>
      <c r="F71" s="45" t="n">
        <v>2376</v>
      </c>
      <c r="G71" s="45" t="n">
        <v>1661.4</v>
      </c>
      <c r="H71" s="82" t="n">
        <v>0.699242424242424</v>
      </c>
      <c r="I71" s="44" t="n">
        <v>181</v>
      </c>
      <c r="J71" s="45" t="n">
        <v>35838</v>
      </c>
      <c r="K71" s="61">
        <f>E71/(I71+E71)</f>
        <v/>
      </c>
      <c r="L71" s="83">
        <f>I71/(E71/2.1)</f>
        <v/>
      </c>
      <c r="N71" s="41" t="inlineStr">
        <is>
          <t>Swimwear for children</t>
        </is>
      </c>
      <c r="O71" s="42" t="inlineStr">
        <is>
          <t>One-piece Triangle</t>
        </is>
      </c>
      <c r="P71" s="44" t="inlineStr">
        <is>
          <t>112121306\75</t>
        </is>
      </c>
      <c r="Q71" s="44" t="n">
        <v>218</v>
      </c>
      <c r="R71" s="69" t="n">
        <v>3</v>
      </c>
      <c r="S71" s="45" t="n">
        <v>654</v>
      </c>
      <c r="T71" s="45" t="n">
        <v>525.9</v>
      </c>
      <c r="U71" s="82" t="n">
        <v>0.804128440366972</v>
      </c>
      <c r="V71" s="44" t="n">
        <v>376</v>
      </c>
      <c r="W71" s="45" t="n">
        <v>81968</v>
      </c>
      <c r="X71" s="61">
        <f>R71/(V71+R71)</f>
        <v/>
      </c>
      <c r="Y71" s="83">
        <f>V71/(R71/2.1)</f>
        <v/>
      </c>
    </row>
    <row r="72" ht="13.5" customHeight="1" s="75">
      <c r="A72" s="41" t="inlineStr">
        <is>
          <t>Swimwear for children</t>
        </is>
      </c>
      <c r="B72" s="42" t="inlineStr">
        <is>
          <t>Two-piece separates pants</t>
        </is>
      </c>
      <c r="C72" s="44" t="inlineStr">
        <is>
          <t>114121202\97</t>
        </is>
      </c>
      <c r="D72" s="44" t="n">
        <v>198</v>
      </c>
      <c r="E72" s="44" t="n">
        <v>12</v>
      </c>
      <c r="F72" s="45" t="n">
        <v>2376</v>
      </c>
      <c r="G72" s="45" t="n">
        <v>1910.6</v>
      </c>
      <c r="H72" s="82" t="n">
        <v>0.804124579124579</v>
      </c>
      <c r="I72" s="44" t="n">
        <v>157</v>
      </c>
      <c r="J72" s="45" t="n">
        <v>31086</v>
      </c>
      <c r="K72" s="61">
        <f>E72/(I72+E72)</f>
        <v/>
      </c>
      <c r="L72" s="83">
        <f>I72/(E72/2.1)</f>
        <v/>
      </c>
      <c r="N72" s="41" t="inlineStr">
        <is>
          <t>Swimwear for children</t>
        </is>
      </c>
      <c r="O72" s="42" t="inlineStr">
        <is>
          <t>One-piece long dress</t>
        </is>
      </c>
      <c r="P72" s="44" t="inlineStr">
        <is>
          <t>114121101\32</t>
        </is>
      </c>
      <c r="Q72" s="44" t="n">
        <v>198</v>
      </c>
      <c r="R72" s="69" t="n">
        <v>4</v>
      </c>
      <c r="S72" s="45" t="n">
        <v>792</v>
      </c>
      <c r="T72" s="45" t="n">
        <v>728.2</v>
      </c>
      <c r="U72" s="82" t="n">
        <v>0.919444444444445</v>
      </c>
      <c r="V72" s="44" t="n">
        <v>179</v>
      </c>
      <c r="W72" s="45" t="n">
        <v>35442</v>
      </c>
      <c r="X72" s="61">
        <f>R72/(V72+R72)</f>
        <v/>
      </c>
      <c r="Y72" s="83">
        <f>V72/(R72/2.1)</f>
        <v/>
      </c>
    </row>
    <row r="73" ht="13.5" customHeight="1" s="75">
      <c r="A73" s="41" t="inlineStr">
        <is>
          <t>Swimwear for children</t>
        </is>
      </c>
      <c r="B73" s="42" t="inlineStr">
        <is>
          <t>One-piece Triangle</t>
        </is>
      </c>
      <c r="C73" s="44" t="inlineStr">
        <is>
          <t>112121306\97</t>
        </is>
      </c>
      <c r="D73" s="44" t="n">
        <v>218</v>
      </c>
      <c r="E73" s="44" t="n">
        <v>10</v>
      </c>
      <c r="F73" s="45" t="n">
        <v>2180</v>
      </c>
      <c r="G73" s="45" t="n">
        <v>1534.2</v>
      </c>
      <c r="H73" s="82" t="n">
        <v>0.703761467889908</v>
      </c>
      <c r="I73" s="44" t="n">
        <v>200</v>
      </c>
      <c r="J73" s="45" t="n">
        <v>43600</v>
      </c>
      <c r="K73" s="61">
        <f>E73/(I73+E73)</f>
        <v/>
      </c>
      <c r="L73" s="83">
        <f>I73/(E73/2.1)</f>
        <v/>
      </c>
      <c r="N73" s="41" t="inlineStr">
        <is>
          <t>Swimwear for children</t>
        </is>
      </c>
      <c r="O73" s="42" t="inlineStr">
        <is>
          <t>Two-piece separated dress</t>
        </is>
      </c>
      <c r="P73" s="44" t="inlineStr">
        <is>
          <t>111121204\75</t>
        </is>
      </c>
      <c r="Q73" s="44" t="n">
        <v>129</v>
      </c>
      <c r="R73" s="69" t="n">
        <v>5</v>
      </c>
      <c r="S73" s="45" t="n">
        <v>645</v>
      </c>
      <c r="T73" s="45" t="n">
        <v>500.5</v>
      </c>
      <c r="U73" s="82" t="n">
        <v>0.775968992248062</v>
      </c>
      <c r="V73" s="44" t="n">
        <v>248</v>
      </c>
      <c r="W73" s="45" t="n">
        <v>31992</v>
      </c>
      <c r="X73" s="61">
        <f>R73/(V73+R73)</f>
        <v/>
      </c>
      <c r="Y73" s="83">
        <f>V73/(R73/2.1)</f>
        <v/>
      </c>
    </row>
    <row r="74" ht="13.5" customHeight="1" s="75">
      <c r="A74" s="47" t="inlineStr">
        <is>
          <t>Swimwear for children</t>
        </is>
      </c>
      <c r="B74" s="48" t="inlineStr">
        <is>
          <t>One-piece long dress</t>
        </is>
      </c>
      <c r="C74" s="50" t="inlineStr">
        <is>
          <t>113121106\92</t>
        </is>
      </c>
      <c r="D74" s="50" t="n">
        <v>198</v>
      </c>
      <c r="E74" s="50" t="n">
        <v>9</v>
      </c>
      <c r="F74" s="51" t="n">
        <v>1782</v>
      </c>
      <c r="G74" s="51" t="n">
        <v>1411.3</v>
      </c>
      <c r="H74" s="84" t="n">
        <v>0.791975308641975</v>
      </c>
      <c r="I74" s="50" t="n">
        <v>201</v>
      </c>
      <c r="J74" s="51" t="n">
        <v>39798</v>
      </c>
      <c r="K74" s="63">
        <f>E74/(I74+E74)</f>
        <v/>
      </c>
      <c r="L74" s="85">
        <f>I74/(E74/2.1)</f>
        <v/>
      </c>
      <c r="N74" s="47" t="inlineStr">
        <is>
          <t>Swimwear for children</t>
        </is>
      </c>
      <c r="O74" s="48" t="inlineStr">
        <is>
          <t>One-piece long dress</t>
        </is>
      </c>
      <c r="P74" s="50" t="inlineStr">
        <is>
          <t>113121104\41</t>
        </is>
      </c>
      <c r="Q74" s="50" t="n">
        <v>238</v>
      </c>
      <c r="R74" s="70" t="n">
        <v>6</v>
      </c>
      <c r="S74" s="51" t="n">
        <v>1428</v>
      </c>
      <c r="T74" s="51" t="n">
        <v>1137.7</v>
      </c>
      <c r="U74" s="84" t="n">
        <v>0.796708683473389</v>
      </c>
      <c r="V74" s="50" t="n">
        <v>295</v>
      </c>
      <c r="W74" s="51" t="n">
        <v>70210</v>
      </c>
      <c r="X74" s="61">
        <f>R74/(V74+R74)</f>
        <v/>
      </c>
      <c r="Y74" s="83">
        <f>V74/(R74/2.1)</f>
        <v/>
      </c>
    </row>
    <row r="75" ht="13.5" customHeight="1" s="75">
      <c r="A75" s="38" t="inlineStr">
        <is>
          <t>Swim Trunks</t>
        </is>
      </c>
      <c r="B75" s="53" t="inlineStr">
        <is>
          <t>Flat mouth</t>
        </is>
      </c>
      <c r="C75" s="53" t="inlineStr">
        <is>
          <t>112141618\75</t>
        </is>
      </c>
      <c r="D75" s="53" t="n">
        <v>128</v>
      </c>
      <c r="E75" s="53" t="n">
        <v>114</v>
      </c>
      <c r="F75" s="54" t="n">
        <v>14592</v>
      </c>
      <c r="G75" s="54" t="n">
        <v>12107.28</v>
      </c>
      <c r="H75" s="86" t="n">
        <v>0.829720394736842</v>
      </c>
      <c r="I75" s="53" t="n">
        <v>790</v>
      </c>
      <c r="J75" s="54" t="n">
        <v>101120</v>
      </c>
      <c r="K75" s="65">
        <f>E75/(I75+E75)</f>
        <v/>
      </c>
      <c r="L75" s="87">
        <f>I75/(E75/2.1)</f>
        <v/>
      </c>
      <c r="N75" s="38" t="inlineStr">
        <is>
          <t>Swim Trunks</t>
        </is>
      </c>
      <c r="O75" s="53" t="inlineStr">
        <is>
          <t>Flat mouth</t>
        </is>
      </c>
      <c r="P75" s="53" t="inlineStr">
        <is>
          <t>112141601\80</t>
        </is>
      </c>
      <c r="Q75" s="53" t="n">
        <v>158</v>
      </c>
      <c r="R75" s="71" t="n">
        <v>1</v>
      </c>
      <c r="S75" s="54" t="n">
        <v>158</v>
      </c>
      <c r="T75" s="54" t="n">
        <v>158</v>
      </c>
      <c r="U75" s="86" t="n">
        <v>1</v>
      </c>
      <c r="V75" s="53" t="n">
        <v>42</v>
      </c>
      <c r="W75" s="54" t="n">
        <v>6636</v>
      </c>
      <c r="X75" s="61">
        <f>R75/(V75+R75)</f>
        <v/>
      </c>
      <c r="Y75" s="83">
        <f>V75/(R75/2.1)</f>
        <v/>
      </c>
    </row>
    <row r="76" ht="13.5" customHeight="1" s="75">
      <c r="A76" s="41" t="inlineStr">
        <is>
          <t>Swim Trunks</t>
        </is>
      </c>
      <c r="B76" s="42" t="inlineStr">
        <is>
          <t>Flat mouth</t>
        </is>
      </c>
      <c r="C76" s="44" t="inlineStr">
        <is>
          <t>112141618\80</t>
        </is>
      </c>
      <c r="D76" s="44" t="n">
        <v>128</v>
      </c>
      <c r="E76" s="44" t="n">
        <v>113</v>
      </c>
      <c r="F76" s="45" t="n">
        <v>14464</v>
      </c>
      <c r="G76" s="45" t="n">
        <v>11821.9</v>
      </c>
      <c r="H76" s="82" t="n">
        <v>0.817332688053097</v>
      </c>
      <c r="I76" s="44" t="n">
        <v>773</v>
      </c>
      <c r="J76" s="45" t="n">
        <v>98944</v>
      </c>
      <c r="K76" s="61">
        <f>E76/(I76+E76)</f>
        <v/>
      </c>
      <c r="L76" s="83">
        <f>I76/(E76/2.1)</f>
        <v/>
      </c>
      <c r="N76" s="41" t="inlineStr">
        <is>
          <t>Swim Trunks</t>
        </is>
      </c>
      <c r="O76" s="42" t="inlineStr">
        <is>
          <t>Flat mouth</t>
        </is>
      </c>
      <c r="P76" s="44" t="inlineStr">
        <is>
          <t>112141608\75</t>
        </is>
      </c>
      <c r="Q76" s="44" t="n">
        <v>198</v>
      </c>
      <c r="R76" s="69" t="n">
        <v>1</v>
      </c>
      <c r="S76" s="45" t="n">
        <v>198</v>
      </c>
      <c r="T76" s="45" t="n">
        <v>178.2</v>
      </c>
      <c r="U76" s="82" t="n">
        <v>0.9</v>
      </c>
      <c r="V76" s="44" t="n">
        <v>35</v>
      </c>
      <c r="W76" s="45" t="n">
        <v>6930</v>
      </c>
      <c r="X76" s="61">
        <f>R76/(V76+R76)</f>
        <v/>
      </c>
      <c r="Y76" s="83">
        <f>V76/(R76/2.1)</f>
        <v/>
      </c>
    </row>
    <row r="77" ht="13.5" customHeight="1" s="75">
      <c r="A77" s="41" t="inlineStr">
        <is>
          <t>Swim Trunks</t>
        </is>
      </c>
      <c r="B77" s="42" t="inlineStr">
        <is>
          <t>Five Points</t>
        </is>
      </c>
      <c r="C77" s="44" t="inlineStr">
        <is>
          <t>113141502\80</t>
        </is>
      </c>
      <c r="D77" s="44" t="n">
        <v>198</v>
      </c>
      <c r="E77" s="44" t="n">
        <v>103</v>
      </c>
      <c r="F77" s="45" t="n">
        <v>20394</v>
      </c>
      <c r="G77" s="45" t="n">
        <v>17143.74</v>
      </c>
      <c r="H77" s="82" t="n">
        <v>0.8406266548985</v>
      </c>
      <c r="I77" s="44" t="n">
        <v>480</v>
      </c>
      <c r="J77" s="45" t="n">
        <v>95040</v>
      </c>
      <c r="K77" s="61">
        <f>E77/(I77+E77)</f>
        <v/>
      </c>
      <c r="L77" s="83">
        <f>I77/(E77/2.1)</f>
        <v/>
      </c>
      <c r="N77" s="41" t="inlineStr">
        <is>
          <t>Swim Trunks</t>
        </is>
      </c>
      <c r="O77" s="42" t="inlineStr">
        <is>
          <t>Flat mouth</t>
        </is>
      </c>
      <c r="P77" s="44" t="inlineStr">
        <is>
          <t>113141604\75</t>
        </is>
      </c>
      <c r="Q77" s="44" t="n">
        <v>158</v>
      </c>
      <c r="R77" s="69" t="n">
        <v>1</v>
      </c>
      <c r="S77" s="45" t="n">
        <v>158</v>
      </c>
      <c r="T77" s="45" t="n">
        <v>111</v>
      </c>
      <c r="U77" s="82" t="n">
        <v>0.70253164556962</v>
      </c>
      <c r="V77" s="44" t="n">
        <v>10</v>
      </c>
      <c r="W77" s="45" t="n">
        <v>1580</v>
      </c>
      <c r="X77" s="61">
        <f>R77/(V77+R77)</f>
        <v/>
      </c>
      <c r="Y77" s="83">
        <f>V77/(R77/2.1)</f>
        <v/>
      </c>
    </row>
    <row r="78" ht="13.5" customHeight="1" s="75">
      <c r="A78" s="41" t="inlineStr">
        <is>
          <t>Swim Trunks</t>
        </is>
      </c>
      <c r="B78" s="42" t="inlineStr">
        <is>
          <t>Flat mouth</t>
        </is>
      </c>
      <c r="C78" s="44" t="inlineStr">
        <is>
          <t>113141612\74</t>
        </is>
      </c>
      <c r="D78" s="44" t="n">
        <v>198</v>
      </c>
      <c r="E78" s="44" t="n">
        <v>91</v>
      </c>
      <c r="F78" s="45" t="n">
        <v>18018</v>
      </c>
      <c r="G78" s="45" t="n">
        <v>14163.04</v>
      </c>
      <c r="H78" s="82" t="n">
        <v>0.786049506049506</v>
      </c>
      <c r="I78" s="44" t="n">
        <v>714</v>
      </c>
      <c r="J78" s="45" t="n">
        <v>141372</v>
      </c>
      <c r="K78" s="61">
        <f>E78/(I78+E78)</f>
        <v/>
      </c>
      <c r="L78" s="83">
        <f>I78/(E78/2.1)</f>
        <v/>
      </c>
      <c r="N78" s="41" t="inlineStr">
        <is>
          <t>Swim Trunks</t>
        </is>
      </c>
      <c r="O78" s="42" t="inlineStr">
        <is>
          <t>Flat mouth</t>
        </is>
      </c>
      <c r="P78" s="44" t="inlineStr">
        <is>
          <t>113141606\75</t>
        </is>
      </c>
      <c r="Q78" s="44" t="n">
        <v>398</v>
      </c>
      <c r="R78" s="69" t="n">
        <v>1</v>
      </c>
      <c r="S78" s="45" t="n">
        <v>398</v>
      </c>
      <c r="T78" s="45" t="n">
        <v>358.2</v>
      </c>
      <c r="U78" s="82" t="n">
        <v>0.9</v>
      </c>
      <c r="V78" s="44" t="n">
        <v>478</v>
      </c>
      <c r="W78" s="45" t="n">
        <v>190244</v>
      </c>
      <c r="X78" s="61">
        <f>R78/(V78+R78)</f>
        <v/>
      </c>
      <c r="Y78" s="83">
        <f>V78/(R78/2.1)</f>
        <v/>
      </c>
    </row>
    <row r="79" ht="13.5" customHeight="1" s="75">
      <c r="A79" s="41" t="inlineStr">
        <is>
          <t>Swim Trunks</t>
        </is>
      </c>
      <c r="B79" s="42" t="inlineStr">
        <is>
          <t>Flat mouth</t>
        </is>
      </c>
      <c r="C79" s="44" t="inlineStr">
        <is>
          <t>113141611\75</t>
        </is>
      </c>
      <c r="D79" s="44" t="n">
        <v>158</v>
      </c>
      <c r="E79" s="44" t="n">
        <v>77</v>
      </c>
      <c r="F79" s="45" t="n">
        <v>12166</v>
      </c>
      <c r="G79" s="45" t="n">
        <v>10061.1</v>
      </c>
      <c r="H79" s="82" t="n">
        <v>0.826985040276179</v>
      </c>
      <c r="I79" s="44" t="n">
        <v>644</v>
      </c>
      <c r="J79" s="45" t="n">
        <v>101752</v>
      </c>
      <c r="K79" s="61">
        <f>E79/(I79+E79)</f>
        <v/>
      </c>
      <c r="L79" s="83">
        <f>I79/(E79/2.1)</f>
        <v/>
      </c>
      <c r="N79" s="41" t="inlineStr">
        <is>
          <t>Swim Trunks</t>
        </is>
      </c>
      <c r="O79" s="42" t="inlineStr">
        <is>
          <t>Triangle</t>
        </is>
      </c>
      <c r="P79" s="44" t="inlineStr">
        <is>
          <t>113141803\68</t>
        </is>
      </c>
      <c r="Q79" s="44" t="n">
        <v>298</v>
      </c>
      <c r="R79" s="69" t="n">
        <v>1</v>
      </c>
      <c r="S79" s="45" t="n">
        <v>298</v>
      </c>
      <c r="T79" s="45" t="n">
        <v>253</v>
      </c>
      <c r="U79" s="82" t="n">
        <v>0.848993288590604</v>
      </c>
      <c r="V79" s="44" t="n">
        <v>83</v>
      </c>
      <c r="W79" s="45" t="n">
        <v>24734</v>
      </c>
      <c r="X79" s="61">
        <f>R79/(V79+R79)</f>
        <v/>
      </c>
      <c r="Y79" s="83">
        <f>V79/(R79/2.1)</f>
        <v/>
      </c>
    </row>
    <row r="80" ht="13.5" customHeight="1" s="75">
      <c r="A80" s="41" t="inlineStr">
        <is>
          <t>Swim Trunks</t>
        </is>
      </c>
      <c r="B80" s="42" t="inlineStr">
        <is>
          <t>Flat mouth</t>
        </is>
      </c>
      <c r="C80" s="44" t="inlineStr">
        <is>
          <t>113141609\74</t>
        </is>
      </c>
      <c r="D80" s="44" t="n">
        <v>158</v>
      </c>
      <c r="E80" s="44" t="n">
        <v>76</v>
      </c>
      <c r="F80" s="45" t="n">
        <v>12008</v>
      </c>
      <c r="G80" s="45" t="n">
        <v>9525.9</v>
      </c>
      <c r="H80" s="82" t="n">
        <v>0.793296135909394</v>
      </c>
      <c r="I80" s="44" t="n">
        <v>677</v>
      </c>
      <c r="J80" s="45" t="n">
        <v>106966</v>
      </c>
      <c r="K80" s="61">
        <f>E80/(I80+E80)</f>
        <v/>
      </c>
      <c r="L80" s="83">
        <f>I80/(E80/2.1)</f>
        <v/>
      </c>
      <c r="N80" s="41" t="inlineStr">
        <is>
          <t>Swim Trunks</t>
        </is>
      </c>
      <c r="O80" s="42" t="inlineStr">
        <is>
          <t>Five Points</t>
        </is>
      </c>
      <c r="P80" s="44" t="inlineStr">
        <is>
          <t>112141501\75</t>
        </is>
      </c>
      <c r="Q80" s="44" t="n">
        <v>298</v>
      </c>
      <c r="R80" s="69" t="n">
        <v>1</v>
      </c>
      <c r="S80" s="45" t="n">
        <v>298</v>
      </c>
      <c r="T80" s="45" t="n">
        <v>209</v>
      </c>
      <c r="U80" s="82" t="n">
        <v>0.701342281879195</v>
      </c>
      <c r="V80" s="44" t="n">
        <v>14</v>
      </c>
      <c r="W80" s="45" t="n">
        <v>4172</v>
      </c>
      <c r="X80" s="61">
        <f>R80/(V80+R80)</f>
        <v/>
      </c>
      <c r="Y80" s="83">
        <f>V80/(R80/2.1)</f>
        <v/>
      </c>
    </row>
    <row r="81" ht="13.5" customHeight="1" s="75">
      <c r="A81" s="41" t="inlineStr">
        <is>
          <t>Swim Trunks</t>
        </is>
      </c>
      <c r="B81" s="42" t="inlineStr">
        <is>
          <t>Flat mouth</t>
        </is>
      </c>
      <c r="C81" s="44" t="inlineStr">
        <is>
          <t>113141611\67</t>
        </is>
      </c>
      <c r="D81" s="44" t="n">
        <v>158</v>
      </c>
      <c r="E81" s="44" t="n">
        <v>43</v>
      </c>
      <c r="F81" s="45" t="n">
        <v>6794</v>
      </c>
      <c r="G81" s="45" t="n">
        <v>5676.04</v>
      </c>
      <c r="H81" s="82" t="n">
        <v>0.83544892552252</v>
      </c>
      <c r="I81" s="44" t="n">
        <v>475</v>
      </c>
      <c r="J81" s="45" t="n">
        <v>75050</v>
      </c>
      <c r="K81" s="61">
        <f>E81/(I81+E81)</f>
        <v/>
      </c>
      <c r="L81" s="83">
        <f>I81/(E81/2.1)</f>
        <v/>
      </c>
      <c r="N81" s="41" t="inlineStr">
        <is>
          <t>Swim Trunks</t>
        </is>
      </c>
      <c r="O81" s="42" t="inlineStr">
        <is>
          <t>Five Points</t>
        </is>
      </c>
      <c r="P81" s="44" t="inlineStr">
        <is>
          <t>112141505\80</t>
        </is>
      </c>
      <c r="Q81" s="44" t="n">
        <v>398</v>
      </c>
      <c r="R81" s="69" t="n">
        <v>1</v>
      </c>
      <c r="S81" s="45" t="n">
        <v>398</v>
      </c>
      <c r="T81" s="45" t="n">
        <v>358.2</v>
      </c>
      <c r="U81" s="82" t="n">
        <v>0.9</v>
      </c>
      <c r="V81" s="44" t="n">
        <v>55</v>
      </c>
      <c r="W81" s="45" t="n">
        <v>21890</v>
      </c>
      <c r="X81" s="61">
        <f>R81/(V81+R81)</f>
        <v/>
      </c>
      <c r="Y81" s="83">
        <f>V81/(R81/2.1)</f>
        <v/>
      </c>
    </row>
    <row r="82" ht="13.5" customHeight="1" s="75">
      <c r="A82" s="41" t="inlineStr">
        <is>
          <t>Swim Trunks</t>
        </is>
      </c>
      <c r="B82" s="42" t="inlineStr">
        <is>
          <t>Flat mouth</t>
        </is>
      </c>
      <c r="C82" s="44" t="inlineStr">
        <is>
          <t>113141609\50</t>
        </is>
      </c>
      <c r="D82" s="44" t="n">
        <v>158</v>
      </c>
      <c r="E82" s="44" t="n">
        <v>40</v>
      </c>
      <c r="F82" s="45" t="n">
        <v>6320</v>
      </c>
      <c r="G82" s="45" t="n">
        <v>5099.1</v>
      </c>
      <c r="H82" s="82" t="n">
        <v>0.806819620253165</v>
      </c>
      <c r="I82" s="44" t="n">
        <v>551</v>
      </c>
      <c r="J82" s="45" t="n">
        <v>87058</v>
      </c>
      <c r="K82" s="61">
        <f>E82/(I82+E82)</f>
        <v/>
      </c>
      <c r="L82" s="83">
        <f>I82/(E82/2.1)</f>
        <v/>
      </c>
      <c r="N82" s="41" t="inlineStr">
        <is>
          <t>Swim Trunks</t>
        </is>
      </c>
      <c r="O82" s="42" t="inlineStr">
        <is>
          <t>Flat mouth</t>
        </is>
      </c>
      <c r="P82" s="44" t="inlineStr">
        <is>
          <t>109141614\71</t>
        </is>
      </c>
      <c r="Q82" s="44" t="n">
        <v>159</v>
      </c>
      <c r="R82" s="69" t="n">
        <v>2</v>
      </c>
      <c r="S82" s="45" t="n">
        <v>318</v>
      </c>
      <c r="T82" s="45" t="n">
        <v>318</v>
      </c>
      <c r="U82" s="82" t="n">
        <v>1</v>
      </c>
      <c r="V82" s="44" t="n">
        <v>17</v>
      </c>
      <c r="W82" s="45" t="n">
        <v>2703</v>
      </c>
      <c r="X82" s="61">
        <f>R82/(V82+R82)</f>
        <v/>
      </c>
      <c r="Y82" s="83">
        <f>V82/(R82/2.1)</f>
        <v/>
      </c>
    </row>
    <row r="83" ht="13.5" customHeight="1" s="75">
      <c r="A83" s="41" t="inlineStr">
        <is>
          <t>Swim Trunks</t>
        </is>
      </c>
      <c r="B83" s="42" t="inlineStr">
        <is>
          <t>Flat mouth</t>
        </is>
      </c>
      <c r="C83" s="44" t="inlineStr">
        <is>
          <t>113141603\68</t>
        </is>
      </c>
      <c r="D83" s="44" t="n">
        <v>198</v>
      </c>
      <c r="E83" s="44" t="n">
        <v>39</v>
      </c>
      <c r="F83" s="45" t="n">
        <v>7722</v>
      </c>
      <c r="G83" s="45" t="n">
        <v>5801.1</v>
      </c>
      <c r="H83" s="82" t="n">
        <v>0.751243201243201</v>
      </c>
      <c r="I83" s="44" t="n">
        <v>313</v>
      </c>
      <c r="J83" s="45" t="n">
        <v>61974</v>
      </c>
      <c r="K83" s="61">
        <f>E83/(I83+E83)</f>
        <v/>
      </c>
      <c r="L83" s="83">
        <f>I83/(E83/2.1)</f>
        <v/>
      </c>
      <c r="N83" s="41" t="inlineStr">
        <is>
          <t>Swim Trunks</t>
        </is>
      </c>
      <c r="O83" s="42" t="inlineStr">
        <is>
          <t>Flat mouth</t>
        </is>
      </c>
      <c r="P83" s="44" t="inlineStr">
        <is>
          <t>109141615\64</t>
        </is>
      </c>
      <c r="Q83" s="44" t="n">
        <v>129</v>
      </c>
      <c r="R83" s="69" t="n">
        <v>2</v>
      </c>
      <c r="S83" s="45" t="n">
        <v>258</v>
      </c>
      <c r="T83" s="45" t="n">
        <v>258</v>
      </c>
      <c r="U83" s="82" t="n">
        <v>1</v>
      </c>
      <c r="V83" s="44" t="n">
        <v>6</v>
      </c>
      <c r="W83" s="45" t="n">
        <v>774</v>
      </c>
      <c r="X83" s="61">
        <f>R83/(V83+R83)</f>
        <v/>
      </c>
      <c r="Y83" s="83">
        <f>V83/(R83/2.1)</f>
        <v/>
      </c>
    </row>
    <row r="84" ht="13.5" customHeight="1" s="75">
      <c r="A84" s="47" t="inlineStr">
        <is>
          <t>Swim Trunks</t>
        </is>
      </c>
      <c r="B84" s="48" t="inlineStr">
        <is>
          <t>Flat mouth</t>
        </is>
      </c>
      <c r="C84" s="50" t="inlineStr">
        <is>
          <t>113141612\97</t>
        </is>
      </c>
      <c r="D84" s="50" t="n">
        <v>198</v>
      </c>
      <c r="E84" s="50" t="n">
        <v>35</v>
      </c>
      <c r="F84" s="51" t="n">
        <v>6930</v>
      </c>
      <c r="G84" s="51" t="n">
        <v>5626.04</v>
      </c>
      <c r="H84" s="84" t="n">
        <v>0.811838383838384</v>
      </c>
      <c r="I84" s="50" t="n">
        <v>310</v>
      </c>
      <c r="J84" s="51" t="n">
        <v>61380</v>
      </c>
      <c r="K84" s="63">
        <f>E84/(I84+E84)</f>
        <v/>
      </c>
      <c r="L84" s="85">
        <f>I84/(E84/2.1)</f>
        <v/>
      </c>
      <c r="N84" s="47" t="inlineStr">
        <is>
          <t>Swim Trunks</t>
        </is>
      </c>
      <c r="O84" s="48" t="inlineStr">
        <is>
          <t>Flat mouth</t>
        </is>
      </c>
      <c r="P84" s="50" t="inlineStr">
        <is>
          <t>112141601\75</t>
        </is>
      </c>
      <c r="Q84" s="50" t="n">
        <v>158</v>
      </c>
      <c r="R84" s="70" t="n">
        <v>2</v>
      </c>
      <c r="S84" s="51" t="n">
        <v>316</v>
      </c>
      <c r="T84" s="51" t="n">
        <v>316</v>
      </c>
      <c r="U84" s="84" t="n">
        <v>1</v>
      </c>
      <c r="V84" s="50" t="n">
        <v>40</v>
      </c>
      <c r="W84" s="51" t="n">
        <v>6320</v>
      </c>
      <c r="X84" s="61">
        <f>R84/(V84+R84)</f>
        <v/>
      </c>
      <c r="Y84" s="83">
        <f>V84/(R84/2.1)</f>
        <v/>
      </c>
    </row>
    <row r="85" ht="13.5" customHeight="1" s="75">
      <c r="A85" s="38" t="inlineStr">
        <is>
          <t>Swimwear</t>
        </is>
      </c>
      <c r="B85" s="53" t="inlineStr">
        <is>
          <t>One-piece long dress</t>
        </is>
      </c>
      <c r="C85" s="53" t="inlineStr">
        <is>
          <t>113111104\80</t>
        </is>
      </c>
      <c r="D85" s="53" t="n">
        <v>398</v>
      </c>
      <c r="E85" s="53" t="n">
        <v>46</v>
      </c>
      <c r="F85" s="54" t="n">
        <v>18308</v>
      </c>
      <c r="G85" s="54" t="n">
        <v>14621.9</v>
      </c>
      <c r="H85" s="86" t="n">
        <v>0.798661787196854</v>
      </c>
      <c r="I85" s="53" t="n">
        <v>344</v>
      </c>
      <c r="J85" s="54" t="n">
        <v>136912</v>
      </c>
      <c r="K85" s="65">
        <f>E85/(I85+E85)</f>
        <v/>
      </c>
      <c r="L85" s="87">
        <f>I85/(E85/2.1)</f>
        <v/>
      </c>
      <c r="N85" s="38" t="inlineStr">
        <is>
          <t>Swimwear</t>
        </is>
      </c>
      <c r="O85" s="53" t="inlineStr">
        <is>
          <t>One-piece long dress</t>
        </is>
      </c>
      <c r="P85" s="53" t="inlineStr">
        <is>
          <t>112111128\80</t>
        </is>
      </c>
      <c r="Q85" s="53" t="n">
        <v>528</v>
      </c>
      <c r="R85" s="71" t="n">
        <v>1</v>
      </c>
      <c r="S85" s="54" t="n">
        <v>528</v>
      </c>
      <c r="T85" s="54" t="n">
        <v>370</v>
      </c>
      <c r="U85" s="86" t="n">
        <v>0.700757575757576</v>
      </c>
      <c r="V85" s="53" t="n">
        <v>23</v>
      </c>
      <c r="W85" s="54" t="n">
        <v>12144</v>
      </c>
      <c r="X85" s="61">
        <f>R85/(V85+R85)</f>
        <v/>
      </c>
      <c r="Y85" s="83">
        <f>V85/(R85/2.1)</f>
        <v/>
      </c>
    </row>
    <row r="86" ht="13.5" customHeight="1" s="75">
      <c r="A86" s="41" t="inlineStr">
        <is>
          <t>Swimwear</t>
        </is>
      </c>
      <c r="B86" s="42" t="inlineStr">
        <is>
          <t>One-piece straight waistband</t>
        </is>
      </c>
      <c r="C86" s="44" t="inlineStr">
        <is>
          <t>113111602\75</t>
        </is>
      </c>
      <c r="D86" s="44" t="n">
        <v>398</v>
      </c>
      <c r="E86" s="44" t="n">
        <v>37</v>
      </c>
      <c r="F86" s="45" t="n">
        <v>14726</v>
      </c>
      <c r="G86" s="45" t="n">
        <v>11058.6</v>
      </c>
      <c r="H86" s="82" t="n">
        <v>0.75095749015347</v>
      </c>
      <c r="I86" s="44" t="n">
        <v>298</v>
      </c>
      <c r="J86" s="45" t="n">
        <v>118604</v>
      </c>
      <c r="K86" s="61">
        <f>E86/(I86+E86)</f>
        <v/>
      </c>
      <c r="L86" s="83">
        <f>I86/(E86/2.1)</f>
        <v/>
      </c>
      <c r="N86" s="41" t="inlineStr">
        <is>
          <t>Swimwear</t>
        </is>
      </c>
      <c r="O86" s="42" t="inlineStr">
        <is>
          <t>One-piece long dress</t>
        </is>
      </c>
      <c r="P86" s="44" t="inlineStr">
        <is>
          <t>113111119\92</t>
        </is>
      </c>
      <c r="Q86" s="44" t="n">
        <v>499</v>
      </c>
      <c r="R86" s="69" t="n">
        <v>1</v>
      </c>
      <c r="S86" s="45" t="n">
        <v>499</v>
      </c>
      <c r="T86" s="45" t="n">
        <v>399</v>
      </c>
      <c r="U86" s="82" t="n">
        <v>0.7995991983967941</v>
      </c>
      <c r="V86" s="44" t="n">
        <v>241</v>
      </c>
      <c r="W86" s="45" t="n">
        <v>120259</v>
      </c>
      <c r="X86" s="61">
        <f>R86/(V86+R86)</f>
        <v/>
      </c>
      <c r="Y86" s="83">
        <f>V86/(R86/2.1)</f>
        <v/>
      </c>
    </row>
    <row r="87" ht="13.5" customHeight="1" s="75">
      <c r="A87" s="41" t="inlineStr">
        <is>
          <t>Swimwear</t>
        </is>
      </c>
      <c r="B87" s="42" t="inlineStr">
        <is>
          <t>Two-piece separates pants</t>
        </is>
      </c>
      <c r="C87" s="44" t="inlineStr">
        <is>
          <t>113111227\80</t>
        </is>
      </c>
      <c r="D87" s="44" t="n">
        <v>398</v>
      </c>
      <c r="E87" s="44" t="n">
        <v>37</v>
      </c>
      <c r="F87" s="45" t="n">
        <v>14726</v>
      </c>
      <c r="G87" s="45" t="n">
        <v>11288.9</v>
      </c>
      <c r="H87" s="82" t="n">
        <v>0.766596495993481</v>
      </c>
      <c r="I87" s="44" t="n">
        <v>230</v>
      </c>
      <c r="J87" s="45" t="n">
        <v>91540</v>
      </c>
      <c r="K87" s="61">
        <f>E87/(I87+E87)</f>
        <v/>
      </c>
      <c r="L87" s="83">
        <f>I87/(E87/2.1)</f>
        <v/>
      </c>
      <c r="N87" s="41" t="inlineStr">
        <is>
          <t>Swimwear</t>
        </is>
      </c>
      <c r="O87" s="42" t="inlineStr">
        <is>
          <t>One-piece Triangle</t>
        </is>
      </c>
      <c r="P87" s="44" t="inlineStr">
        <is>
          <t>112111308\80</t>
        </is>
      </c>
      <c r="Q87" s="44" t="n">
        <v>398</v>
      </c>
      <c r="R87" s="69" t="n">
        <v>1</v>
      </c>
      <c r="S87" s="45" t="n">
        <v>398</v>
      </c>
      <c r="T87" s="45" t="n">
        <v>278.6</v>
      </c>
      <c r="U87" s="82" t="n">
        <v>0.7</v>
      </c>
      <c r="V87" s="44" t="n">
        <v>2</v>
      </c>
      <c r="W87" s="45" t="n">
        <v>796</v>
      </c>
      <c r="X87" s="61">
        <f>R87/(V87+R87)</f>
        <v/>
      </c>
      <c r="Y87" s="83">
        <f>V87/(R87/2.1)</f>
        <v/>
      </c>
    </row>
    <row r="88" ht="13.5" customHeight="1" s="75">
      <c r="A88" s="41" t="inlineStr">
        <is>
          <t>Swimwear</t>
        </is>
      </c>
      <c r="B88" s="42" t="inlineStr">
        <is>
          <t>One-piece long dress</t>
        </is>
      </c>
      <c r="C88" s="44" t="inlineStr">
        <is>
          <t>113111104\75</t>
        </is>
      </c>
      <c r="D88" s="44" t="n">
        <v>398</v>
      </c>
      <c r="E88" s="44" t="n">
        <v>34</v>
      </c>
      <c r="F88" s="45" t="n">
        <v>13532</v>
      </c>
      <c r="G88" s="45" t="n">
        <v>10294.9</v>
      </c>
      <c r="H88" s="82" t="n">
        <v>0.760781850428614</v>
      </c>
      <c r="I88" s="44" t="n">
        <v>82</v>
      </c>
      <c r="J88" s="45" t="n">
        <v>32636</v>
      </c>
      <c r="K88" s="61">
        <f>E88/(I88+E88)</f>
        <v/>
      </c>
      <c r="L88" s="83">
        <f>I88/(E88/2.1)</f>
        <v/>
      </c>
      <c r="N88" s="41" t="inlineStr">
        <is>
          <t>Swimwear</t>
        </is>
      </c>
      <c r="O88" s="42" t="inlineStr">
        <is>
          <t>One-piece Triangle</t>
        </is>
      </c>
      <c r="P88" s="44" t="inlineStr">
        <is>
          <t>112111311\80</t>
        </is>
      </c>
      <c r="Q88" s="44" t="n">
        <v>398</v>
      </c>
      <c r="R88" s="69" t="n">
        <v>1</v>
      </c>
      <c r="S88" s="45" t="n">
        <v>398</v>
      </c>
      <c r="T88" s="45" t="n">
        <v>350.2</v>
      </c>
      <c r="U88" s="82" t="n">
        <v>0.879899497487437</v>
      </c>
      <c r="V88" s="44" t="n">
        <v>9</v>
      </c>
      <c r="W88" s="45" t="n">
        <v>3582</v>
      </c>
      <c r="X88" s="61">
        <f>R88/(V88+R88)</f>
        <v/>
      </c>
      <c r="Y88" s="83">
        <f>V88/(R88/2.1)</f>
        <v/>
      </c>
    </row>
    <row r="89" ht="13.5" customHeight="1" s="75">
      <c r="A89" s="41" t="inlineStr">
        <is>
          <t>Swimwear</t>
        </is>
      </c>
      <c r="B89" s="42" t="inlineStr">
        <is>
          <t>One-piece long dress</t>
        </is>
      </c>
      <c r="C89" s="44" t="inlineStr">
        <is>
          <t>113111113\75</t>
        </is>
      </c>
      <c r="D89" s="44" t="n">
        <v>398</v>
      </c>
      <c r="E89" s="44" t="n">
        <v>30</v>
      </c>
      <c r="F89" s="45" t="n">
        <v>11940</v>
      </c>
      <c r="G89" s="45" t="n">
        <v>8451</v>
      </c>
      <c r="H89" s="82" t="n">
        <v>0.707788944723618</v>
      </c>
      <c r="I89" s="44" t="n">
        <v>180</v>
      </c>
      <c r="J89" s="45" t="n">
        <v>71640</v>
      </c>
      <c r="K89" s="61">
        <f>E89/(I89+E89)</f>
        <v/>
      </c>
      <c r="L89" s="83">
        <f>I89/(E89/2.1)</f>
        <v/>
      </c>
      <c r="N89" s="41" t="inlineStr">
        <is>
          <t>Swimwear</t>
        </is>
      </c>
      <c r="O89" s="42" t="inlineStr">
        <is>
          <t>Two-piece separates pants</t>
        </is>
      </c>
      <c r="P89" s="44" t="inlineStr">
        <is>
          <t>112111220\75</t>
        </is>
      </c>
      <c r="Q89" s="44" t="n">
        <v>398</v>
      </c>
      <c r="R89" s="69" t="n">
        <v>1</v>
      </c>
      <c r="S89" s="45" t="n">
        <v>398</v>
      </c>
      <c r="T89" s="45" t="n">
        <v>358.2</v>
      </c>
      <c r="U89" s="82" t="n">
        <v>0.9</v>
      </c>
      <c r="V89" s="44" t="n">
        <v>10</v>
      </c>
      <c r="W89" s="45" t="n">
        <v>3980</v>
      </c>
      <c r="X89" s="61">
        <f>R89/(V89+R89)</f>
        <v/>
      </c>
      <c r="Y89" s="83">
        <f>V89/(R89/2.1)</f>
        <v/>
      </c>
    </row>
    <row r="90" ht="13.5" customHeight="1" s="75">
      <c r="A90" s="41" t="inlineStr">
        <is>
          <t>Swimwear</t>
        </is>
      </c>
      <c r="B90" s="42" t="inlineStr">
        <is>
          <t>Two-piece separates pants</t>
        </is>
      </c>
      <c r="C90" s="44" t="inlineStr">
        <is>
          <t>113111227\97</t>
        </is>
      </c>
      <c r="D90" s="44" t="n">
        <v>398</v>
      </c>
      <c r="E90" s="44" t="n">
        <v>27</v>
      </c>
      <c r="F90" s="45" t="n">
        <v>10746</v>
      </c>
      <c r="G90" s="45" t="n">
        <v>7733.9</v>
      </c>
      <c r="H90" s="82" t="n">
        <v>0.719700353619952</v>
      </c>
      <c r="I90" s="44" t="n">
        <v>219</v>
      </c>
      <c r="J90" s="45" t="n">
        <v>87162</v>
      </c>
      <c r="K90" s="61">
        <f>E90/(I90+E90)</f>
        <v/>
      </c>
      <c r="L90" s="83">
        <f>I90/(E90/2.1)</f>
        <v/>
      </c>
      <c r="N90" s="41" t="inlineStr">
        <is>
          <t>Swimwear</t>
        </is>
      </c>
      <c r="O90" s="42" t="inlineStr">
        <is>
          <t>Two-piece separates pants</t>
        </is>
      </c>
      <c r="P90" s="44" t="inlineStr">
        <is>
          <t>112111233\80</t>
        </is>
      </c>
      <c r="Q90" s="44" t="n">
        <v>328</v>
      </c>
      <c r="R90" s="69" t="n">
        <v>1</v>
      </c>
      <c r="S90" s="45" t="n">
        <v>328</v>
      </c>
      <c r="T90" s="45" t="n">
        <v>229.6</v>
      </c>
      <c r="U90" s="82" t="n">
        <v>0.7</v>
      </c>
      <c r="V90" s="44" t="n">
        <v>66</v>
      </c>
      <c r="W90" s="45" t="n">
        <v>21648</v>
      </c>
      <c r="X90" s="61">
        <f>R90/(V90+R90)</f>
        <v/>
      </c>
      <c r="Y90" s="83">
        <f>V90/(R90/2.1)</f>
        <v/>
      </c>
    </row>
    <row r="91" ht="13.5" customHeight="1" s="75">
      <c r="A91" s="41" t="inlineStr">
        <is>
          <t>Swimwear</t>
        </is>
      </c>
      <c r="B91" s="42" t="inlineStr">
        <is>
          <t>One-piece long dress</t>
        </is>
      </c>
      <c r="C91" s="44" t="inlineStr">
        <is>
          <t>112111102\28</t>
        </is>
      </c>
      <c r="D91" s="44" t="n">
        <v>498</v>
      </c>
      <c r="E91" s="44" t="n">
        <v>25</v>
      </c>
      <c r="F91" s="45" t="n">
        <v>12450</v>
      </c>
      <c r="G91" s="45" t="n">
        <v>8590</v>
      </c>
      <c r="H91" s="82" t="n">
        <v>0.68995983935743</v>
      </c>
      <c r="I91" s="44" t="n">
        <v>64</v>
      </c>
      <c r="J91" s="45" t="n">
        <v>31872</v>
      </c>
      <c r="K91" s="61">
        <f>E91/(I91+E91)</f>
        <v/>
      </c>
      <c r="L91" s="83">
        <f>I91/(E91/2.1)</f>
        <v/>
      </c>
      <c r="N91" s="41" t="inlineStr">
        <is>
          <t>Swimwear</t>
        </is>
      </c>
      <c r="O91" s="42" t="inlineStr">
        <is>
          <t>Two-piece dress set</t>
        </is>
      </c>
      <c r="P91" s="44" t="inlineStr">
        <is>
          <t>113111323\95</t>
        </is>
      </c>
      <c r="Q91" s="44" t="n">
        <v>998</v>
      </c>
      <c r="R91" s="69" t="n">
        <v>1</v>
      </c>
      <c r="S91" s="45" t="n">
        <v>998</v>
      </c>
      <c r="T91" s="45" t="n">
        <v>878</v>
      </c>
      <c r="U91" s="82" t="n">
        <v>0.879759519038076</v>
      </c>
      <c r="V91" s="44" t="n">
        <v>104</v>
      </c>
      <c r="W91" s="45" t="n">
        <v>103792</v>
      </c>
      <c r="X91" s="61">
        <f>R91/(V91+R91)</f>
        <v/>
      </c>
      <c r="Y91" s="83">
        <f>V91/(R91/2.1)</f>
        <v/>
      </c>
    </row>
    <row r="92" ht="13.5" customHeight="1" s="75">
      <c r="A92" s="41" t="inlineStr">
        <is>
          <t>Swimwear</t>
        </is>
      </c>
      <c r="B92" s="42" t="inlineStr">
        <is>
          <t>One-piece straight waistband</t>
        </is>
      </c>
      <c r="C92" s="44" t="inlineStr">
        <is>
          <t>113111602\63</t>
        </is>
      </c>
      <c r="D92" s="44" t="n">
        <v>398</v>
      </c>
      <c r="E92" s="44" t="n">
        <v>21</v>
      </c>
      <c r="F92" s="45" t="n">
        <v>8358</v>
      </c>
      <c r="G92" s="45" t="n">
        <v>6498.6</v>
      </c>
      <c r="H92" s="82" t="n">
        <v>0.777530509691314</v>
      </c>
      <c r="I92" s="44" t="n">
        <v>304</v>
      </c>
      <c r="J92" s="45" t="n">
        <v>120992</v>
      </c>
      <c r="K92" s="61">
        <f>E92/(I92+E92)</f>
        <v/>
      </c>
      <c r="L92" s="83">
        <f>I92/(E92/2.1)</f>
        <v/>
      </c>
      <c r="N92" s="41" t="inlineStr">
        <is>
          <t>Swimwear</t>
        </is>
      </c>
      <c r="O92" s="42" t="inlineStr">
        <is>
          <t>Three-piece Separate Dress</t>
        </is>
      </c>
      <c r="P92" s="44" t="inlineStr">
        <is>
          <t>112111205\97</t>
        </is>
      </c>
      <c r="Q92" s="44" t="n">
        <v>398</v>
      </c>
      <c r="R92" s="69" t="n">
        <v>1</v>
      </c>
      <c r="S92" s="45" t="n">
        <v>398</v>
      </c>
      <c r="T92" s="45" t="n">
        <v>398</v>
      </c>
      <c r="U92" s="82" t="n">
        <v>1</v>
      </c>
      <c r="V92" s="44" t="n">
        <v>7</v>
      </c>
      <c r="W92" s="45" t="n">
        <v>2786</v>
      </c>
      <c r="X92" s="61">
        <f>R92/(V92+R92)</f>
        <v/>
      </c>
      <c r="Y92" s="83">
        <f>V92/(R92/2.1)</f>
        <v/>
      </c>
    </row>
    <row r="93" ht="13.5" customHeight="1" s="75">
      <c r="A93" s="41" t="inlineStr">
        <is>
          <t>Swimwear</t>
        </is>
      </c>
      <c r="B93" s="42" t="inlineStr">
        <is>
          <t>One-piece straight waistband</t>
        </is>
      </c>
      <c r="C93" s="44" t="inlineStr">
        <is>
          <t>113111602\80</t>
        </is>
      </c>
      <c r="D93" s="44" t="n">
        <v>398</v>
      </c>
      <c r="E93" s="44" t="n">
        <v>21</v>
      </c>
      <c r="F93" s="45" t="n">
        <v>8358</v>
      </c>
      <c r="G93" s="45" t="n">
        <v>6593.3</v>
      </c>
      <c r="H93" s="82" t="n">
        <v>0.788860971524288</v>
      </c>
      <c r="I93" s="44" t="n">
        <v>296</v>
      </c>
      <c r="J93" s="45" t="n">
        <v>117808</v>
      </c>
      <c r="K93" s="61">
        <f>E93/(I93+E93)</f>
        <v/>
      </c>
      <c r="L93" s="83">
        <f>I93/(E93/2.1)</f>
        <v/>
      </c>
      <c r="N93" s="41" t="inlineStr">
        <is>
          <t>Swimwear</t>
        </is>
      </c>
      <c r="O93" s="42" t="inlineStr">
        <is>
          <t>Three-piece Separate Dress</t>
        </is>
      </c>
      <c r="P93" s="44" t="inlineStr">
        <is>
          <t>112111206\75</t>
        </is>
      </c>
      <c r="Q93" s="44" t="n">
        <v>498</v>
      </c>
      <c r="R93" s="69" t="n">
        <v>1</v>
      </c>
      <c r="S93" s="45" t="n">
        <v>498</v>
      </c>
      <c r="T93" s="45" t="n">
        <v>438.2</v>
      </c>
      <c r="U93" s="82" t="n">
        <v>0.879919678714859</v>
      </c>
      <c r="V93" s="44" t="n"/>
      <c r="W93" s="45" t="n"/>
      <c r="X93" s="61">
        <f>R93/(V93+R93)</f>
        <v/>
      </c>
      <c r="Y93" s="83">
        <f>V93/(R93/2.1)</f>
        <v/>
      </c>
    </row>
    <row r="94" ht="13.5" customHeight="1" s="75">
      <c r="A94" s="47" t="inlineStr">
        <is>
          <t>Swimwear</t>
        </is>
      </c>
      <c r="B94" s="48" t="inlineStr">
        <is>
          <t>Two-piece separates pants</t>
        </is>
      </c>
      <c r="C94" s="50" t="inlineStr">
        <is>
          <t>113111226\80</t>
        </is>
      </c>
      <c r="D94" s="50" t="n">
        <v>398</v>
      </c>
      <c r="E94" s="50" t="n">
        <v>21</v>
      </c>
      <c r="F94" s="51" t="n">
        <v>8358</v>
      </c>
      <c r="G94" s="51" t="n">
        <v>6238.6</v>
      </c>
      <c r="H94" s="84" t="n">
        <v>0.746422589136157</v>
      </c>
      <c r="I94" s="50" t="n">
        <v>178</v>
      </c>
      <c r="J94" s="51" t="n">
        <v>70844</v>
      </c>
      <c r="K94" s="63">
        <f>E94/(I94+E94)</f>
        <v/>
      </c>
      <c r="L94" s="85">
        <f>I94/(E94/2.1)</f>
        <v/>
      </c>
      <c r="N94" s="47" t="inlineStr">
        <is>
          <t>Swimwear</t>
        </is>
      </c>
      <c r="O94" s="48" t="inlineStr">
        <is>
          <t>Three-piece Separate Dress</t>
        </is>
      </c>
      <c r="P94" s="50" t="inlineStr">
        <is>
          <t>112111209\75</t>
        </is>
      </c>
      <c r="Q94" s="50" t="n">
        <v>498</v>
      </c>
      <c r="R94" s="70" t="n">
        <v>1</v>
      </c>
      <c r="S94" s="51" t="n">
        <v>498</v>
      </c>
      <c r="T94" s="51" t="n">
        <v>349</v>
      </c>
      <c r="U94" s="84" t="n">
        <v>0.700803212851406</v>
      </c>
      <c r="V94" s="50" t="n">
        <v>5</v>
      </c>
      <c r="W94" s="51" t="n">
        <v>2490</v>
      </c>
      <c r="X94" s="61">
        <f>R94/(V94+R94)</f>
        <v/>
      </c>
      <c r="Y94" s="83">
        <f>V94/(R94/2.1)</f>
        <v/>
      </c>
    </row>
    <row r="95" ht="13.5" customHeight="1" s="75">
      <c r="A95" s="38" t="inlineStr">
        <is>
          <t>Swim Accessories</t>
        </is>
      </c>
      <c r="B95" s="53" t="inlineStr">
        <is>
          <t>Children's Swimming Goggles</t>
        </is>
      </c>
      <c r="C95" s="53" t="inlineStr">
        <is>
          <t>110161201\71</t>
        </is>
      </c>
      <c r="D95" s="53" t="n">
        <v>118</v>
      </c>
      <c r="E95" s="53" t="n">
        <v>23</v>
      </c>
      <c r="F95" s="54" t="n">
        <v>2714</v>
      </c>
      <c r="G95" s="54" t="n">
        <v>2420.54</v>
      </c>
      <c r="H95" s="86" t="n">
        <v>0.891871775976419</v>
      </c>
      <c r="I95" s="53" t="n">
        <v>187</v>
      </c>
      <c r="J95" s="54" t="n">
        <v>22066</v>
      </c>
      <c r="K95" s="65">
        <f>E95/(I95+E95)</f>
        <v/>
      </c>
      <c r="L95" s="87">
        <f>I95/(E95/2.1)</f>
        <v/>
      </c>
      <c r="N95" s="38" t="inlineStr">
        <is>
          <t>Swim Accessories</t>
        </is>
      </c>
      <c r="O95" s="53" t="inlineStr">
        <is>
          <t>Children's Swimming Goggles</t>
        </is>
      </c>
      <c r="P95" s="53" t="inlineStr">
        <is>
          <t>110161201\80</t>
        </is>
      </c>
      <c r="Q95" s="53" t="n">
        <v>118</v>
      </c>
      <c r="R95" s="71" t="n">
        <v>1</v>
      </c>
      <c r="S95" s="54" t="n">
        <v>118</v>
      </c>
      <c r="T95" s="54" t="n">
        <v>103.8</v>
      </c>
      <c r="U95" s="86" t="n">
        <v>0.879661016949153</v>
      </c>
      <c r="V95" s="53" t="n">
        <v>21</v>
      </c>
      <c r="W95" s="54" t="n">
        <v>2478</v>
      </c>
      <c r="X95" s="61">
        <f>R95/(V95+R95)</f>
        <v/>
      </c>
      <c r="Y95" s="83">
        <f>V95/(R95/2.1)</f>
        <v/>
      </c>
    </row>
    <row r="96" ht="13.5" customHeight="1" s="75">
      <c r="A96" s="41" t="inlineStr">
        <is>
          <t>Swim Accessories</t>
        </is>
      </c>
      <c r="B96" s="42" t="inlineStr">
        <is>
          <t>Children's Swimming Goggles</t>
        </is>
      </c>
      <c r="C96" s="44" t="inlineStr">
        <is>
          <t>066201\92</t>
        </is>
      </c>
      <c r="D96" s="44" t="n">
        <v>88</v>
      </c>
      <c r="E96" s="44" t="n">
        <v>21</v>
      </c>
      <c r="F96" s="45" t="n">
        <v>1848</v>
      </c>
      <c r="G96" s="45" t="n">
        <v>1578.8</v>
      </c>
      <c r="H96" s="82" t="n">
        <v>0.854329004329004</v>
      </c>
      <c r="I96" s="44" t="n">
        <v>217</v>
      </c>
      <c r="J96" s="45" t="n">
        <v>19096</v>
      </c>
      <c r="K96" s="61">
        <f>E96/(I96+E96)</f>
        <v/>
      </c>
      <c r="L96" s="83">
        <f>I96/(E96/2.1)</f>
        <v/>
      </c>
      <c r="N96" s="41" t="inlineStr">
        <is>
          <t>Swim Accessories</t>
        </is>
      </c>
      <c r="O96" s="42" t="inlineStr">
        <is>
          <t>Children's Swimming Goggles</t>
        </is>
      </c>
      <c r="P96" s="44" t="inlineStr">
        <is>
          <t>10920003\92</t>
        </is>
      </c>
      <c r="Q96" s="44" t="n">
        <v>60</v>
      </c>
      <c r="R96" s="69" t="n">
        <v>2</v>
      </c>
      <c r="S96" s="45" t="n">
        <v>120</v>
      </c>
      <c r="T96" s="45" t="n">
        <v>114</v>
      </c>
      <c r="U96" s="82" t="n">
        <v>0.95</v>
      </c>
      <c r="V96" s="44" t="n">
        <v>91</v>
      </c>
      <c r="W96" s="45" t="n">
        <v>5460</v>
      </c>
      <c r="X96" s="61">
        <f>R96/(V96+R96)</f>
        <v/>
      </c>
      <c r="Y96" s="83">
        <f>V96/(R96/2.1)</f>
        <v/>
      </c>
    </row>
    <row r="97" ht="13.5" customHeight="1" s="75">
      <c r="A97" s="41" t="inlineStr">
        <is>
          <t>Swim Accessories</t>
        </is>
      </c>
      <c r="B97" s="42" t="inlineStr">
        <is>
          <t>Children's Swimming Goggles</t>
        </is>
      </c>
      <c r="C97" s="44" t="inlineStr">
        <is>
          <t>110161201\74</t>
        </is>
      </c>
      <c r="D97" s="44" t="n">
        <v>118</v>
      </c>
      <c r="E97" s="44" t="n">
        <v>20</v>
      </c>
      <c r="F97" s="45" t="n">
        <v>2360</v>
      </c>
      <c r="G97" s="45" t="n">
        <v>1977</v>
      </c>
      <c r="H97" s="82" t="n">
        <v>0.83771186440678</v>
      </c>
      <c r="I97" s="44" t="n">
        <v>220</v>
      </c>
      <c r="J97" s="45" t="n">
        <v>25960</v>
      </c>
      <c r="K97" s="61">
        <f>E97/(I97+E97)</f>
        <v/>
      </c>
      <c r="L97" s="83">
        <f>I97/(E97/2.1)</f>
        <v/>
      </c>
      <c r="N97" s="41" t="inlineStr">
        <is>
          <t>Swim Accessories</t>
        </is>
      </c>
      <c r="O97" s="42" t="inlineStr">
        <is>
          <t>Children's Swimming Goggles</t>
        </is>
      </c>
      <c r="P97" s="44" t="inlineStr">
        <is>
          <t>110161202\71</t>
        </is>
      </c>
      <c r="Q97" s="44" t="n">
        <v>88</v>
      </c>
      <c r="R97" s="69" t="n">
        <v>2</v>
      </c>
      <c r="S97" s="45" t="n">
        <v>176</v>
      </c>
      <c r="T97" s="45" t="n">
        <v>176</v>
      </c>
      <c r="U97" s="82" t="n">
        <v>1</v>
      </c>
      <c r="V97" s="44" t="n">
        <v>15</v>
      </c>
      <c r="W97" s="45" t="n">
        <v>1320</v>
      </c>
      <c r="X97" s="61">
        <f>R97/(V97+R97)</f>
        <v/>
      </c>
      <c r="Y97" s="83">
        <f>V97/(R97/2.1)</f>
        <v/>
      </c>
    </row>
    <row r="98" ht="13.5" customHeight="1" s="75">
      <c r="A98" s="41" t="inlineStr">
        <is>
          <t>Swim Accessories</t>
        </is>
      </c>
      <c r="B98" s="42" t="inlineStr">
        <is>
          <t>Children's Swimming Goggles</t>
        </is>
      </c>
      <c r="C98" s="44" t="inlineStr">
        <is>
          <t>066201\50</t>
        </is>
      </c>
      <c r="D98" s="44" t="n">
        <v>88</v>
      </c>
      <c r="E98" s="44" t="n">
        <v>19</v>
      </c>
      <c r="F98" s="45" t="n">
        <v>1672</v>
      </c>
      <c r="G98" s="45" t="n">
        <v>1475.84</v>
      </c>
      <c r="H98" s="82" t="n">
        <v>0.882679425837321</v>
      </c>
      <c r="I98" s="44" t="n">
        <v>220</v>
      </c>
      <c r="J98" s="45" t="n">
        <v>19360</v>
      </c>
      <c r="K98" s="61">
        <f>E98/(I98+E98)</f>
        <v/>
      </c>
      <c r="L98" s="83">
        <f>I98/(E98/2.1)</f>
        <v/>
      </c>
      <c r="N98" s="41" t="inlineStr">
        <is>
          <t>Swim Accessories</t>
        </is>
      </c>
      <c r="O98" s="42" t="inlineStr">
        <is>
          <t>Children's Swimming Goggles</t>
        </is>
      </c>
      <c r="P98" s="44" t="inlineStr">
        <is>
          <t>111161201\70</t>
        </is>
      </c>
      <c r="Q98" s="44" t="n">
        <v>88</v>
      </c>
      <c r="R98" s="69" t="n">
        <v>2</v>
      </c>
      <c r="S98" s="45" t="n">
        <v>176</v>
      </c>
      <c r="T98" s="45" t="n">
        <v>167</v>
      </c>
      <c r="U98" s="82" t="n">
        <v>0.948863636363636</v>
      </c>
      <c r="V98" s="44" t="n">
        <v>19</v>
      </c>
      <c r="W98" s="45" t="n">
        <v>1672</v>
      </c>
      <c r="X98" s="61">
        <f>R98/(V98+R98)</f>
        <v/>
      </c>
      <c r="Y98" s="83">
        <f>V98/(R98/2.1)</f>
        <v/>
      </c>
    </row>
    <row r="99" ht="13.5" customHeight="1" s="75">
      <c r="A99" s="41" t="inlineStr">
        <is>
          <t>Swim Accessories</t>
        </is>
      </c>
      <c r="B99" s="42" t="inlineStr">
        <is>
          <t>Children's Swimming Goggles</t>
        </is>
      </c>
      <c r="C99" s="44" t="inlineStr">
        <is>
          <t>066201\35</t>
        </is>
      </c>
      <c r="D99" s="44" t="n">
        <v>88</v>
      </c>
      <c r="E99" s="44" t="n">
        <v>15</v>
      </c>
      <c r="F99" s="45" t="n">
        <v>1320</v>
      </c>
      <c r="G99" s="45" t="n">
        <v>1091.8</v>
      </c>
      <c r="H99" s="82" t="n">
        <v>0.827121212121212</v>
      </c>
      <c r="I99" s="44" t="n">
        <v>233</v>
      </c>
      <c r="J99" s="45" t="n">
        <v>20504</v>
      </c>
      <c r="K99" s="61">
        <f>E99/(I99+E99)</f>
        <v/>
      </c>
      <c r="L99" s="83">
        <f>I99/(E99/2.1)</f>
        <v/>
      </c>
      <c r="N99" s="41" t="inlineStr">
        <is>
          <t>Swim Accessories</t>
        </is>
      </c>
      <c r="O99" s="42" t="inlineStr">
        <is>
          <t>Children's Swimming Goggles</t>
        </is>
      </c>
      <c r="P99" s="44" t="inlineStr">
        <is>
          <t>111161202\64</t>
        </is>
      </c>
      <c r="Q99" s="44" t="n">
        <v>118</v>
      </c>
      <c r="R99" s="69" t="n">
        <v>2</v>
      </c>
      <c r="S99" s="45" t="n">
        <v>236</v>
      </c>
      <c r="T99" s="45" t="n">
        <v>236</v>
      </c>
      <c r="U99" s="82" t="n">
        <v>1</v>
      </c>
      <c r="V99" s="44" t="n">
        <v>40</v>
      </c>
      <c r="W99" s="45" t="n">
        <v>4720</v>
      </c>
      <c r="X99" s="61">
        <f>R99/(V99+R99)</f>
        <v/>
      </c>
      <c r="Y99" s="83">
        <f>V99/(R99/2.1)</f>
        <v/>
      </c>
    </row>
    <row r="100" ht="13.5" customHeight="1" s="75">
      <c r="A100" s="41" t="inlineStr">
        <is>
          <t>Swim Accessories</t>
        </is>
      </c>
      <c r="B100" s="42" t="inlineStr">
        <is>
          <t>Children's Swimming Goggles</t>
        </is>
      </c>
      <c r="C100" s="44" t="inlineStr">
        <is>
          <t>113161203\74</t>
        </is>
      </c>
      <c r="D100" s="44" t="n">
        <v>88</v>
      </c>
      <c r="E100" s="44" t="n">
        <v>14</v>
      </c>
      <c r="F100" s="45" t="n">
        <v>1232</v>
      </c>
      <c r="G100" s="45" t="n">
        <v>1158.4</v>
      </c>
      <c r="H100" s="82" t="n">
        <v>0.94025974025974</v>
      </c>
      <c r="I100" s="44" t="n">
        <v>215</v>
      </c>
      <c r="J100" s="45" t="n">
        <v>18920</v>
      </c>
      <c r="K100" s="61">
        <f>E100/(I100+E100)</f>
        <v/>
      </c>
      <c r="L100" s="83">
        <f>I100/(E100/2.1)</f>
        <v/>
      </c>
      <c r="N100" s="41" t="inlineStr">
        <is>
          <t>Swim Accessories</t>
        </is>
      </c>
      <c r="O100" s="42" t="inlineStr">
        <is>
          <t>Children's Swimming Goggles</t>
        </is>
      </c>
      <c r="P100" s="44" t="inlineStr">
        <is>
          <t>10920003\93</t>
        </is>
      </c>
      <c r="Q100" s="44" t="n">
        <v>60</v>
      </c>
      <c r="R100" s="69" t="n">
        <v>3</v>
      </c>
      <c r="S100" s="45" t="n">
        <v>180</v>
      </c>
      <c r="T100" s="45" t="n">
        <v>156</v>
      </c>
      <c r="U100" s="82" t="n">
        <v>0.866666666666667</v>
      </c>
      <c r="V100" s="44" t="n">
        <v>31</v>
      </c>
      <c r="W100" s="45" t="n">
        <v>1860</v>
      </c>
      <c r="X100" s="61">
        <f>R100/(V100+R100)</f>
        <v/>
      </c>
      <c r="Y100" s="83">
        <f>V100/(R100/2.1)</f>
        <v/>
      </c>
    </row>
    <row r="101" ht="13.5" customHeight="1" s="75">
      <c r="A101" s="41" t="inlineStr">
        <is>
          <t>Swim Accessories</t>
        </is>
      </c>
      <c r="B101" s="42" t="inlineStr">
        <is>
          <t>Children's Swimming Goggles</t>
        </is>
      </c>
      <c r="C101" s="44" t="inlineStr">
        <is>
          <t>113161202\93</t>
        </is>
      </c>
      <c r="D101" s="44" t="n">
        <v>158</v>
      </c>
      <c r="E101" s="44" t="n">
        <v>11</v>
      </c>
      <c r="F101" s="45" t="n">
        <v>1738</v>
      </c>
      <c r="G101" s="45" t="n">
        <v>1428.7</v>
      </c>
      <c r="H101" s="82" t="n">
        <v>0.822036823935558</v>
      </c>
      <c r="I101" s="44" t="n">
        <v>248</v>
      </c>
      <c r="J101" s="45" t="n">
        <v>39184</v>
      </c>
      <c r="K101" s="61">
        <f>E101/(I101+E101)</f>
        <v/>
      </c>
      <c r="L101" s="83">
        <f>I101/(E101/2.1)</f>
        <v/>
      </c>
      <c r="N101" s="41" t="inlineStr">
        <is>
          <t>Swim Accessories</t>
        </is>
      </c>
      <c r="O101" s="42" t="inlineStr">
        <is>
          <t>Children's Swimming Goggles</t>
        </is>
      </c>
      <c r="P101" s="44" t="inlineStr">
        <is>
          <t>111161201\30</t>
        </is>
      </c>
      <c r="Q101" s="44" t="n">
        <v>88</v>
      </c>
      <c r="R101" s="69" t="n">
        <v>3</v>
      </c>
      <c r="S101" s="45" t="n">
        <v>264</v>
      </c>
      <c r="T101" s="45" t="n">
        <v>253.4</v>
      </c>
      <c r="U101" s="82" t="n">
        <v>0.959848484848485</v>
      </c>
      <c r="V101" s="44" t="n">
        <v>99</v>
      </c>
      <c r="W101" s="45" t="n">
        <v>8712</v>
      </c>
      <c r="X101" s="61">
        <f>R101/(V101+R101)</f>
        <v/>
      </c>
      <c r="Y101" s="83">
        <f>V101/(R101/2.1)</f>
        <v/>
      </c>
    </row>
    <row r="102" ht="13.5" customHeight="1" s="75">
      <c r="A102" s="41" t="inlineStr">
        <is>
          <t>Swim Accessories</t>
        </is>
      </c>
      <c r="B102" s="42" t="inlineStr">
        <is>
          <t>Children's Swimming Goggles</t>
        </is>
      </c>
      <c r="C102" s="44" t="inlineStr">
        <is>
          <t>113161203\97</t>
        </is>
      </c>
      <c r="D102" s="44" t="n">
        <v>88</v>
      </c>
      <c r="E102" s="44" t="n">
        <v>11</v>
      </c>
      <c r="F102" s="45" t="n">
        <v>968</v>
      </c>
      <c r="G102" s="45" t="n">
        <v>887.6</v>
      </c>
      <c r="H102" s="82" t="n">
        <v>0.916942148760331</v>
      </c>
      <c r="I102" s="44" t="n">
        <v>48</v>
      </c>
      <c r="J102" s="45" t="n">
        <v>4224</v>
      </c>
      <c r="K102" s="61">
        <f>E102/(I102+E102)</f>
        <v/>
      </c>
      <c r="L102" s="83">
        <f>I102/(E102/2.1)</f>
        <v/>
      </c>
      <c r="N102" s="41" t="inlineStr">
        <is>
          <t>Swim Accessories</t>
        </is>
      </c>
      <c r="O102" s="42" t="inlineStr">
        <is>
          <t>Children's Swimming Goggles</t>
        </is>
      </c>
      <c r="P102" s="44" t="inlineStr">
        <is>
          <t>111161201\80</t>
        </is>
      </c>
      <c r="Q102" s="44" t="n">
        <v>88</v>
      </c>
      <c r="R102" s="69" t="n">
        <v>3</v>
      </c>
      <c r="S102" s="45" t="n">
        <v>264</v>
      </c>
      <c r="T102" s="45" t="n">
        <v>264</v>
      </c>
      <c r="U102" s="82" t="n">
        <v>1</v>
      </c>
      <c r="V102" s="44" t="n">
        <v>50</v>
      </c>
      <c r="W102" s="45" t="n">
        <v>4400</v>
      </c>
      <c r="X102" s="61">
        <f>R102/(V102+R102)</f>
        <v/>
      </c>
      <c r="Y102" s="83">
        <f>V102/(R102/2.1)</f>
        <v/>
      </c>
    </row>
    <row r="103" ht="13.5" customHeight="1" s="75">
      <c r="A103" s="41" t="inlineStr">
        <is>
          <t>Swim Accessories</t>
        </is>
      </c>
      <c r="B103" s="42" t="inlineStr">
        <is>
          <t>Children's Swimming Goggles</t>
        </is>
      </c>
      <c r="C103" s="44" t="inlineStr">
        <is>
          <t>066201\72</t>
        </is>
      </c>
      <c r="D103" s="44" t="n">
        <v>88</v>
      </c>
      <c r="E103" s="44" t="n">
        <v>10</v>
      </c>
      <c r="F103" s="45" t="n">
        <v>880</v>
      </c>
      <c r="G103" s="45" t="n">
        <v>798.8</v>
      </c>
      <c r="H103" s="82" t="n">
        <v>0.907727272727273</v>
      </c>
      <c r="I103" s="44" t="n">
        <v>241</v>
      </c>
      <c r="J103" s="45" t="n">
        <v>21208</v>
      </c>
      <c r="K103" s="61">
        <f>E103/(I103+E103)</f>
        <v/>
      </c>
      <c r="L103" s="83">
        <f>I103/(E103/2.1)</f>
        <v/>
      </c>
      <c r="N103" s="41" t="inlineStr">
        <is>
          <t>Swim Accessories</t>
        </is>
      </c>
      <c r="O103" s="42" t="inlineStr">
        <is>
          <t>Children's Swimming Goggles</t>
        </is>
      </c>
      <c r="P103" s="44" t="inlineStr">
        <is>
          <t>110161202\92</t>
        </is>
      </c>
      <c r="Q103" s="44" t="n">
        <v>88</v>
      </c>
      <c r="R103" s="69" t="n">
        <v>4</v>
      </c>
      <c r="S103" s="45" t="n">
        <v>352</v>
      </c>
      <c r="T103" s="45" t="n">
        <v>322</v>
      </c>
      <c r="U103" s="82" t="n">
        <v>0.914772727272727</v>
      </c>
      <c r="V103" s="44" t="n">
        <v>38</v>
      </c>
      <c r="W103" s="45" t="n">
        <v>3344</v>
      </c>
      <c r="X103" s="61">
        <f>R103/(V103+R103)</f>
        <v/>
      </c>
      <c r="Y103" s="83">
        <f>V103/(R103/2.1)</f>
        <v/>
      </c>
    </row>
    <row r="104" ht="13.5" customHeight="1" s="75">
      <c r="A104" s="47" t="inlineStr">
        <is>
          <t>Swim Accessories</t>
        </is>
      </c>
      <c r="B104" s="48" t="inlineStr">
        <is>
          <t>Children's Swimming Goggles</t>
        </is>
      </c>
      <c r="C104" s="50" t="inlineStr">
        <is>
          <t>111161201\92</t>
        </is>
      </c>
      <c r="D104" s="50" t="n">
        <v>88</v>
      </c>
      <c r="E104" s="50" t="n">
        <v>10</v>
      </c>
      <c r="F104" s="51" t="n">
        <v>880</v>
      </c>
      <c r="G104" s="51" t="n">
        <v>788</v>
      </c>
      <c r="H104" s="84" t="n">
        <v>0.8954545454545459</v>
      </c>
      <c r="I104" s="50" t="n">
        <v>68</v>
      </c>
      <c r="J104" s="51" t="n">
        <v>5984</v>
      </c>
      <c r="K104" s="63">
        <f>E104/(I104+E104)</f>
        <v/>
      </c>
      <c r="L104" s="85">
        <f>I104/(E104/2.1)</f>
        <v/>
      </c>
      <c r="N104" s="47" t="inlineStr">
        <is>
          <t>Swim Accessories</t>
        </is>
      </c>
      <c r="O104" s="48" t="inlineStr">
        <is>
          <t>Children's Swimming Goggles</t>
        </is>
      </c>
      <c r="P104" s="50" t="inlineStr">
        <is>
          <t>111161203\94</t>
        </is>
      </c>
      <c r="Q104" s="50" t="n">
        <v>118</v>
      </c>
      <c r="R104" s="70" t="n">
        <v>4</v>
      </c>
      <c r="S104" s="51" t="n">
        <v>472</v>
      </c>
      <c r="T104" s="51" t="n">
        <v>424.3</v>
      </c>
      <c r="U104" s="84" t="n">
        <v>0.898940677966102</v>
      </c>
      <c r="V104" s="50" t="n">
        <v>45</v>
      </c>
      <c r="W104" s="51" t="n">
        <v>5310</v>
      </c>
      <c r="X104" s="61">
        <f>R104/(V104+R104)</f>
        <v/>
      </c>
      <c r="Y104" s="83">
        <f>V104/(R104/2.1)</f>
        <v/>
      </c>
    </row>
    <row r="105" ht="13.5" customHeight="1" s="75">
      <c r="A105" s="38" t="inlineStr">
        <is>
          <t>Swim Accessories</t>
        </is>
      </c>
      <c r="B105" s="53" t="inlineStr">
        <is>
          <t>Children's Swim Cap</t>
        </is>
      </c>
      <c r="C105" s="53" t="inlineStr">
        <is>
          <t>111171202\92</t>
        </is>
      </c>
      <c r="D105" s="53" t="n">
        <v>28</v>
      </c>
      <c r="E105" s="53" t="n">
        <v>7</v>
      </c>
      <c r="F105" s="54" t="n">
        <v>196</v>
      </c>
      <c r="G105" s="54" t="n">
        <v>181.8</v>
      </c>
      <c r="H105" s="86" t="n">
        <v>0.927551020408163</v>
      </c>
      <c r="I105" s="53" t="n">
        <v>109</v>
      </c>
      <c r="J105" s="54" t="n">
        <v>3052</v>
      </c>
      <c r="K105" s="65">
        <f>E105/(I105+E105)</f>
        <v/>
      </c>
      <c r="L105" s="87">
        <f>I105/(E105/2.1)</f>
        <v/>
      </c>
      <c r="N105" s="38" t="inlineStr">
        <is>
          <t>Swim Accessories</t>
        </is>
      </c>
      <c r="O105" s="53" t="inlineStr">
        <is>
          <t>Children's Swim Cap</t>
        </is>
      </c>
      <c r="P105" s="53" t="inlineStr">
        <is>
          <t>074201\97</t>
        </is>
      </c>
      <c r="Q105" s="53" t="n">
        <v>20</v>
      </c>
      <c r="R105" s="71" t="n">
        <v>1</v>
      </c>
      <c r="S105" s="54" t="n">
        <v>20</v>
      </c>
      <c r="T105" s="54" t="n">
        <v>18</v>
      </c>
      <c r="U105" s="86" t="n">
        <v>0.9</v>
      </c>
      <c r="V105" s="53" t="n">
        <v>19</v>
      </c>
      <c r="W105" s="54" t="n">
        <v>380</v>
      </c>
      <c r="X105" s="61">
        <f>R105/(V105+R105)</f>
        <v/>
      </c>
      <c r="Y105" s="83">
        <f>V105/(R105/2.1)</f>
        <v/>
      </c>
    </row>
    <row r="106" ht="13.5" customHeight="1" s="75">
      <c r="A106" s="41" t="inlineStr">
        <is>
          <t>Swim Accessories</t>
        </is>
      </c>
      <c r="B106" s="42" t="inlineStr">
        <is>
          <t>Children's Swim Cap</t>
        </is>
      </c>
      <c r="C106" s="44" t="inlineStr">
        <is>
          <t>074201\52</t>
        </is>
      </c>
      <c r="D106" s="44" t="n">
        <v>20</v>
      </c>
      <c r="E106" s="44" t="n">
        <v>5</v>
      </c>
      <c r="F106" s="45" t="n">
        <v>100</v>
      </c>
      <c r="G106" s="45" t="n">
        <v>95.8</v>
      </c>
      <c r="H106" s="82" t="n">
        <v>0.958</v>
      </c>
      <c r="I106" s="44" t="n">
        <v>116</v>
      </c>
      <c r="J106" s="45" t="n">
        <v>2320</v>
      </c>
      <c r="K106" s="61">
        <f>E106/(I106+E106)</f>
        <v/>
      </c>
      <c r="L106" s="83">
        <f>I106/(E106/2.1)</f>
        <v/>
      </c>
      <c r="N106" s="41" t="inlineStr">
        <is>
          <t>Swim Accessories</t>
        </is>
      </c>
      <c r="O106" s="42" t="inlineStr">
        <is>
          <t>Children's Swim Cap</t>
        </is>
      </c>
      <c r="P106" s="44" t="inlineStr">
        <is>
          <t>10921002\10</t>
        </is>
      </c>
      <c r="Q106" s="44" t="n">
        <v>60</v>
      </c>
      <c r="R106" s="69" t="n">
        <v>1</v>
      </c>
      <c r="S106" s="45" t="n">
        <v>60</v>
      </c>
      <c r="T106" s="45" t="n">
        <v>60</v>
      </c>
      <c r="U106" s="82" t="n">
        <v>1</v>
      </c>
      <c r="V106" s="44" t="n">
        <v>10</v>
      </c>
      <c r="W106" s="45" t="n">
        <v>600</v>
      </c>
      <c r="X106" s="61">
        <f>R106/(V106+R106)</f>
        <v/>
      </c>
      <c r="Y106" s="83">
        <f>V106/(R106/2.1)</f>
        <v/>
      </c>
    </row>
    <row r="107" ht="13.5" customHeight="1" s="75">
      <c r="A107" s="41" t="inlineStr">
        <is>
          <t>Swim Accessories</t>
        </is>
      </c>
      <c r="B107" s="42" t="inlineStr">
        <is>
          <t>Children's Swim Cap</t>
        </is>
      </c>
      <c r="C107" s="44" t="inlineStr">
        <is>
          <t>074201\92</t>
        </is>
      </c>
      <c r="D107" s="44" t="n">
        <v>20</v>
      </c>
      <c r="E107" s="44" t="n">
        <v>5</v>
      </c>
      <c r="F107" s="45" t="n">
        <v>100</v>
      </c>
      <c r="G107" s="45" t="n">
        <v>98</v>
      </c>
      <c r="H107" s="82" t="n">
        <v>0.98</v>
      </c>
      <c r="I107" s="44" t="n">
        <v>60</v>
      </c>
      <c r="J107" s="45" t="n">
        <v>1200</v>
      </c>
      <c r="K107" s="61">
        <f>E107/(I107+E107)</f>
        <v/>
      </c>
      <c r="L107" s="83">
        <f>I107/(E107/2.1)</f>
        <v/>
      </c>
      <c r="N107" s="41" t="inlineStr">
        <is>
          <t>Swim Accessories</t>
        </is>
      </c>
      <c r="O107" s="42" t="inlineStr">
        <is>
          <t>Children's Swim Cap</t>
        </is>
      </c>
      <c r="P107" s="44" t="inlineStr">
        <is>
          <t>111171202\72</t>
        </is>
      </c>
      <c r="Q107" s="44" t="n">
        <v>28</v>
      </c>
      <c r="R107" s="69" t="n">
        <v>1</v>
      </c>
      <c r="S107" s="45" t="n">
        <v>28</v>
      </c>
      <c r="T107" s="45" t="n">
        <v>28</v>
      </c>
      <c r="U107" s="82" t="n">
        <v>1</v>
      </c>
      <c r="V107" s="44" t="n">
        <v>230</v>
      </c>
      <c r="W107" s="45" t="n">
        <v>6440</v>
      </c>
      <c r="X107" s="61">
        <f>R107/(V107+R107)</f>
        <v/>
      </c>
      <c r="Y107" s="83">
        <f>V107/(R107/2.1)</f>
        <v/>
      </c>
    </row>
    <row r="108" ht="13.5" customHeight="1" s="75">
      <c r="A108" s="41" t="inlineStr">
        <is>
          <t>Swim Accessories</t>
        </is>
      </c>
      <c r="B108" s="42" t="inlineStr">
        <is>
          <t>Children's Swim Cap</t>
        </is>
      </c>
      <c r="C108" s="44" t="inlineStr">
        <is>
          <t>113171301\97</t>
        </is>
      </c>
      <c r="D108" s="44" t="n">
        <v>88</v>
      </c>
      <c r="E108" s="44" t="n">
        <v>5</v>
      </c>
      <c r="F108" s="45" t="n">
        <v>440</v>
      </c>
      <c r="G108" s="45" t="n">
        <v>396.2</v>
      </c>
      <c r="H108" s="82" t="n">
        <v>0.900454545454545</v>
      </c>
      <c r="I108" s="44" t="n">
        <v>41</v>
      </c>
      <c r="J108" s="45" t="n">
        <v>3608</v>
      </c>
      <c r="K108" s="61">
        <f>E108/(I108+E108)</f>
        <v/>
      </c>
      <c r="L108" s="83">
        <f>I108/(E108/2.1)</f>
        <v/>
      </c>
      <c r="N108" s="41" t="inlineStr">
        <is>
          <t>Swim Accessories</t>
        </is>
      </c>
      <c r="O108" s="42" t="inlineStr">
        <is>
          <t>Children's Swim Cap</t>
        </is>
      </c>
      <c r="P108" s="44" t="inlineStr">
        <is>
          <t>111171204\75</t>
        </is>
      </c>
      <c r="Q108" s="44" t="n">
        <v>28</v>
      </c>
      <c r="R108" s="69" t="n">
        <v>1</v>
      </c>
      <c r="S108" s="45" t="n">
        <v>28</v>
      </c>
      <c r="T108" s="45" t="n">
        <v>28</v>
      </c>
      <c r="U108" s="82" t="n">
        <v>1</v>
      </c>
      <c r="V108" s="44" t="n">
        <v>116</v>
      </c>
      <c r="W108" s="45" t="n">
        <v>3248</v>
      </c>
      <c r="X108" s="61">
        <f>R108/(V108+R108)</f>
        <v/>
      </c>
      <c r="Y108" s="83">
        <f>V108/(R108/2.1)</f>
        <v/>
      </c>
    </row>
    <row r="109" ht="13.5" customHeight="1" s="75">
      <c r="A109" s="41" t="inlineStr">
        <is>
          <t>Swim Accessories</t>
        </is>
      </c>
      <c r="B109" s="42" t="inlineStr">
        <is>
          <t>Children's Swim Cap</t>
        </is>
      </c>
      <c r="C109" s="44" t="inlineStr">
        <is>
          <t>074201\90</t>
        </is>
      </c>
      <c r="D109" s="44" t="n">
        <v>20</v>
      </c>
      <c r="E109" s="44" t="n">
        <v>4</v>
      </c>
      <c r="F109" s="45" t="n">
        <v>80</v>
      </c>
      <c r="G109" s="45" t="n">
        <v>78</v>
      </c>
      <c r="H109" s="82" t="n">
        <v>0.975</v>
      </c>
      <c r="I109" s="44" t="n">
        <v>66</v>
      </c>
      <c r="J109" s="45" t="n">
        <v>1320</v>
      </c>
      <c r="K109" s="61">
        <f>E109/(I109+E109)</f>
        <v/>
      </c>
      <c r="L109" s="83">
        <f>I109/(E109/2.1)</f>
        <v/>
      </c>
      <c r="N109" s="41" t="inlineStr">
        <is>
          <t>Swim Accessories</t>
        </is>
      </c>
      <c r="O109" s="42" t="inlineStr">
        <is>
          <t>Children's Swim Cap</t>
        </is>
      </c>
      <c r="P109" s="44" t="inlineStr">
        <is>
          <t>111171499\75</t>
        </is>
      </c>
      <c r="Q109" s="44" t="n">
        <v>58</v>
      </c>
      <c r="R109" s="69" t="n">
        <v>1</v>
      </c>
      <c r="S109" s="45" t="n">
        <v>58</v>
      </c>
      <c r="T109" s="45" t="n">
        <v>52.2</v>
      </c>
      <c r="U109" s="82" t="n">
        <v>0.9</v>
      </c>
      <c r="V109" s="44" t="n">
        <v>33</v>
      </c>
      <c r="W109" s="45" t="n">
        <v>1914</v>
      </c>
      <c r="X109" s="61">
        <f>R109/(V109+R109)</f>
        <v/>
      </c>
      <c r="Y109" s="83">
        <f>V109/(R109/2.1)</f>
        <v/>
      </c>
    </row>
    <row r="110" ht="13.5" customHeight="1" s="75">
      <c r="A110" s="41" t="inlineStr">
        <is>
          <t>Swim Accessories</t>
        </is>
      </c>
      <c r="B110" s="42" t="inlineStr">
        <is>
          <t>Children's Swim Cap</t>
        </is>
      </c>
      <c r="C110" s="44" t="inlineStr">
        <is>
          <t>113171203\72</t>
        </is>
      </c>
      <c r="D110" s="44" t="n">
        <v>28</v>
      </c>
      <c r="E110" s="44" t="n">
        <v>4</v>
      </c>
      <c r="F110" s="45" t="n">
        <v>112</v>
      </c>
      <c r="G110" s="45" t="n">
        <v>99.8</v>
      </c>
      <c r="H110" s="82" t="n">
        <v>0.891071428571429</v>
      </c>
      <c r="I110" s="44" t="n">
        <v>276</v>
      </c>
      <c r="J110" s="45" t="n">
        <v>7728</v>
      </c>
      <c r="K110" s="61">
        <f>E110/(I110+E110)</f>
        <v/>
      </c>
      <c r="L110" s="83">
        <f>I110/(E110/2.1)</f>
        <v/>
      </c>
      <c r="N110" s="41" t="inlineStr">
        <is>
          <t>Swim Accessories</t>
        </is>
      </c>
      <c r="O110" s="42" t="inlineStr">
        <is>
          <t>Children's Swim Cap</t>
        </is>
      </c>
      <c r="P110" s="44" t="inlineStr">
        <is>
          <t>111171499\80</t>
        </is>
      </c>
      <c r="Q110" s="44" t="n">
        <v>58</v>
      </c>
      <c r="R110" s="69" t="n">
        <v>1</v>
      </c>
      <c r="S110" s="45" t="n">
        <v>58</v>
      </c>
      <c r="T110" s="45" t="n">
        <v>58</v>
      </c>
      <c r="U110" s="82" t="n">
        <v>1</v>
      </c>
      <c r="V110" s="44" t="n">
        <v>112</v>
      </c>
      <c r="W110" s="45" t="n">
        <v>6496</v>
      </c>
      <c r="X110" s="61">
        <f>R110/(V110+R110)</f>
        <v/>
      </c>
      <c r="Y110" s="83">
        <f>V110/(R110/2.1)</f>
        <v/>
      </c>
    </row>
    <row r="111" ht="13.5" customHeight="1" s="75">
      <c r="A111" s="41" t="inlineStr">
        <is>
          <t>Swim Accessories</t>
        </is>
      </c>
      <c r="B111" s="42" t="inlineStr">
        <is>
          <t>Children's Swim Cap</t>
        </is>
      </c>
      <c r="C111" s="44" t="inlineStr">
        <is>
          <t>074201\53</t>
        </is>
      </c>
      <c r="D111" s="44" t="n">
        <v>20</v>
      </c>
      <c r="E111" s="44" t="n">
        <v>3</v>
      </c>
      <c r="F111" s="45" t="n">
        <v>60</v>
      </c>
      <c r="G111" s="45" t="n">
        <v>56</v>
      </c>
      <c r="H111" s="82" t="n">
        <v>0.933333333333333</v>
      </c>
      <c r="I111" s="44" t="n">
        <v>60</v>
      </c>
      <c r="J111" s="45" t="n">
        <v>1200</v>
      </c>
      <c r="K111" s="61">
        <f>E111/(I111+E111)</f>
        <v/>
      </c>
      <c r="L111" s="83">
        <f>I111/(E111/2.1)</f>
        <v/>
      </c>
      <c r="N111" s="41" t="inlineStr">
        <is>
          <t>Swim Accessories</t>
        </is>
      </c>
      <c r="O111" s="42" t="inlineStr">
        <is>
          <t>Children's Swim Cap</t>
        </is>
      </c>
      <c r="P111" s="44" t="inlineStr">
        <is>
          <t>113171201\53</t>
        </is>
      </c>
      <c r="Q111" s="44" t="n">
        <v>28</v>
      </c>
      <c r="R111" s="69" t="n">
        <v>1</v>
      </c>
      <c r="S111" s="45" t="n">
        <v>28</v>
      </c>
      <c r="T111" s="45" t="n">
        <v>28</v>
      </c>
      <c r="U111" s="82" t="n">
        <v>1</v>
      </c>
      <c r="V111" s="44" t="n">
        <v>146</v>
      </c>
      <c r="W111" s="45" t="n">
        <v>4088</v>
      </c>
      <c r="X111" s="61">
        <f>R111/(V111+R111)</f>
        <v/>
      </c>
      <c r="Y111" s="83">
        <f>V111/(R111/2.1)</f>
        <v/>
      </c>
    </row>
    <row r="112" ht="13.5" customHeight="1" s="75">
      <c r="A112" s="41" t="inlineStr">
        <is>
          <t>Swim Accessories</t>
        </is>
      </c>
      <c r="B112" s="42" t="inlineStr">
        <is>
          <t>Children's Swim Cap</t>
        </is>
      </c>
      <c r="C112" s="44" t="inlineStr">
        <is>
          <t>074201\80</t>
        </is>
      </c>
      <c r="D112" s="44" t="n">
        <v>20</v>
      </c>
      <c r="E112" s="44" t="n">
        <v>3</v>
      </c>
      <c r="F112" s="45" t="n">
        <v>60</v>
      </c>
      <c r="G112" s="45" t="n">
        <v>60</v>
      </c>
      <c r="H112" s="82" t="n">
        <v>1</v>
      </c>
      <c r="I112" s="44" t="n">
        <v>152</v>
      </c>
      <c r="J112" s="45" t="n">
        <v>3040</v>
      </c>
      <c r="K112" s="61">
        <f>E112/(I112+E112)</f>
        <v/>
      </c>
      <c r="L112" s="83">
        <f>I112/(E112/2.1)</f>
        <v/>
      </c>
      <c r="N112" s="41" t="inlineStr">
        <is>
          <t>Swim Accessories</t>
        </is>
      </c>
      <c r="O112" s="42" t="inlineStr">
        <is>
          <t>Children's Swim Cap</t>
        </is>
      </c>
      <c r="P112" s="44" t="inlineStr">
        <is>
          <t>113171203\75</t>
        </is>
      </c>
      <c r="Q112" s="44" t="n">
        <v>28</v>
      </c>
      <c r="R112" s="69" t="n">
        <v>1</v>
      </c>
      <c r="S112" s="45" t="n">
        <v>28</v>
      </c>
      <c r="T112" s="45" t="n">
        <v>28</v>
      </c>
      <c r="U112" s="82" t="n">
        <v>1</v>
      </c>
      <c r="V112" s="44" t="n">
        <v>184</v>
      </c>
      <c r="W112" s="45" t="n">
        <v>5152</v>
      </c>
      <c r="X112" s="61">
        <f>R112/(V112+R112)</f>
        <v/>
      </c>
      <c r="Y112" s="83">
        <f>V112/(R112/2.1)</f>
        <v/>
      </c>
    </row>
    <row r="113" ht="13.5" customHeight="1" s="75">
      <c r="A113" s="41" t="inlineStr">
        <is>
          <t>Swim Accessories</t>
        </is>
      </c>
      <c r="B113" s="42" t="inlineStr">
        <is>
          <t>Children's Swim Cap</t>
        </is>
      </c>
      <c r="C113" s="44" t="inlineStr">
        <is>
          <t>10921002\70</t>
        </is>
      </c>
      <c r="D113" s="44" t="n">
        <v>60</v>
      </c>
      <c r="E113" s="44" t="n">
        <v>3</v>
      </c>
      <c r="F113" s="45" t="n">
        <v>180</v>
      </c>
      <c r="G113" s="45" t="n">
        <v>150</v>
      </c>
      <c r="H113" s="82" t="n">
        <v>0.833333333333333</v>
      </c>
      <c r="I113" s="44" t="n">
        <v>48</v>
      </c>
      <c r="J113" s="45" t="n">
        <v>2880</v>
      </c>
      <c r="K113" s="61">
        <f>E113/(I113+E113)</f>
        <v/>
      </c>
      <c r="L113" s="83">
        <f>I113/(E113/2.1)</f>
        <v/>
      </c>
      <c r="N113" s="41" t="inlineStr">
        <is>
          <t>Swim Accessories</t>
        </is>
      </c>
      <c r="O113" s="42" t="inlineStr">
        <is>
          <t>Children's Swim Cap</t>
        </is>
      </c>
      <c r="P113" s="44" t="inlineStr">
        <is>
          <t>113171203\90</t>
        </is>
      </c>
      <c r="Q113" s="44" t="n">
        <v>28</v>
      </c>
      <c r="R113" s="69" t="n">
        <v>1</v>
      </c>
      <c r="S113" s="45" t="n">
        <v>28</v>
      </c>
      <c r="T113" s="45" t="n">
        <v>25.2</v>
      </c>
      <c r="U113" s="82" t="n">
        <v>0.9</v>
      </c>
      <c r="V113" s="44" t="n">
        <v>65</v>
      </c>
      <c r="W113" s="45" t="n">
        <v>1820</v>
      </c>
      <c r="X113" s="61">
        <f>R113/(V113+R113)</f>
        <v/>
      </c>
      <c r="Y113" s="83">
        <f>V113/(R113/2.1)</f>
        <v/>
      </c>
    </row>
    <row r="114" ht="13.5" customHeight="1" s="75">
      <c r="A114" s="47" t="inlineStr">
        <is>
          <t>Swim Accessories</t>
        </is>
      </c>
      <c r="B114" s="48" t="inlineStr">
        <is>
          <t>Children's Swim Cap</t>
        </is>
      </c>
      <c r="C114" s="50" t="inlineStr">
        <is>
          <t>074201\71</t>
        </is>
      </c>
      <c r="D114" s="50" t="n">
        <v>20</v>
      </c>
      <c r="E114" s="50" t="n">
        <v>2</v>
      </c>
      <c r="F114" s="51" t="n">
        <v>40</v>
      </c>
      <c r="G114" s="51" t="n">
        <v>48</v>
      </c>
      <c r="H114" s="84" t="n">
        <v>1.2</v>
      </c>
      <c r="I114" s="50" t="n">
        <v>183</v>
      </c>
      <c r="J114" s="51" t="n">
        <v>3660</v>
      </c>
      <c r="K114" s="63">
        <f>E114/(I114+E114)</f>
        <v/>
      </c>
      <c r="L114" s="85">
        <f>I114/(E114/2.1)</f>
        <v/>
      </c>
      <c r="N114" s="47" t="inlineStr">
        <is>
          <t>Swim Accessories</t>
        </is>
      </c>
      <c r="O114" s="48" t="inlineStr">
        <is>
          <t>Children's Swim Cap</t>
        </is>
      </c>
      <c r="P114" s="50" t="inlineStr">
        <is>
          <t>178301\61</t>
        </is>
      </c>
      <c r="Q114" s="50" t="n">
        <v>58</v>
      </c>
      <c r="R114" s="70" t="n">
        <v>1</v>
      </c>
      <c r="S114" s="51" t="n">
        <v>58</v>
      </c>
      <c r="T114" s="51" t="n">
        <v>55.1</v>
      </c>
      <c r="U114" s="84" t="n">
        <v>0.95</v>
      </c>
      <c r="V114" s="50" t="n">
        <v>34</v>
      </c>
      <c r="W114" s="51" t="n">
        <v>1972</v>
      </c>
      <c r="X114" s="61">
        <f>R114/(V114+R114)</f>
        <v/>
      </c>
      <c r="Y114" s="83">
        <f>V114/(R114/2.1)</f>
        <v/>
      </c>
    </row>
    <row r="115" ht="13.5" customHeight="1" s="75">
      <c r="A115" s="38" t="inlineStr">
        <is>
          <t>Swim Accessories</t>
        </is>
      </c>
      <c r="B115" s="53" t="inlineStr">
        <is>
          <t>Adult Swim Goggles</t>
        </is>
      </c>
      <c r="C115" s="53" t="inlineStr">
        <is>
          <t>065107\76</t>
        </is>
      </c>
      <c r="D115" s="53" t="n">
        <v>158</v>
      </c>
      <c r="E115" s="53" t="n">
        <v>50</v>
      </c>
      <c r="F115" s="54" t="n">
        <v>7900</v>
      </c>
      <c r="G115" s="54" t="n">
        <v>10394.4</v>
      </c>
      <c r="H115" s="86" t="n">
        <v>1.31574683544304</v>
      </c>
      <c r="I115" s="53" t="n">
        <v>310</v>
      </c>
      <c r="J115" s="54" t="n">
        <v>48980</v>
      </c>
      <c r="K115" s="65">
        <f>E115/(I115+E115)</f>
        <v/>
      </c>
      <c r="L115" s="87">
        <f>I115/(E115/2.1)</f>
        <v/>
      </c>
      <c r="N115" s="38" t="inlineStr">
        <is>
          <t>Swim Accessories</t>
        </is>
      </c>
      <c r="O115" s="53" t="inlineStr">
        <is>
          <t>Adult Swim Goggles</t>
        </is>
      </c>
      <c r="P115" s="53" t="inlineStr">
        <is>
          <t>064101\80</t>
        </is>
      </c>
      <c r="Q115" s="53" t="n">
        <v>179</v>
      </c>
      <c r="R115" s="71" t="n">
        <v>1</v>
      </c>
      <c r="S115" s="54" t="n">
        <v>179</v>
      </c>
      <c r="T115" s="54" t="n">
        <v>179</v>
      </c>
      <c r="U115" s="86" t="n">
        <v>1</v>
      </c>
      <c r="V115" s="53" t="n">
        <v>49</v>
      </c>
      <c r="W115" s="54" t="n">
        <v>8771</v>
      </c>
      <c r="X115" s="61">
        <f>R115/(V115+R115)</f>
        <v/>
      </c>
      <c r="Y115" s="83">
        <f>V115/(R115/2.1)</f>
        <v/>
      </c>
    </row>
    <row r="116" ht="13.5" customHeight="1" s="75">
      <c r="A116" s="41" t="inlineStr">
        <is>
          <t>Swim Accessories</t>
        </is>
      </c>
      <c r="B116" s="42" t="inlineStr">
        <is>
          <t>Adult Swim Goggles</t>
        </is>
      </c>
      <c r="C116" s="44" t="inlineStr">
        <is>
          <t>113161113\80</t>
        </is>
      </c>
      <c r="D116" s="44" t="n">
        <v>238</v>
      </c>
      <c r="E116" s="44" t="n">
        <v>28</v>
      </c>
      <c r="F116" s="45" t="n">
        <v>6664</v>
      </c>
      <c r="G116" s="45" t="n">
        <v>5979.24</v>
      </c>
      <c r="H116" s="82" t="n">
        <v>0.8972448979591841</v>
      </c>
      <c r="I116" s="44" t="n">
        <v>177</v>
      </c>
      <c r="J116" s="45" t="n">
        <v>42126</v>
      </c>
      <c r="K116" s="61">
        <f>E116/(I116+E116)</f>
        <v/>
      </c>
      <c r="L116" s="83">
        <f>I116/(E116/2.1)</f>
        <v/>
      </c>
      <c r="N116" s="41" t="inlineStr">
        <is>
          <t>Swim Accessories</t>
        </is>
      </c>
      <c r="O116" s="42" t="inlineStr">
        <is>
          <t>Adult Swim Goggles</t>
        </is>
      </c>
      <c r="P116" s="44" t="inlineStr">
        <is>
          <t>064109\72</t>
        </is>
      </c>
      <c r="Q116" s="44" t="n">
        <v>178</v>
      </c>
      <c r="R116" s="69" t="n">
        <v>1</v>
      </c>
      <c r="S116" s="45" t="n">
        <v>178</v>
      </c>
      <c r="T116" s="45" t="n">
        <v>125</v>
      </c>
      <c r="U116" s="82" t="n">
        <v>0.702247191011236</v>
      </c>
      <c r="V116" s="44" t="n">
        <v>137</v>
      </c>
      <c r="W116" s="45" t="n">
        <v>24386</v>
      </c>
      <c r="X116" s="61">
        <f>R116/(V116+R116)</f>
        <v/>
      </c>
      <c r="Y116" s="83">
        <f>V116/(R116/2.1)</f>
        <v/>
      </c>
    </row>
    <row r="117" ht="13.5" customHeight="1" s="75">
      <c r="A117" s="41" t="inlineStr">
        <is>
          <t>Swim Accessories</t>
        </is>
      </c>
      <c r="B117" s="42" t="inlineStr">
        <is>
          <t>Adult Swim Goggles</t>
        </is>
      </c>
      <c r="C117" s="44" t="inlineStr">
        <is>
          <t>113161113\72</t>
        </is>
      </c>
      <c r="D117" s="44" t="n">
        <v>238</v>
      </c>
      <c r="E117" s="44" t="n">
        <v>27</v>
      </c>
      <c r="F117" s="45" t="n">
        <v>6426</v>
      </c>
      <c r="G117" s="45" t="n">
        <v>5552.14</v>
      </c>
      <c r="H117" s="82" t="n">
        <v>0.864011826953003</v>
      </c>
      <c r="I117" s="44" t="n">
        <v>177</v>
      </c>
      <c r="J117" s="45" t="n">
        <v>42126</v>
      </c>
      <c r="K117" s="61">
        <f>E117/(I117+E117)</f>
        <v/>
      </c>
      <c r="L117" s="83">
        <f>I117/(E117/2.1)</f>
        <v/>
      </c>
      <c r="N117" s="41" t="inlineStr">
        <is>
          <t>Swim Accessories</t>
        </is>
      </c>
      <c r="O117" s="42" t="inlineStr">
        <is>
          <t>Adult Swim Goggles</t>
        </is>
      </c>
      <c r="P117" s="44" t="inlineStr">
        <is>
          <t>066101\74</t>
        </is>
      </c>
      <c r="Q117" s="44" t="n">
        <v>298</v>
      </c>
      <c r="R117" s="69" t="n">
        <v>1</v>
      </c>
      <c r="S117" s="45" t="n">
        <v>298</v>
      </c>
      <c r="T117" s="45" t="n">
        <v>298</v>
      </c>
      <c r="U117" s="82" t="n">
        <v>1</v>
      </c>
      <c r="V117" s="44" t="n">
        <v>18</v>
      </c>
      <c r="W117" s="45" t="n">
        <v>5364</v>
      </c>
      <c r="X117" s="61">
        <f>R117/(V117+R117)</f>
        <v/>
      </c>
      <c r="Y117" s="83">
        <f>V117/(R117/2.1)</f>
        <v/>
      </c>
    </row>
    <row r="118" ht="13.5" customHeight="1" s="75">
      <c r="A118" s="41" t="inlineStr">
        <is>
          <t>Swim Accessories</t>
        </is>
      </c>
      <c r="B118" s="42" t="inlineStr">
        <is>
          <t>Adult Swim Goggles</t>
        </is>
      </c>
      <c r="C118" s="44" t="inlineStr">
        <is>
          <t>113161107\80</t>
        </is>
      </c>
      <c r="D118" s="44" t="n">
        <v>238</v>
      </c>
      <c r="E118" s="44" t="n">
        <v>25</v>
      </c>
      <c r="F118" s="45" t="n">
        <v>5950</v>
      </c>
      <c r="G118" s="45" t="n">
        <v>5218.3</v>
      </c>
      <c r="H118" s="82" t="n">
        <v>0.877025210084034</v>
      </c>
      <c r="I118" s="44" t="n">
        <v>152</v>
      </c>
      <c r="J118" s="45" t="n">
        <v>36176</v>
      </c>
      <c r="K118" s="61">
        <f>E118/(I118+E118)</f>
        <v/>
      </c>
      <c r="L118" s="83">
        <f>I118/(E118/2.1)</f>
        <v/>
      </c>
      <c r="N118" s="41" t="inlineStr">
        <is>
          <t>Swim Accessories</t>
        </is>
      </c>
      <c r="O118" s="42" t="inlineStr">
        <is>
          <t>Adult Swim Goggles</t>
        </is>
      </c>
      <c r="P118" s="44" t="inlineStr">
        <is>
          <t>066115\26</t>
        </is>
      </c>
      <c r="Q118" s="44" t="n">
        <v>368</v>
      </c>
      <c r="R118" s="69" t="n">
        <v>1</v>
      </c>
      <c r="S118" s="45" t="n">
        <v>368</v>
      </c>
      <c r="T118" s="45" t="n">
        <v>258</v>
      </c>
      <c r="U118" s="82" t="n">
        <v>0.701086956521739</v>
      </c>
      <c r="V118" s="44" t="n">
        <v>3</v>
      </c>
      <c r="W118" s="45" t="n">
        <v>1104</v>
      </c>
      <c r="X118" s="61">
        <f>R118/(V118+R118)</f>
        <v/>
      </c>
      <c r="Y118" s="83">
        <f>V118/(R118/2.1)</f>
        <v/>
      </c>
    </row>
    <row r="119" ht="13.5" customHeight="1" s="75">
      <c r="A119" s="41" t="inlineStr">
        <is>
          <t>Swim Accessories</t>
        </is>
      </c>
      <c r="B119" s="42" t="inlineStr">
        <is>
          <t>Adult Swim Goggles</t>
        </is>
      </c>
      <c r="C119" s="44" t="inlineStr">
        <is>
          <t>113161113\91</t>
        </is>
      </c>
      <c r="D119" s="44" t="n">
        <v>238</v>
      </c>
      <c r="E119" s="44" t="n">
        <v>25</v>
      </c>
      <c r="F119" s="45" t="n">
        <v>5950</v>
      </c>
      <c r="G119" s="45" t="n">
        <v>5105.98</v>
      </c>
      <c r="H119" s="82" t="n">
        <v>0.8581478991596641</v>
      </c>
      <c r="I119" s="44" t="n">
        <v>228</v>
      </c>
      <c r="J119" s="45" t="n">
        <v>54264</v>
      </c>
      <c r="K119" s="61">
        <f>E119/(I119+E119)</f>
        <v/>
      </c>
      <c r="L119" s="83">
        <f>I119/(E119/2.1)</f>
        <v/>
      </c>
      <c r="N119" s="41" t="inlineStr">
        <is>
          <t>Swim Accessories</t>
        </is>
      </c>
      <c r="O119" s="42" t="inlineStr">
        <is>
          <t>Adult Swim Goggles</t>
        </is>
      </c>
      <c r="P119" s="44" t="inlineStr">
        <is>
          <t>10920004\71</t>
        </is>
      </c>
      <c r="Q119" s="44" t="n">
        <v>218</v>
      </c>
      <c r="R119" s="69" t="n">
        <v>1</v>
      </c>
      <c r="S119" s="45" t="n">
        <v>218</v>
      </c>
      <c r="T119" s="45" t="n">
        <v>196.2</v>
      </c>
      <c r="U119" s="82" t="n">
        <v>0.9</v>
      </c>
      <c r="V119" s="44" t="n">
        <v>94</v>
      </c>
      <c r="W119" s="45" t="n">
        <v>20492</v>
      </c>
      <c r="X119" s="61">
        <f>R119/(V119+R119)</f>
        <v/>
      </c>
      <c r="Y119" s="83">
        <f>V119/(R119/2.1)</f>
        <v/>
      </c>
    </row>
    <row r="120" ht="13.5" customHeight="1" s="75">
      <c r="A120" s="41" t="inlineStr">
        <is>
          <t>Swim Accessories</t>
        </is>
      </c>
      <c r="B120" s="42" t="inlineStr">
        <is>
          <t>Adult Swim Goggles</t>
        </is>
      </c>
      <c r="C120" s="44" t="inlineStr">
        <is>
          <t>113161104\67</t>
        </is>
      </c>
      <c r="D120" s="44" t="n">
        <v>328</v>
      </c>
      <c r="E120" s="44" t="n">
        <v>23</v>
      </c>
      <c r="F120" s="45" t="n">
        <v>7544</v>
      </c>
      <c r="G120" s="45" t="n">
        <v>6722.78</v>
      </c>
      <c r="H120" s="82" t="n">
        <v>0.8911426299045599</v>
      </c>
      <c r="I120" s="44" t="n">
        <v>122</v>
      </c>
      <c r="J120" s="45" t="n">
        <v>40016</v>
      </c>
      <c r="K120" s="61">
        <f>E120/(I120+E120)</f>
        <v/>
      </c>
      <c r="L120" s="83">
        <f>I120/(E120/2.1)</f>
        <v/>
      </c>
      <c r="N120" s="41" t="inlineStr">
        <is>
          <t>Swim Accessories</t>
        </is>
      </c>
      <c r="O120" s="42" t="inlineStr">
        <is>
          <t>Adult Swim Goggles</t>
        </is>
      </c>
      <c r="P120" s="44" t="inlineStr">
        <is>
          <t>10920004\92</t>
        </is>
      </c>
      <c r="Q120" s="44" t="n">
        <v>218</v>
      </c>
      <c r="R120" s="69" t="n">
        <v>1</v>
      </c>
      <c r="S120" s="45" t="n">
        <v>218</v>
      </c>
      <c r="T120" s="45" t="n">
        <v>218</v>
      </c>
      <c r="U120" s="82" t="n">
        <v>1</v>
      </c>
      <c r="V120" s="44" t="n">
        <v>51</v>
      </c>
      <c r="W120" s="45" t="n">
        <v>11118</v>
      </c>
      <c r="X120" s="61">
        <f>R120/(V120+R120)</f>
        <v/>
      </c>
      <c r="Y120" s="83">
        <f>V120/(R120/2.1)</f>
        <v/>
      </c>
    </row>
    <row r="121" ht="13.5" customHeight="1" s="75">
      <c r="A121" s="41" t="inlineStr">
        <is>
          <t>Swim Accessories</t>
        </is>
      </c>
      <c r="B121" s="42" t="inlineStr">
        <is>
          <t>Adult Swim Goggles</t>
        </is>
      </c>
      <c r="C121" s="44" t="inlineStr">
        <is>
          <t>113161109\45</t>
        </is>
      </c>
      <c r="D121" s="44" t="n">
        <v>328</v>
      </c>
      <c r="E121" s="44" t="n">
        <v>21</v>
      </c>
      <c r="F121" s="45" t="n">
        <v>6888</v>
      </c>
      <c r="G121" s="45" t="n">
        <v>6100.08</v>
      </c>
      <c r="H121" s="82" t="n">
        <v>0.885609756097561</v>
      </c>
      <c r="I121" s="44" t="n">
        <v>62</v>
      </c>
      <c r="J121" s="45" t="n">
        <v>20336</v>
      </c>
      <c r="K121" s="61">
        <f>E121/(I121+E121)</f>
        <v/>
      </c>
      <c r="L121" s="83">
        <f>I121/(E121/2.1)</f>
        <v/>
      </c>
      <c r="N121" s="41" t="inlineStr">
        <is>
          <t>Swim Accessories</t>
        </is>
      </c>
      <c r="O121" s="42" t="inlineStr">
        <is>
          <t>Adult Swim Goggles</t>
        </is>
      </c>
      <c r="P121" s="44" t="inlineStr">
        <is>
          <t>111161104\80</t>
        </is>
      </c>
      <c r="Q121" s="44" t="n">
        <v>368</v>
      </c>
      <c r="R121" s="69" t="n">
        <v>1</v>
      </c>
      <c r="S121" s="45" t="n">
        <v>368</v>
      </c>
      <c r="T121" s="45" t="n">
        <v>294.4</v>
      </c>
      <c r="U121" s="82" t="n">
        <v>0.8</v>
      </c>
      <c r="V121" s="44" t="n">
        <v>11</v>
      </c>
      <c r="W121" s="45" t="n">
        <v>4048</v>
      </c>
      <c r="X121" s="61">
        <f>R121/(V121+R121)</f>
        <v/>
      </c>
      <c r="Y121" s="83">
        <f>V121/(R121/2.1)</f>
        <v/>
      </c>
    </row>
    <row r="122" ht="13.5" customHeight="1" s="75">
      <c r="A122" s="41" t="inlineStr">
        <is>
          <t>Swim Accessories</t>
        </is>
      </c>
      <c r="B122" s="42" t="inlineStr">
        <is>
          <t>Adult Swim Goggles</t>
        </is>
      </c>
      <c r="C122" s="44" t="inlineStr">
        <is>
          <t>113161109\90</t>
        </is>
      </c>
      <c r="D122" s="44" t="n">
        <v>328</v>
      </c>
      <c r="E122" s="44" t="n">
        <v>19</v>
      </c>
      <c r="F122" s="45" t="n">
        <v>6232</v>
      </c>
      <c r="G122" s="45" t="n">
        <v>5594.9</v>
      </c>
      <c r="H122" s="82" t="n">
        <v>0.897769576379974</v>
      </c>
      <c r="I122" s="44" t="n">
        <v>173</v>
      </c>
      <c r="J122" s="45" t="n">
        <v>56744</v>
      </c>
      <c r="K122" s="61">
        <f>E122/(I122+E122)</f>
        <v/>
      </c>
      <c r="L122" s="83">
        <f>I122/(E122/2.1)</f>
        <v/>
      </c>
      <c r="N122" s="41" t="inlineStr">
        <is>
          <t>Swim Accessories</t>
        </is>
      </c>
      <c r="O122" s="42" t="inlineStr">
        <is>
          <t>Adult Swim Goggles</t>
        </is>
      </c>
      <c r="P122" s="44" t="inlineStr">
        <is>
          <t>111161108\64</t>
        </is>
      </c>
      <c r="Q122" s="44" t="n">
        <v>158</v>
      </c>
      <c r="R122" s="69" t="n">
        <v>1</v>
      </c>
      <c r="S122" s="45" t="n">
        <v>158</v>
      </c>
      <c r="T122" s="45" t="n">
        <v>214.4</v>
      </c>
      <c r="U122" s="82" t="n">
        <v>1.35696202531646</v>
      </c>
      <c r="V122" s="44" t="n">
        <v>15</v>
      </c>
      <c r="W122" s="45" t="n">
        <v>2370</v>
      </c>
      <c r="X122" s="61">
        <f>R122/(V122+R122)</f>
        <v/>
      </c>
      <c r="Y122" s="83">
        <f>V122/(R122/2.1)</f>
        <v/>
      </c>
    </row>
    <row r="123" ht="13.5" customHeight="1" s="75">
      <c r="A123" s="41" t="inlineStr">
        <is>
          <t>Swim Accessories</t>
        </is>
      </c>
      <c r="B123" s="42" t="inlineStr">
        <is>
          <t>Adult Swim Goggles</t>
        </is>
      </c>
      <c r="C123" s="44" t="inlineStr">
        <is>
          <t>065107\72</t>
        </is>
      </c>
      <c r="D123" s="44" t="n">
        <v>158</v>
      </c>
      <c r="E123" s="44" t="n">
        <v>14</v>
      </c>
      <c r="F123" s="45" t="n">
        <v>2212</v>
      </c>
      <c r="G123" s="45" t="n">
        <v>2884.6</v>
      </c>
      <c r="H123" s="82" t="n">
        <v>1.30406871609403</v>
      </c>
      <c r="I123" s="44" t="n">
        <v>131</v>
      </c>
      <c r="J123" s="45" t="n">
        <v>20698</v>
      </c>
      <c r="K123" s="61">
        <f>E123/(I123+E123)</f>
        <v/>
      </c>
      <c r="L123" s="83">
        <f>I123/(E123/2.1)</f>
        <v/>
      </c>
      <c r="N123" s="41" t="inlineStr">
        <is>
          <t>Swim Accessories</t>
        </is>
      </c>
      <c r="O123" s="42" t="inlineStr">
        <is>
          <t>Adult Swim Goggles</t>
        </is>
      </c>
      <c r="P123" s="44" t="inlineStr">
        <is>
          <t>111161112\97</t>
        </is>
      </c>
      <c r="Q123" s="44" t="n">
        <v>128</v>
      </c>
      <c r="R123" s="69" t="n">
        <v>1</v>
      </c>
      <c r="S123" s="45" t="n">
        <v>128</v>
      </c>
      <c r="T123" s="45" t="n">
        <v>89</v>
      </c>
      <c r="U123" s="82" t="n">
        <v>0.6953125</v>
      </c>
      <c r="V123" s="44" t="n">
        <v>95</v>
      </c>
      <c r="W123" s="45" t="n">
        <v>12160</v>
      </c>
      <c r="X123" s="61">
        <f>R123/(V123+R123)</f>
        <v/>
      </c>
      <c r="Y123" s="83">
        <f>V123/(R123/2.1)</f>
        <v/>
      </c>
    </row>
    <row r="124" ht="13.5" customHeight="1" s="75">
      <c r="A124" s="47" t="inlineStr">
        <is>
          <t>Swim Accessories</t>
        </is>
      </c>
      <c r="B124" s="48" t="inlineStr">
        <is>
          <t>Adult Swim Goggles</t>
        </is>
      </c>
      <c r="C124" s="50" t="inlineStr">
        <is>
          <t>112161103\80</t>
        </is>
      </c>
      <c r="D124" s="50" t="n">
        <v>238</v>
      </c>
      <c r="E124" s="50" t="n">
        <v>14</v>
      </c>
      <c r="F124" s="51" t="n">
        <v>3332</v>
      </c>
      <c r="G124" s="51" t="n">
        <v>2913</v>
      </c>
      <c r="H124" s="84" t="n">
        <v>0.874249699879952</v>
      </c>
      <c r="I124" s="50" t="n">
        <v>74</v>
      </c>
      <c r="J124" s="51" t="n">
        <v>17612</v>
      </c>
      <c r="K124" s="63">
        <f>E124/(I124+E124)</f>
        <v/>
      </c>
      <c r="L124" s="85">
        <f>I124/(E124/2.1)</f>
        <v/>
      </c>
      <c r="N124" s="47" t="inlineStr">
        <is>
          <t>Swim Accessories</t>
        </is>
      </c>
      <c r="O124" s="48" t="inlineStr">
        <is>
          <t>Adult Swim Goggles</t>
        </is>
      </c>
      <c r="P124" s="50" t="inlineStr">
        <is>
          <t>112161107\98</t>
        </is>
      </c>
      <c r="Q124" s="50" t="n">
        <v>298</v>
      </c>
      <c r="R124" s="70" t="n">
        <v>1</v>
      </c>
      <c r="S124" s="51" t="n">
        <v>298</v>
      </c>
      <c r="T124" s="51" t="n">
        <v>253.3</v>
      </c>
      <c r="U124" s="84" t="n">
        <v>0.85</v>
      </c>
      <c r="V124" s="50" t="n">
        <v>99</v>
      </c>
      <c r="W124" s="51" t="n">
        <v>29502</v>
      </c>
      <c r="X124" s="61">
        <f>R124/(V124+R124)</f>
        <v/>
      </c>
      <c r="Y124" s="83">
        <f>V124/(R124/2.1)</f>
        <v/>
      </c>
    </row>
    <row r="125" ht="13.5" customHeight="1" s="75">
      <c r="A125" s="38" t="inlineStr">
        <is>
          <t>Swim Accessories</t>
        </is>
      </c>
      <c r="B125" s="53" t="inlineStr">
        <is>
          <t>Adult Swim Cap</t>
        </is>
      </c>
      <c r="C125" s="53" t="inlineStr">
        <is>
          <t>113171101\75</t>
        </is>
      </c>
      <c r="D125" s="53" t="n">
        <v>48</v>
      </c>
      <c r="E125" s="53" t="n">
        <v>53</v>
      </c>
      <c r="F125" s="54" t="n">
        <v>2544</v>
      </c>
      <c r="G125" s="54" t="n">
        <v>2323.2</v>
      </c>
      <c r="H125" s="86" t="n">
        <v>0.913207547169811</v>
      </c>
      <c r="I125" s="53" t="n">
        <v>188</v>
      </c>
      <c r="J125" s="54" t="n">
        <v>9024</v>
      </c>
      <c r="K125" s="65">
        <f>E125/(I125+E125)</f>
        <v/>
      </c>
      <c r="L125" s="87">
        <f>I125/(E125/2.1)</f>
        <v/>
      </c>
      <c r="N125" s="42" t="inlineStr">
        <is>
          <t>Swim Accessories</t>
        </is>
      </c>
      <c r="O125" s="44" t="inlineStr">
        <is>
          <t>Adult Swim Cap</t>
        </is>
      </c>
      <c r="P125" s="44" t="inlineStr">
        <is>
          <t>074401\10</t>
        </is>
      </c>
      <c r="Q125" s="44" t="n">
        <v>50</v>
      </c>
      <c r="R125" s="69" t="n">
        <v>1</v>
      </c>
      <c r="S125" s="45" t="n">
        <v>50</v>
      </c>
      <c r="T125" s="45" t="n">
        <v>50</v>
      </c>
      <c r="U125" s="82" t="n">
        <v>1</v>
      </c>
      <c r="V125" s="44" t="n">
        <v>2</v>
      </c>
      <c r="W125" s="45" t="n">
        <v>100</v>
      </c>
      <c r="X125" s="61">
        <f>R125/(V125+R125)</f>
        <v/>
      </c>
      <c r="Y125" s="83">
        <f>V125/(R125/2.1)</f>
        <v/>
      </c>
    </row>
    <row r="126" ht="13.5" customHeight="1" s="75">
      <c r="A126" s="41" t="inlineStr">
        <is>
          <t>Swim Accessories</t>
        </is>
      </c>
      <c r="B126" s="42" t="inlineStr">
        <is>
          <t>Adult Swim Cap</t>
        </is>
      </c>
      <c r="C126" s="44" t="inlineStr">
        <is>
          <t>113171101\80</t>
        </is>
      </c>
      <c r="D126" s="44" t="n">
        <v>48</v>
      </c>
      <c r="E126" s="44" t="n">
        <v>37</v>
      </c>
      <c r="F126" s="45" t="n">
        <v>1776</v>
      </c>
      <c r="G126" s="45" t="n">
        <v>1663.04</v>
      </c>
      <c r="H126" s="82" t="n">
        <v>0.936396396396396</v>
      </c>
      <c r="I126" s="44" t="n">
        <v>195</v>
      </c>
      <c r="J126" s="45" t="n">
        <v>9360</v>
      </c>
      <c r="K126" s="61">
        <f>E126/(I126+E126)</f>
        <v/>
      </c>
      <c r="L126" s="83">
        <f>I126/(E126/2.1)</f>
        <v/>
      </c>
      <c r="N126" s="42" t="inlineStr">
        <is>
          <t>Swim Accessories</t>
        </is>
      </c>
      <c r="O126" s="42" t="inlineStr">
        <is>
          <t>Adult Swim Cap</t>
        </is>
      </c>
      <c r="P126" s="44" t="inlineStr">
        <is>
          <t>110171104\92</t>
        </is>
      </c>
      <c r="Q126" s="44" t="n">
        <v>38</v>
      </c>
      <c r="R126" s="69" t="n">
        <v>1</v>
      </c>
      <c r="S126" s="45" t="n">
        <v>38</v>
      </c>
      <c r="T126" s="45" t="n">
        <v>34.2</v>
      </c>
      <c r="U126" s="82" t="n">
        <v>0.9</v>
      </c>
      <c r="V126" s="44" t="n">
        <v>10</v>
      </c>
      <c r="W126" s="45" t="n">
        <v>380</v>
      </c>
      <c r="X126" s="61">
        <f>R126/(V126+R126)</f>
        <v/>
      </c>
      <c r="Y126" s="83">
        <f>V126/(R126/2.1)</f>
        <v/>
      </c>
    </row>
    <row r="127" ht="13.5" customHeight="1" s="75">
      <c r="A127" s="41" t="inlineStr">
        <is>
          <t>Swim Accessories</t>
        </is>
      </c>
      <c r="B127" s="42" t="inlineStr">
        <is>
          <t>Adult Swim Cap</t>
        </is>
      </c>
      <c r="C127" s="44" t="inlineStr">
        <is>
          <t>077701\75</t>
        </is>
      </c>
      <c r="D127" s="44" t="n">
        <v>158</v>
      </c>
      <c r="E127" s="44" t="n">
        <v>31</v>
      </c>
      <c r="F127" s="45" t="n">
        <v>4898</v>
      </c>
      <c r="G127" s="45" t="n">
        <v>4309</v>
      </c>
      <c r="H127" s="82" t="n">
        <v>0.879746835443038</v>
      </c>
      <c r="I127" s="44" t="n">
        <v>134</v>
      </c>
      <c r="J127" s="45" t="n">
        <v>21172</v>
      </c>
      <c r="K127" s="61">
        <f>E127/(I127+E127)</f>
        <v/>
      </c>
      <c r="L127" s="83">
        <f>I127/(E127/2.1)</f>
        <v/>
      </c>
      <c r="N127" s="42" t="inlineStr">
        <is>
          <t>Swim Accessories</t>
        </is>
      </c>
      <c r="O127" s="42" t="inlineStr">
        <is>
          <t>Adult Swim Cap</t>
        </is>
      </c>
      <c r="P127" s="44" t="inlineStr">
        <is>
          <t>111171103\34</t>
        </is>
      </c>
      <c r="Q127" s="44" t="n">
        <v>38</v>
      </c>
      <c r="R127" s="69" t="n">
        <v>1</v>
      </c>
      <c r="S127" s="45" t="n">
        <v>38</v>
      </c>
      <c r="T127" s="45" t="n">
        <v>38</v>
      </c>
      <c r="U127" s="82" t="n">
        <v>1</v>
      </c>
      <c r="V127" s="44" t="n">
        <v>125</v>
      </c>
      <c r="W127" s="45" t="n">
        <v>4750</v>
      </c>
      <c r="X127" s="61">
        <f>R127/(V127+R127)</f>
        <v/>
      </c>
      <c r="Y127" s="83">
        <f>V127/(R127/2.1)</f>
        <v/>
      </c>
    </row>
    <row r="128" ht="13.5" customHeight="1" s="75">
      <c r="A128" s="41" t="inlineStr">
        <is>
          <t>Swim Accessories</t>
        </is>
      </c>
      <c r="B128" s="42" t="inlineStr">
        <is>
          <t>Adult Swim Cap</t>
        </is>
      </c>
      <c r="C128" s="44" t="inlineStr">
        <is>
          <t>178403\92</t>
        </is>
      </c>
      <c r="D128" s="44" t="n">
        <v>158</v>
      </c>
      <c r="E128" s="44" t="n">
        <v>31</v>
      </c>
      <c r="F128" s="45" t="n">
        <v>4898</v>
      </c>
      <c r="G128" s="45" t="n">
        <v>4251.74</v>
      </c>
      <c r="H128" s="82" t="n">
        <v>0.868056349530421</v>
      </c>
      <c r="I128" s="44" t="n">
        <v>230</v>
      </c>
      <c r="J128" s="45" t="n">
        <v>36340</v>
      </c>
      <c r="K128" s="61">
        <f>E128/(I128+E128)</f>
        <v/>
      </c>
      <c r="L128" s="83">
        <f>I128/(E128/2.1)</f>
        <v/>
      </c>
      <c r="N128" s="42" t="inlineStr">
        <is>
          <t>Swim Accessories</t>
        </is>
      </c>
      <c r="O128" s="42" t="inlineStr">
        <is>
          <t>Adult Swim Cap</t>
        </is>
      </c>
      <c r="P128" s="44" t="inlineStr">
        <is>
          <t>111171104\31</t>
        </is>
      </c>
      <c r="Q128" s="44" t="n">
        <v>38</v>
      </c>
      <c r="R128" s="69" t="n">
        <v>1</v>
      </c>
      <c r="S128" s="45" t="n">
        <v>38</v>
      </c>
      <c r="T128" s="45" t="n">
        <v>32.3</v>
      </c>
      <c r="U128" s="82" t="n">
        <v>0.85</v>
      </c>
      <c r="V128" s="44" t="n">
        <v>23</v>
      </c>
      <c r="W128" s="45" t="n">
        <v>874</v>
      </c>
      <c r="X128" s="61">
        <f>R128/(V128+R128)</f>
        <v/>
      </c>
      <c r="Y128" s="83">
        <f>V128/(R128/2.1)</f>
        <v/>
      </c>
    </row>
    <row r="129" ht="13.5" customHeight="1" s="75">
      <c r="A129" s="41" t="inlineStr">
        <is>
          <t>Swim Accessories</t>
        </is>
      </c>
      <c r="B129" s="42" t="inlineStr">
        <is>
          <t>Adult Swim Cap</t>
        </is>
      </c>
      <c r="C129" s="44" t="inlineStr">
        <is>
          <t>074501\69</t>
        </is>
      </c>
      <c r="D129" s="44" t="n">
        <v>60</v>
      </c>
      <c r="E129" s="44" t="n">
        <v>29</v>
      </c>
      <c r="F129" s="45" t="n">
        <v>1740</v>
      </c>
      <c r="G129" s="45" t="n">
        <v>1618.6</v>
      </c>
      <c r="H129" s="82" t="n">
        <v>0.930229885057471</v>
      </c>
      <c r="I129" s="44" t="n">
        <v>227</v>
      </c>
      <c r="J129" s="45" t="n">
        <v>13620</v>
      </c>
      <c r="K129" s="61">
        <f>E129/(I129+E129)</f>
        <v/>
      </c>
      <c r="L129" s="83">
        <f>I129/(E129/2.1)</f>
        <v/>
      </c>
      <c r="N129" s="42" t="inlineStr">
        <is>
          <t>Swim Accessories</t>
        </is>
      </c>
      <c r="O129" s="42" t="inlineStr">
        <is>
          <t>Adult Swim Cap</t>
        </is>
      </c>
      <c r="P129" s="44" t="inlineStr">
        <is>
          <t>111171127\75</t>
        </is>
      </c>
      <c r="Q129" s="44" t="n">
        <v>38</v>
      </c>
      <c r="R129" s="69" t="n">
        <v>1</v>
      </c>
      <c r="S129" s="45" t="n">
        <v>38</v>
      </c>
      <c r="T129" s="45" t="n">
        <v>38</v>
      </c>
      <c r="U129" s="82" t="n">
        <v>1</v>
      </c>
      <c r="V129" s="44" t="n">
        <v>6</v>
      </c>
      <c r="W129" s="45" t="n">
        <v>228</v>
      </c>
      <c r="X129" s="61">
        <f>R129/(V129+R129)</f>
        <v/>
      </c>
      <c r="Y129" s="83">
        <f>V129/(R129/2.1)</f>
        <v/>
      </c>
    </row>
    <row r="130" ht="13.5" customHeight="1" s="75">
      <c r="A130" s="41" t="inlineStr">
        <is>
          <t>Swim Accessories</t>
        </is>
      </c>
      <c r="B130" s="42" t="inlineStr">
        <is>
          <t>Adult Swim Cap</t>
        </is>
      </c>
      <c r="C130" s="44" t="inlineStr">
        <is>
          <t>074501\76</t>
        </is>
      </c>
      <c r="D130" s="44" t="n">
        <v>60</v>
      </c>
      <c r="E130" s="44" t="n">
        <v>29</v>
      </c>
      <c r="F130" s="45" t="n">
        <v>1740</v>
      </c>
      <c r="G130" s="45" t="n">
        <v>1566.8</v>
      </c>
      <c r="H130" s="82" t="n">
        <v>0.900459770114942</v>
      </c>
      <c r="I130" s="44" t="n">
        <v>221</v>
      </c>
      <c r="J130" s="45" t="n">
        <v>13260</v>
      </c>
      <c r="K130" s="61">
        <f>E130/(I130+E130)</f>
        <v/>
      </c>
      <c r="L130" s="83">
        <f>I130/(E130/2.1)</f>
        <v/>
      </c>
      <c r="N130" s="42" t="inlineStr">
        <is>
          <t>Swim Accessories</t>
        </is>
      </c>
      <c r="O130" s="42" t="inlineStr">
        <is>
          <t>Adult Swim Cap</t>
        </is>
      </c>
      <c r="P130" s="44" t="inlineStr">
        <is>
          <t>111171130\70</t>
        </is>
      </c>
      <c r="Q130" s="44" t="n">
        <v>38</v>
      </c>
      <c r="R130" s="69" t="n">
        <v>1</v>
      </c>
      <c r="S130" s="45" t="n">
        <v>38</v>
      </c>
      <c r="T130" s="45" t="n">
        <v>38</v>
      </c>
      <c r="U130" s="82" t="n">
        <v>1</v>
      </c>
      <c r="V130" s="44" t="n">
        <v>8</v>
      </c>
      <c r="W130" s="45" t="n">
        <v>304</v>
      </c>
      <c r="X130" s="61">
        <f>R130/(V130+R130)</f>
        <v/>
      </c>
      <c r="Y130" s="83">
        <f>V130/(R130/2.1)</f>
        <v/>
      </c>
    </row>
    <row r="131" ht="13.5" customHeight="1" s="75">
      <c r="A131" s="41" t="inlineStr">
        <is>
          <t>Swim Accessories</t>
        </is>
      </c>
      <c r="B131" s="42" t="inlineStr">
        <is>
          <t>Adult Swim Cap</t>
        </is>
      </c>
      <c r="C131" s="44" t="inlineStr">
        <is>
          <t>077701\69</t>
        </is>
      </c>
      <c r="D131" s="44" t="n">
        <v>158</v>
      </c>
      <c r="E131" s="44" t="n">
        <v>28</v>
      </c>
      <c r="F131" s="45" t="n">
        <v>4424</v>
      </c>
      <c r="G131" s="45" t="n">
        <v>3833.6</v>
      </c>
      <c r="H131" s="82" t="n">
        <v>0.866546112115732</v>
      </c>
      <c r="I131" s="44" t="n">
        <v>313</v>
      </c>
      <c r="J131" s="45" t="n">
        <v>49454</v>
      </c>
      <c r="K131" s="61">
        <f>E131/(I131+E131)</f>
        <v/>
      </c>
      <c r="L131" s="83">
        <f>I131/(E131/2.1)</f>
        <v/>
      </c>
      <c r="N131" s="42" t="inlineStr">
        <is>
          <t>Swim Accessories</t>
        </is>
      </c>
      <c r="O131" s="42" t="inlineStr">
        <is>
          <t>Adult Swim Cap</t>
        </is>
      </c>
      <c r="P131" s="44" t="inlineStr">
        <is>
          <t>111171401\80</t>
        </is>
      </c>
      <c r="Q131" s="44" t="n">
        <v>78</v>
      </c>
      <c r="R131" s="69" t="n">
        <v>1</v>
      </c>
      <c r="S131" s="45" t="n">
        <v>78</v>
      </c>
      <c r="T131" s="45" t="n">
        <v>63.2</v>
      </c>
      <c r="U131" s="82" t="n">
        <v>0.81025641025641</v>
      </c>
      <c r="V131" s="44" t="n">
        <v>79</v>
      </c>
      <c r="W131" s="45" t="n">
        <v>6162</v>
      </c>
      <c r="X131" s="61">
        <f>R131/(V131+R131)</f>
        <v/>
      </c>
      <c r="Y131" s="83">
        <f>V131/(R131/2.1)</f>
        <v/>
      </c>
    </row>
    <row r="132" ht="13.5" customHeight="1" s="75">
      <c r="A132" s="41" t="inlineStr">
        <is>
          <t>Swim Accessories</t>
        </is>
      </c>
      <c r="B132" s="42" t="inlineStr">
        <is>
          <t>Adult Swim Cap</t>
        </is>
      </c>
      <c r="C132" s="44" t="inlineStr">
        <is>
          <t>074101\80</t>
        </is>
      </c>
      <c r="D132" s="44" t="n">
        <v>30</v>
      </c>
      <c r="E132" s="44" t="n">
        <v>24</v>
      </c>
      <c r="F132" s="45" t="n">
        <v>720</v>
      </c>
      <c r="G132" s="45" t="n">
        <v>657.8</v>
      </c>
      <c r="H132" s="82" t="n">
        <v>0.913611111111111</v>
      </c>
      <c r="I132" s="44" t="n">
        <v>85</v>
      </c>
      <c r="J132" s="45" t="n">
        <v>2550</v>
      </c>
      <c r="K132" s="61">
        <f>E132/(I132+E132)</f>
        <v/>
      </c>
      <c r="L132" s="83">
        <f>I132/(E132/2.1)</f>
        <v/>
      </c>
      <c r="N132" s="42" t="inlineStr">
        <is>
          <t>Swim Accessories</t>
        </is>
      </c>
      <c r="O132" s="42" t="inlineStr">
        <is>
          <t>Adult Swim Cap</t>
        </is>
      </c>
      <c r="P132" s="44" t="inlineStr">
        <is>
          <t>111171501\75</t>
        </is>
      </c>
      <c r="Q132" s="44" t="n">
        <v>98</v>
      </c>
      <c r="R132" s="69" t="n">
        <v>1</v>
      </c>
      <c r="S132" s="45" t="n">
        <v>98</v>
      </c>
      <c r="T132" s="45" t="n">
        <v>88.2</v>
      </c>
      <c r="U132" s="82" t="n">
        <v>0.9</v>
      </c>
      <c r="V132" s="44" t="n">
        <v>45</v>
      </c>
      <c r="W132" s="45" t="n">
        <v>4410</v>
      </c>
      <c r="X132" s="61">
        <f>R132/(V132+R132)</f>
        <v/>
      </c>
      <c r="Y132" s="83">
        <f>V132/(R132/2.1)</f>
        <v/>
      </c>
    </row>
    <row r="133" ht="13.5" customHeight="1" s="75">
      <c r="A133" s="41" t="inlineStr">
        <is>
          <t>Swim Accessories</t>
        </is>
      </c>
      <c r="B133" s="42" t="inlineStr">
        <is>
          <t>Adult Swim Cap</t>
        </is>
      </c>
      <c r="C133" s="44" t="inlineStr">
        <is>
          <t>074501\92</t>
        </is>
      </c>
      <c r="D133" s="44" t="n">
        <v>60</v>
      </c>
      <c r="E133" s="44" t="n">
        <v>24</v>
      </c>
      <c r="F133" s="45" t="n">
        <v>1440</v>
      </c>
      <c r="G133" s="45" t="n">
        <v>1306.4</v>
      </c>
      <c r="H133" s="82" t="n">
        <v>0.907222222222222</v>
      </c>
      <c r="I133" s="44" t="n">
        <v>217</v>
      </c>
      <c r="J133" s="45" t="n">
        <v>13020</v>
      </c>
      <c r="K133" s="61">
        <f>E133/(I133+E133)</f>
        <v/>
      </c>
      <c r="L133" s="83">
        <f>I133/(E133/2.1)</f>
        <v/>
      </c>
      <c r="N133" s="42" t="inlineStr">
        <is>
          <t>Swim Accessories</t>
        </is>
      </c>
      <c r="O133" s="42" t="inlineStr">
        <is>
          <t>Adult Swim Cap</t>
        </is>
      </c>
      <c r="P133" s="44" t="inlineStr">
        <is>
          <t>111171501\92</t>
        </is>
      </c>
      <c r="Q133" s="44" t="n">
        <v>98</v>
      </c>
      <c r="R133" s="69" t="n">
        <v>1</v>
      </c>
      <c r="S133" s="45" t="n">
        <v>98</v>
      </c>
      <c r="T133" s="45" t="n">
        <v>67</v>
      </c>
      <c r="U133" s="82" t="n">
        <v>0.683673469387755</v>
      </c>
      <c r="V133" s="44" t="n">
        <v>5</v>
      </c>
      <c r="W133" s="45" t="n">
        <v>490</v>
      </c>
      <c r="X133" s="61">
        <f>R133/(V133+R133)</f>
        <v/>
      </c>
      <c r="Y133" s="83">
        <f>V133/(R133/2.1)</f>
        <v/>
      </c>
    </row>
    <row r="134" ht="13.5" customHeight="1" s="75">
      <c r="A134" s="47" t="inlineStr">
        <is>
          <t>Swim Accessories</t>
        </is>
      </c>
      <c r="B134" s="48" t="inlineStr">
        <is>
          <t>Adult Swim Cap</t>
        </is>
      </c>
      <c r="C134" s="50" t="inlineStr">
        <is>
          <t>113171101\74</t>
        </is>
      </c>
      <c r="D134" s="50" t="n">
        <v>48</v>
      </c>
      <c r="E134" s="50" t="n">
        <v>24</v>
      </c>
      <c r="F134" s="51" t="n">
        <v>1152</v>
      </c>
      <c r="G134" s="51" t="n">
        <v>1049.78</v>
      </c>
      <c r="H134" s="84" t="n">
        <v>0.911267361111111</v>
      </c>
      <c r="I134" s="50" t="n">
        <v>179</v>
      </c>
      <c r="J134" s="51" t="n">
        <v>8592</v>
      </c>
      <c r="K134" s="63">
        <f>E134/(I134+E134)</f>
        <v/>
      </c>
      <c r="L134" s="85">
        <f>I134/(E134/2.1)</f>
        <v/>
      </c>
      <c r="N134" s="42" t="inlineStr">
        <is>
          <t>Swim Accessories</t>
        </is>
      </c>
      <c r="O134" s="42" t="inlineStr">
        <is>
          <t>Adult Swim Cap</t>
        </is>
      </c>
      <c r="P134" s="44" t="inlineStr">
        <is>
          <t>112171101\92</t>
        </is>
      </c>
      <c r="Q134" s="44" t="n">
        <v>38</v>
      </c>
      <c r="R134" s="69" t="n">
        <v>1</v>
      </c>
      <c r="S134" s="45" t="n">
        <v>38</v>
      </c>
      <c r="T134" s="45" t="n">
        <v>38</v>
      </c>
      <c r="U134" s="82" t="n">
        <v>1</v>
      </c>
      <c r="V134" s="44" t="n">
        <v>31</v>
      </c>
      <c r="W134" s="45" t="n">
        <v>1178</v>
      </c>
      <c r="X134" s="61">
        <f>R134/(V134+R134)</f>
        <v/>
      </c>
      <c r="Y134" s="83">
        <f>V134/(R134/2.1)</f>
        <v/>
      </c>
    </row>
    <row r="135" ht="13.5" customHeight="1" s="75">
      <c r="A135" s="38" t="inlineStr">
        <is>
          <t>Sports Bra</t>
        </is>
      </c>
      <c r="B135" s="53" t="inlineStr">
        <is>
          <t>Canshou</t>
        </is>
      </c>
      <c r="C135" s="53" t="inlineStr">
        <is>
          <t>110431301\61</t>
        </is>
      </c>
      <c r="D135" s="53" t="n">
        <v>108</v>
      </c>
      <c r="E135" s="53" t="n">
        <v>134</v>
      </c>
      <c r="F135" s="54" t="n">
        <v>14472</v>
      </c>
      <c r="G135" s="54" t="n">
        <v>10910.2</v>
      </c>
      <c r="H135" s="86" t="n">
        <v>0.753883360972913</v>
      </c>
      <c r="I135" s="53" t="n">
        <v>389</v>
      </c>
      <c r="J135" s="54" t="n">
        <v>42012</v>
      </c>
      <c r="K135" s="65">
        <f>E135/(I135+E135)</f>
        <v/>
      </c>
      <c r="L135" s="87">
        <f>I135/(E135/2.1)</f>
        <v/>
      </c>
      <c r="N135" s="38" t="inlineStr">
        <is>
          <t>Sports Bra</t>
        </is>
      </c>
      <c r="O135" s="53" t="inlineStr">
        <is>
          <t>Tank top</t>
        </is>
      </c>
      <c r="P135" s="53" t="inlineStr">
        <is>
          <t>111431204\80</t>
        </is>
      </c>
      <c r="Q135" s="53" t="n">
        <v>138</v>
      </c>
      <c r="R135" s="71" t="n">
        <v>1</v>
      </c>
      <c r="S135" s="54" t="n">
        <v>138</v>
      </c>
      <c r="T135" s="54" t="n">
        <v>97</v>
      </c>
      <c r="U135" s="86" t="n">
        <v>0.702898550724638</v>
      </c>
      <c r="V135" s="53" t="n">
        <v>45</v>
      </c>
      <c r="W135" s="54" t="n">
        <v>6210</v>
      </c>
      <c r="X135" s="61">
        <f>R135/(V135+R135)</f>
        <v/>
      </c>
      <c r="Y135" s="83">
        <f>V135/(R135/2.1)</f>
        <v/>
      </c>
    </row>
    <row r="136" ht="13.5" customHeight="1" s="75">
      <c r="A136" s="41" t="inlineStr">
        <is>
          <t>Sports Bra</t>
        </is>
      </c>
      <c r="B136" s="42" t="inlineStr">
        <is>
          <t>Canshou</t>
        </is>
      </c>
      <c r="C136" s="44" t="inlineStr">
        <is>
          <t>110431301\10</t>
        </is>
      </c>
      <c r="D136" s="44" t="n">
        <v>108</v>
      </c>
      <c r="E136" s="44" t="n">
        <v>118</v>
      </c>
      <c r="F136" s="45" t="n">
        <v>12744</v>
      </c>
      <c r="G136" s="45" t="n">
        <v>9785.139999999999</v>
      </c>
      <c r="H136" s="82" t="n">
        <v>0.767823289391086</v>
      </c>
      <c r="I136" s="44" t="n">
        <v>274</v>
      </c>
      <c r="J136" s="45" t="n">
        <v>29592</v>
      </c>
      <c r="K136" s="61">
        <f>E136/(I136+E136)</f>
        <v/>
      </c>
      <c r="L136" s="83">
        <f>I136/(E136/2.1)</f>
        <v/>
      </c>
      <c r="N136" s="41" t="inlineStr">
        <is>
          <t>Sports Bra</t>
        </is>
      </c>
      <c r="O136" s="42" t="inlineStr">
        <is>
          <t>Long sleeve</t>
        </is>
      </c>
      <c r="P136" s="44" t="inlineStr">
        <is>
          <t>111421503\70</t>
        </is>
      </c>
      <c r="Q136" s="44" t="n">
        <v>238</v>
      </c>
      <c r="R136" s="69" t="n">
        <v>1</v>
      </c>
      <c r="S136" s="45" t="n">
        <v>238</v>
      </c>
      <c r="T136" s="45" t="n">
        <v>167</v>
      </c>
      <c r="U136" s="82" t="n">
        <v>0.701680672268908</v>
      </c>
      <c r="V136" s="44" t="n">
        <v>49</v>
      </c>
      <c r="W136" s="45" t="n">
        <v>11662</v>
      </c>
      <c r="X136" s="61">
        <f>R136/(V136+R136)</f>
        <v/>
      </c>
      <c r="Y136" s="83">
        <f>V136/(R136/2.1)</f>
        <v/>
      </c>
    </row>
    <row r="137" ht="13.5" customHeight="1" s="75">
      <c r="A137" s="41" t="inlineStr">
        <is>
          <t>Sports Bra</t>
        </is>
      </c>
      <c r="B137" s="42" t="inlineStr">
        <is>
          <t>Canshou</t>
        </is>
      </c>
      <c r="C137" s="44" t="inlineStr">
        <is>
          <t>110431301\80</t>
        </is>
      </c>
      <c r="D137" s="44" t="n">
        <v>108</v>
      </c>
      <c r="E137" s="44" t="n">
        <v>94</v>
      </c>
      <c r="F137" s="45" t="n">
        <v>10152</v>
      </c>
      <c r="G137" s="45" t="n">
        <v>7981.3</v>
      </c>
      <c r="H137" s="82" t="n">
        <v>0.786180063041765</v>
      </c>
      <c r="I137" s="44" t="n">
        <v>548</v>
      </c>
      <c r="J137" s="45" t="n">
        <v>59184</v>
      </c>
      <c r="K137" s="61">
        <f>E137/(I137+E137)</f>
        <v/>
      </c>
      <c r="L137" s="83">
        <f>I137/(E137/2.1)</f>
        <v/>
      </c>
      <c r="N137" s="41" t="inlineStr">
        <is>
          <t>Sports Bra</t>
        </is>
      </c>
      <c r="O137" s="42" t="inlineStr">
        <is>
          <t>Long sleeve</t>
        </is>
      </c>
      <c r="P137" s="44" t="inlineStr">
        <is>
          <t>111421503\80</t>
        </is>
      </c>
      <c r="Q137" s="44" t="n">
        <v>238</v>
      </c>
      <c r="R137" s="69" t="n">
        <v>1</v>
      </c>
      <c r="S137" s="45" t="n">
        <v>238</v>
      </c>
      <c r="T137" s="45" t="n">
        <v>167</v>
      </c>
      <c r="U137" s="82" t="n">
        <v>0.701680672268908</v>
      </c>
      <c r="V137" s="44" t="n">
        <v>17</v>
      </c>
      <c r="W137" s="45" t="n">
        <v>4046</v>
      </c>
      <c r="X137" s="61">
        <f>R137/(V137+R137)</f>
        <v/>
      </c>
      <c r="Y137" s="83">
        <f>V137/(R137/2.1)</f>
        <v/>
      </c>
    </row>
    <row r="138" ht="13.5" customHeight="1" s="75">
      <c r="A138" s="41" t="inlineStr">
        <is>
          <t>Sports Bra</t>
        </is>
      </c>
      <c r="B138" s="42" t="inlineStr">
        <is>
          <t>Tank top</t>
        </is>
      </c>
      <c r="C138" s="44" t="inlineStr">
        <is>
          <t>110431201\61</t>
        </is>
      </c>
      <c r="D138" s="44" t="n">
        <v>78</v>
      </c>
      <c r="E138" s="44" t="n">
        <v>86</v>
      </c>
      <c r="F138" s="45" t="n">
        <v>6708</v>
      </c>
      <c r="G138" s="45" t="n">
        <v>5231.9</v>
      </c>
      <c r="H138" s="82" t="n">
        <v>0.77994931425164</v>
      </c>
      <c r="I138" s="44" t="n">
        <v>605</v>
      </c>
      <c r="J138" s="45" t="n">
        <v>47190</v>
      </c>
      <c r="K138" s="61">
        <f>E138/(I138+E138)</f>
        <v/>
      </c>
      <c r="L138" s="83">
        <f>I138/(E138/2.1)</f>
        <v/>
      </c>
      <c r="N138" s="41" t="inlineStr">
        <is>
          <t>Sports Bra</t>
        </is>
      </c>
      <c r="O138" s="42" t="inlineStr">
        <is>
          <t>Long sleeve</t>
        </is>
      </c>
      <c r="P138" s="44" t="inlineStr">
        <is>
          <t>111431501\83</t>
        </is>
      </c>
      <c r="Q138" s="44" t="n">
        <v>238</v>
      </c>
      <c r="R138" s="69" t="n">
        <v>1</v>
      </c>
      <c r="S138" s="45" t="n">
        <v>238</v>
      </c>
      <c r="T138" s="45" t="n">
        <v>190</v>
      </c>
      <c r="U138" s="82" t="n">
        <v>0.798319327731092</v>
      </c>
      <c r="V138" s="44" t="n">
        <v>58</v>
      </c>
      <c r="W138" s="45" t="n">
        <v>13804</v>
      </c>
      <c r="X138" s="61">
        <f>R138/(V138+R138)</f>
        <v/>
      </c>
      <c r="Y138" s="83">
        <f>V138/(R138/2.1)</f>
        <v/>
      </c>
    </row>
    <row r="139" ht="13.5" customHeight="1" s="75">
      <c r="A139" s="41" t="inlineStr">
        <is>
          <t>Sports Bra</t>
        </is>
      </c>
      <c r="B139" s="42" t="inlineStr">
        <is>
          <t>Tank top</t>
        </is>
      </c>
      <c r="C139" s="44" t="inlineStr">
        <is>
          <t>110431201\10</t>
        </is>
      </c>
      <c r="D139" s="44" t="n">
        <v>78</v>
      </c>
      <c r="E139" s="44" t="n">
        <v>84</v>
      </c>
      <c r="F139" s="45" t="n">
        <v>6552</v>
      </c>
      <c r="G139" s="45" t="n">
        <v>5089.8</v>
      </c>
      <c r="H139" s="82" t="n">
        <v>0.776831501831502</v>
      </c>
      <c r="I139" s="44" t="n">
        <v>556</v>
      </c>
      <c r="J139" s="45" t="n">
        <v>43368</v>
      </c>
      <c r="K139" s="61">
        <f>E139/(I139+E139)</f>
        <v/>
      </c>
      <c r="L139" s="83">
        <f>I139/(E139/2.1)</f>
        <v/>
      </c>
      <c r="N139" s="41" t="inlineStr">
        <is>
          <t>Sports Bra</t>
        </is>
      </c>
      <c r="O139" s="42" t="inlineStr">
        <is>
          <t>Short sleeve</t>
        </is>
      </c>
      <c r="P139" s="44" t="inlineStr">
        <is>
          <t>111431402\95</t>
        </is>
      </c>
      <c r="Q139" s="44" t="n">
        <v>198</v>
      </c>
      <c r="R139" s="69" t="n">
        <v>1</v>
      </c>
      <c r="S139" s="45" t="n">
        <v>198</v>
      </c>
      <c r="T139" s="45" t="n">
        <v>139</v>
      </c>
      <c r="U139" s="82" t="n">
        <v>0.702020202020202</v>
      </c>
      <c r="V139" s="44" t="n">
        <v>48</v>
      </c>
      <c r="W139" s="45" t="n">
        <v>9504</v>
      </c>
      <c r="X139" s="61">
        <f>R139/(V139+R139)</f>
        <v/>
      </c>
      <c r="Y139" s="83">
        <f>V139/(R139/2.1)</f>
        <v/>
      </c>
    </row>
    <row r="140" ht="13.5" customHeight="1" s="75">
      <c r="A140" s="41" t="inlineStr">
        <is>
          <t>Sports Bra</t>
        </is>
      </c>
      <c r="B140" s="42" t="inlineStr">
        <is>
          <t>Short sleeve</t>
        </is>
      </c>
      <c r="C140" s="44" t="inlineStr">
        <is>
          <t>110421401\61</t>
        </is>
      </c>
      <c r="D140" s="44" t="n">
        <v>108</v>
      </c>
      <c r="E140" s="44" t="n">
        <v>83</v>
      </c>
      <c r="F140" s="45" t="n">
        <v>8964</v>
      </c>
      <c r="G140" s="45" t="n">
        <v>7213.5</v>
      </c>
      <c r="H140" s="82" t="n">
        <v>0.804718875502008</v>
      </c>
      <c r="I140" s="44" t="n">
        <v>413</v>
      </c>
      <c r="J140" s="45" t="n">
        <v>44604</v>
      </c>
      <c r="K140" s="61">
        <f>E140/(I140+E140)</f>
        <v/>
      </c>
      <c r="L140" s="83">
        <f>I140/(E140/2.1)</f>
        <v/>
      </c>
      <c r="N140" s="41" t="inlineStr">
        <is>
          <t>Sports Bra</t>
        </is>
      </c>
      <c r="O140" s="42" t="inlineStr">
        <is>
          <t>Short sleeve</t>
        </is>
      </c>
      <c r="P140" s="44" t="inlineStr">
        <is>
          <t>111431403\80</t>
        </is>
      </c>
      <c r="Q140" s="44" t="n">
        <v>198</v>
      </c>
      <c r="R140" s="69" t="n">
        <v>1</v>
      </c>
      <c r="S140" s="45" t="n">
        <v>198</v>
      </c>
      <c r="T140" s="45" t="n">
        <v>139</v>
      </c>
      <c r="U140" s="82" t="n">
        <v>0.702020202020202</v>
      </c>
      <c r="V140" s="44" t="n">
        <v>45</v>
      </c>
      <c r="W140" s="45" t="n">
        <v>8910</v>
      </c>
      <c r="X140" s="61">
        <f>R140/(V140+R140)</f>
        <v/>
      </c>
      <c r="Y140" s="83">
        <f>V140/(R140/2.1)</f>
        <v/>
      </c>
    </row>
    <row r="141" ht="13.5" customHeight="1" s="75">
      <c r="A141" s="41" t="inlineStr">
        <is>
          <t>Sports Bra</t>
        </is>
      </c>
      <c r="B141" s="42" t="inlineStr">
        <is>
          <t>Tank top</t>
        </is>
      </c>
      <c r="C141" s="44" t="inlineStr">
        <is>
          <t>110431201\80</t>
        </is>
      </c>
      <c r="D141" s="44" t="n">
        <v>78</v>
      </c>
      <c r="E141" s="44" t="n">
        <v>75</v>
      </c>
      <c r="F141" s="45" t="n">
        <v>5850</v>
      </c>
      <c r="G141" s="45" t="n">
        <v>4558.8</v>
      </c>
      <c r="H141" s="82" t="n">
        <v>0.779282051282051</v>
      </c>
      <c r="I141" s="44" t="n">
        <v>752</v>
      </c>
      <c r="J141" s="45" t="n">
        <v>58656</v>
      </c>
      <c r="K141" s="61">
        <f>E141/(I141+E141)</f>
        <v/>
      </c>
      <c r="L141" s="83">
        <f>I141/(E141/2.1)</f>
        <v/>
      </c>
      <c r="N141" s="41" t="inlineStr">
        <is>
          <t>Sports Bra</t>
        </is>
      </c>
      <c r="O141" s="42" t="inlineStr">
        <is>
          <t>Nine-Tenths Pant</t>
        </is>
      </c>
      <c r="P141" s="44" t="inlineStr">
        <is>
          <t>111402902\80</t>
        </is>
      </c>
      <c r="Q141" s="44" t="n">
        <v>198</v>
      </c>
      <c r="R141" s="69" t="n">
        <v>1</v>
      </c>
      <c r="S141" s="45" t="n">
        <v>198</v>
      </c>
      <c r="T141" s="45" t="n">
        <v>139</v>
      </c>
      <c r="U141" s="82" t="n">
        <v>0.702020202020202</v>
      </c>
      <c r="V141" s="44" t="n">
        <v>18</v>
      </c>
      <c r="W141" s="45" t="n">
        <v>3564</v>
      </c>
      <c r="X141" s="61">
        <f>R141/(V141+R141)</f>
        <v/>
      </c>
      <c r="Y141" s="83">
        <f>V141/(R141/2.1)</f>
        <v/>
      </c>
    </row>
    <row r="142" ht="13.5" customHeight="1" s="75">
      <c r="A142" s="41" t="inlineStr">
        <is>
          <t>Sports Bra</t>
        </is>
      </c>
      <c r="B142" s="44" t="inlineStr">
        <is>
          <t>Short sleeve</t>
        </is>
      </c>
      <c r="C142" s="44" t="inlineStr">
        <is>
          <t>110421401\10</t>
        </is>
      </c>
      <c r="D142" s="44" t="n">
        <v>108</v>
      </c>
      <c r="E142" s="44" t="n">
        <v>73</v>
      </c>
      <c r="F142" s="45" t="n">
        <v>7884</v>
      </c>
      <c r="G142" s="45" t="n">
        <v>6079.6</v>
      </c>
      <c r="H142" s="82" t="n">
        <v>0.771131405377981</v>
      </c>
      <c r="I142" s="44" t="n">
        <v>420</v>
      </c>
      <c r="J142" s="45" t="n">
        <v>45360</v>
      </c>
      <c r="K142" s="61">
        <f>E142/(I142+E142)</f>
        <v/>
      </c>
      <c r="L142" s="83">
        <f>I142/(E142/2.1)</f>
        <v/>
      </c>
      <c r="N142" s="41" t="inlineStr">
        <is>
          <t>Sports Bra</t>
        </is>
      </c>
      <c r="O142" s="44" t="inlineStr">
        <is>
          <t>Underwear</t>
        </is>
      </c>
      <c r="P142" s="44" t="inlineStr">
        <is>
          <t>111401203\80</t>
        </is>
      </c>
      <c r="Q142" s="44" t="n">
        <v>59</v>
      </c>
      <c r="R142" s="69" t="n">
        <v>1</v>
      </c>
      <c r="S142" s="45" t="n">
        <v>59</v>
      </c>
      <c r="T142" s="45" t="n">
        <v>52</v>
      </c>
      <c r="U142" s="82" t="n">
        <v>0.88135593220339</v>
      </c>
      <c r="V142" s="44" t="n">
        <v>333</v>
      </c>
      <c r="W142" s="45" t="n">
        <v>19647</v>
      </c>
      <c r="X142" s="61">
        <f>R142/(V142+R142)</f>
        <v/>
      </c>
      <c r="Y142" s="83">
        <f>V142/(R142/2.1)</f>
        <v/>
      </c>
    </row>
    <row r="143" ht="13.5" customHeight="1" s="75">
      <c r="A143" s="41" t="inlineStr">
        <is>
          <t>Sports Bra</t>
        </is>
      </c>
      <c r="B143" s="42" t="inlineStr">
        <is>
          <t>Short sleeve</t>
        </is>
      </c>
      <c r="C143" s="44" t="inlineStr">
        <is>
          <t>110421401\80</t>
        </is>
      </c>
      <c r="D143" s="44" t="n">
        <v>108</v>
      </c>
      <c r="E143" s="44" t="n">
        <v>70</v>
      </c>
      <c r="F143" s="45" t="n">
        <v>7560</v>
      </c>
      <c r="G143" s="45" t="n">
        <v>5698.4</v>
      </c>
      <c r="H143" s="82" t="n">
        <v>0.753756613756614</v>
      </c>
      <c r="I143" s="44" t="n">
        <v>447</v>
      </c>
      <c r="J143" s="45" t="n">
        <v>48276</v>
      </c>
      <c r="K143" s="61">
        <f>E143/(I143+E143)</f>
        <v/>
      </c>
      <c r="L143" s="83">
        <f>I143/(E143/2.1)</f>
        <v/>
      </c>
      <c r="N143" s="41" t="inlineStr">
        <is>
          <t>Sports Bra</t>
        </is>
      </c>
      <c r="O143" s="42" t="inlineStr">
        <is>
          <t>Bra</t>
        </is>
      </c>
      <c r="P143" s="44" t="inlineStr">
        <is>
          <t>110421213\80</t>
        </is>
      </c>
      <c r="Q143" s="44" t="n">
        <v>138</v>
      </c>
      <c r="R143" s="69" t="n">
        <v>1</v>
      </c>
      <c r="S143" s="45" t="n">
        <v>138</v>
      </c>
      <c r="T143" s="45" t="n">
        <v>97</v>
      </c>
      <c r="U143" s="82" t="n">
        <v>0.702898550724638</v>
      </c>
      <c r="V143" s="44" t="n">
        <v>16</v>
      </c>
      <c r="W143" s="45" t="n">
        <v>2208</v>
      </c>
      <c r="X143" s="61">
        <f>R143/(V143+R143)</f>
        <v/>
      </c>
      <c r="Y143" s="83">
        <f>V143/(R143/2.1)</f>
        <v/>
      </c>
    </row>
    <row r="144" ht="13.5" customHeight="1" s="75">
      <c r="A144" s="47" t="inlineStr">
        <is>
          <t>Sports Bra</t>
        </is>
      </c>
      <c r="B144" s="48" t="inlineStr">
        <is>
          <t>Canshou</t>
        </is>
      </c>
      <c r="C144" s="50" t="inlineStr">
        <is>
          <t>114431301\61</t>
        </is>
      </c>
      <c r="D144" s="50" t="n">
        <v>138</v>
      </c>
      <c r="E144" s="50" t="n">
        <v>43</v>
      </c>
      <c r="F144" s="51" t="n">
        <v>5934</v>
      </c>
      <c r="G144" s="51" t="n">
        <v>5176.5</v>
      </c>
      <c r="H144" s="84" t="n">
        <v>0.872345803842265</v>
      </c>
      <c r="I144" s="50" t="n">
        <v>203</v>
      </c>
      <c r="J144" s="51" t="n">
        <v>28014</v>
      </c>
      <c r="K144" s="63">
        <f>E144/(I144+E144)</f>
        <v/>
      </c>
      <c r="L144" s="85">
        <f>I144/(E144/2.1)</f>
        <v/>
      </c>
      <c r="N144" s="47" t="inlineStr">
        <is>
          <t>Sports Bra</t>
        </is>
      </c>
      <c r="O144" s="48" t="inlineStr">
        <is>
          <t>Tank top</t>
        </is>
      </c>
      <c r="P144" s="50" t="inlineStr">
        <is>
          <t>110421205\61</t>
        </is>
      </c>
      <c r="Q144" s="50" t="n">
        <v>108</v>
      </c>
      <c r="R144" s="70" t="n">
        <v>1</v>
      </c>
      <c r="S144" s="51" t="n">
        <v>108</v>
      </c>
      <c r="T144" s="51" t="n">
        <v>92</v>
      </c>
      <c r="U144" s="84" t="n">
        <v>0.851851851851852</v>
      </c>
      <c r="V144" s="50" t="n">
        <v>146</v>
      </c>
      <c r="W144" s="51" t="n">
        <v>15768</v>
      </c>
      <c r="X144" s="61">
        <f>R144/(V144+R144)</f>
        <v/>
      </c>
      <c r="Y144" s="83">
        <f>V144/(R144/2.1)</f>
        <v/>
      </c>
    </row>
  </sheetData>
  <mergeCells count="6">
    <mergeCell ref="A1:L1"/>
    <mergeCell ref="N1:Y1"/>
    <mergeCell ref="X2:X3"/>
    <mergeCell ref="K2:K3"/>
    <mergeCell ref="Y2:Y3"/>
    <mergeCell ref="L2:L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1" workbookViewId="0">
      <selection activeCell="I7" sqref="I7"/>
    </sheetView>
  </sheetViews>
  <sheetFormatPr baseColWidth="8" defaultColWidth="8.75390625" defaultRowHeight="13.5"/>
  <cols>
    <col width="10.50390625" customWidth="1" style="19" min="1" max="1"/>
    <col width="6.375" customWidth="1" style="19" min="2" max="3"/>
    <col width="5.875" customWidth="1" style="19" min="4" max="5"/>
    <col width="8.00390625" customWidth="1" style="19" min="6" max="6"/>
    <col width="6.375" customWidth="1" style="19" min="7" max="7"/>
    <col width="5.875" customWidth="1" style="19" min="8" max="9"/>
    <col width="8.00390625" customWidth="1" style="19" min="10" max="10"/>
    <col width="6.375" customWidth="1" style="19" min="11" max="11"/>
    <col width="5.00390625" customWidth="1" style="19" min="12" max="13"/>
    <col width="8.00390625" customWidth="1" style="19" min="14" max="14"/>
    <col width="6.375" customWidth="1" style="19" min="15" max="15"/>
    <col width="5.00390625" customWidth="1" style="19" min="16" max="17"/>
    <col width="8.00390625" customWidth="1" style="19" min="18" max="18"/>
    <col width="6.375" customWidth="1" style="19" min="19" max="19"/>
    <col width="9.25390625" customWidth="1" style="19" min="20" max="20"/>
  </cols>
  <sheetData>
    <row r="1" ht="13.5" customHeight="1" s="75">
      <c r="A1" s="2" t="n"/>
      <c r="B1" s="88" t="inlineStr">
        <is>
          <t>Total</t>
        </is>
      </c>
      <c r="C1" s="78" t="n"/>
      <c r="D1" s="88" t="inlineStr">
        <is>
          <t>50% discount</t>
        </is>
      </c>
      <c r="E1" s="77" t="n"/>
      <c r="F1" s="77" t="n"/>
      <c r="G1" s="78" t="n"/>
      <c r="H1" s="88" t="inlineStr">
        <is>
          <t>Fixed Price</t>
        </is>
      </c>
      <c r="I1" s="77" t="n"/>
      <c r="J1" s="77" t="n"/>
      <c r="K1" s="78" t="n"/>
      <c r="L1" s="88" t="inlineStr">
        <is>
          <t>100 yuan for 4 pieces</t>
        </is>
      </c>
      <c r="M1" s="77" t="n"/>
      <c r="N1" s="77" t="n"/>
      <c r="O1" s="78" t="n"/>
      <c r="P1" s="88" t="inlineStr">
        <is>
          <t>110 Yuan 3 Pieces</t>
        </is>
      </c>
      <c r="Q1" s="77" t="n"/>
      <c r="R1" s="77" t="n"/>
      <c r="S1" s="78" t="n"/>
    </row>
    <row r="2" ht="13.5" customHeight="1" s="75">
      <c r="A2" s="7" t="inlineStr">
        <is>
          <t>Series</t>
        </is>
      </c>
      <c r="B2" s="8" t="inlineStr">
        <is>
          <t>Stock in warehouse</t>
        </is>
      </c>
      <c r="C2" s="9" t="inlineStr">
        <is>
          <t>Sales</t>
        </is>
      </c>
      <c r="D2" s="10" t="inlineStr">
        <is>
          <t>Stock in warehouse</t>
        </is>
      </c>
      <c r="E2" s="10" t="inlineStr">
        <is>
          <t>Store inventory</t>
        </is>
      </c>
      <c r="F2" s="10" t="inlineStr">
        <is>
          <t>Cumulative Sales</t>
        </is>
      </c>
      <c r="G2" s="11" t="inlineStr">
        <is>
          <t>Clearance Rate</t>
        </is>
      </c>
      <c r="H2" s="11" t="inlineStr">
        <is>
          <t>Stock in warehouse</t>
        </is>
      </c>
      <c r="I2" s="10" t="inlineStr">
        <is>
          <t>Store inventory</t>
        </is>
      </c>
      <c r="J2" s="10" t="inlineStr">
        <is>
          <t>Cumulative Sales</t>
        </is>
      </c>
      <c r="K2" s="11" t="inlineStr">
        <is>
          <t>Clearance Rate</t>
        </is>
      </c>
      <c r="L2" s="11" t="inlineStr">
        <is>
          <t>Stock in warehouse</t>
        </is>
      </c>
      <c r="M2" s="10" t="inlineStr">
        <is>
          <t>Store inventory</t>
        </is>
      </c>
      <c r="N2" s="10" t="inlineStr">
        <is>
          <t>Cumulative Sales</t>
        </is>
      </c>
      <c r="O2" s="11" t="inlineStr">
        <is>
          <t>Clearance Rate</t>
        </is>
      </c>
      <c r="P2" s="11" t="inlineStr">
        <is>
          <t>Stock in warehouse</t>
        </is>
      </c>
      <c r="Q2" s="10" t="inlineStr">
        <is>
          <t>Store inventory</t>
        </is>
      </c>
      <c r="R2" s="10" t="inlineStr">
        <is>
          <t>Cumulative Sales</t>
        </is>
      </c>
      <c r="S2" s="26" t="inlineStr">
        <is>
          <t>Clearance Rate</t>
        </is>
      </c>
    </row>
    <row r="3" ht="13.5" customHeight="1" s="75">
      <c r="A3" s="15" t="inlineStr">
        <is>
          <t>Spring and Summer Home</t>
        </is>
      </c>
      <c r="B3" s="13" t="n">
        <v>15086</v>
      </c>
      <c r="C3" s="18">
        <f>F3+J3+N3+R3</f>
        <v/>
      </c>
      <c r="D3" s="15" t="n">
        <v>2901</v>
      </c>
      <c r="E3" s="16" t="n">
        <v>3897</v>
      </c>
      <c r="F3" s="16" t="n">
        <v>1055</v>
      </c>
      <c r="G3" s="17">
        <f>F3/(D3+E3+F3)</f>
        <v/>
      </c>
      <c r="H3" s="15" t="n">
        <v>3758</v>
      </c>
      <c r="I3" s="16" t="n">
        <v>2043</v>
      </c>
      <c r="J3" s="16" t="n">
        <v>1432</v>
      </c>
      <c r="K3" s="17">
        <f>J3/(H3+I3+J3)</f>
        <v/>
      </c>
      <c r="L3" s="15" t="n"/>
      <c r="M3" s="16" t="n"/>
      <c r="N3" s="16" t="n"/>
      <c r="O3" s="15" t="n"/>
      <c r="P3" s="15" t="n"/>
      <c r="Q3" s="16" t="n"/>
      <c r="R3" s="16" t="n"/>
      <c r="S3" s="27" t="n"/>
    </row>
    <row r="4" ht="13.5" customHeight="1" s="75">
      <c r="A4" s="18" t="inlineStr">
        <is>
          <t>Spring and Summer Underwear</t>
        </is>
      </c>
      <c r="B4" s="13" t="n">
        <v>5016</v>
      </c>
      <c r="C4" s="18">
        <f>F4+J4+N4+R4</f>
        <v/>
      </c>
      <c r="D4" s="18" t="n">
        <v>418</v>
      </c>
      <c r="E4" s="19" t="n">
        <v>409</v>
      </c>
      <c r="F4" s="19" t="n">
        <v>89</v>
      </c>
      <c r="G4" s="20">
        <f>F4/(D4+E4+F4)</f>
        <v/>
      </c>
      <c r="H4" s="18" t="n">
        <v>2138</v>
      </c>
      <c r="I4" s="19" t="n">
        <v>1440</v>
      </c>
      <c r="J4" s="19" t="n">
        <v>522</v>
      </c>
      <c r="K4" s="20">
        <f>J4/(H4+I4+J4)</f>
        <v/>
      </c>
      <c r="L4" s="18" t="n"/>
      <c r="M4" s="19" t="n"/>
      <c r="N4" s="19" t="n"/>
      <c r="O4" s="18" t="n"/>
      <c r="P4" s="18" t="n"/>
      <c r="Q4" s="19" t="n"/>
      <c r="R4" s="19" t="n"/>
      <c r="S4" s="28" t="n"/>
    </row>
    <row r="5" ht="13.5" customHeight="1" s="75">
      <c r="A5" s="18" t="inlineStr">
        <is>
          <t>Active pants</t>
        </is>
      </c>
      <c r="B5" s="13" t="n">
        <v>14698</v>
      </c>
      <c r="C5" s="18">
        <f>F5+J5+N5+R5</f>
        <v/>
      </c>
      <c r="D5" s="18" t="n">
        <v>15</v>
      </c>
      <c r="E5" s="19" t="n">
        <v>54</v>
      </c>
      <c r="F5" s="19" t="n">
        <v>26</v>
      </c>
      <c r="G5" s="20">
        <f>F5/(D5+E5+F5)</f>
        <v/>
      </c>
      <c r="H5" s="18" t="n">
        <v>7705</v>
      </c>
      <c r="I5" s="19" t="n">
        <v>2157</v>
      </c>
      <c r="J5" s="19" t="n">
        <v>188</v>
      </c>
      <c r="K5" s="20">
        <f>J5/(H5+I5+J5)</f>
        <v/>
      </c>
      <c r="L5" s="18" t="n"/>
      <c r="M5" s="19" t="n"/>
      <c r="N5" s="19" t="n"/>
      <c r="O5" s="18" t="n"/>
      <c r="P5" s="18" t="n">
        <v>3355</v>
      </c>
      <c r="Q5" s="19" t="n">
        <v>1076</v>
      </c>
      <c r="R5" s="19" t="n">
        <v>122</v>
      </c>
      <c r="S5" s="29">
        <f>R5/(P5+Q5+R5)</f>
        <v/>
      </c>
    </row>
    <row r="6" ht="13.5" customHeight="1" s="75">
      <c r="A6" s="18" t="inlineStr">
        <is>
          <t>Fitness Accessories</t>
        </is>
      </c>
      <c r="B6" s="13" t="n">
        <v>287</v>
      </c>
      <c r="C6" s="18">
        <f>F6+J6+N6+R6</f>
        <v/>
      </c>
      <c r="D6" s="18" t="n">
        <v>269</v>
      </c>
      <c r="E6" s="19" t="n">
        <v>18</v>
      </c>
      <c r="F6" s="19" t="n"/>
      <c r="G6" s="20">
        <f>F6/(D6+E6+F6)</f>
        <v/>
      </c>
      <c r="H6" s="18" t="n"/>
      <c r="I6" s="19" t="n"/>
      <c r="J6" s="19" t="n"/>
      <c r="K6" s="20" t="n"/>
      <c r="L6" s="18" t="n"/>
      <c r="M6" s="19" t="n"/>
      <c r="N6" s="19" t="n"/>
      <c r="O6" s="18" t="n"/>
      <c r="P6" s="18" t="n"/>
      <c r="Q6" s="19" t="n"/>
      <c r="R6" s="19" t="n"/>
      <c r="S6" s="28" t="n"/>
    </row>
    <row r="7" ht="13.5" customHeight="1" s="75">
      <c r="A7" s="18" t="inlineStr">
        <is>
          <t>Fitness Yoga</t>
        </is>
      </c>
      <c r="B7" s="13" t="n">
        <v>4367</v>
      </c>
      <c r="C7" s="18">
        <f>F7+J7+N7+R7</f>
        <v/>
      </c>
      <c r="D7" s="18" t="n">
        <v>495</v>
      </c>
      <c r="E7" s="19" t="n">
        <v>396</v>
      </c>
      <c r="F7" s="19" t="n">
        <v>128</v>
      </c>
      <c r="G7" s="20">
        <f>F7/(D7+E7+F7)</f>
        <v/>
      </c>
      <c r="H7" s="18" t="n">
        <v>1388</v>
      </c>
      <c r="I7" s="19" t="n">
        <v>1578</v>
      </c>
      <c r="J7" s="19" t="n">
        <v>382</v>
      </c>
      <c r="K7" s="20">
        <f>J7/(H7+I7+J7)</f>
        <v/>
      </c>
      <c r="L7" s="18" t="n"/>
      <c r="M7" s="19" t="n"/>
      <c r="N7" s="19" t="n"/>
      <c r="O7" s="18" t="n"/>
      <c r="P7" s="18" t="n"/>
      <c r="Q7" s="19" t="n"/>
      <c r="R7" s="19" t="n"/>
      <c r="S7" s="28" t="n"/>
    </row>
    <row r="8" ht="13.5" customHeight="1" s="75">
      <c r="A8" s="18" t="inlineStr">
        <is>
          <t>Fitness Yoga Life</t>
        </is>
      </c>
      <c r="B8" s="13" t="n">
        <v>218</v>
      </c>
      <c r="C8" s="18">
        <f>F8+J8+N8+R8</f>
        <v/>
      </c>
      <c r="D8" s="18" t="n">
        <v>15</v>
      </c>
      <c r="E8" s="19" t="n"/>
      <c r="F8" s="19" t="n">
        <v>1</v>
      </c>
      <c r="G8" s="20">
        <f>F8/(D8+E8+F8)</f>
        <v/>
      </c>
      <c r="H8" s="18" t="n">
        <v>135</v>
      </c>
      <c r="I8" s="19" t="n">
        <v>51</v>
      </c>
      <c r="J8" s="19" t="n">
        <v>16</v>
      </c>
      <c r="K8" s="20">
        <f>J8/(H8+I8+J8)</f>
        <v/>
      </c>
      <c r="L8" s="18" t="n"/>
      <c r="M8" s="19" t="n"/>
      <c r="N8" s="19" t="n"/>
      <c r="O8" s="18" t="n"/>
      <c r="P8" s="18" t="n"/>
      <c r="Q8" s="19" t="n"/>
      <c r="R8" s="19" t="n"/>
      <c r="S8" s="28" t="n"/>
    </row>
    <row r="9" ht="13.5" customHeight="1" s="75">
      <c r="A9" s="18" t="inlineStr">
        <is>
          <t>Club</t>
        </is>
      </c>
      <c r="B9" s="13" t="n">
        <v>94</v>
      </c>
      <c r="C9" s="18">
        <f>F9+J9+N9+R9</f>
        <v/>
      </c>
      <c r="D9" s="18" t="n">
        <v>28</v>
      </c>
      <c r="E9" s="19" t="n">
        <v>64</v>
      </c>
      <c r="F9" s="19" t="n"/>
      <c r="G9" s="20">
        <f>F9/(D9+E9+F9)</f>
        <v/>
      </c>
      <c r="H9" s="18" t="n">
        <v>2</v>
      </c>
      <c r="I9" s="19" t="n"/>
      <c r="J9" s="19" t="n"/>
      <c r="K9" s="20">
        <f>J9/(H9+I9+J9)</f>
        <v/>
      </c>
      <c r="L9" s="18" t="n"/>
      <c r="M9" s="19" t="n"/>
      <c r="N9" s="19" t="n"/>
      <c r="O9" s="18" t="n"/>
      <c r="P9" s="18" t="n"/>
      <c r="Q9" s="19" t="n"/>
      <c r="R9" s="19" t="n"/>
      <c r="S9" s="28" t="n"/>
    </row>
    <row r="10" ht="13.5" customHeight="1" s="75">
      <c r="A10" s="18" t="inlineStr">
        <is>
          <t>Underwear</t>
        </is>
      </c>
      <c r="B10" s="13" t="n">
        <v>20797</v>
      </c>
      <c r="C10" s="18">
        <f>F10+J10+N10+R10</f>
        <v/>
      </c>
      <c r="D10" s="18" t="n">
        <v>4562</v>
      </c>
      <c r="E10" s="19" t="n">
        <v>2984</v>
      </c>
      <c r="F10" s="19" t="n">
        <v>296</v>
      </c>
      <c r="G10" s="20">
        <f>F10/(D10+E10+F10)</f>
        <v/>
      </c>
      <c r="H10" s="18" t="n">
        <v>412</v>
      </c>
      <c r="I10" s="19" t="n">
        <v>303</v>
      </c>
      <c r="J10" s="19" t="n">
        <v>49</v>
      </c>
      <c r="K10" s="20">
        <f>J10/(H10+I10+J10)</f>
        <v/>
      </c>
      <c r="L10" s="18" t="n">
        <v>7421</v>
      </c>
      <c r="M10" s="19" t="n">
        <v>3475</v>
      </c>
      <c r="N10" s="19" t="n">
        <v>1295</v>
      </c>
      <c r="O10" s="20">
        <f>N10/(L10+M10+N10)</f>
        <v/>
      </c>
      <c r="P10" s="18" t="n"/>
      <c r="Q10" s="19" t="n"/>
      <c r="R10" s="19" t="n"/>
      <c r="S10" s="28" t="n"/>
    </row>
    <row r="11" ht="13.5" customHeight="1" s="75">
      <c r="A11" s="18" t="inlineStr">
        <is>
          <t>Underwear</t>
        </is>
      </c>
      <c r="B11" s="13" t="n">
        <v>594</v>
      </c>
      <c r="C11" s="18">
        <f>F11+J11+N11+R11</f>
        <v/>
      </c>
      <c r="D11" s="18" t="n"/>
      <c r="E11" s="19" t="n"/>
      <c r="F11" s="19" t="n"/>
      <c r="G11" s="20" t="n"/>
      <c r="H11" s="18" t="n">
        <v>120</v>
      </c>
      <c r="I11" s="19" t="n">
        <v>18</v>
      </c>
      <c r="J11" s="19" t="n">
        <v>1</v>
      </c>
      <c r="K11" s="20">
        <f>J11/(H11+I11+J11)</f>
        <v/>
      </c>
      <c r="L11" s="18" t="n">
        <v>407</v>
      </c>
      <c r="M11" s="19" t="n">
        <v>38</v>
      </c>
      <c r="N11" s="19" t="n">
        <v>10</v>
      </c>
      <c r="O11" s="20">
        <f>N11/(L11+M11+N11)</f>
        <v/>
      </c>
      <c r="P11" s="18" t="n"/>
      <c r="Q11" s="19" t="n"/>
      <c r="R11" s="19" t="n"/>
      <c r="S11" s="28" t="n"/>
    </row>
    <row r="12" ht="13.5" customHeight="1" s="75">
      <c r="A12" s="18" t="inlineStr">
        <is>
          <t>Underwear Accessories</t>
        </is>
      </c>
      <c r="B12" s="13" t="n">
        <v>5</v>
      </c>
      <c r="C12" s="18">
        <f>F12+J12+N12+R12</f>
        <v/>
      </c>
      <c r="D12" s="18" t="n"/>
      <c r="E12" s="19" t="n"/>
      <c r="F12" s="19" t="n"/>
      <c r="G12" s="20" t="n"/>
      <c r="H12" s="18" t="n">
        <v>1</v>
      </c>
      <c r="I12" s="19" t="n">
        <v>4</v>
      </c>
      <c r="J12" s="19" t="n"/>
      <c r="K12" s="20">
        <f>J12/(H12+I12+J12)</f>
        <v/>
      </c>
      <c r="L12" s="18" t="n"/>
      <c r="M12" s="19" t="n"/>
      <c r="N12" s="19" t="n"/>
      <c r="O12" s="18" t="n"/>
      <c r="P12" s="18" t="n"/>
      <c r="Q12" s="19" t="n"/>
      <c r="R12" s="19" t="n"/>
      <c r="S12" s="28" t="n"/>
    </row>
    <row r="13" ht="13.5" customHeight="1" s="75">
      <c r="A13" s="18" t="inlineStr">
        <is>
          <t>Running Series</t>
        </is>
      </c>
      <c r="B13" s="13" t="n">
        <v>1197</v>
      </c>
      <c r="C13" s="18">
        <f>F13+J13+N13+R13</f>
        <v/>
      </c>
      <c r="D13" s="18" t="n">
        <v>303</v>
      </c>
      <c r="E13" s="19" t="n">
        <v>129</v>
      </c>
      <c r="F13" s="19" t="n">
        <v>19</v>
      </c>
      <c r="G13" s="20">
        <f>F13/(D13+E13+F13)</f>
        <v/>
      </c>
      <c r="H13" s="18" t="n">
        <v>417</v>
      </c>
      <c r="I13" s="19" t="n">
        <v>279</v>
      </c>
      <c r="J13" s="19" t="n">
        <v>50</v>
      </c>
      <c r="K13" s="20">
        <f>J13/(H13+I13+J13)</f>
        <v/>
      </c>
      <c r="L13" s="18" t="n"/>
      <c r="M13" s="19" t="n"/>
      <c r="N13" s="19" t="n"/>
      <c r="O13" s="18" t="n"/>
      <c r="P13" s="18" t="n"/>
      <c r="Q13" s="19" t="n"/>
      <c r="R13" s="19" t="n"/>
      <c r="S13" s="28" t="n"/>
    </row>
    <row r="14" ht="13.5" customHeight="1" s="75">
      <c r="A14" s="18" t="inlineStr">
        <is>
          <t>Beach</t>
        </is>
      </c>
      <c r="B14" s="13" t="n">
        <v>1818</v>
      </c>
      <c r="C14" s="18">
        <f>F14+J14+N14+R14</f>
        <v/>
      </c>
      <c r="D14" s="18" t="n"/>
      <c r="E14" s="19" t="n"/>
      <c r="F14" s="19" t="n"/>
      <c r="G14" s="20" t="n"/>
      <c r="H14" s="18" t="n">
        <v>878</v>
      </c>
      <c r="I14" s="19" t="n">
        <v>909</v>
      </c>
      <c r="J14" s="19" t="n">
        <v>31</v>
      </c>
      <c r="K14" s="20">
        <f>J14/(H14+I14+J14)</f>
        <v/>
      </c>
      <c r="L14" s="18" t="n"/>
      <c r="M14" s="19" t="n"/>
      <c r="N14" s="19" t="n"/>
      <c r="O14" s="18" t="n"/>
      <c r="P14" s="18" t="n"/>
      <c r="Q14" s="19" t="n"/>
      <c r="R14" s="19" t="n"/>
      <c r="S14" s="28" t="n"/>
    </row>
    <row r="15" ht="13.5" customHeight="1" s="75">
      <c r="A15" s="18" t="inlineStr">
        <is>
          <t>Beach Accessories</t>
        </is>
      </c>
      <c r="B15" s="13" t="n">
        <v>1952</v>
      </c>
      <c r="C15" s="18">
        <f>F15+J15+N15+R15</f>
        <v/>
      </c>
      <c r="D15" s="18" t="n">
        <v>16</v>
      </c>
      <c r="E15" s="19" t="n">
        <v>36</v>
      </c>
      <c r="F15" s="19" t="n"/>
      <c r="G15" s="20">
        <f>F15/(D15+E15+F15)</f>
        <v/>
      </c>
      <c r="H15" s="18" t="n">
        <v>914</v>
      </c>
      <c r="I15" s="19" t="n">
        <v>942</v>
      </c>
      <c r="J15" s="19" t="n">
        <v>44</v>
      </c>
      <c r="K15" s="20">
        <f>J15/(H15+I15+J15)</f>
        <v/>
      </c>
      <c r="L15" s="18" t="n"/>
      <c r="M15" s="19" t="n"/>
      <c r="N15" s="19" t="n"/>
      <c r="O15" s="18" t="n"/>
      <c r="P15" s="18" t="n"/>
      <c r="Q15" s="19" t="n"/>
      <c r="R15" s="19" t="n"/>
      <c r="S15" s="28" t="n"/>
    </row>
    <row r="16" ht="13.5" customHeight="1" s="75">
      <c r="A16" s="18" t="inlineStr">
        <is>
          <t>Swim Trunks for Kids</t>
        </is>
      </c>
      <c r="B16" s="13" t="n">
        <v>1840</v>
      </c>
      <c r="C16" s="18">
        <f>F16+J16+N16+R16</f>
        <v/>
      </c>
      <c r="D16" s="18" t="n"/>
      <c r="E16" s="19" t="n"/>
      <c r="F16" s="19" t="n"/>
      <c r="G16" s="20" t="n"/>
      <c r="H16" s="18" t="n">
        <v>1026</v>
      </c>
      <c r="I16" s="19" t="n">
        <v>714</v>
      </c>
      <c r="J16" s="19" t="n">
        <v>100</v>
      </c>
      <c r="K16" s="20">
        <f>J16/(H16+I16+J16)</f>
        <v/>
      </c>
      <c r="L16" s="18" t="n"/>
      <c r="M16" s="19" t="n"/>
      <c r="N16" s="19" t="n"/>
      <c r="O16" s="18" t="n"/>
      <c r="P16" s="18" t="n"/>
      <c r="Q16" s="19" t="n"/>
      <c r="R16" s="19" t="n"/>
      <c r="S16" s="28" t="n"/>
    </row>
    <row r="17" ht="13.5" customHeight="1" s="75">
      <c r="A17" s="18" t="inlineStr">
        <is>
          <t>Swimwear for children</t>
        </is>
      </c>
      <c r="B17" s="13" t="n">
        <v>4080</v>
      </c>
      <c r="C17" s="18">
        <f>F17+J17+N17+R17</f>
        <v/>
      </c>
      <c r="D17" s="18" t="n">
        <v>1965</v>
      </c>
      <c r="E17" s="19" t="n">
        <v>725</v>
      </c>
      <c r="F17" s="19" t="n">
        <v>62</v>
      </c>
      <c r="G17" s="20">
        <f>F17/(D17+E17+F17)</f>
        <v/>
      </c>
      <c r="H17" s="18" t="n">
        <v>988</v>
      </c>
      <c r="I17" s="19" t="n">
        <v>296</v>
      </c>
      <c r="J17" s="19" t="n">
        <v>44</v>
      </c>
      <c r="K17" s="20">
        <f>J17/(H17+I17+J17)</f>
        <v/>
      </c>
      <c r="L17" s="18" t="n"/>
      <c r="M17" s="19" t="n"/>
      <c r="N17" s="19" t="n"/>
      <c r="O17" s="18" t="n"/>
      <c r="P17" s="18" t="n"/>
      <c r="Q17" s="19" t="n"/>
      <c r="R17" s="19" t="n"/>
      <c r="S17" s="28" t="n"/>
    </row>
    <row r="18" ht="13.5" customHeight="1" s="75">
      <c r="A18" s="18" t="inlineStr">
        <is>
          <t>Swim Trunks</t>
        </is>
      </c>
      <c r="B18" s="13" t="n">
        <v>4918</v>
      </c>
      <c r="C18" s="18">
        <f>F18+J18+N18+R18</f>
        <v/>
      </c>
      <c r="D18" s="18" t="n">
        <v>418</v>
      </c>
      <c r="E18" s="19" t="n">
        <v>589</v>
      </c>
      <c r="F18" s="19" t="n">
        <v>32</v>
      </c>
      <c r="G18" s="20">
        <f>F18/(D18+E18+F18)</f>
        <v/>
      </c>
      <c r="H18" s="18" t="n">
        <v>1784</v>
      </c>
      <c r="I18" s="19" t="n">
        <v>1941</v>
      </c>
      <c r="J18" s="19" t="n">
        <v>154</v>
      </c>
      <c r="K18" s="20">
        <f>J18/(H18+I18+J18)</f>
        <v/>
      </c>
      <c r="L18" s="18" t="n"/>
      <c r="M18" s="19" t="n"/>
      <c r="N18" s="19" t="n"/>
      <c r="O18" s="18" t="n"/>
      <c r="P18" s="18" t="n"/>
      <c r="Q18" s="19" t="n"/>
      <c r="R18" s="19" t="n"/>
      <c r="S18" s="28" t="n"/>
    </row>
    <row r="19" ht="13.5" customHeight="1" s="75">
      <c r="A19" s="18" t="inlineStr">
        <is>
          <t>Swimwear</t>
        </is>
      </c>
      <c r="B19" s="13" t="n">
        <v>15169</v>
      </c>
      <c r="C19" s="18">
        <f>F19+J19+N19+R19</f>
        <v/>
      </c>
      <c r="D19" s="18" t="n">
        <v>2238</v>
      </c>
      <c r="E19" s="19" t="n">
        <v>2927</v>
      </c>
      <c r="F19" s="19" t="n">
        <v>216</v>
      </c>
      <c r="G19" s="20">
        <f>F19/(D19+E19+F19)</f>
        <v/>
      </c>
      <c r="H19" s="18" t="n">
        <v>5135</v>
      </c>
      <c r="I19" s="19" t="n">
        <v>4310</v>
      </c>
      <c r="J19" s="19" t="n">
        <v>343</v>
      </c>
      <c r="K19" s="20">
        <f>J19/(H19+I19+J19)</f>
        <v/>
      </c>
      <c r="L19" s="18" t="n"/>
      <c r="M19" s="19" t="n"/>
      <c r="N19" s="19" t="n"/>
      <c r="O19" s="18" t="n"/>
      <c r="P19" s="18" t="n"/>
      <c r="Q19" s="19" t="n"/>
      <c r="R19" s="19" t="n"/>
      <c r="S19" s="28" t="n"/>
    </row>
    <row r="20" ht="13.5" customHeight="1" s="75">
      <c r="A20" s="18" t="inlineStr">
        <is>
          <t>Swimming</t>
        </is>
      </c>
      <c r="B20" s="13" t="n">
        <v>1513</v>
      </c>
      <c r="C20" s="18">
        <f>F20+J20+N20+R20</f>
        <v/>
      </c>
      <c r="D20" s="18" t="n">
        <v>944</v>
      </c>
      <c r="E20" s="19" t="n">
        <v>369</v>
      </c>
      <c r="F20" s="19" t="n">
        <v>51</v>
      </c>
      <c r="G20" s="20">
        <f>F20/(D20+E20+F20)</f>
        <v/>
      </c>
      <c r="H20" s="18" t="n">
        <v>109</v>
      </c>
      <c r="I20" s="19" t="n">
        <v>40</v>
      </c>
      <c r="J20" s="19" t="n"/>
      <c r="K20" s="20">
        <f>J20/(H20+I20+J20)</f>
        <v/>
      </c>
      <c r="L20" s="18" t="n"/>
      <c r="M20" s="19" t="n"/>
      <c r="N20" s="19" t="n"/>
      <c r="O20" s="18" t="n"/>
      <c r="P20" s="18" t="n"/>
      <c r="Q20" s="19" t="n"/>
      <c r="R20" s="19" t="n"/>
      <c r="S20" s="28" t="n"/>
    </row>
    <row r="21" ht="13.5" customHeight="1" s="75">
      <c r="A21" s="18" t="inlineStr">
        <is>
          <t>Swim Accessories</t>
        </is>
      </c>
      <c r="B21" s="13" t="n">
        <v>250</v>
      </c>
      <c r="C21" s="18">
        <f>F21+J21+N21+R21</f>
        <v/>
      </c>
      <c r="D21" s="18" t="n">
        <v>133</v>
      </c>
      <c r="E21" s="19" t="n">
        <v>112</v>
      </c>
      <c r="F21" s="19" t="n">
        <v>5</v>
      </c>
      <c r="G21" s="20">
        <f>F21/(D21+E21+F21)</f>
        <v/>
      </c>
      <c r="H21" s="18" t="n"/>
      <c r="I21" s="19" t="n"/>
      <c r="J21" s="19" t="n"/>
      <c r="K21" s="20" t="n"/>
      <c r="L21" s="18" t="n"/>
      <c r="M21" s="19" t="n"/>
      <c r="N21" s="19" t="n"/>
      <c r="O21" s="18" t="n"/>
      <c r="P21" s="18" t="n"/>
      <c r="Q21" s="19" t="n"/>
      <c r="R21" s="19" t="n"/>
      <c r="S21" s="28" t="n"/>
    </row>
    <row r="22" ht="13.5" customHeight="1" s="75">
      <c r="A22" s="18" t="inlineStr">
        <is>
          <t>Sports Bra</t>
        </is>
      </c>
      <c r="B22" s="13" t="n">
        <v>4596</v>
      </c>
      <c r="C22" s="18">
        <f>F22+J22+N22+R22</f>
        <v/>
      </c>
      <c r="D22" s="18" t="n">
        <v>2921</v>
      </c>
      <c r="E22" s="19" t="n">
        <v>1178</v>
      </c>
      <c r="F22" s="19" t="n">
        <v>72</v>
      </c>
      <c r="G22" s="20">
        <f>F22/(D22+E22+F22)</f>
        <v/>
      </c>
      <c r="H22" s="18" t="n">
        <v>327</v>
      </c>
      <c r="I22" s="19" t="n">
        <v>85</v>
      </c>
      <c r="J22" s="19" t="n">
        <v>13</v>
      </c>
      <c r="K22" s="20">
        <f>J22/(H22+I22+J22)</f>
        <v/>
      </c>
      <c r="L22" s="18" t="n"/>
      <c r="M22" s="19" t="n"/>
      <c r="N22" s="19" t="n"/>
      <c r="O22" s="18" t="n"/>
      <c r="P22" s="18" t="n"/>
      <c r="Q22" s="19" t="n"/>
      <c r="R22" s="19" t="n"/>
      <c r="S22" s="28" t="n"/>
    </row>
    <row r="23" ht="13.5" customHeight="1" s="75">
      <c r="A23" s="23" t="inlineStr">
        <is>
          <t>Total</t>
        </is>
      </c>
      <c r="B23" s="22" t="n">
        <v>98495</v>
      </c>
      <c r="C23" s="23">
        <f>F23+J23+N23+R23</f>
        <v/>
      </c>
      <c r="D23" s="23" t="n">
        <v>17641</v>
      </c>
      <c r="E23" s="24" t="n">
        <v>13887</v>
      </c>
      <c r="F23" s="24" t="n">
        <v>2052</v>
      </c>
      <c r="G23" s="25">
        <f>F23/(D23+E23+F23)</f>
        <v/>
      </c>
      <c r="H23" s="23" t="n">
        <v>27237</v>
      </c>
      <c r="I23" s="24" t="n">
        <v>17110</v>
      </c>
      <c r="J23" s="24" t="n">
        <v>3369</v>
      </c>
      <c r="K23" s="25">
        <f>J23/(H23+I23+J23)</f>
        <v/>
      </c>
      <c r="L23" s="23" t="n">
        <v>7828</v>
      </c>
      <c r="M23" s="24" t="n">
        <v>3513</v>
      </c>
      <c r="N23" s="24" t="n">
        <v>1305</v>
      </c>
      <c r="O23" s="25">
        <f>N23/(L23+M23+N23)</f>
        <v/>
      </c>
      <c r="P23" s="23" t="n">
        <v>3355</v>
      </c>
      <c r="Q23" s="24" t="n">
        <v>1076</v>
      </c>
      <c r="R23" s="24" t="n">
        <v>122</v>
      </c>
      <c r="S23" s="30">
        <f>R23/(P23+Q23+R23)</f>
        <v/>
      </c>
    </row>
  </sheetData>
  <mergeCells count="5">
    <mergeCell ref="D1:G1"/>
    <mergeCell ref="H1:K1"/>
    <mergeCell ref="L1:O1"/>
    <mergeCell ref="P1:S1"/>
    <mergeCell ref="B1:C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2024-04-25T06:31:23Z</dcterms:created>
  <dcterms:modified xsi:type="dcterms:W3CDTF">2025-07-09T07:50:30Z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F8CDDCB0C3FE4BC7B616D73C6CBD3F97_11</vt:lpwstr>
  </property>
  <property name="KSOProductBuildVer" fmtid="{D5CDD505-2E9C-101B-9397-08002B2CF9AE}" pid="3">
    <vt:lpwstr>2052-12.1.0.16894</vt:lpwstr>
  </property>
</Properties>
</file>