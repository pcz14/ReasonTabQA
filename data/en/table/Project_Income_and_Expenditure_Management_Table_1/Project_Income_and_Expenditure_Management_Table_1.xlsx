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120" windowWidth="27945" windowHeight="12375" tabRatio="600" firstSheet="1" autoFilterDateGrouping="1"/>
  </bookViews>
  <sheets>
    <sheet name="Income_and_Expenditure_Registra" sheetId="1" state="visible" r:id="rId1"/>
  </sheets>
  <definedNames>
    <definedName name="收入">#REF!</definedName>
    <definedName name="支出">#REF!</definedName>
    <definedName name="其他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7">
    <font>
      <name val="Arial"/>
      <family val="2"/>
      <sz val="10"/>
    </font>
    <font>
      <name val="思源黑体 Bold"/>
      <family val="2"/>
      <sz val="12"/>
    </font>
    <font>
      <name val="思源黑体 Bold"/>
      <family val="2"/>
      <b val="1"/>
      <sz val="12"/>
    </font>
    <font>
      <name val="思源黑体 Bold"/>
      <family val="2"/>
      <b val="1"/>
      <color theme="0"/>
      <sz val="24"/>
    </font>
    <font>
      <name val="思源黑体 Bold"/>
      <family val="2"/>
      <b val="1"/>
      <color theme="0"/>
      <sz val="14"/>
    </font>
    <font>
      <name val="思源黑体 Bold"/>
      <family val="2"/>
      <b val="1"/>
      <sz val="14"/>
    </font>
    <font>
      <name val="Calibri"/>
      <family val="2"/>
      <color theme="1"/>
      <sz val="11"/>
      <scheme val="minor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b val="1"/>
      <sz val="10"/>
    </font>
    <font>
      <name val="Arial"/>
      <family val="2"/>
      <color rgb="FF0000FF"/>
      <sz val="10"/>
      <u val="single"/>
    </font>
  </fonts>
  <fills count="39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 tint="-0.04998999834060669"/>
        <bgColor indexed="64"/>
      </patternFill>
    </fill>
    <fill>
      <patternFill patternType="solid">
        <fgColor rgb="FF1998E7"/>
        <bgColor indexed="64"/>
      </patternFill>
    </fill>
    <fill>
      <patternFill patternType="solid">
        <fgColor rgb="FF40AB2A"/>
        <bgColor indexed="64"/>
      </patternFill>
    </fill>
    <fill>
      <patternFill patternType="solid">
        <fgColor rgb="FFC7E7FA"/>
        <bgColor indexed="64"/>
      </patternFill>
    </fill>
    <fill>
      <patternFill patternType="solid">
        <fgColor rgb="FF1F8DE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1998E7"/>
      </left>
      <right style="thin">
        <color rgb="FF1998E7"/>
      </right>
      <top/>
      <bottom style="thin">
        <color rgb="FF1998E7"/>
      </bottom>
    </border>
    <border>
      <left style="thin">
        <color theme="0" tint="-0.2499900013208389"/>
      </left>
      <right style="thin">
        <color theme="0" tint="-0.2499900013208389"/>
      </right>
      <top/>
      <bottom style="thin">
        <color theme="0" tint="-0.2499900013208389"/>
      </bottom>
    </border>
    <border>
      <left style="thin">
        <color theme="0" tint="-0.2499900013208389"/>
      </left>
      <right style="thin">
        <color theme="0" tint="-0.2499900013208389"/>
      </right>
      <top style="thin">
        <color theme="0" tint="-0.2499900013208389"/>
      </top>
      <bottom style="thin">
        <color theme="0" tint="-0.2499900013208389"/>
      </bottom>
    </border>
  </borders>
  <cellStyleXfs count="55">
    <xf numFmtId="0" fontId="0" fillId="0" borderId="0" applyAlignment="1">
      <alignment vertical="center"/>
    </xf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  <xf numFmtId="43" fontId="6" fillId="0" borderId="0"/>
    <xf numFmtId="44" fontId="6" fillId="0" borderId="0"/>
    <xf numFmtId="9" fontId="6" fillId="0" borderId="0"/>
    <xf numFmtId="41" fontId="6" fillId="0" borderId="0"/>
    <xf numFmtId="42" fontId="6" fillId="0" borderId="0"/>
    <xf numFmtId="0" fontId="7" fillId="0" borderId="0"/>
    <xf numFmtId="0" fontId="8" fillId="0" borderId="0"/>
    <xf numFmtId="0" fontId="6" fillId="2" borderId="1"/>
    <xf numFmtId="0" fontId="9" fillId="0" borderId="0"/>
    <xf numFmtId="0" fontId="10" fillId="0" borderId="0"/>
    <xf numFmtId="0" fontId="11" fillId="0" borderId="0"/>
    <xf numFmtId="0" fontId="12" fillId="0" borderId="2"/>
    <xf numFmtId="0" fontId="13" fillId="0" borderId="2"/>
    <xf numFmtId="0" fontId="14" fillId="0" borderId="3"/>
    <xf numFmtId="0" fontId="14" fillId="0" borderId="0"/>
    <xf numFmtId="0" fontId="15" fillId="3" borderId="4"/>
    <xf numFmtId="0" fontId="16" fillId="4" borderId="5"/>
    <xf numFmtId="0" fontId="17" fillId="4" borderId="4"/>
    <xf numFmtId="0" fontId="18" fillId="5" borderId="6"/>
    <xf numFmtId="0" fontId="19" fillId="0" borderId="7"/>
    <xf numFmtId="0" fontId="20" fillId="0" borderId="8"/>
    <xf numFmtId="0" fontId="21" fillId="6" borderId="0"/>
    <xf numFmtId="0" fontId="22" fillId="7" borderId="0"/>
    <xf numFmtId="0" fontId="23" fillId="8" borderId="0"/>
    <xf numFmtId="0" fontId="24" fillId="9" borderId="0"/>
    <xf numFmtId="0" fontId="6" fillId="10" borderId="0"/>
    <xf numFmtId="0" fontId="6" fillId="11" borderId="0"/>
    <xf numFmtId="0" fontId="24" fillId="12" borderId="0"/>
    <xf numFmtId="0" fontId="24" fillId="13" borderId="0"/>
    <xf numFmtId="0" fontId="6" fillId="14" borderId="0"/>
    <xf numFmtId="0" fontId="6" fillId="15" borderId="0"/>
    <xf numFmtId="0" fontId="24" fillId="16" borderId="0"/>
    <xf numFmtId="0" fontId="24" fillId="17" borderId="0"/>
    <xf numFmtId="0" fontId="6" fillId="18" borderId="0"/>
    <xf numFmtId="0" fontId="6" fillId="19" borderId="0"/>
    <xf numFmtId="0" fontId="24" fillId="20" borderId="0"/>
    <xf numFmtId="0" fontId="24" fillId="21" borderId="0"/>
    <xf numFmtId="0" fontId="6" fillId="22" borderId="0"/>
    <xf numFmtId="0" fontId="6" fillId="23" borderId="0"/>
    <xf numFmtId="0" fontId="24" fillId="24" borderId="0"/>
    <xf numFmtId="0" fontId="24" fillId="25" borderId="0"/>
    <xf numFmtId="0" fontId="6" fillId="26" borderId="0"/>
    <xf numFmtId="0" fontId="6" fillId="27" borderId="0"/>
    <xf numFmtId="0" fontId="24" fillId="28" borderId="0"/>
    <xf numFmtId="0" fontId="24" fillId="29" borderId="0"/>
    <xf numFmtId="0" fontId="6" fillId="30" borderId="0"/>
    <xf numFmtId="0" fontId="6" fillId="31" borderId="0"/>
    <xf numFmtId="0" fontId="24" fillId="32" borderId="0"/>
    <xf numFmtId="0" fontId="26" fillId="0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33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3" fillId="34" borderId="0" applyAlignment="1" pivotButton="0" quotePrefix="0" xfId="0">
      <alignment horizontal="center" vertical="center"/>
    </xf>
    <xf numFmtId="0" fontId="4" fillId="34" borderId="9" applyAlignment="1" pivotButton="0" quotePrefix="0" xfId="0">
      <alignment horizontal="center" vertical="center"/>
    </xf>
    <xf numFmtId="164" fontId="4" fillId="35" borderId="9" applyAlignment="1" pivotButton="0" quotePrefix="0" xfId="0">
      <alignment horizontal="center" vertical="center"/>
    </xf>
    <xf numFmtId="14" fontId="5" fillId="36" borderId="10" applyAlignment="1" pivotButton="0" quotePrefix="0" xfId="0">
      <alignment horizontal="center" vertical="center"/>
    </xf>
    <xf numFmtId="164" fontId="5" fillId="36" borderId="10" applyAlignment="1" pivotButton="0" quotePrefix="0" xfId="0">
      <alignment horizontal="center" vertical="center"/>
    </xf>
    <xf numFmtId="164" fontId="1" fillId="33" borderId="0" applyAlignment="1" pivotButton="0" quotePrefix="0" xfId="0">
      <alignment horizontal="center" vertical="center"/>
    </xf>
    <xf numFmtId="164" fontId="4" fillId="34" borderId="9" applyAlignment="1" pivotButton="0" quotePrefix="0" xfId="0">
      <alignment horizontal="center" vertical="center"/>
    </xf>
    <xf numFmtId="14" fontId="1" fillId="0" borderId="11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164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164" fontId="1" fillId="0" borderId="12" applyAlignment="1" pivotButton="0" quotePrefix="0" xfId="0">
      <alignment horizontal="center" vertical="center"/>
    </xf>
    <xf numFmtId="164" fontId="4" fillId="37" borderId="9" applyAlignment="1" pivotButton="0" quotePrefix="0" xfId="0">
      <alignment horizontal="center" vertical="center"/>
    </xf>
    <xf numFmtId="164" fontId="4" fillId="38" borderId="9" applyAlignment="1" pivotButton="0" quotePrefix="0" xfId="0">
      <alignment horizontal="center" vertical="center"/>
    </xf>
    <xf numFmtId="0" fontId="4" fillId="34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68">
      <alignment vertical="center"/>
    </xf>
    <xf numFmtId="0" fontId="26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164" fontId="4" fillId="35" borderId="9" applyAlignment="1" pivotButton="0" quotePrefix="0" xfId="0">
      <alignment horizontal="center" vertical="center"/>
    </xf>
    <xf numFmtId="164" fontId="4" fillId="37" borderId="9" applyAlignment="1" pivotButton="0" quotePrefix="0" xfId="0">
      <alignment horizontal="center" vertical="center"/>
    </xf>
    <xf numFmtId="164" fontId="4" fillId="38" borderId="9" applyAlignment="1" pivotButton="0" quotePrefix="0" xfId="0">
      <alignment horizontal="center" vertical="center"/>
    </xf>
    <xf numFmtId="164" fontId="4" fillId="34" borderId="9" applyAlignment="1" pivotButton="0" quotePrefix="0" xfId="0">
      <alignment horizontal="center" vertical="center"/>
    </xf>
    <xf numFmtId="164" fontId="5" fillId="36" borderId="10" applyAlignment="1" pivotButton="0" quotePrefix="0" xfId="0">
      <alignment horizontal="center" vertical="center"/>
    </xf>
    <xf numFmtId="164" fontId="1" fillId="33" borderId="0" applyAlignment="1" pivotButton="0" quotePrefix="0" xfId="0">
      <alignment horizontal="center" vertical="center"/>
    </xf>
    <xf numFmtId="164" fontId="1" fillId="0" borderId="11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">
    <dxf>
      <fill>
        <patternFill patternType="solid">
          <bgColor rgb="FFE9F4FC"/>
        </patternFill>
      </fill>
      <border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topLeftCell="A1" workbookViewId="0">
      <selection activeCell="R21" sqref="R21"/>
    </sheetView>
  </sheetViews>
  <sheetFormatPr baseColWidth="8" defaultColWidth="10.28125" defaultRowHeight="22.5" customHeight="1"/>
  <cols>
    <col width="1.421875" customWidth="1" style="1" min="1" max="1"/>
    <col width="13.7109375" customWidth="1" style="1" min="2" max="2"/>
    <col width="12.28125" customWidth="1" style="1" min="3" max="3"/>
    <col width="23.28125" customWidth="1" style="1" min="4" max="4"/>
    <col width="15.57421875" customWidth="1" style="3" min="5" max="5"/>
    <col width="19.8515625" customWidth="1" style="3" min="6" max="6"/>
    <col width="17.00390625" customWidth="1" style="1" min="7" max="7"/>
    <col width="15.57421875" customWidth="1" style="26" min="8" max="8"/>
    <col width="16.421875" customWidth="1" style="26" min="9" max="9"/>
    <col width="15.57421875" customWidth="1" style="26" min="10" max="11"/>
    <col width="15.7109375" customWidth="1" style="1" min="12" max="12"/>
    <col width="2.28125" customWidth="1" style="1" min="13" max="13"/>
    <col width="10.28125" customWidth="1" style="1" min="14" max="16384"/>
  </cols>
  <sheetData>
    <row r="1" ht="6.75" customFormat="1" customHeight="1" s="1">
      <c r="A1" s="1" t="n"/>
      <c r="B1" s="1" t="n"/>
      <c r="C1" s="1" t="n"/>
      <c r="D1" s="1" t="n"/>
      <c r="E1" s="1" t="n"/>
      <c r="F1" s="1" t="n"/>
      <c r="G1" s="1" t="n"/>
      <c r="H1" s="26" t="n"/>
      <c r="I1" s="26" t="n"/>
      <c r="J1" s="26" t="n"/>
      <c r="K1" s="26" t="n"/>
      <c r="L1" s="1" t="n"/>
    </row>
    <row r="2" ht="6.75" customFormat="1" customHeight="1" s="1">
      <c r="A2" s="1" t="n"/>
      <c r="B2" s="1" t="n"/>
      <c r="C2" s="1" t="n"/>
      <c r="D2" s="1" t="n"/>
      <c r="E2" s="1" t="n"/>
      <c r="F2" s="1" t="n"/>
      <c r="G2" s="1" t="n"/>
      <c r="H2" s="26" t="n"/>
      <c r="I2" s="26" t="n"/>
      <c r="J2" s="26" t="n"/>
      <c r="K2" s="26" t="n"/>
      <c r="L2" s="1" t="n"/>
    </row>
    <row r="3" ht="22.5" customFormat="1" customHeight="1" s="1">
      <c r="A3" s="1" t="n"/>
      <c r="B3" s="5" t="inlineStr">
        <is>
          <t>Project Income and Expenditure Management Table</t>
        </is>
      </c>
      <c r="G3" s="6" t="inlineStr">
        <is>
          <t>Today's Date</t>
        </is>
      </c>
      <c r="H3" s="27" t="inlineStr">
        <is>
          <t>Total Beginning Balance</t>
        </is>
      </c>
      <c r="I3" s="28" t="inlineStr">
        <is>
          <t>Total Income</t>
        </is>
      </c>
      <c r="J3" s="29" t="inlineStr">
        <is>
          <t>Total Expenditure</t>
        </is>
      </c>
      <c r="K3" s="30" t="inlineStr">
        <is>
          <t>Total ending balance</t>
        </is>
      </c>
      <c r="L3" s="22" t="n"/>
    </row>
    <row r="4" ht="22.5" customFormat="1" customHeight="1" s="1">
      <c r="A4" s="1" t="n"/>
      <c r="G4" s="8">
        <f>TODAY()</f>
        <v/>
      </c>
      <c r="H4" s="31">
        <f>SUM(H7:H7973)</f>
        <v/>
      </c>
      <c r="I4" s="31">
        <f>SUM(I7:I7973)</f>
        <v/>
      </c>
      <c r="J4" s="31">
        <f>SUM(J7:J7973)</f>
        <v/>
      </c>
      <c r="K4" s="31">
        <f>H4+I4-J4</f>
        <v/>
      </c>
    </row>
    <row r="5" ht="10.5" customFormat="1" customHeight="1" s="1">
      <c r="A5" s="1" t="n"/>
      <c r="B5" s="3" t="n"/>
      <c r="C5" s="3" t="n"/>
      <c r="D5" s="3" t="n"/>
      <c r="E5" s="3" t="n"/>
      <c r="F5" s="3" t="n"/>
      <c r="G5" s="3" t="n"/>
      <c r="H5" s="32" t="n"/>
      <c r="I5" s="32" t="n"/>
      <c r="J5" s="32" t="n"/>
      <c r="K5" s="32" t="n"/>
      <c r="L5" s="3" t="n"/>
    </row>
    <row r="6" ht="28.5" customFormat="1" customHeight="1" s="2">
      <c r="A6" s="2" t="n"/>
      <c r="B6" s="6" t="inlineStr">
        <is>
          <t>Date</t>
        </is>
      </c>
      <c r="C6" s="6" t="inlineStr">
        <is>
          <t>Voucher Number</t>
        </is>
      </c>
      <c r="D6" s="6" t="inlineStr">
        <is>
          <t>Business Summary</t>
        </is>
      </c>
      <c r="E6" s="6" t="inlineStr">
        <is>
          <t>Category</t>
        </is>
      </c>
      <c r="F6" s="6" t="inlineStr">
        <is>
          <t>Subject Name</t>
        </is>
      </c>
      <c r="G6" s="6" t="inlineStr">
        <is>
          <t>Project or Department</t>
        </is>
      </c>
      <c r="H6" s="30" t="inlineStr">
        <is>
          <t>Beginning Balance</t>
        </is>
      </c>
      <c r="I6" s="30" t="inlineStr">
        <is>
          <t>Income Amount</t>
        </is>
      </c>
      <c r="J6" s="30" t="inlineStr">
        <is>
          <t>Amount Spent</t>
        </is>
      </c>
      <c r="K6" s="30" t="inlineStr">
        <is>
          <t>Ending Balance</t>
        </is>
      </c>
      <c r="L6" s="6" t="inlineStr">
        <is>
          <t>Person in Charge</t>
        </is>
      </c>
    </row>
    <row r="7" ht="25.5" customFormat="1" customHeight="1" s="1">
      <c r="A7" s="1" t="n"/>
      <c r="B7" s="12" t="n">
        <v>44658</v>
      </c>
      <c r="C7" s="14" t="n"/>
      <c r="D7" s="14" t="inlineStr">
        <is>
          <t>Beginning Balance</t>
        </is>
      </c>
      <c r="E7" s="14" t="inlineStr">
        <is>
          <t>Beginning Balance</t>
        </is>
      </c>
      <c r="F7" s="14" t="n"/>
      <c r="G7" s="14" t="n"/>
      <c r="H7" s="33" t="n">
        <v>50000</v>
      </c>
      <c r="I7" s="33" t="n"/>
      <c r="J7" s="33" t="n"/>
      <c r="K7" s="33">
        <f>IF(AND(H7="",I7="",J7=""),"",SUM($H$7:H7)+SUM($I$7:I7)-SUM($J$7:J7))</f>
        <v/>
      </c>
      <c r="L7" s="17" t="inlineStr">
        <is>
          <t>Zeng Siping</t>
        </is>
      </c>
    </row>
    <row r="8" ht="25.5" customFormat="1" customHeight="1" s="1">
      <c r="A8" s="1" t="n"/>
      <c r="B8" s="12" t="n">
        <v>44658</v>
      </c>
      <c r="C8" s="18" t="n"/>
      <c r="D8" s="17" t="inlineStr">
        <is>
          <t>Beginning Balance</t>
        </is>
      </c>
      <c r="E8" s="14" t="inlineStr">
        <is>
          <t>Beginning Balance</t>
        </is>
      </c>
      <c r="F8" s="14" t="n"/>
      <c r="G8" s="18" t="n"/>
      <c r="H8" s="33" t="n">
        <v>3000</v>
      </c>
      <c r="I8" s="33" t="n"/>
      <c r="J8" s="33" t="n"/>
      <c r="K8" s="33">
        <f>IF(AND(H8="",I8="",J8=""),"",SUM($H$7:H8)+SUM($I$7:I8)-SUM($J$7:J8))</f>
        <v/>
      </c>
      <c r="L8" s="18" t="inlineStr">
        <is>
          <t>Xiao Li</t>
        </is>
      </c>
    </row>
    <row r="9" ht="25.5" customFormat="1" customHeight="1" s="1">
      <c r="A9" s="1" t="n"/>
      <c r="B9" s="12" t="n">
        <v>44660</v>
      </c>
      <c r="C9" s="18" t="n"/>
      <c r="D9" s="17" t="inlineStr">
        <is>
          <t>Worker's Salary</t>
        </is>
      </c>
      <c r="E9" s="14" t="inlineStr">
        <is>
          <t>Expenditure</t>
        </is>
      </c>
      <c r="F9" s="14" t="inlineStr">
        <is>
          <t>Personnel Salary</t>
        </is>
      </c>
      <c r="G9" s="18" t="inlineStr">
        <is>
          <t>West Coast Silver Tower</t>
        </is>
      </c>
      <c r="H9" s="33" t="n"/>
      <c r="I9" s="33" t="n"/>
      <c r="J9" s="33" t="n">
        <v>400</v>
      </c>
      <c r="K9" s="33">
        <f>IF(AND(H9="",I9="",J9=""),"",SUM($H$7:H9)+SUM($I$7:I9)-SUM($J$7:J9))</f>
        <v/>
      </c>
      <c r="L9" s="18" t="inlineStr">
        <is>
          <t>Xiao Li</t>
        </is>
      </c>
    </row>
    <row r="10" ht="25.5" customFormat="1" customHeight="1" s="1">
      <c r="A10" s="1" t="n"/>
      <c r="B10" s="12" t="n">
        <v>44661</v>
      </c>
      <c r="C10" s="18" t="n"/>
      <c r="D10" s="17" t="inlineStr">
        <is>
          <t>Receive project payment from Mr. Wang</t>
        </is>
      </c>
      <c r="E10" s="14" t="inlineStr">
        <is>
          <t>Income</t>
        </is>
      </c>
      <c r="F10" s="14" t="inlineStr">
        <is>
          <t>Project Payment</t>
        </is>
      </c>
      <c r="G10" s="18" t="inlineStr">
        <is>
          <t>Elite Fun Court</t>
        </is>
      </c>
      <c r="H10" s="33" t="n"/>
      <c r="I10" s="33" t="n">
        <v>1200</v>
      </c>
      <c r="J10" s="33" t="n"/>
      <c r="K10" s="33">
        <f>IF(AND(H10="",I10="",J10=""),"",SUM($H$7:H10)+SUM($I$7:I10)-SUM($J$7:J10))</f>
        <v/>
      </c>
      <c r="L10" s="18" t="inlineStr">
        <is>
          <t>Gang Tingting</t>
        </is>
      </c>
    </row>
    <row r="11" ht="25.5" customFormat="1" customHeight="1" s="1">
      <c r="A11" s="1" t="n"/>
      <c r="B11" s="12" t="n">
        <v>44662</v>
      </c>
      <c r="C11" s="18" t="n"/>
      <c r="D11" s="17" t="inlineStr">
        <is>
          <t>Payment for Construction Costs</t>
        </is>
      </c>
      <c r="E11" s="14" t="inlineStr">
        <is>
          <t>Expenditure</t>
        </is>
      </c>
      <c r="F11" s="14" t="inlineStr">
        <is>
          <t>Construction Cost</t>
        </is>
      </c>
      <c r="G11" s="18" t="inlineStr">
        <is>
          <t>New City Cinema</t>
        </is>
      </c>
      <c r="H11" s="33" t="n"/>
      <c r="I11" s="33" t="n"/>
      <c r="J11" s="33" t="n">
        <v>345</v>
      </c>
      <c r="K11" s="33">
        <f>IF(AND(H11="",I11="",J11=""),"",SUM($H$7:H11)+SUM($I$7:I11)-SUM($J$7:J11))</f>
        <v/>
      </c>
      <c r="L11" s="18" t="inlineStr">
        <is>
          <t>Xiao Li</t>
        </is>
      </c>
    </row>
    <row r="12" ht="25.5" customFormat="1" customHeight="1" s="1">
      <c r="A12" s="1" t="n"/>
      <c r="B12" s="12" t="n">
        <v>44693</v>
      </c>
      <c r="C12" s="18" t="n"/>
      <c r="D12" s="17" t="inlineStr">
        <is>
          <t>Pay water and electricity bills</t>
        </is>
      </c>
      <c r="E12" s="14" t="inlineStr">
        <is>
          <t>Other</t>
        </is>
      </c>
      <c r="F12" s="14" t="inlineStr">
        <is>
          <t>Other</t>
        </is>
      </c>
      <c r="G12" s="18" t="inlineStr">
        <is>
          <t>Huilongyuan</t>
        </is>
      </c>
      <c r="H12" s="33" t="n"/>
      <c r="I12" s="33" t="n"/>
      <c r="J12" s="33" t="n">
        <v>245</v>
      </c>
      <c r="K12" s="33">
        <f>IF(AND(H12="",I12="",J12=""),"",SUM($H$7:H12)+SUM($I$7:I12)-SUM($J$7:J12))</f>
        <v/>
      </c>
      <c r="L12" s="18" t="inlineStr">
        <is>
          <t>Gang Tingting</t>
        </is>
      </c>
    </row>
    <row r="13" ht="25.5" customFormat="1" customHeight="1" s="1">
      <c r="A13" s="1" t="n"/>
      <c r="B13" s="12" t="n">
        <v>44694</v>
      </c>
      <c r="C13" s="18" t="n"/>
      <c r="D13" s="17" t="inlineStr">
        <is>
          <t>Rental Income from Forklift</t>
        </is>
      </c>
      <c r="E13" s="14" t="inlineStr">
        <is>
          <t>Income</t>
        </is>
      </c>
      <c r="F13" s="14" t="inlineStr">
        <is>
          <t>Project Payment</t>
        </is>
      </c>
      <c r="G13" s="18" t="inlineStr">
        <is>
          <t>Baoyin Mass</t>
        </is>
      </c>
      <c r="H13" s="33" t="n"/>
      <c r="I13" s="33" t="n">
        <v>4500</v>
      </c>
      <c r="J13" s="33" t="n"/>
      <c r="K13" s="33">
        <f>IF(AND(H13="",I13="",J13=""),"",SUM($H$7:H13)+SUM($I$7:I13)-SUM($J$7:J13))</f>
        <v/>
      </c>
      <c r="L13" s="17" t="inlineStr">
        <is>
          <t>Zeng Siping</t>
        </is>
      </c>
    </row>
    <row r="14" ht="25.5" customFormat="1" customHeight="1" s="1">
      <c r="A14" s="1" t="n"/>
      <c r="B14" s="12" t="n">
        <v>44695</v>
      </c>
      <c r="C14" s="18" t="n"/>
      <c r="D14" s="17" t="inlineStr">
        <is>
          <t>Payment for Construction Costs</t>
        </is>
      </c>
      <c r="E14" s="14" t="inlineStr">
        <is>
          <t>Expenditure</t>
        </is>
      </c>
      <c r="F14" s="14" t="inlineStr">
        <is>
          <t>Construction Cost</t>
        </is>
      </c>
      <c r="G14" s="18" t="inlineStr">
        <is>
          <t>MUJI</t>
        </is>
      </c>
      <c r="H14" s="33" t="n"/>
      <c r="I14" s="33" t="n"/>
      <c r="J14" s="33" t="n">
        <v>300</v>
      </c>
      <c r="K14" s="33">
        <f>IF(AND(H14="",I14="",J14=""),"",SUM($H$7:H14)+SUM($I$7:I14)-SUM($J$7:J14))</f>
        <v/>
      </c>
      <c r="L14" s="18" t="inlineStr">
        <is>
          <t>Glory</t>
        </is>
      </c>
    </row>
    <row r="15" ht="25.5" customFormat="1" customHeight="1" s="1">
      <c r="A15" s="1" t="n"/>
      <c r="B15" s="12" t="n">
        <v>44696</v>
      </c>
      <c r="C15" s="18" t="n"/>
      <c r="D15" s="17" t="inlineStr">
        <is>
          <t>Sell remaining materials</t>
        </is>
      </c>
      <c r="E15" s="14" t="inlineStr">
        <is>
          <t>Other</t>
        </is>
      </c>
      <c r="F15" s="14" t="inlineStr">
        <is>
          <t>Other</t>
        </is>
      </c>
      <c r="G15" s="18" t="inlineStr">
        <is>
          <t>Chiwan</t>
        </is>
      </c>
      <c r="H15" s="33" t="n"/>
      <c r="I15" s="33" t="n">
        <v>5490</v>
      </c>
      <c r="J15" s="33" t="n"/>
      <c r="K15" s="33">
        <f>IF(AND(H15="",I15="",J15=""),"",SUM($H$7:H15)+SUM($I$7:I15)-SUM($J$7:J15))</f>
        <v/>
      </c>
      <c r="L15" s="18" t="inlineStr">
        <is>
          <t>Glory</t>
        </is>
      </c>
    </row>
    <row r="16" ht="25.5" customFormat="1" customHeight="1" s="1">
      <c r="A16" s="1" t="n"/>
      <c r="B16" s="12" t="n">
        <v>44697</v>
      </c>
      <c r="C16" s="18" t="n"/>
      <c r="D16" s="17" t="inlineStr">
        <is>
          <t>Employee Meal Expenses</t>
        </is>
      </c>
      <c r="E16" s="14" t="inlineStr">
        <is>
          <t>Expenditure</t>
        </is>
      </c>
      <c r="F16" s="14" t="inlineStr">
        <is>
          <t>Construction Cost</t>
        </is>
      </c>
      <c r="G16" s="18" t="inlineStr">
        <is>
          <t>Shanhai Yiju</t>
        </is>
      </c>
      <c r="H16" s="33" t="n"/>
      <c r="I16" s="33" t="n"/>
      <c r="J16" s="33" t="n">
        <v>240</v>
      </c>
      <c r="K16" s="33">
        <f>IF(AND(H16="",I16="",J16=""),"",SUM($H$7:H16)+SUM($I$7:I16)-SUM($J$7:J16))</f>
        <v/>
      </c>
      <c r="L16" s="18" t="inlineStr">
        <is>
          <t>Gang Tingting</t>
        </is>
      </c>
    </row>
    <row r="17" ht="25.5" customFormat="1" customHeight="1" s="1">
      <c r="A17" s="1" t="n"/>
      <c r="B17" s="12" t="n">
        <v>44698</v>
      </c>
      <c r="C17" s="18" t="n"/>
      <c r="D17" s="17" t="inlineStr">
        <is>
          <t>Purchase of fruits</t>
        </is>
      </c>
      <c r="E17" s="14" t="inlineStr">
        <is>
          <t>Expenditure</t>
        </is>
      </c>
      <c r="F17" s="14" t="inlineStr">
        <is>
          <t>Employee Benefits</t>
        </is>
      </c>
      <c r="G17" s="18" t="inlineStr">
        <is>
          <t>Haixiang Ge</t>
        </is>
      </c>
      <c r="H17" s="33" t="n"/>
      <c r="I17" s="33" t="n"/>
      <c r="J17" s="33" t="n">
        <v>560</v>
      </c>
      <c r="K17" s="33">
        <f>IF(AND(H17="",I17="",J17=""),"",SUM($H$7:H17)+SUM($I$7:I17)-SUM($J$7:J17))</f>
        <v/>
      </c>
      <c r="L17" s="17" t="inlineStr">
        <is>
          <t>Zeng Siping</t>
        </is>
      </c>
    </row>
    <row r="18" ht="25.5" customFormat="1" customHeight="1" s="1">
      <c r="A18" s="1" t="n"/>
      <c r="B18" s="12" t="n">
        <v>44699</v>
      </c>
      <c r="C18" s="18" t="n"/>
      <c r="D18" s="17" t="inlineStr">
        <is>
          <t>Other Income</t>
        </is>
      </c>
      <c r="E18" s="14" t="inlineStr">
        <is>
          <t>Income</t>
        </is>
      </c>
      <c r="F18" s="14" t="inlineStr">
        <is>
          <t>Other Income</t>
        </is>
      </c>
      <c r="G18" s="18" t="inlineStr">
        <is>
          <t>Mountain Language Sea Garden</t>
        </is>
      </c>
      <c r="H18" s="33" t="n"/>
      <c r="I18" s="33" t="n">
        <v>500</v>
      </c>
      <c r="J18" s="33" t="n"/>
      <c r="K18" s="33">
        <f>IF(AND(H18="",I18="",J18=""),"",SUM($H$7:H18)+SUM($I$7:I18)-SUM($J$7:J18))</f>
        <v/>
      </c>
      <c r="L18" s="18" t="inlineStr">
        <is>
          <t>Glory</t>
        </is>
      </c>
    </row>
    <row r="19" ht="25.5" customFormat="1" customHeight="1" s="1">
      <c r="A19" s="1" t="n"/>
      <c r="B19" s="12" t="n">
        <v>44700</v>
      </c>
      <c r="C19" s="18" t="n"/>
      <c r="D19" s="18" t="inlineStr">
        <is>
          <t>Pay for car rental fees</t>
        </is>
      </c>
      <c r="E19" s="18" t="inlineStr">
        <is>
          <t>Expenditure</t>
        </is>
      </c>
      <c r="F19" s="14" t="inlineStr">
        <is>
          <t>Car rental expenses</t>
        </is>
      </c>
      <c r="G19" s="14" t="inlineStr">
        <is>
          <t>Huilongyuan</t>
        </is>
      </c>
      <c r="H19" s="34" t="n"/>
      <c r="I19" s="34" t="n"/>
      <c r="J19" s="34" t="n">
        <v>680</v>
      </c>
      <c r="K19" s="33">
        <f>IF(AND(H19="",I19="",J19=""),"",SUM($H$7:H19)+SUM($I$7:I19)-SUM($J$7:J19))</f>
        <v/>
      </c>
      <c r="L19" s="18" t="inlineStr">
        <is>
          <t>Xiao Li</t>
        </is>
      </c>
    </row>
    <row r="20" ht="25.5" customFormat="1" customHeight="1" s="1">
      <c r="A20" s="1" t="n"/>
      <c r="B20" s="12" t="n">
        <v>44701</v>
      </c>
      <c r="C20" s="18" t="n"/>
      <c r="D20" s="18" t="inlineStr">
        <is>
          <t>Other Income</t>
        </is>
      </c>
      <c r="E20" s="18" t="inlineStr">
        <is>
          <t>Income</t>
        </is>
      </c>
      <c r="F20" s="14" t="inlineStr">
        <is>
          <t>Other Income</t>
        </is>
      </c>
      <c r="G20" s="18" t="inlineStr">
        <is>
          <t>Huilongyuan</t>
        </is>
      </c>
      <c r="H20" s="34" t="n"/>
      <c r="I20" s="34" t="n">
        <v>6000</v>
      </c>
      <c r="J20" s="34" t="n"/>
      <c r="K20" s="33">
        <f>IF(AND(H20="",I20="",J20=""),"",SUM($H$7:H20)+SUM($I$7:I20)-SUM($J$7:J20))</f>
        <v/>
      </c>
      <c r="L20" s="18" t="inlineStr">
        <is>
          <t>Gang Tingting</t>
        </is>
      </c>
    </row>
    <row r="21" ht="25.5" customFormat="1" customHeight="1" s="1">
      <c r="A21" s="1" t="n"/>
      <c r="B21" s="12" t="n">
        <v>44702</v>
      </c>
      <c r="C21" s="18" t="n"/>
      <c r="D21" s="18" t="inlineStr">
        <is>
          <t>Receive project payment</t>
        </is>
      </c>
      <c r="E21" s="18" t="inlineStr">
        <is>
          <t>Income</t>
        </is>
      </c>
      <c r="F21" s="14" t="inlineStr">
        <is>
          <t>Project Payment</t>
        </is>
      </c>
      <c r="G21" s="18" t="inlineStr">
        <is>
          <t>Mountain Language Sea Garden</t>
        </is>
      </c>
      <c r="H21" s="34" t="n"/>
      <c r="I21" s="34" t="n">
        <v>6000</v>
      </c>
      <c r="J21" s="34" t="n"/>
      <c r="K21" s="33">
        <f>IF(AND(H21="",I21="",J21=""),"",SUM($H$7:H21)+SUM($I$7:I21)-SUM($J$7:J21))</f>
        <v/>
      </c>
      <c r="L21" s="18" t="inlineStr">
        <is>
          <t>Gang Tingting</t>
        </is>
      </c>
    </row>
    <row r="22" ht="25.5" customFormat="1" customHeight="1" s="1">
      <c r="A22" s="1" t="n"/>
      <c r="B22" s="12" t="n">
        <v>44703</v>
      </c>
      <c r="C22" s="18" t="n"/>
      <c r="D22" s="18" t="inlineStr">
        <is>
          <t>Receive project payment</t>
        </is>
      </c>
      <c r="E22" s="18" t="inlineStr">
        <is>
          <t>Income</t>
        </is>
      </c>
      <c r="F22" s="14" t="inlineStr">
        <is>
          <t>Project Payment</t>
        </is>
      </c>
      <c r="G22" s="14" t="inlineStr">
        <is>
          <t>Huilongyuan</t>
        </is>
      </c>
      <c r="H22" s="34" t="n"/>
      <c r="I22" s="34" t="n">
        <v>6001</v>
      </c>
      <c r="J22" s="34" t="n"/>
      <c r="K22" s="33">
        <f>IF(AND(H22="",I22="",J22=""),"",SUM($H$7:H22)+SUM($I$7:I22)-SUM($J$7:J22))</f>
        <v/>
      </c>
      <c r="L22" s="18" t="inlineStr">
        <is>
          <t>Xiao Li</t>
        </is>
      </c>
    </row>
    <row r="23" ht="25.5" customHeight="1" s="35">
      <c r="B23" s="12" t="n">
        <v>44704</v>
      </c>
      <c r="C23" s="18" t="n"/>
      <c r="D23" s="18" t="inlineStr">
        <is>
          <t>Receive project payment</t>
        </is>
      </c>
      <c r="E23" s="18" t="inlineStr">
        <is>
          <t>Income</t>
        </is>
      </c>
      <c r="F23" s="14" t="inlineStr">
        <is>
          <t>Project Payment</t>
        </is>
      </c>
      <c r="G23" s="18" t="inlineStr">
        <is>
          <t>Huilongyuan</t>
        </is>
      </c>
      <c r="H23" s="34" t="n"/>
      <c r="I23" s="34" t="n">
        <v>6002</v>
      </c>
      <c r="J23" s="34" t="n"/>
      <c r="K23" s="33">
        <f>IF(AND(H23="",I23="",J23=""),"",SUM($H$7:H23)+SUM($I$7:I23)-SUM($J$7:J23))</f>
        <v/>
      </c>
      <c r="L23" s="18" t="inlineStr">
        <is>
          <t>Glory</t>
        </is>
      </c>
    </row>
  </sheetData>
  <mergeCells count="2">
    <mergeCell ref="B3:F4"/>
    <mergeCell ref="L3:L4"/>
  </mergeCells>
  <conditionalFormatting sqref="B7:L23">
    <cfRule type="expression" priority="2" dxfId="0">
      <formula>$E7="收入"</formula>
    </cfRule>
  </conditionalFormatting>
  <dataValidations count="4">
    <dataValidation sqref="E7 E8:E18" showDropDown="0" showInputMessage="1" showErrorMessage="1" allowBlank="1" type="list">
      <formula1>"期初,收入,支出,其他"</formula1>
    </dataValidation>
    <dataValidation sqref="F7 F8:F11 F12:F18 F19:F21 F22 F23" showDropDown="0" showInputMessage="1" showErrorMessage="1" allowBlank="1" type="list">
      <formula1>INDIRECT(E7)</formula1>
    </dataValidation>
    <dataValidation sqref="G7:G17 G18:G23 L7:L8 L9 L10 L11 L12:L23 L24" showDropDown="0" showInputMessage="1" showErrorMessage="1" allowBlank="1" type="list">
      <formula1>#REF!</formula1>
    </dataValidation>
    <dataValidation sqref="E19:E21 E22 E23" showDropDown="0" showInputMessage="1" showErrorMessage="1" allowBlank="1" type="list">
      <formula1>"收入,支出"</formula1>
    </dataValidation>
  </dataValidation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2021-11-26T04:12:00Z</dcterms:created>
  <dcterms:modified xsi:type="dcterms:W3CDTF">2025-07-09T01:24:09Z</dcterms:modified>
  <cp:lastModifiedBy>UMBRA~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C7816CF6DEFE4295AC066484332A82C7_11</vt:lpwstr>
  </property>
  <property name="KSOProductBuildVer" fmtid="{D5CDD505-2E9C-101B-9397-08002B2CF9AE}" pid="3">
    <vt:lpwstr>2052-12.1.0.16120</vt:lpwstr>
  </property>
  <property name="KSOTemplateUUID" fmtid="{D5CDD505-2E9C-101B-9397-08002B2CF9AE}" pid="4">
    <vt:lpwstr>v1.0_mb_lVXPu0rlPgkIp5Q88xoN8Q==</vt:lpwstr>
  </property>
</Properties>
</file>