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40" yWindow="120" windowWidth="22188" windowHeight="9060" tabRatio="600" firstSheet="1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yyyy/m/d;@"/>
    <numFmt numFmtId="165" formatCode="0&quot;月&quot;&quot;营&quot;&quot;业&quot;&quot;额&quot;&quot;报&quot;&quot;表&quot;"/>
    <numFmt numFmtId="166" formatCode="&quot;￥&quot;#,##0.00;&quot;￥&quot;\-#,##0.00"/>
    <numFmt numFmtId="167" formatCode="0&quot;月&quot;&quot;欠&quot;&quot;款&quot;&quot;本&quot;&quot;月&quot;&quot;收&quot;&quot;款&quot;"/>
    <numFmt numFmtId="168" formatCode="_ &quot;￥&quot;* #,##0.00_ ;_ &quot;￥&quot;* \-#,##0.00_ ;_ &quot;￥&quot;* &quot;-&quot;??_ ;_ @_ "/>
    <numFmt numFmtId="169" formatCode="[=0]g;General"/>
  </numFmts>
  <fonts count="28">
    <font>
      <name val="宋体"/>
      <family val="2"/>
      <color theme="1"/>
      <sz val="11"/>
      <scheme val="minor"/>
    </font>
    <font>
      <name val="Arial"/>
      <family val="2"/>
      <sz val="10"/>
    </font>
    <font>
      <name val="宋体"/>
      <family val="2"/>
      <color rgb="FFFF0000"/>
      <sz val="11"/>
      <scheme val="minor"/>
    </font>
    <font>
      <name val="宋体"/>
      <family val="2"/>
      <b val="1"/>
      <color theme="1"/>
      <sz val="18"/>
      <scheme val="minor"/>
    </font>
    <font>
      <name val="宋体"/>
      <family val="2"/>
      <b val="1"/>
      <color theme="1"/>
      <sz val="12"/>
      <scheme val="minor"/>
    </font>
    <font>
      <name val="宋体"/>
      <family val="2"/>
      <b val="1"/>
      <color theme="1"/>
      <sz val="16"/>
      <scheme val="minor"/>
    </font>
    <font>
      <name val="宋体"/>
      <family val="2"/>
      <b val="1"/>
      <color theme="1"/>
      <sz val="11"/>
      <scheme val="minor"/>
    </font>
    <font>
      <name val="宋体"/>
      <family val="2"/>
      <b val="1"/>
      <color rgb="FFFF0000"/>
      <sz val="11"/>
      <scheme val="minor"/>
    </font>
    <font>
      <name val="宋体"/>
      <family val="2"/>
      <color theme="1"/>
      <sz val="11"/>
    </font>
    <font>
      <name val="宋体"/>
      <family val="2"/>
      <color indexed="12"/>
      <sz val="11"/>
      <u val="single"/>
    </font>
    <font>
      <name val="宋体"/>
      <family val="2"/>
      <b val="1"/>
      <color rgb="FFFF0000"/>
      <sz val="16"/>
      <scheme val="minor"/>
    </font>
    <font>
      <name val="宋体"/>
      <family val="2"/>
      <b val="1"/>
      <color rgb="FFFF0000"/>
      <sz val="12"/>
      <scheme val="minor"/>
    </font>
    <font>
      <name val="宋体"/>
      <family val="2"/>
      <color rgb="FF0000FF"/>
      <sz val="11"/>
      <u val="single"/>
      <scheme val="minor"/>
    </font>
    <font>
      <name val="宋体"/>
      <family val="2"/>
      <color rgb="FF800080"/>
      <sz val="11"/>
      <u val="single"/>
      <scheme val="minor"/>
    </font>
    <font>
      <name val="宋体"/>
      <family val="2"/>
      <b val="1"/>
      <color theme="3"/>
      <sz val="18"/>
      <scheme val="minor"/>
    </font>
    <font>
      <name val="宋体"/>
      <family val="2"/>
      <i val="1"/>
      <color rgb="FF7F7F7F"/>
      <sz val="11"/>
      <scheme val="minor"/>
    </font>
    <font>
      <name val="宋体"/>
      <family val="2"/>
      <b val="1"/>
      <color theme="3"/>
      <sz val="15"/>
      <scheme val="minor"/>
    </font>
    <font>
      <name val="宋体"/>
      <family val="2"/>
      <b val="1"/>
      <color theme="3"/>
      <sz val="13"/>
      <scheme val="minor"/>
    </font>
    <font>
      <name val="宋体"/>
      <family val="2"/>
      <b val="1"/>
      <color theme="3"/>
      <sz val="11"/>
      <scheme val="minor"/>
    </font>
    <font>
      <name val="宋体"/>
      <family val="2"/>
      <color rgb="FF3F3F76"/>
      <sz val="11"/>
      <scheme val="minor"/>
    </font>
    <font>
      <name val="宋体"/>
      <family val="2"/>
      <b val="1"/>
      <color rgb="FF3F3F3F"/>
      <sz val="11"/>
      <scheme val="minor"/>
    </font>
    <font>
      <name val="宋体"/>
      <family val="2"/>
      <b val="1"/>
      <color rgb="FFFA7D00"/>
      <sz val="11"/>
      <scheme val="minor"/>
    </font>
    <font>
      <name val="宋体"/>
      <family val="2"/>
      <b val="1"/>
      <color rgb="FFFFFFFF"/>
      <sz val="11"/>
      <scheme val="minor"/>
    </font>
    <font>
      <name val="宋体"/>
      <family val="2"/>
      <color rgb="FFFA7D00"/>
      <sz val="11"/>
      <scheme val="minor"/>
    </font>
    <font>
      <name val="宋体"/>
      <family val="2"/>
      <color rgb="FF006100"/>
      <sz val="11"/>
      <scheme val="minor"/>
    </font>
    <font>
      <name val="宋体"/>
      <family val="2"/>
      <color rgb="FF9C0006"/>
      <sz val="11"/>
      <scheme val="minor"/>
    </font>
    <font>
      <name val="宋体"/>
      <family val="2"/>
      <color rgb="FF9C6500"/>
      <sz val="11"/>
      <scheme val="minor"/>
    </font>
    <font>
      <name val="宋体"/>
      <family val="2"/>
      <color theme="0"/>
      <sz val="11"/>
      <scheme val="minor"/>
    </font>
  </fonts>
  <fills count="41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  <fill>
      <patternFill patternType="solid">
        <fgColor rgb="FFFAE2E7"/>
        <bgColor indexed="64"/>
      </patternFill>
    </fill>
    <fill>
      <patternFill patternType="solid">
        <fgColor theme="9" tint="0.80000001192092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80000001192092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6000000238418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2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/>
      <right/>
      <top style="thin"/>
      <bottom style="thin"/>
    </border>
    <border>
      <left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/>
    </border>
    <border>
      <left style="thin"/>
      <right style="thin"/>
      <top/>
      <bottom style="thin"/>
    </border>
    <border>
      <left/>
      <right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55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12" fillId="0" borderId="0"/>
    <xf numFmtId="0" fontId="13" fillId="0" borderId="0"/>
    <xf numFmtId="0" fontId="0" fillId="2" borderId="1"/>
    <xf numFmtId="0" fontId="2" fillId="0" borderId="0"/>
    <xf numFmtId="0" fontId="14" fillId="0" borderId="0"/>
    <xf numFmtId="0" fontId="15" fillId="0" borderId="0"/>
    <xf numFmtId="0" fontId="16" fillId="0" borderId="2"/>
    <xf numFmtId="0" fontId="17" fillId="0" borderId="2"/>
    <xf numFmtId="0" fontId="18" fillId="0" borderId="3"/>
    <xf numFmtId="0" fontId="18" fillId="0" borderId="0"/>
    <xf numFmtId="0" fontId="19" fillId="3" borderId="4"/>
    <xf numFmtId="0" fontId="20" fillId="4" borderId="5"/>
    <xf numFmtId="0" fontId="21" fillId="4" borderId="4"/>
    <xf numFmtId="0" fontId="22" fillId="5" borderId="6"/>
    <xf numFmtId="0" fontId="23" fillId="0" borderId="7"/>
    <xf numFmtId="0" fontId="6" fillId="0" borderId="8"/>
    <xf numFmtId="0" fontId="24" fillId="6" borderId="0"/>
    <xf numFmtId="0" fontId="25" fillId="7" borderId="0"/>
    <xf numFmtId="0" fontId="26" fillId="8" borderId="0"/>
    <xf numFmtId="0" fontId="27" fillId="9" borderId="0"/>
    <xf numFmtId="0" fontId="0" fillId="10" borderId="0"/>
    <xf numFmtId="0" fontId="0" fillId="11" borderId="0"/>
    <xf numFmtId="0" fontId="27" fillId="12" borderId="0"/>
    <xf numFmtId="0" fontId="27" fillId="13" borderId="0"/>
    <xf numFmtId="0" fontId="0" fillId="14" borderId="0"/>
    <xf numFmtId="0" fontId="0" fillId="15" borderId="0"/>
    <xf numFmtId="0" fontId="27" fillId="16" borderId="0"/>
    <xf numFmtId="0" fontId="27" fillId="17" borderId="0"/>
    <xf numFmtId="0" fontId="0" fillId="18" borderId="0"/>
    <xf numFmtId="0" fontId="0" fillId="19" borderId="0"/>
    <xf numFmtId="0" fontId="27" fillId="20" borderId="0"/>
    <xf numFmtId="0" fontId="27" fillId="21" borderId="0"/>
    <xf numFmtId="0" fontId="0" fillId="22" borderId="0"/>
    <xf numFmtId="0" fontId="0" fillId="23" borderId="0"/>
    <xf numFmtId="0" fontId="27" fillId="24" borderId="0"/>
    <xf numFmtId="0" fontId="27" fillId="25" borderId="0"/>
    <xf numFmtId="0" fontId="0" fillId="26" borderId="0"/>
    <xf numFmtId="0" fontId="0" fillId="27" borderId="0"/>
    <xf numFmtId="0" fontId="27" fillId="28" borderId="0"/>
    <xf numFmtId="0" fontId="27" fillId="29" borderId="0"/>
    <xf numFmtId="0" fontId="0" fillId="30" borderId="0"/>
    <xf numFmtId="0" fontId="0" fillId="31" borderId="0"/>
    <xf numFmtId="0" fontId="27" fillId="32" borderId="0"/>
    <xf numFmtId="0" fontId="12" fillId="0" borderId="0" applyAlignment="1">
      <alignment vertical="center"/>
    </xf>
  </cellStyleXfs>
  <cellXfs count="7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0" fontId="0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5" fontId="4" fillId="0" borderId="9" applyAlignment="1" pivotButton="0" quotePrefix="0" xfId="0">
      <alignment horizontal="center" vertical="center"/>
    </xf>
    <xf numFmtId="165" fontId="4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166" fontId="7" fillId="33" borderId="11" applyAlignment="1" pivotButton="0" quotePrefix="0" xfId="0">
      <alignment horizontal="center" vertical="center"/>
    </xf>
    <xf numFmtId="167" fontId="4" fillId="0" borderId="11" applyAlignment="1" pivotButton="0" quotePrefix="0" xfId="0">
      <alignment horizontal="center" vertical="center"/>
    </xf>
    <xf numFmtId="168" fontId="7" fillId="33" borderId="11" applyAlignment="1" pivotButton="0" quotePrefix="0" xfId="0">
      <alignment horizontal="center" vertical="center"/>
    </xf>
    <xf numFmtId="0" fontId="7" fillId="33" borderId="11" applyAlignment="1" pivotButton="0" quotePrefix="0" xfId="0">
      <alignment horizontal="center" vertical="center"/>
    </xf>
    <xf numFmtId="0" fontId="4" fillId="34" borderId="12" applyAlignment="1" pivotButton="0" quotePrefix="0" xfId="0">
      <alignment horizontal="center" vertical="center" wrapText="1"/>
    </xf>
    <xf numFmtId="0" fontId="4" fillId="34" borderId="13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/>
    </xf>
    <xf numFmtId="0" fontId="8" fillId="0" borderId="11" applyAlignment="1" pivotButton="0" quotePrefix="0" xfId="25">
      <alignment horizontal="center"/>
    </xf>
    <xf numFmtId="0" fontId="9" fillId="0" borderId="11" applyAlignment="1" pivotButton="0" quotePrefix="0" xfId="25">
      <alignment horizontal="center"/>
    </xf>
    <xf numFmtId="58" fontId="8" fillId="0" borderId="11" applyAlignment="1" pivotButton="0" quotePrefix="0" xfId="25">
      <alignment horizontal="center"/>
    </xf>
    <xf numFmtId="169" fontId="0" fillId="0" borderId="11" applyAlignment="1" pivotButton="0" quotePrefix="0" xfId="0">
      <alignment horizontal="center"/>
    </xf>
    <xf numFmtId="0" fontId="0" fillId="35" borderId="11" applyAlignment="1" pivotButton="0" quotePrefix="0" xfId="0">
      <alignment horizontal="center"/>
    </xf>
    <xf numFmtId="0" fontId="10" fillId="0" borderId="11" applyAlignment="1" pivotButton="0" quotePrefix="0" xfId="0">
      <alignment horizontal="center" vertical="center"/>
    </xf>
    <xf numFmtId="10" fontId="11" fillId="33" borderId="12" applyAlignment="1" pivotButton="0" quotePrefix="0" xfId="0">
      <alignment horizontal="center" vertical="center" wrapText="1"/>
    </xf>
    <xf numFmtId="0" fontId="11" fillId="33" borderId="12" applyAlignment="1" pivotButton="0" quotePrefix="0" xfId="0">
      <alignment horizontal="center" vertical="center" wrapText="1"/>
    </xf>
    <xf numFmtId="0" fontId="11" fillId="36" borderId="9" applyAlignment="1" pivotButton="0" quotePrefix="0" xfId="0">
      <alignment horizontal="center" vertical="center" wrapText="1"/>
    </xf>
    <xf numFmtId="0" fontId="11" fillId="36" borderId="14" applyAlignment="1" pivotButton="0" quotePrefix="0" xfId="0">
      <alignment horizontal="center" vertical="center" wrapText="1"/>
    </xf>
    <xf numFmtId="0" fontId="11" fillId="36" borderId="10" applyAlignment="1" pivotButton="0" quotePrefix="0" xfId="0">
      <alignment horizontal="center" vertical="center" wrapText="1"/>
    </xf>
    <xf numFmtId="10" fontId="11" fillId="33" borderId="13" applyAlignment="1" pivotButton="0" quotePrefix="0" xfId="0">
      <alignment horizontal="center" vertical="center" wrapText="1"/>
    </xf>
    <xf numFmtId="0" fontId="11" fillId="33" borderId="13" applyAlignment="1" pivotButton="0" quotePrefix="0" xfId="0">
      <alignment horizontal="center" vertical="center" wrapText="1"/>
    </xf>
    <xf numFmtId="0" fontId="4" fillId="37" borderId="11" applyAlignment="1" pivotButton="0" quotePrefix="0" xfId="0">
      <alignment horizontal="center" vertical="center" wrapText="1"/>
    </xf>
    <xf numFmtId="0" fontId="4" fillId="35" borderId="11" applyAlignment="1" pivotButton="0" quotePrefix="0" xfId="0">
      <alignment horizontal="center" vertical="center" wrapText="1"/>
    </xf>
    <xf numFmtId="0" fontId="11" fillId="38" borderId="11" applyAlignment="1" pivotButton="0" quotePrefix="0" xfId="0">
      <alignment horizontal="center" vertical="center" wrapText="1"/>
    </xf>
    <xf numFmtId="0" fontId="2" fillId="33" borderId="11" applyAlignment="1" pivotButton="0" quotePrefix="0" xfId="0">
      <alignment horizontal="center"/>
    </xf>
    <xf numFmtId="10" fontId="2" fillId="33" borderId="11" applyAlignment="1" pivotButton="0" quotePrefix="0" xfId="0">
      <alignment horizontal="center"/>
    </xf>
    <xf numFmtId="164" fontId="2" fillId="33" borderId="11" applyAlignment="1" pivotButton="0" quotePrefix="0" xfId="0">
      <alignment horizontal="center"/>
    </xf>
    <xf numFmtId="0" fontId="0" fillId="35" borderId="11" applyAlignment="1" pivotButton="0" quotePrefix="0" xfId="0">
      <alignment horizontal="center"/>
    </xf>
    <xf numFmtId="0" fontId="0" fillId="35" borderId="0" applyAlignment="1" pivotButton="0" quotePrefix="0" xfId="0">
      <alignment horizontal="center" vertical="center"/>
    </xf>
    <xf numFmtId="164" fontId="2" fillId="35" borderId="0" applyAlignment="1" pivotButton="0" quotePrefix="0" xfId="0">
      <alignment horizontal="center" vertical="center"/>
    </xf>
    <xf numFmtId="0" fontId="2" fillId="35" borderId="0" applyAlignment="1" pivotButton="0" quotePrefix="0" xfId="0">
      <alignment horizontal="center" vertical="center"/>
    </xf>
    <xf numFmtId="0" fontId="0" fillId="35" borderId="0" applyAlignment="1" pivotButton="0" quotePrefix="0" xfId="0">
      <alignment vertical="center"/>
    </xf>
    <xf numFmtId="0" fontId="2" fillId="35" borderId="0" applyAlignment="1" pivotButton="0" quotePrefix="0" xfId="0">
      <alignment vertical="center"/>
    </xf>
    <xf numFmtId="164" fontId="4" fillId="39" borderId="0" applyAlignment="1" pivotButton="0" quotePrefix="0" xfId="0">
      <alignment horizontal="center" vertical="center"/>
    </xf>
    <xf numFmtId="164" fontId="11" fillId="39" borderId="0" applyAlignment="1" pivotButton="0" quotePrefix="0" xfId="0">
      <alignment horizontal="center" vertical="center"/>
    </xf>
    <xf numFmtId="0" fontId="0" fillId="0" borderId="0" pivotButton="0" quotePrefix="0" xfId="0"/>
    <xf numFmtId="164" fontId="4" fillId="40" borderId="9" applyAlignment="1" pivotButton="0" quotePrefix="0" xfId="0">
      <alignment horizontal="center" vertical="center" wrapText="1"/>
    </xf>
    <xf numFmtId="0" fontId="4" fillId="40" borderId="14" applyAlignment="1" pivotButton="0" quotePrefix="0" xfId="0">
      <alignment horizontal="center" vertical="center" wrapText="1"/>
    </xf>
    <xf numFmtId="0" fontId="11" fillId="40" borderId="10" applyAlignment="1" pivotButton="0" quotePrefix="0" xfId="0">
      <alignment horizontal="center" vertical="center" wrapText="1"/>
    </xf>
    <xf numFmtId="164" fontId="4" fillId="40" borderId="11" applyAlignment="1" pivotButton="0" quotePrefix="0" xfId="0">
      <alignment horizontal="center" vertical="center" wrapText="1"/>
    </xf>
    <xf numFmtId="0" fontId="4" fillId="40" borderId="11" applyAlignment="1" pivotButton="0" quotePrefix="0" xfId="0">
      <alignment horizontal="center" vertical="center" wrapText="1"/>
    </xf>
    <xf numFmtId="0" fontId="11" fillId="40" borderId="11" applyAlignment="1" pivotButton="0" quotePrefix="0" xfId="0">
      <alignment horizontal="center" vertical="center" wrapText="1"/>
    </xf>
    <xf numFmtId="0" fontId="0" fillId="0" borderId="0" pivotButton="0" quotePrefix="0" xfId="0"/>
    <xf numFmtId="164" fontId="0" fillId="0" borderId="11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68">
      <alignment vertical="center"/>
    </xf>
    <xf numFmtId="0" fontId="12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165" fontId="4" fillId="0" borderId="11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8" pivotButton="0" quotePrefix="0" xfId="0"/>
    <xf numFmtId="166" fontId="7" fillId="33" borderId="11" applyAlignment="1" pivotButton="0" quotePrefix="0" xfId="0">
      <alignment horizontal="center" vertical="center"/>
    </xf>
    <xf numFmtId="167" fontId="4" fillId="0" borderId="11" applyAlignment="1" pivotButton="0" quotePrefix="0" xfId="0">
      <alignment horizontal="center" vertical="center"/>
    </xf>
    <xf numFmtId="168" fontId="7" fillId="33" borderId="11" applyAlignment="1" pivotButton="0" quotePrefix="0" xfId="0">
      <alignment horizontal="center" vertical="center"/>
    </xf>
    <xf numFmtId="164" fontId="4" fillId="39" borderId="0" applyAlignment="1" pivotButton="0" quotePrefix="0" xfId="0">
      <alignment horizontal="center" vertical="center"/>
    </xf>
    <xf numFmtId="0" fontId="4" fillId="34" borderId="11" applyAlignment="1" pivotButton="0" quotePrefix="0" xfId="0">
      <alignment horizontal="center" vertical="center" wrapText="1"/>
    </xf>
    <xf numFmtId="10" fontId="11" fillId="33" borderId="11" applyAlignment="1" pivotButton="0" quotePrefix="0" xfId="0">
      <alignment horizontal="center" vertical="center" wrapText="1"/>
    </xf>
    <xf numFmtId="0" fontId="11" fillId="33" borderId="11" applyAlignment="1" pivotButton="0" quotePrefix="0" xfId="0">
      <alignment horizontal="center" vertical="center" wrapText="1"/>
    </xf>
    <xf numFmtId="0" fontId="11" fillId="36" borderId="11" applyAlignment="1" pivotButton="0" quotePrefix="0" xfId="0">
      <alignment horizontal="center" vertical="center" wrapText="1"/>
    </xf>
    <xf numFmtId="164" fontId="4" fillId="40" borderId="11" applyAlignment="1" pivotButton="0" quotePrefix="0" xfId="0">
      <alignment horizontal="center" vertical="center" wrapText="1"/>
    </xf>
    <xf numFmtId="0" fontId="0" fillId="0" borderId="21" pivotButton="0" quotePrefix="0" xfId="0"/>
    <xf numFmtId="169" fontId="0" fillId="0" borderId="11" applyAlignment="1" pivotButton="0" quotePrefix="0" xfId="0">
      <alignment horizontal="center"/>
    </xf>
    <xf numFmtId="164" fontId="2" fillId="33" borderId="11" applyAlignment="1" pivotButton="0" quotePrefix="0" xfId="0">
      <alignment horizontal="center"/>
    </xf>
    <xf numFmtId="164" fontId="0" fillId="0" borderId="11" applyAlignment="1" pivotButton="0" quotePrefix="0" xfId="0">
      <alignment horizontal="center" vertical="center" wrapText="1"/>
    </xf>
    <xf numFmtId="164" fontId="2" fillId="35" borderId="0" applyAlignment="1" pivotButton="0" quotePrefix="0" xfId="0">
      <alignment horizontal="center" vertical="center"/>
    </xf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dxfs count="2">
    <dxf>
      <fill>
        <patternFill patternType="solid">
          <bgColor theme="6"/>
        </patternFill>
      </fill>
      <border/>
    </dxf>
    <dxf>
      <fill>
        <patternFill patternType="solid">
          <bgColor rgb="FFC5D8A0"/>
        </patternFill>
      </fill>
      <border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B18"/>
  <sheetViews>
    <sheetView showGridLines="0" topLeftCell="A6" workbookViewId="0">
      <selection activeCell="N16" sqref="N16"/>
    </sheetView>
  </sheetViews>
  <sheetFormatPr baseColWidth="8" defaultColWidth="9.00390625" defaultRowHeight="13.5"/>
  <cols>
    <col width="0.6171875" customWidth="1" min="1" max="1"/>
    <col width="13.375" customWidth="1" style="2" min="2" max="2"/>
    <col width="14.50390625" customWidth="1" style="2" min="3" max="3"/>
    <col width="8.625" customWidth="1" style="2" min="4" max="4"/>
    <col width="9.50390625" customWidth="1" style="2" min="5" max="5"/>
    <col width="7.00390625" customWidth="1" style="2" min="6" max="6"/>
    <col width="9.375" customWidth="1" style="2" min="7" max="7"/>
    <col width="9.625" customWidth="1" style="2" min="8" max="8"/>
    <col width="8.875" customWidth="1" style="2" min="9" max="9"/>
    <col width="9.375" customWidth="1" style="2" min="10" max="10"/>
    <col width="8.625" customWidth="1" style="2" min="11" max="11"/>
    <col width="9.75390625" customWidth="1" style="3" min="12" max="12"/>
    <col width="9.125" customWidth="1" style="2" min="13" max="14"/>
    <col width="11.125" customWidth="1" style="60" min="15" max="15"/>
    <col width="9.125" customWidth="1" style="2" min="16" max="17"/>
    <col width="13.00390625" customWidth="1" style="5" min="18" max="18"/>
    <col width="9.125" customWidth="1" style="2" min="19" max="20"/>
    <col width="12.00390625" customWidth="1" style="2" min="21" max="21"/>
    <col width="9.125" customWidth="1" min="22" max="23"/>
    <col width="12.375" customWidth="1" style="6" min="24" max="24"/>
    <col width="2.375" customWidth="1" min="25" max="25"/>
    <col width="10.375" customWidth="1" style="61" min="26" max="26"/>
    <col width="9.625" customWidth="1" min="27" max="27"/>
    <col width="10.50390625" customWidth="1" style="6" min="28" max="28"/>
    <col width="1.625" customWidth="1" min="29" max="29"/>
  </cols>
  <sheetData>
    <row r="1" ht="39" customHeight="1" s="54">
      <c r="B1" s="8" t="inlineStr">
        <is>
          <t>Project Income Statement - Arrears Collection Statistics</t>
        </is>
      </c>
    </row>
    <row r="2" ht="7.5" customHeight="1" s="54">
      <c r="O2" s="5" t="n"/>
    </row>
    <row r="3" ht="24" customHeight="1" s="54">
      <c r="B3" s="62" t="n">
        <v>9</v>
      </c>
      <c r="C3" s="63" t="n"/>
      <c r="E3" s="11" t="inlineStr">
        <is>
          <t>Payment Statistics</t>
        </is>
      </c>
      <c r="F3" s="64" t="n"/>
      <c r="G3" s="64" t="n"/>
      <c r="H3" s="64" t="n"/>
      <c r="I3" s="64" t="n"/>
      <c r="J3" s="64" t="n"/>
      <c r="K3" s="64" t="n"/>
      <c r="L3" s="64" t="n"/>
      <c r="M3" s="64" t="n"/>
      <c r="N3" s="64" t="n"/>
      <c r="O3" s="64" t="n"/>
      <c r="P3" s="63" t="n"/>
    </row>
    <row r="4" ht="24" customHeight="1" s="54">
      <c r="B4" s="12" t="inlineStr">
        <is>
          <t>Total Project Amount</t>
        </is>
      </c>
      <c r="C4" s="65">
        <f>SUMPRODUCT((MONTH($E$11:$E$9983)=B3)*$H$11:$H$9983)</f>
        <v/>
      </c>
      <c r="E4" s="66" t="n">
        <v>1</v>
      </c>
      <c r="F4" s="63" t="n"/>
      <c r="G4" s="66" t="n">
        <v>2</v>
      </c>
      <c r="H4" s="63" t="n"/>
      <c r="I4" s="66" t="n">
        <v>3</v>
      </c>
      <c r="J4" s="63" t="n"/>
      <c r="K4" s="66" t="n">
        <v>4</v>
      </c>
      <c r="L4" s="63" t="n"/>
      <c r="M4" s="66" t="n">
        <v>5</v>
      </c>
      <c r="N4" s="63" t="n"/>
      <c r="O4" s="66" t="n">
        <v>6</v>
      </c>
      <c r="P4" s="63" t="n"/>
      <c r="Q4" s="2" t="n"/>
    </row>
    <row r="5" ht="21" customHeight="1" s="54">
      <c r="B5" s="12" t="inlineStr">
        <is>
          <t>Received Amount</t>
        </is>
      </c>
      <c r="C5" s="65">
        <f>SUMPRODUCT((MONTH($E$11:$E$9983)=B3)*$J$11:$J$9983)</f>
        <v/>
      </c>
      <c r="E5" s="67">
        <f>SUMPRODUCT((MONTH($Z$11:$Z$9983)=E4)*$AA$11:$AA$9983)</f>
        <v/>
      </c>
      <c r="F5" s="63" t="n"/>
      <c r="G5" s="67">
        <f>SUMPRODUCT((MONTH($Z$11:$Z$9983)=G4)*$AA$11:$AA$9983)</f>
        <v/>
      </c>
      <c r="H5" s="63" t="n"/>
      <c r="I5" s="67">
        <f>SUMPRODUCT((MONTH($Z$11:$Z$9983)=I4)*$AA$11:$AA$9983)</f>
        <v/>
      </c>
      <c r="J5" s="63" t="n"/>
      <c r="K5" s="67">
        <f>SUMPRODUCT((MONTH($Z$11:$Z$9983)=K4)*$AA$11:$AA$9983)</f>
        <v/>
      </c>
      <c r="L5" s="63" t="n"/>
      <c r="M5" s="67">
        <f>SUMPRODUCT((MONTH($Z$11:$Z$9983)=M4)*$AA$11:$AA$9983)</f>
        <v/>
      </c>
      <c r="N5" s="63" t="n"/>
      <c r="O5" s="67">
        <f>SUMPRODUCT((MONTH($Z$11:$Z$9983)=O4)*$AA$11:$AA$9983)</f>
        <v/>
      </c>
      <c r="P5" s="63" t="n"/>
    </row>
    <row r="6" ht="21" customHeight="1" s="54">
      <c r="B6" s="12" t="inlineStr">
        <is>
          <t>Outstanding amount</t>
        </is>
      </c>
      <c r="C6" s="65">
        <f>SUMPRODUCT((MONTH($E$11:$E$9983)=B3)*$K$11:$K$9983)</f>
        <v/>
      </c>
      <c r="E6" s="66" t="n">
        <v>7</v>
      </c>
      <c r="F6" s="63" t="n"/>
      <c r="G6" s="66" t="n">
        <v>8</v>
      </c>
      <c r="H6" s="63" t="n"/>
      <c r="I6" s="66" t="n">
        <v>9</v>
      </c>
      <c r="J6" s="63" t="n"/>
      <c r="K6" s="66" t="n">
        <v>10</v>
      </c>
      <c r="L6" s="63" t="n"/>
      <c r="M6" s="66" t="n">
        <v>11</v>
      </c>
      <c r="N6" s="63" t="n"/>
      <c r="O6" s="66" t="n">
        <v>12</v>
      </c>
      <c r="P6" s="63" t="n"/>
    </row>
    <row r="7" ht="19.5" customHeight="1" s="54">
      <c r="B7" s="12" t="inlineStr">
        <is>
          <t>Number of Projects This Month</t>
        </is>
      </c>
      <c r="C7" s="16">
        <f>COUNTA(C11:C9977)</f>
        <v/>
      </c>
      <c r="E7" s="67">
        <f>SUMPRODUCT((MONTH($Z$11:$Z$9983)=E6)*$AA$11:$AA$9983)</f>
        <v/>
      </c>
      <c r="F7" s="63" t="n"/>
      <c r="G7" s="67">
        <f>SUMPRODUCT((MONTH($Z$11:$Z$9983)=G6)*$AA$11:$AA$9983)</f>
        <v/>
      </c>
      <c r="H7" s="63" t="n"/>
      <c r="I7" s="67">
        <f>SUMPRODUCT((MONTH($Z$11:$Z$9983)=I6)*$AA$11:$AA$9983)</f>
        <v/>
      </c>
      <c r="J7" s="63" t="n"/>
      <c r="K7" s="67">
        <f>SUMPRODUCT((MONTH($Z$11:$Z$9983)=K6)*$AA$11:$AA$9983)</f>
        <v/>
      </c>
      <c r="L7" s="63" t="n"/>
      <c r="M7" s="67">
        <f>SUMPRODUCT((MONTH($Z$11:$Z$9983)=M6)*$AA$11:$AA$9983)</f>
        <v/>
      </c>
      <c r="N7" s="63" t="n"/>
      <c r="O7" s="67">
        <f>SUMPRODUCT((MONTH($Z$11:$Z$9983)=O6)*$AA$11:$AA$9983)</f>
        <v/>
      </c>
      <c r="P7" s="63" t="n"/>
      <c r="Z7" s="68" t="inlineStr">
        <is>
          <t>Please enter the amount not for the current month in this column.</t>
        </is>
      </c>
    </row>
    <row r="8" ht="6" customHeight="1" s="54">
      <c r="O8" s="5" t="n"/>
    </row>
    <row r="9" ht="19.5" customHeight="1" s="54">
      <c r="B9" s="69" t="inlineStr">
        <is>
          <t>Project Number</t>
        </is>
      </c>
      <c r="C9" s="69" t="inlineStr">
        <is>
          <t>Project Name</t>
        </is>
      </c>
      <c r="D9" s="69" t="inlineStr">
        <is>
          <t>Customer</t>
        </is>
      </c>
      <c r="E9" s="69" t="inlineStr">
        <is>
          <t>Project Date</t>
        </is>
      </c>
      <c r="F9" s="69" t="inlineStr">
        <is>
          <t>Number of Renderings</t>
        </is>
      </c>
      <c r="G9" s="69" t="inlineStr">
        <is>
          <t>Delivery Date of Drawings</t>
        </is>
      </c>
      <c r="H9" s="69" t="inlineStr">
        <is>
          <t>Project Amount</t>
        </is>
      </c>
      <c r="I9" s="69" t="inlineStr">
        <is>
          <t>Key Project Contents</t>
        </is>
      </c>
      <c r="J9" s="70" t="inlineStr">
        <is>
          <t>Total Amount Received</t>
        </is>
      </c>
      <c r="K9" s="71" t="inlineStr">
        <is>
          <t>Outstanding amount</t>
        </is>
      </c>
      <c r="L9" s="70" t="inlineStr">
        <is>
          <t>Recovery Progress</t>
        </is>
      </c>
      <c r="M9" s="72" t="inlineStr">
        <is>
          <t>First receipt</t>
        </is>
      </c>
      <c r="N9" s="64" t="n"/>
      <c r="O9" s="63" t="n"/>
      <c r="P9" s="72" t="inlineStr">
        <is>
          <t>Second Payment</t>
        </is>
      </c>
      <c r="Q9" s="64" t="n"/>
      <c r="R9" s="63" t="n"/>
      <c r="S9" s="72" t="inlineStr">
        <is>
          <t>Third Payment</t>
        </is>
      </c>
      <c r="T9" s="64" t="n"/>
      <c r="U9" s="63" t="n"/>
      <c r="V9" s="72" t="inlineStr">
        <is>
          <t>Fourth Payment</t>
        </is>
      </c>
      <c r="W9" s="64" t="n"/>
      <c r="X9" s="63" t="n"/>
      <c r="Z9" s="73" t="inlineStr">
        <is>
          <t>Outstanding Payment Collection Records</t>
        </is>
      </c>
      <c r="AA9" s="64" t="n"/>
      <c r="AB9" s="63" t="n"/>
    </row>
    <row r="10" ht="30" customHeight="1" s="54">
      <c r="B10" s="74" t="n"/>
      <c r="C10" s="74" t="n"/>
      <c r="D10" s="74" t="n"/>
      <c r="E10" s="74" t="n"/>
      <c r="F10" s="74" t="n"/>
      <c r="G10" s="74" t="n"/>
      <c r="H10" s="74" t="n"/>
      <c r="I10" s="74" t="n"/>
      <c r="J10" s="74" t="n"/>
      <c r="K10" s="74" t="n"/>
      <c r="L10" s="74" t="n"/>
      <c r="M10" s="33" t="inlineStr">
        <is>
          <t>Received Amount</t>
        </is>
      </c>
      <c r="N10" s="34" t="inlineStr">
        <is>
          <t>Payment Method</t>
        </is>
      </c>
      <c r="O10" s="35" t="inlineStr">
        <is>
          <t>Payment Date</t>
        </is>
      </c>
      <c r="P10" s="33" t="inlineStr">
        <is>
          <t>Received Amount</t>
        </is>
      </c>
      <c r="Q10" s="34" t="inlineStr">
        <is>
          <t>Payment Method</t>
        </is>
      </c>
      <c r="R10" s="35" t="inlineStr">
        <is>
          <t>Payment Date</t>
        </is>
      </c>
      <c r="S10" s="33" t="inlineStr">
        <is>
          <t>Received Amount</t>
        </is>
      </c>
      <c r="T10" s="34" t="inlineStr">
        <is>
          <t>Payment Method</t>
        </is>
      </c>
      <c r="U10" s="35" t="inlineStr">
        <is>
          <t>Payment Date</t>
        </is>
      </c>
      <c r="V10" s="33" t="inlineStr">
        <is>
          <t>Received Amount</t>
        </is>
      </c>
      <c r="W10" s="34" t="inlineStr">
        <is>
          <t>Payment Method</t>
        </is>
      </c>
      <c r="X10" s="35" t="inlineStr">
        <is>
          <t>Payment Date</t>
        </is>
      </c>
      <c r="Z10" s="73" t="inlineStr">
        <is>
          <t>Outstanding Payment Month</t>
        </is>
      </c>
      <c r="AA10" s="52" t="inlineStr">
        <is>
          <t>Received Amount</t>
        </is>
      </c>
      <c r="AB10" s="53" t="inlineStr">
        <is>
          <t>Payment Date</t>
        </is>
      </c>
    </row>
    <row r="11" ht="13.5" customHeight="1" s="54">
      <c r="B11" s="19" t="n">
        <v>1909001</v>
      </c>
      <c r="C11" s="20" t="inlineStr">
        <is>
          <t>Project 1</t>
        </is>
      </c>
      <c r="D11" s="21" t="n"/>
      <c r="E11" s="22" t="n">
        <v>43709</v>
      </c>
      <c r="F11" s="75" t="n">
        <v>2</v>
      </c>
      <c r="G11" s="75" t="n"/>
      <c r="H11" s="39" t="n">
        <v>13600</v>
      </c>
      <c r="I11" s="39" t="n"/>
      <c r="J11" s="36">
        <f>M11+P11+S11+V11</f>
        <v/>
      </c>
      <c r="K11" s="36">
        <f>H11-J11</f>
        <v/>
      </c>
      <c r="L11" s="37">
        <f>IF(H11="","-",J11/H11)</f>
        <v/>
      </c>
      <c r="M11" s="39" t="n">
        <v>1000</v>
      </c>
      <c r="N11" s="39" t="n"/>
      <c r="O11" s="76">
        <f>IF(M11&gt;0,(TEXT(NOW(),"yyyy/mm/dd")),"")</f>
        <v/>
      </c>
      <c r="P11" s="39" t="n">
        <v>1001</v>
      </c>
      <c r="Q11" s="39" t="n"/>
      <c r="R11" s="76">
        <f>IF(P11&gt;0,(TEXT(NOW(),"yyyy/mm/dd")),"")</f>
        <v/>
      </c>
      <c r="S11" s="39" t="n">
        <v>2500</v>
      </c>
      <c r="T11" s="39" t="n"/>
      <c r="U11" s="76">
        <f>IF(S11&gt;0,(TEXT(NOW(),"yyyy/mm/dd")),"")</f>
        <v/>
      </c>
      <c r="V11" s="39" t="n">
        <v>2501</v>
      </c>
      <c r="W11" s="39" t="n"/>
      <c r="X11" s="76">
        <f>IF(V11&gt;0,(TEXT(NOW(),"yyyy/mm/dd")),"")</f>
        <v/>
      </c>
      <c r="Z11" s="77" t="n">
        <v>43466</v>
      </c>
      <c r="AA11" s="56" t="n">
        <v>3476</v>
      </c>
      <c r="AB11" s="76">
        <f>IF(AA11&gt;0,(TEXT(NOW(),"yyyy/mm/dd")),"")</f>
        <v/>
      </c>
    </row>
    <row r="12" ht="13.5" customHeight="1" s="54">
      <c r="B12" s="19" t="n">
        <v>1909002</v>
      </c>
      <c r="C12" s="20" t="inlineStr">
        <is>
          <t>Project 2</t>
        </is>
      </c>
      <c r="D12" s="21" t="n"/>
      <c r="E12" s="22" t="n">
        <v>43710</v>
      </c>
      <c r="F12" s="75" t="n">
        <v>2</v>
      </c>
      <c r="G12" s="75" t="n"/>
      <c r="H12" s="39" t="n">
        <v>11500</v>
      </c>
      <c r="I12" s="39" t="n"/>
      <c r="J12" s="36">
        <f>M12+P12+S12+V12</f>
        <v/>
      </c>
      <c r="K12" s="36">
        <f>H12-J12</f>
        <v/>
      </c>
      <c r="L12" s="37">
        <f>IF(H12="","-",J12/H12)</f>
        <v/>
      </c>
      <c r="M12" s="39" t="n">
        <v>100</v>
      </c>
      <c r="N12" s="39" t="n"/>
      <c r="O12" s="76">
        <f>IF(M12&gt;0,(TEXT(NOW(),"yyyy/mm/dd")),"")</f>
        <v/>
      </c>
      <c r="P12" s="39" t="n">
        <v>101</v>
      </c>
      <c r="Q12" s="39" t="n"/>
      <c r="R12" s="76">
        <f>IF(P12&gt;0,(TEXT(NOW(),"yyyy/mm/dd")),"")</f>
        <v/>
      </c>
      <c r="S12" s="39" t="n">
        <v>400</v>
      </c>
      <c r="T12" s="39" t="n"/>
      <c r="U12" s="76">
        <f>IF(S12&gt;0,(TEXT(NOW(),"yyyy/mm/dd")),"")</f>
        <v/>
      </c>
      <c r="V12" s="39" t="n">
        <v>401</v>
      </c>
      <c r="W12" s="39" t="n"/>
      <c r="X12" s="76">
        <f>IF(V12&gt;0,(TEXT(NOW(),"yyyy/mm/dd")),"")</f>
        <v/>
      </c>
      <c r="Z12" s="77" t="n">
        <v>43498</v>
      </c>
      <c r="AA12" s="56" t="n">
        <v>3477</v>
      </c>
      <c r="AB12" s="76">
        <f>IF(AA12&gt;0,(TEXT(NOW(),"yyyy/mm/dd")),"")</f>
        <v/>
      </c>
    </row>
    <row r="13" ht="13.5" customHeight="1" s="54">
      <c r="B13" s="19" t="n">
        <v>1909003</v>
      </c>
      <c r="C13" s="20" t="inlineStr">
        <is>
          <t>Project 3</t>
        </is>
      </c>
      <c r="D13" s="21" t="n"/>
      <c r="E13" s="22" t="n">
        <v>43711</v>
      </c>
      <c r="F13" s="75" t="n">
        <v>2</v>
      </c>
      <c r="G13" s="75" t="n"/>
      <c r="H13" s="39" t="n">
        <v>11600</v>
      </c>
      <c r="I13" s="39" t="n"/>
      <c r="J13" s="36">
        <f>M13+P13+S13+V13</f>
        <v/>
      </c>
      <c r="K13" s="36">
        <f>H13-J13</f>
        <v/>
      </c>
      <c r="L13" s="37">
        <f>IF(H13="","-",J13/H13)</f>
        <v/>
      </c>
      <c r="M13" s="39" t="n">
        <v>300</v>
      </c>
      <c r="N13" s="39" t="n"/>
      <c r="O13" s="76">
        <f>IF(M13&gt;0,(TEXT(NOW(),"yyyy/mm/dd")),"")</f>
        <v/>
      </c>
      <c r="P13" s="39" t="n">
        <v>301</v>
      </c>
      <c r="Q13" s="39" t="n"/>
      <c r="R13" s="76">
        <f>IF(P13&gt;0,(TEXT(NOW(),"yyyy/mm/dd")),"")</f>
        <v/>
      </c>
      <c r="S13" s="39" t="n">
        <v>200</v>
      </c>
      <c r="T13" s="39" t="n"/>
      <c r="U13" s="76">
        <f>IF(S13&gt;0,(TEXT(NOW(),"yyyy/mm/dd")),"")</f>
        <v/>
      </c>
      <c r="V13" s="39" t="n">
        <v>201</v>
      </c>
      <c r="W13" s="39" t="n"/>
      <c r="X13" s="76">
        <f>IF(V13&gt;0,(TEXT(NOW(),"yyyy/mm/dd")),"")</f>
        <v/>
      </c>
      <c r="Z13" s="77" t="n">
        <v>43530</v>
      </c>
      <c r="AA13" s="56" t="n">
        <v>3478</v>
      </c>
      <c r="AB13" s="76">
        <f>IF(AA13&gt;0,(TEXT(NOW(),"yyyy/mm/dd")),"")</f>
        <v/>
      </c>
    </row>
    <row r="14" ht="13.5" customHeight="1" s="54">
      <c r="B14" s="19" t="n">
        <v>1909004</v>
      </c>
      <c r="C14" s="20" t="inlineStr">
        <is>
          <t>Project 4</t>
        </is>
      </c>
      <c r="D14" s="21" t="n"/>
      <c r="E14" s="22" t="n">
        <v>43712</v>
      </c>
      <c r="F14" s="75" t="n">
        <v>2</v>
      </c>
      <c r="G14" s="75" t="n"/>
      <c r="H14" s="39" t="n">
        <v>1233</v>
      </c>
      <c r="I14" s="39" t="n"/>
      <c r="J14" s="36">
        <f>M14+P14+S14+V14</f>
        <v/>
      </c>
      <c r="K14" s="36">
        <f>H14-J14</f>
        <v/>
      </c>
      <c r="L14" s="37">
        <f>IF(H14="","-",J14/H14)</f>
        <v/>
      </c>
      <c r="M14" s="39" t="n">
        <v>400</v>
      </c>
      <c r="N14" s="39" t="inlineStr">
        <is>
          <t>WeChat</t>
        </is>
      </c>
      <c r="O14" s="76">
        <f>IF(M14&gt;0,(TEXT(NOW(),"yyyy/mm/dd")),"")</f>
        <v/>
      </c>
      <c r="P14" s="39" t="n">
        <v>445</v>
      </c>
      <c r="Q14" s="39" t="n"/>
      <c r="R14" s="76">
        <f>IF(P14&gt;0,(TEXT(NOW(),"yyyy/mm/dd")),"")</f>
        <v/>
      </c>
      <c r="S14" s="39" t="n"/>
      <c r="T14" s="39" t="n"/>
      <c r="U14" s="76">
        <f>IF(S14&gt;0,(TEXT(NOW(),"yyyy/mm/dd")),"")</f>
        <v/>
      </c>
      <c r="V14" s="39" t="n"/>
      <c r="W14" s="39" t="n"/>
      <c r="X14" s="76">
        <f>IF(V14&gt;0,(TEXT(NOW(),"yyyy/mm/dd")),"")</f>
        <v/>
      </c>
      <c r="Z14" s="77" t="n">
        <v>43562</v>
      </c>
      <c r="AA14" s="56" t="n">
        <v>3479</v>
      </c>
      <c r="AB14" s="76">
        <f>IF(AA14&gt;0,(TEXT(NOW(),"yyyy/mm/dd")),"")</f>
        <v/>
      </c>
    </row>
    <row r="15" ht="13.5" customHeight="1" s="54">
      <c r="B15" s="19" t="n">
        <v>1909005</v>
      </c>
      <c r="C15" s="20" t="inlineStr">
        <is>
          <t>Project 5</t>
        </is>
      </c>
      <c r="D15" s="21" t="n"/>
      <c r="E15" s="22" t="n">
        <v>43713</v>
      </c>
      <c r="F15" s="75" t="n">
        <v>2</v>
      </c>
      <c r="G15" s="75" t="n"/>
      <c r="H15" s="39" t="n">
        <v>1000</v>
      </c>
      <c r="I15" s="39" t="n"/>
      <c r="J15" s="36">
        <f>M15+P15+S15+V15</f>
        <v/>
      </c>
      <c r="K15" s="36">
        <f>H15-J15</f>
        <v/>
      </c>
      <c r="L15" s="37">
        <f>IF(H15="","-",J15/H15)</f>
        <v/>
      </c>
      <c r="M15" s="39" t="n">
        <v>300</v>
      </c>
      <c r="N15" s="39" t="inlineStr">
        <is>
          <t>WeChat</t>
        </is>
      </c>
      <c r="O15" s="76">
        <f>IF(M15&gt;0,(TEXT(NOW(),"yyyy/mm/dd")),"")</f>
        <v/>
      </c>
      <c r="P15" s="39" t="n"/>
      <c r="Q15" s="39" t="n"/>
      <c r="R15" s="76">
        <f>IF(P15&gt;0,(TEXT(NOW(),"yyyy/mm/dd")),"")</f>
        <v/>
      </c>
      <c r="S15" s="39" t="n"/>
      <c r="T15" s="39" t="n"/>
      <c r="U15" s="76">
        <f>IF(S15&gt;0,(TEXT(NOW(),"yyyy/mm/dd")),"")</f>
        <v/>
      </c>
      <c r="V15" s="39" t="n"/>
      <c r="W15" s="39" t="n"/>
      <c r="X15" s="76">
        <f>IF(V15&gt;0,(TEXT(NOW(),"yyyy/mm/dd")),"")</f>
        <v/>
      </c>
      <c r="Z15" s="77" t="n">
        <v>43594</v>
      </c>
      <c r="AA15" s="56" t="n">
        <v>3480</v>
      </c>
      <c r="AB15" s="76">
        <f>IF(AA15&gt;0,(TEXT(NOW(),"yyyy/mm/dd")),"")</f>
        <v/>
      </c>
    </row>
    <row r="16" ht="13.5" customHeight="1" s="54">
      <c r="B16" s="19" t="n">
        <v>1909006</v>
      </c>
      <c r="C16" s="20" t="inlineStr">
        <is>
          <t>Project 6</t>
        </is>
      </c>
      <c r="D16" s="21" t="n"/>
      <c r="E16" s="22" t="n">
        <v>43714</v>
      </c>
      <c r="F16" s="75" t="n">
        <v>2</v>
      </c>
      <c r="G16" s="75" t="n"/>
      <c r="H16" s="39" t="n">
        <v>500</v>
      </c>
      <c r="I16" s="39" t="n"/>
      <c r="J16" s="36">
        <f>M16+P16+S16+V16</f>
        <v/>
      </c>
      <c r="K16" s="36">
        <f>H16-J16</f>
        <v/>
      </c>
      <c r="L16" s="37">
        <f>IF(H16="","-",J16/H16)</f>
        <v/>
      </c>
      <c r="M16" s="39" t="n"/>
      <c r="N16" s="39" t="n"/>
      <c r="O16" s="76">
        <f>IF(M16&gt;0,(TEXT(NOW(),"yyyy/mm/dd")),"")</f>
        <v/>
      </c>
      <c r="P16" s="39" t="n"/>
      <c r="Q16" s="39" t="n"/>
      <c r="R16" s="76">
        <f>IF(P16&gt;0,(TEXT(NOW(),"yyyy/mm/dd")),"")</f>
        <v/>
      </c>
      <c r="S16" s="39" t="n"/>
      <c r="T16" s="39" t="n"/>
      <c r="U16" s="76">
        <f>IF(S16&gt;0,(TEXT(NOW(),"yyyy/mm/dd")),"")</f>
        <v/>
      </c>
      <c r="V16" s="39" t="n"/>
      <c r="W16" s="39" t="n"/>
      <c r="X16" s="76">
        <f>IF(V16&gt;0,(TEXT(NOW(),"yyyy/mm/dd")),"")</f>
        <v/>
      </c>
      <c r="Z16" s="77" t="n">
        <v>43626</v>
      </c>
      <c r="AA16" s="56" t="n">
        <v>3481</v>
      </c>
      <c r="AB16" s="76">
        <f>IF(AA16&gt;0,(TEXT(NOW(),"yyyy/mm/dd")),"")</f>
        <v/>
      </c>
    </row>
    <row r="17" ht="13.5" customHeight="1" s="54">
      <c r="M17" s="40" t="n"/>
      <c r="N17" s="40" t="n"/>
      <c r="O17" s="78" t="n"/>
      <c r="P17" s="40" t="n"/>
      <c r="Q17" s="40" t="n"/>
      <c r="R17" s="42" t="n"/>
      <c r="S17" s="40" t="n"/>
      <c r="T17" s="40" t="n"/>
      <c r="U17" s="40" t="n"/>
      <c r="V17" s="43" t="n"/>
      <c r="W17" s="43" t="n"/>
      <c r="X17" s="44" t="n"/>
    </row>
    <row r="18" ht="13.5" customHeight="1" s="54">
      <c r="V18" s="43" t="n"/>
      <c r="W18" s="43" t="n"/>
      <c r="X18" s="44" t="n"/>
    </row>
  </sheetData>
  <mergeCells count="45">
    <mergeCell ref="O7:P7"/>
    <mergeCell ref="I6:J6"/>
    <mergeCell ref="H9:H10"/>
    <mergeCell ref="J9:J10"/>
    <mergeCell ref="B3:C3"/>
    <mergeCell ref="V9:X9"/>
    <mergeCell ref="O6:P6"/>
    <mergeCell ref="E5:F5"/>
    <mergeCell ref="K5:L5"/>
    <mergeCell ref="B1:P1"/>
    <mergeCell ref="M5:N5"/>
    <mergeCell ref="K4:L4"/>
    <mergeCell ref="C9:C10"/>
    <mergeCell ref="E4:F4"/>
    <mergeCell ref="E9:E10"/>
    <mergeCell ref="G7:H7"/>
    <mergeCell ref="O5:P5"/>
    <mergeCell ref="I7:J7"/>
    <mergeCell ref="S9:U9"/>
    <mergeCell ref="G6:H6"/>
    <mergeCell ref="O4:P4"/>
    <mergeCell ref="Q4:R4"/>
    <mergeCell ref="M7:N7"/>
    <mergeCell ref="B9:B10"/>
    <mergeCell ref="E6:F6"/>
    <mergeCell ref="D9:D10"/>
    <mergeCell ref="F9:F10"/>
    <mergeCell ref="M6:N6"/>
    <mergeCell ref="L9:L10"/>
    <mergeCell ref="Z9:AB9"/>
    <mergeCell ref="G5:H5"/>
    <mergeCell ref="I5:J5"/>
    <mergeCell ref="E3:P3"/>
    <mergeCell ref="G4:H4"/>
    <mergeCell ref="K7:L7"/>
    <mergeCell ref="I4:J4"/>
    <mergeCell ref="G9:G10"/>
    <mergeCell ref="I9:I10"/>
    <mergeCell ref="K9:K10"/>
    <mergeCell ref="E7:F7"/>
    <mergeCell ref="M9:O9"/>
    <mergeCell ref="P9:R9"/>
    <mergeCell ref="K6:L6"/>
    <mergeCell ref="M4:N4"/>
    <mergeCell ref="Z7:AB7"/>
  </mergeCells>
  <conditionalFormatting sqref="H15">
    <cfRule type="expression" priority="2" dxfId="0" stopIfTrue="1">
      <formula>AND($T16=0,$T16&lt;&gt;"")</formula>
    </cfRule>
  </conditionalFormatting>
  <conditionalFormatting sqref="H16">
    <cfRule type="expression" priority="20" dxfId="0" stopIfTrue="1">
      <formula>AND(#REF!=0,#REF!&lt;&gt;"")</formula>
    </cfRule>
  </conditionalFormatting>
  <conditionalFormatting sqref="H11:H14">
    <cfRule type="expression" priority="13" dxfId="0" stopIfTrue="1">
      <formula>AND($T12=0,$T12&lt;&gt;"")</formula>
    </cfRule>
  </conditionalFormatting>
  <conditionalFormatting sqref="L11:L16">
    <cfRule type="dataBar" priority="3">
      <dataBar minLength="0" maxLength="100">
        <cfvo type="min"/>
        <cfvo type="max"/>
        <color rgb="FFFFB628"/>
      </dataBar>
    </cfRule>
  </conditionalFormatting>
  <conditionalFormatting sqref="AB11:AB16">
    <cfRule type="expression" priority="4" dxfId="1" stopIfTrue="1">
      <formula>AND($H11&gt;0,#REF!=0,#REF!&lt;&gt;"")</formula>
    </cfRule>
  </conditionalFormatting>
  <conditionalFormatting sqref="B11:H11 B12:F16 G12:H12 G13:G14 H13">
    <cfRule type="expression" priority="12" dxfId="0" stopIfTrue="1">
      <formula>AND($G11=(#REF!+$F11),$G11&gt;0,$G11&lt;&gt;"")</formula>
    </cfRule>
  </conditionalFormatting>
  <conditionalFormatting sqref="M11:X16">
    <cfRule type="expression" priority="17" dxfId="1" stopIfTrue="1">
      <formula>AND($H11&gt;0,#REF!=0,#REF!&lt;&gt;"")</formula>
    </cfRule>
  </conditionalFormatting>
  <conditionalFormatting sqref="G15:H16">
    <cfRule type="expression" priority="1" dxfId="0" stopIfTrue="1">
      <formula>AND($G15=(#REF!+$F15),$G15&gt;0,$G15&lt;&gt;"")</formula>
    </cfRule>
  </conditionalFormatting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2019-09-25T06:40:00Z</dcterms:created>
  <dcterms:modified xsi:type="dcterms:W3CDTF">2025-07-09T09:09:13Z</dcterms:modified>
  <cp:lastModifiedBy>ASUS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F73ED6B675D04CA69747ADD6632CA823_11</vt:lpwstr>
  </property>
  <property name="KSOProductBuildVer" fmtid="{D5CDD505-2E9C-101B-9397-08002B2CF9AE}" pid="3">
    <vt:lpwstr>2052-12.1.0.16250</vt:lpwstr>
  </property>
  <property name="KSOTemplateUUID" fmtid="{D5CDD505-2E9C-101B-9397-08002B2CF9AE}" pid="4">
    <vt:lpwstr>v1.0_mb_h3eoZ1kQqkn71evdioqTHQ==</vt:lpwstr>
  </property>
</Properties>
</file>