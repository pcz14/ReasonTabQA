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externalReferences>
    <externalReference r:id="rId2"/>
    <externalReference r:id="rId3"/>
  </externalReferences>
  <definedNames>
    <definedName name="外购入库序时簿">'[2]外购入库序时簿'!$C$1:$W$675</definedName>
    <definedName name="委外加工入库序时簿">'[2]委外加工入库序时簿'!$B$1:$S$206</definedName>
    <definedName name="委外加工出库单序时簿">'[1]委外加工出库单序时簿'!$A$1:$S$507</definedName>
    <definedName name="_xlnm.Print_Titles" localSheetId="0">'Sheet1'!$1:$6</definedName>
    <definedName name="_xlnm.Print_Area" localSheetId="0">'Sheet1'!$B$1:$M$36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24">
    <font>
      <name val="宋体"/>
      <family val="2"/>
      <color theme="1"/>
      <sz val="11"/>
      <scheme val="minor"/>
    </font>
    <font>
      <name val="Arial"/>
      <family val="2"/>
      <sz val="10"/>
    </font>
    <font>
      <name val="汉仪润圆-65简"/>
      <family val="2"/>
      <color theme="1"/>
      <sz val="14"/>
    </font>
    <font>
      <name val="汉仪润圆-65简"/>
      <family val="2"/>
      <color theme="1"/>
      <sz val="28"/>
    </font>
    <font>
      <name val="汉仪润圆-65简"/>
      <family val="2"/>
      <color theme="0"/>
      <sz val="14"/>
    </font>
    <font>
      <name val="汉仪润圆-65简"/>
      <family val="2"/>
      <color indexed="8"/>
      <sz val="14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 tint="-0.04998999834060669"/>
        <bgColor indexed="64"/>
      </patternFill>
    </fill>
    <fill>
      <patternFill patternType="solid">
        <fgColor rgb="FF2E908A"/>
        <bgColor indexed="64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2E908A"/>
      </left>
      <right style="thin">
        <color rgb="FF2E908A"/>
      </right>
      <top style="medium">
        <color rgb="FF2E908A"/>
      </top>
      <bottom style="thin">
        <color rgb="FF2E908A"/>
      </bottom>
    </border>
    <border>
      <left style="thin">
        <color rgb="FF2E908A"/>
      </left>
      <right style="thin">
        <color rgb="FF2E908A"/>
      </right>
      <top style="medium">
        <color rgb="FF2E908A"/>
      </top>
      <bottom style="thin">
        <color rgb="FF2E908A"/>
      </bottom>
    </border>
    <border>
      <left style="medium">
        <color rgb="FF2E908A"/>
      </left>
      <right style="thin">
        <color rgb="FF2E908A"/>
      </right>
      <top style="thin">
        <color rgb="FF2E908A"/>
      </top>
      <bottom style="medium">
        <color rgb="FF2E908A"/>
      </bottom>
    </border>
    <border>
      <left style="thin">
        <color rgb="FF2E908A"/>
      </left>
      <right style="thin">
        <color rgb="FF2E908A"/>
      </right>
      <top style="thin">
        <color rgb="FF2E908A"/>
      </top>
      <bottom style="medium">
        <color rgb="FF2E908A"/>
      </bottom>
    </border>
    <border>
      <left style="thin">
        <color rgb="FF2E908A"/>
      </left>
      <right style="thin">
        <color theme="0"/>
      </right>
      <top/>
      <bottom style="thin">
        <color rgb="FF2E908A"/>
      </bottom>
    </border>
    <border>
      <left style="thin">
        <color theme="0"/>
      </left>
      <right style="thin">
        <color theme="0"/>
      </right>
      <top/>
      <bottom style="thin">
        <color rgb="FF2E908A"/>
      </bottom>
    </border>
    <border>
      <left style="thin">
        <color rgb="FF2E908A"/>
      </left>
      <right style="thin">
        <color rgb="FF2E908A"/>
      </right>
      <top style="thin">
        <color rgb="FF2E908A"/>
      </top>
      <bottom style="thin">
        <color rgb="FF2E908A"/>
      </bottom>
    </border>
    <border>
      <left style="thin">
        <color rgb="FF2E908A"/>
      </left>
      <right style="medium">
        <color rgb="FF2E908A"/>
      </right>
      <top style="medium">
        <color rgb="FF2E908A"/>
      </top>
      <bottom style="thin">
        <color rgb="FF2E908A"/>
      </bottom>
    </border>
    <border>
      <left style="thin">
        <color rgb="FF2E908A"/>
      </left>
      <right style="medium">
        <color rgb="FF2E908A"/>
      </right>
      <top style="thin">
        <color rgb="FF2E908A"/>
      </top>
      <bottom style="medium">
        <color rgb="FF2E908A"/>
      </bottom>
    </border>
    <border>
      <left style="thin">
        <color theme="0"/>
      </left>
      <right style="thin">
        <color rgb="FF2E908A"/>
      </right>
      <top/>
      <bottom style="thin">
        <color rgb="FF2E908A"/>
      </bottom>
    </border>
    <border>
      <left/>
      <right/>
      <top style="medium">
        <color rgb="FF2E908A"/>
      </top>
      <bottom/>
      <diagonal/>
    </border>
    <border>
      <left style="medium">
        <color rgb="FF2E908A"/>
      </left>
      <right/>
      <top/>
      <bottom/>
      <diagonal/>
    </border>
    <border>
      <left/>
      <right style="thin">
        <color rgb="FF2E908A"/>
      </right>
      <top style="medium">
        <color rgb="FF2E908A"/>
      </top>
      <bottom/>
      <diagonal/>
    </border>
    <border>
      <left/>
      <right style="thin">
        <color rgb="FF2E908A"/>
      </right>
      <top/>
      <bottom/>
      <diagonal/>
    </border>
    <border>
      <left style="medium">
        <color rgb="FF2E908A"/>
      </left>
      <right/>
      <top/>
      <bottom style="thin">
        <color rgb="FF2E908A"/>
      </bottom>
      <diagonal/>
    </border>
    <border>
      <left/>
      <right/>
      <top/>
      <bottom style="thin">
        <color rgb="FF2E908A"/>
      </bottom>
      <diagonal/>
    </border>
    <border>
      <left/>
      <right style="thin">
        <color rgb="FF2E908A"/>
      </right>
      <top/>
      <bottom style="thin">
        <color rgb="FF2E908A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6" fillId="0" borderId="0"/>
    <xf numFmtId="0" fontId="7" fillId="0" borderId="0"/>
    <xf numFmtId="0" fontId="0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0" fillId="10" borderId="0"/>
    <xf numFmtId="0" fontId="0" fillId="11" borderId="0"/>
    <xf numFmtId="0" fontId="23" fillId="12" borderId="0"/>
    <xf numFmtId="0" fontId="23" fillId="13" borderId="0"/>
    <xf numFmtId="0" fontId="0" fillId="14" borderId="0"/>
    <xf numFmtId="0" fontId="0" fillId="15" borderId="0"/>
    <xf numFmtId="0" fontId="23" fillId="16" borderId="0"/>
    <xf numFmtId="0" fontId="23" fillId="17" borderId="0"/>
    <xf numFmtId="0" fontId="0" fillId="18" borderId="0"/>
    <xf numFmtId="0" fontId="0" fillId="19" borderId="0"/>
    <xf numFmtId="0" fontId="23" fillId="20" borderId="0"/>
    <xf numFmtId="0" fontId="23" fillId="21" borderId="0"/>
    <xf numFmtId="0" fontId="0" fillId="22" borderId="0"/>
    <xf numFmtId="0" fontId="0" fillId="23" borderId="0"/>
    <xf numFmtId="0" fontId="23" fillId="24" borderId="0"/>
    <xf numFmtId="0" fontId="23" fillId="25" borderId="0"/>
    <xf numFmtId="0" fontId="0" fillId="26" borderId="0"/>
    <xf numFmtId="0" fontId="0" fillId="27" borderId="0"/>
    <xf numFmtId="0" fontId="23" fillId="28" borderId="0"/>
    <xf numFmtId="0" fontId="23" fillId="29" borderId="0"/>
    <xf numFmtId="0" fontId="0" fillId="30" borderId="0"/>
    <xf numFmtId="0" fontId="0" fillId="31" borderId="0"/>
    <xf numFmtId="0" fontId="23" fillId="32" borderId="0"/>
    <xf numFmtId="0" fontId="6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3" borderId="9" applyAlignment="1" pivotButton="0" quotePrefix="0" xfId="0">
      <alignment horizontal="center" vertical="center"/>
    </xf>
    <xf numFmtId="0" fontId="2" fillId="33" borderId="10" applyAlignment="1" pivotButton="0" quotePrefix="0" xfId="0">
      <alignment horizontal="center" vertical="center"/>
    </xf>
    <xf numFmtId="164" fontId="2" fillId="33" borderId="10" applyAlignment="1" pivotButton="0" quotePrefix="0" xfId="0">
      <alignment horizontal="center" vertical="center"/>
    </xf>
    <xf numFmtId="0" fontId="2" fillId="33" borderId="11" applyAlignment="1" pivotButton="0" quotePrefix="0" xfId="0">
      <alignment horizontal="center" vertical="center"/>
    </xf>
    <xf numFmtId="0" fontId="2" fillId="33" borderId="12" applyAlignment="1" pivotButton="0" quotePrefix="0" xfId="0">
      <alignment horizontal="center" vertical="center"/>
    </xf>
    <xf numFmtId="10" fontId="2" fillId="0" borderId="12" applyAlignment="1" pivotButton="0" quotePrefix="0" xfId="0">
      <alignment horizontal="center" vertical="center"/>
    </xf>
    <xf numFmtId="0" fontId="4" fillId="34" borderId="13" applyAlignment="1" pivotButton="0" quotePrefix="0" xfId="0">
      <alignment horizontal="center" vertical="center"/>
    </xf>
    <xf numFmtId="0" fontId="4" fillId="34" borderId="14" applyAlignment="1" pivotButton="0" quotePrefix="0" xfId="0">
      <alignment horizontal="center" vertical="center"/>
    </xf>
    <xf numFmtId="58" fontId="2" fillId="0" borderId="15" applyAlignment="1" pivotButton="0" quotePrefix="0" xfId="0">
      <alignment horizontal="center" vertical="center"/>
    </xf>
    <xf numFmtId="10" fontId="2" fillId="0" borderId="15" applyAlignment="1" pivotButton="0" quotePrefix="0" xfId="0">
      <alignment horizontal="center" vertical="center"/>
    </xf>
    <xf numFmtId="164" fontId="2" fillId="33" borderId="15" applyAlignment="1" pivotButton="0" quotePrefix="0" xfId="0">
      <alignment horizontal="center" vertical="center"/>
    </xf>
    <xf numFmtId="164" fontId="2" fillId="0" borderId="15" applyAlignment="1" pivotButton="0" quotePrefix="0" xfId="0">
      <alignment horizontal="center" vertical="center"/>
    </xf>
    <xf numFmtId="164" fontId="5" fillId="0" borderId="15" applyAlignment="1" pivotButton="0" quotePrefix="0" xfId="0">
      <alignment horizontal="center" vertical="center" wrapText="1"/>
    </xf>
    <xf numFmtId="164" fontId="2" fillId="33" borderId="16" applyAlignment="1" pivotButton="0" quotePrefix="0" xfId="0">
      <alignment horizontal="center" vertical="center"/>
    </xf>
    <xf numFmtId="10" fontId="2" fillId="0" borderId="17" applyAlignment="1" pivotButton="0" quotePrefix="0" xfId="0">
      <alignment horizontal="center" vertical="center"/>
    </xf>
    <xf numFmtId="0" fontId="4" fillId="34" borderId="18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6" fillId="0" borderId="0" applyAlignment="1" pivotButton="0" quotePrefix="0" xfId="68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9" pivotButton="0" quotePrefix="0" xfId="0"/>
    <xf numFmtId="0" fontId="0" fillId="0" borderId="21" pivotButton="0" quotePrefix="0" xfId="0"/>
    <xf numFmtId="164" fontId="2" fillId="33" borderId="10" applyAlignment="1" pivotButton="0" quotePrefix="0" xfId="0">
      <alignment horizontal="center" vertical="center"/>
    </xf>
    <xf numFmtId="164" fontId="2" fillId="33" borderId="16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164" fontId="2" fillId="33" borderId="15" applyAlignment="1" pivotButton="0" quotePrefix="0" xfId="0">
      <alignment horizontal="center" vertical="center"/>
    </xf>
    <xf numFmtId="164" fontId="2" fillId="0" borderId="15" applyAlignment="1" pivotButton="0" quotePrefix="0" xfId="0">
      <alignment horizontal="center" vertical="center"/>
    </xf>
    <xf numFmtId="164" fontId="5" fillId="0" borderId="15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\\www\&#24212;&#20184;\NBC\2020&#24180;&#24212;&#20184;\202012\&#24212;&#20184;&#26126;&#32454;12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\\www\anencw$\&#36130;&#21153;&#25253;&#34920;\&#24212;&#20184;&#36134;&#27454;\2021\2021&#24180;&#24212;&#20184;&#26126;&#32454;01-09%20-%20&#26368;&#26032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外购入库序时簿"/>
      <sheetName val="委外加工入库序时簿"/>
      <sheetName val="委外加工出库单序时簿"/>
      <sheetName val="委外结存数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采购分析-供应商"/>
      <sheetName val="采购分析-物料汇总"/>
      <sheetName val="加工费-供应商分析"/>
      <sheetName val="加工费-产品分析"/>
      <sheetName val="委外加工入库序时簿"/>
      <sheetName val="采购入库物料"/>
      <sheetName val="外购入库序时簿"/>
      <sheetName val="委外加工出库单序时簿"/>
      <sheetName val="委外结存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0" topLeftCell="A1" workbookViewId="0">
      <selection activeCell="C22" sqref="C22"/>
    </sheetView>
  </sheetViews>
  <sheetFormatPr baseColWidth="8" defaultColWidth="9.00390625" defaultRowHeight="25.5" customHeight="1"/>
  <cols>
    <col width="4.25390625" customWidth="1" style="1" min="1" max="1"/>
    <col width="12.625" customWidth="1" style="1" min="2" max="2"/>
    <col width="14.875" customWidth="1" style="1" min="3" max="4"/>
    <col width="13.25390625" customWidth="1" style="1" min="5" max="13"/>
    <col width="9.00390625" customWidth="1" style="1" min="14" max="16384"/>
  </cols>
  <sheetData>
    <row r="1" ht="12" customHeight="1" s="22"/>
    <row r="2" ht="33" customHeight="1" s="22">
      <c r="B2" s="2" t="inlineStr">
        <is>
          <t>Product Sales Data Record Statistical Analysis Table</t>
        </is>
      </c>
    </row>
    <row r="3" ht="12" customHeight="1" s="22"/>
    <row r="4" ht="28.5" customHeight="1" s="22">
      <c r="B4" s="3" t="inlineStr">
        <is>
          <t>Monthly Sales Amount Total and Proportion Analysis</t>
        </is>
      </c>
      <c r="C4" s="23" t="n"/>
      <c r="D4" s="24" t="n"/>
      <c r="E4" s="25">
        <f>SUM(E7:E1001)</f>
        <v/>
      </c>
      <c r="F4" s="25">
        <f>SUM(F7:F1001)</f>
        <v/>
      </c>
      <c r="G4" s="25">
        <f>SUM(G7:G1001)</f>
        <v/>
      </c>
      <c r="H4" s="25">
        <f>SUM(H7:H1001)</f>
        <v/>
      </c>
      <c r="I4" s="25">
        <f>SUM(I7:I1001)</f>
        <v/>
      </c>
      <c r="J4" s="25">
        <f>SUM(J7:J1001)</f>
        <v/>
      </c>
      <c r="K4" s="25">
        <f>SUM(K7:K1001)</f>
        <v/>
      </c>
      <c r="L4" s="25">
        <f>SUM(L7:L1001)</f>
        <v/>
      </c>
      <c r="M4" s="26">
        <f>SUM(M7:M1001)</f>
        <v/>
      </c>
    </row>
    <row r="5" ht="28.5" customHeight="1" s="22">
      <c r="B5" s="27" t="n"/>
      <c r="C5" s="28" t="n"/>
      <c r="D5" s="29" t="n"/>
      <c r="E5" s="8">
        <f>E4/SUM($E$7:$M$1000)</f>
        <v/>
      </c>
      <c r="F5" s="8">
        <f>F4/SUM($E$7:$M$1000)</f>
        <v/>
      </c>
      <c r="G5" s="8">
        <f>G4/SUM($E$7:$M$1000)</f>
        <v/>
      </c>
      <c r="H5" s="8">
        <f>H4/SUM($E$7:$M$1000)</f>
        <v/>
      </c>
      <c r="I5" s="8">
        <f>I4/SUM($E$7:$M$1000)</f>
        <v/>
      </c>
      <c r="J5" s="8">
        <f>J4/SUM($E$7:$M$1000)</f>
        <v/>
      </c>
      <c r="K5" s="8">
        <f>K4/SUM($E$7:$M$1000)</f>
        <v/>
      </c>
      <c r="L5" s="8">
        <f>L4/SUM($E$7:$M$1000)</f>
        <v/>
      </c>
      <c r="M5" s="17">
        <f>M4/SUM($E$7:$M$1000)</f>
        <v/>
      </c>
    </row>
    <row r="6" ht="28.5" customHeight="1" s="22">
      <c r="B6" s="9" t="inlineStr">
        <is>
          <t>November</t>
        </is>
      </c>
      <c r="C6" s="10" t="inlineStr">
        <is>
          <t>Daily Ratio</t>
        </is>
      </c>
      <c r="D6" s="10" t="inlineStr">
        <is>
          <t>Daily Total</t>
        </is>
      </c>
      <c r="E6" s="10" t="inlineStr">
        <is>
          <t>Product 1</t>
        </is>
      </c>
      <c r="F6" s="10" t="inlineStr">
        <is>
          <t>Product 2</t>
        </is>
      </c>
      <c r="G6" s="10" t="inlineStr">
        <is>
          <t>Product 3</t>
        </is>
      </c>
      <c r="H6" s="10" t="inlineStr">
        <is>
          <t>Product 4</t>
        </is>
      </c>
      <c r="I6" s="10" t="inlineStr">
        <is>
          <t>Product 5</t>
        </is>
      </c>
      <c r="J6" s="10" t="inlineStr">
        <is>
          <t>Product 6</t>
        </is>
      </c>
      <c r="K6" s="10" t="inlineStr">
        <is>
          <t>Product 7</t>
        </is>
      </c>
      <c r="L6" s="10" t="inlineStr">
        <is>
          <t>Product 8</t>
        </is>
      </c>
      <c r="M6" s="18" t="inlineStr">
        <is>
          <t>Product 9</t>
        </is>
      </c>
    </row>
    <row r="7" ht="28.5" customHeight="1" s="22">
      <c r="B7" s="11" t="n">
        <v>44501</v>
      </c>
      <c r="C7" s="12">
        <f>_xlfn.IFERROR(D7/SUM($E$7:$M$1002),"")</f>
        <v/>
      </c>
      <c r="D7" s="30">
        <f>SUM(E7:M7)</f>
        <v/>
      </c>
      <c r="E7" s="31" t="n">
        <v>666</v>
      </c>
      <c r="F7" s="31" t="n">
        <v>777</v>
      </c>
      <c r="G7" s="31" t="n"/>
      <c r="H7" s="31" t="n">
        <v>888</v>
      </c>
      <c r="I7" s="31" t="n"/>
      <c r="J7" s="31" t="n">
        <v>555</v>
      </c>
      <c r="K7" s="31" t="n"/>
      <c r="L7" s="31" t="n">
        <v>333</v>
      </c>
      <c r="M7" s="31" t="n"/>
    </row>
    <row r="8" ht="28.5" customHeight="1" s="22">
      <c r="B8" s="11">
        <f>B7+1</f>
        <v/>
      </c>
      <c r="C8" s="12">
        <f>_xlfn.IFERROR(D8/SUM($E$7:$M$1002),"")</f>
        <v/>
      </c>
      <c r="D8" s="30">
        <f>SUM(E8:M8)</f>
        <v/>
      </c>
      <c r="E8" s="31" t="n"/>
      <c r="F8" s="32" t="n">
        <v>309.5</v>
      </c>
      <c r="G8" s="32" t="n">
        <v>354</v>
      </c>
      <c r="H8" s="32" t="n">
        <v>9714.85</v>
      </c>
      <c r="I8" s="31" t="n"/>
      <c r="J8" s="31" t="n"/>
      <c r="K8" s="31" t="n"/>
      <c r="L8" s="31" t="n"/>
      <c r="M8" s="31" t="n"/>
    </row>
    <row r="9" ht="28.5" customHeight="1" s="22">
      <c r="B9" s="11">
        <f>B8+1</f>
        <v/>
      </c>
      <c r="C9" s="12">
        <f>_xlfn.IFERROR(D9/SUM($E$7:$M$1002),"")</f>
        <v/>
      </c>
      <c r="D9" s="30">
        <f>SUM(E9:M9)</f>
        <v/>
      </c>
      <c r="E9" s="32" t="n">
        <v>5190</v>
      </c>
      <c r="F9" s="32" t="n">
        <v>3564</v>
      </c>
      <c r="G9" s="32" t="n">
        <v>1674</v>
      </c>
      <c r="H9" s="32" t="n">
        <v>3798.2</v>
      </c>
      <c r="I9" s="32" t="n">
        <v>7440</v>
      </c>
      <c r="J9" s="32" t="n">
        <v>1130</v>
      </c>
      <c r="K9" s="32" t="n">
        <v>900</v>
      </c>
      <c r="L9" s="32" t="n">
        <v>1500</v>
      </c>
      <c r="M9" s="31" t="n"/>
    </row>
    <row r="10" ht="28.5" customHeight="1" s="22">
      <c r="B10" s="11">
        <f>B9+1</f>
        <v/>
      </c>
      <c r="C10" s="12">
        <f>_xlfn.IFERROR(D10/SUM($E$7:$M$1002),"")</f>
        <v/>
      </c>
      <c r="D10" s="30">
        <f>SUM(E10:M10)</f>
        <v/>
      </c>
      <c r="E10" s="31" t="n"/>
      <c r="F10" s="32" t="n">
        <v>1160</v>
      </c>
      <c r="G10" s="32" t="n">
        <v>3625</v>
      </c>
      <c r="H10" s="32" t="n">
        <v>1112.95</v>
      </c>
      <c r="I10" s="32" t="n">
        <v>7013.07</v>
      </c>
      <c r="J10" s="32" t="n">
        <v>1716</v>
      </c>
      <c r="K10" s="32" t="n">
        <v>1030</v>
      </c>
      <c r="L10" s="32" t="n">
        <v>9102</v>
      </c>
      <c r="M10" s="32" t="n">
        <v>3025</v>
      </c>
    </row>
    <row r="11" ht="28.5" customHeight="1" s="22">
      <c r="B11" s="11">
        <f>B10+1</f>
        <v/>
      </c>
      <c r="C11" s="12">
        <f>_xlfn.IFERROR(D11/SUM($E$7:$M$1002),"")</f>
        <v/>
      </c>
      <c r="D11" s="30">
        <f>SUM(E11:M11)</f>
        <v/>
      </c>
      <c r="E11" s="32" t="n">
        <v>4044.53</v>
      </c>
      <c r="F11" s="32" t="n">
        <v>7325.5</v>
      </c>
      <c r="G11" s="32" t="n">
        <v>4595</v>
      </c>
      <c r="H11" s="32" t="n">
        <v>1680</v>
      </c>
      <c r="I11" s="32" t="n">
        <v>5282.16</v>
      </c>
      <c r="J11" s="32" t="n">
        <v>6881.48</v>
      </c>
      <c r="K11" s="32" t="n">
        <v>2100</v>
      </c>
      <c r="L11" s="32" t="n">
        <v>4971.6</v>
      </c>
      <c r="M11" s="32" t="n">
        <v>9961</v>
      </c>
    </row>
    <row r="12" ht="28.5" customHeight="1" s="22">
      <c r="B12" s="11">
        <f>B11+1</f>
        <v/>
      </c>
      <c r="C12" s="12">
        <f>_xlfn.IFERROR(D12/SUM($E$7:$M$1002),"")</f>
        <v/>
      </c>
      <c r="D12" s="30">
        <f>SUM(E12:M12)</f>
        <v/>
      </c>
      <c r="E12" s="31" t="n">
        <v>666</v>
      </c>
      <c r="F12" s="31" t="n">
        <v>777</v>
      </c>
      <c r="G12" s="31" t="n"/>
      <c r="H12" s="31" t="n">
        <v>888</v>
      </c>
      <c r="I12" s="31" t="n"/>
      <c r="J12" s="31" t="n">
        <v>555</v>
      </c>
      <c r="K12" s="31" t="n"/>
      <c r="L12" s="31" t="n">
        <v>333</v>
      </c>
      <c r="M12" s="31" t="n"/>
    </row>
    <row r="13" ht="28.5" customHeight="1" s="22">
      <c r="B13" s="11">
        <f>B12+1</f>
        <v/>
      </c>
      <c r="C13" s="12">
        <f>_xlfn.IFERROR(D13/SUM($E$7:$M$1002),"")</f>
        <v/>
      </c>
      <c r="D13" s="30">
        <f>SUM(E13:M13)</f>
        <v/>
      </c>
      <c r="E13" s="31" t="n"/>
      <c r="F13" s="32" t="n">
        <v>309.5</v>
      </c>
      <c r="G13" s="32" t="n">
        <v>354</v>
      </c>
      <c r="H13" s="32" t="n">
        <v>9714.85</v>
      </c>
      <c r="I13" s="31" t="n"/>
      <c r="J13" s="31" t="n"/>
      <c r="K13" s="31" t="n"/>
      <c r="L13" s="31" t="n"/>
      <c r="M13" s="31" t="n"/>
    </row>
    <row r="14" ht="28.5" customHeight="1" s="22">
      <c r="B14" s="11">
        <f>B13+1</f>
        <v/>
      </c>
      <c r="C14" s="12">
        <f>_xlfn.IFERROR(D14/SUM($E$7:$M$1002),"")</f>
        <v/>
      </c>
      <c r="D14" s="30">
        <f>SUM(E14:M14)</f>
        <v/>
      </c>
      <c r="E14" s="32" t="n">
        <v>5190</v>
      </c>
      <c r="F14" s="32" t="n">
        <v>3564</v>
      </c>
      <c r="G14" s="32" t="n">
        <v>1674</v>
      </c>
      <c r="H14" s="32" t="n">
        <v>3798.2</v>
      </c>
      <c r="I14" s="32" t="n">
        <v>7440</v>
      </c>
      <c r="J14" s="32" t="n">
        <v>1130</v>
      </c>
      <c r="K14" s="32" t="n">
        <v>900</v>
      </c>
      <c r="L14" s="32" t="n">
        <v>1500</v>
      </c>
      <c r="M14" s="31" t="n"/>
    </row>
    <row r="15" ht="28.5" customHeight="1" s="22">
      <c r="B15" s="11">
        <f>B14+1</f>
        <v/>
      </c>
      <c r="C15" s="12">
        <f>_xlfn.IFERROR(D15/SUM($E$7:$M$1002),"")</f>
        <v/>
      </c>
      <c r="D15" s="30">
        <f>SUM(E15:M15)</f>
        <v/>
      </c>
      <c r="E15" s="31" t="n"/>
      <c r="F15" s="32" t="n">
        <v>1160</v>
      </c>
      <c r="G15" s="32" t="n">
        <v>3625</v>
      </c>
      <c r="H15" s="32" t="n">
        <v>1112.95</v>
      </c>
      <c r="I15" s="32" t="n">
        <v>7013.07</v>
      </c>
      <c r="J15" s="32" t="n">
        <v>1716</v>
      </c>
      <c r="K15" s="32" t="n">
        <v>1030</v>
      </c>
      <c r="L15" s="32" t="n">
        <v>9102</v>
      </c>
      <c r="M15" s="32" t="n">
        <v>3025</v>
      </c>
    </row>
    <row r="16" ht="28.5" customHeight="1" s="22">
      <c r="B16" s="11">
        <f>B15+1</f>
        <v/>
      </c>
      <c r="C16" s="12">
        <f>_xlfn.IFERROR(D16/SUM($E$7:$M$1002),"")</f>
        <v/>
      </c>
      <c r="D16" s="30">
        <f>SUM(E16:M16)</f>
        <v/>
      </c>
      <c r="E16" s="32" t="n">
        <v>4044.53</v>
      </c>
      <c r="F16" s="32" t="n">
        <v>7325.5</v>
      </c>
      <c r="G16" s="32" t="n">
        <v>4595</v>
      </c>
      <c r="H16" s="32" t="n">
        <v>1680</v>
      </c>
      <c r="I16" s="32" t="n">
        <v>5282.16</v>
      </c>
      <c r="J16" s="32" t="n">
        <v>6881.48</v>
      </c>
      <c r="K16" s="32" t="n">
        <v>2100</v>
      </c>
      <c r="L16" s="32" t="n">
        <v>4971.6</v>
      </c>
      <c r="M16" s="32" t="n">
        <v>9961</v>
      </c>
    </row>
    <row r="17" ht="28.5" customHeight="1" s="22">
      <c r="B17" s="11">
        <f>B16+1</f>
        <v/>
      </c>
      <c r="C17" s="12">
        <f>_xlfn.IFERROR(D17/SUM($E$7:$M$1002),"")</f>
        <v/>
      </c>
      <c r="D17" s="30">
        <f>SUM(E17:M17)</f>
        <v/>
      </c>
      <c r="E17" s="31" t="n">
        <v>666</v>
      </c>
      <c r="F17" s="31" t="n">
        <v>777</v>
      </c>
      <c r="G17" s="31" t="n"/>
      <c r="H17" s="31" t="n">
        <v>888</v>
      </c>
      <c r="I17" s="31" t="n"/>
      <c r="J17" s="31" t="n">
        <v>555</v>
      </c>
      <c r="K17" s="31" t="n"/>
      <c r="L17" s="31" t="n">
        <v>333</v>
      </c>
      <c r="M17" s="31" t="n"/>
    </row>
    <row r="18" ht="28.5" customHeight="1" s="22">
      <c r="B18" s="11">
        <f>B17+1</f>
        <v/>
      </c>
      <c r="C18" s="12">
        <f>_xlfn.IFERROR(D18/SUM($E$7:$M$1002),"")</f>
        <v/>
      </c>
      <c r="D18" s="30">
        <f>SUM(E18:M18)</f>
        <v/>
      </c>
      <c r="E18" s="31" t="n"/>
      <c r="F18" s="32" t="n">
        <v>309.5</v>
      </c>
      <c r="G18" s="32" t="n">
        <v>354</v>
      </c>
      <c r="H18" s="32" t="n">
        <v>9714.85</v>
      </c>
      <c r="I18" s="31" t="n"/>
      <c r="J18" s="31" t="n"/>
      <c r="K18" s="31" t="n"/>
      <c r="L18" s="31" t="n"/>
      <c r="M18" s="31" t="n"/>
    </row>
    <row r="19" ht="28.5" customHeight="1" s="22">
      <c r="B19" s="11">
        <f>B18+1</f>
        <v/>
      </c>
      <c r="C19" s="12">
        <f>_xlfn.IFERROR(D19/SUM($E$7:$M$1002),"")</f>
        <v/>
      </c>
      <c r="D19" s="30">
        <f>SUM(E19:M19)</f>
        <v/>
      </c>
      <c r="E19" s="32" t="n">
        <v>5190</v>
      </c>
      <c r="F19" s="32" t="n">
        <v>3564</v>
      </c>
      <c r="G19" s="32" t="n">
        <v>1674</v>
      </c>
      <c r="H19" s="32" t="n">
        <v>3798.2</v>
      </c>
      <c r="I19" s="32" t="n">
        <v>7440</v>
      </c>
      <c r="J19" s="32" t="n">
        <v>1130</v>
      </c>
      <c r="K19" s="32" t="n">
        <v>900</v>
      </c>
      <c r="L19" s="32" t="n">
        <v>1500</v>
      </c>
      <c r="M19" s="31" t="n"/>
    </row>
    <row r="20" ht="28.5" customHeight="1" s="22">
      <c r="B20" s="11">
        <f>B19+1</f>
        <v/>
      </c>
      <c r="C20" s="12">
        <f>_xlfn.IFERROR(D20/SUM($E$7:$M$1002),"")</f>
        <v/>
      </c>
      <c r="D20" s="30">
        <f>SUM(E20:M20)</f>
        <v/>
      </c>
      <c r="E20" s="31" t="n"/>
      <c r="F20" s="32" t="n">
        <v>1160</v>
      </c>
      <c r="G20" s="32" t="n">
        <v>3625</v>
      </c>
      <c r="H20" s="32" t="n">
        <v>1112.95</v>
      </c>
      <c r="I20" s="32" t="n">
        <v>7013.07</v>
      </c>
      <c r="J20" s="32" t="n">
        <v>1716</v>
      </c>
      <c r="K20" s="32" t="n">
        <v>1030</v>
      </c>
      <c r="L20" s="32" t="n">
        <v>9102</v>
      </c>
      <c r="M20" s="32" t="n">
        <v>3025</v>
      </c>
    </row>
    <row r="21" ht="28.5" customHeight="1" s="22">
      <c r="B21" s="11">
        <f>B20+1</f>
        <v/>
      </c>
      <c r="C21" s="12">
        <f>_xlfn.IFERROR(D21/SUM($E$7:$M$1002),"")</f>
        <v/>
      </c>
      <c r="D21" s="30">
        <f>SUM(E21:M21)</f>
        <v/>
      </c>
      <c r="E21" s="32" t="n">
        <v>4044.53</v>
      </c>
      <c r="F21" s="32" t="n">
        <v>7325.5</v>
      </c>
      <c r="G21" s="32" t="n">
        <v>4595</v>
      </c>
      <c r="H21" s="32" t="n">
        <v>1680</v>
      </c>
      <c r="I21" s="32" t="n">
        <v>5282.16</v>
      </c>
      <c r="J21" s="32" t="n">
        <v>6881.48</v>
      </c>
      <c r="K21" s="32" t="n">
        <v>2100</v>
      </c>
      <c r="L21" s="32" t="n">
        <v>4971.6</v>
      </c>
      <c r="M21" s="32" t="n">
        <v>9961</v>
      </c>
    </row>
    <row r="22" ht="28.5" customHeight="1" s="22">
      <c r="B22" s="11">
        <f>B21+1</f>
        <v/>
      </c>
      <c r="C22" s="12">
        <f>_xlfn.IFERROR(D22/SUM($E$7:$M$1002),"")</f>
        <v/>
      </c>
      <c r="D22" s="30">
        <f>SUM(E22:M22)</f>
        <v/>
      </c>
      <c r="E22" s="31" t="n">
        <v>666</v>
      </c>
      <c r="F22" s="31" t="n">
        <v>777</v>
      </c>
      <c r="G22" s="31" t="n"/>
      <c r="H22" s="31" t="n">
        <v>888</v>
      </c>
      <c r="I22" s="31" t="n"/>
      <c r="J22" s="31" t="n">
        <v>555</v>
      </c>
      <c r="K22" s="31" t="n"/>
      <c r="L22" s="31" t="n">
        <v>333</v>
      </c>
      <c r="M22" s="31" t="n"/>
    </row>
    <row r="23" ht="28.5" customHeight="1" s="22">
      <c r="B23" s="11">
        <f>B22+1</f>
        <v/>
      </c>
      <c r="C23" s="12">
        <f>_xlfn.IFERROR(D23/SUM($E$7:$M$1002),"")</f>
        <v/>
      </c>
      <c r="D23" s="30">
        <f>SUM(E23:M23)</f>
        <v/>
      </c>
      <c r="E23" s="31" t="n"/>
      <c r="F23" s="32" t="n">
        <v>309.5</v>
      </c>
      <c r="G23" s="32" t="n">
        <v>354</v>
      </c>
      <c r="H23" s="32" t="n">
        <v>9714.85</v>
      </c>
      <c r="I23" s="31" t="n"/>
      <c r="J23" s="31" t="n"/>
      <c r="K23" s="31" t="n"/>
      <c r="L23" s="31" t="n"/>
      <c r="M23" s="31" t="n"/>
    </row>
    <row r="24" ht="28.5" customHeight="1" s="22">
      <c r="B24" s="11">
        <f>B23+1</f>
        <v/>
      </c>
      <c r="C24" s="12">
        <f>_xlfn.IFERROR(D24/SUM($E$7:$M$1002),"")</f>
        <v/>
      </c>
      <c r="D24" s="30">
        <f>SUM(E24:M24)</f>
        <v/>
      </c>
      <c r="E24" s="32" t="n">
        <v>5190</v>
      </c>
      <c r="F24" s="32" t="n">
        <v>3564</v>
      </c>
      <c r="G24" s="32" t="n">
        <v>1674</v>
      </c>
      <c r="H24" s="32" t="n">
        <v>3798.2</v>
      </c>
      <c r="I24" s="32" t="n">
        <v>7440</v>
      </c>
      <c r="J24" s="32" t="n">
        <v>1130</v>
      </c>
      <c r="K24" s="32" t="n">
        <v>900</v>
      </c>
      <c r="L24" s="32" t="n">
        <v>1500</v>
      </c>
      <c r="M24" s="31" t="n"/>
    </row>
    <row r="25" ht="28.5" customHeight="1" s="22">
      <c r="B25" s="11">
        <f>B24+1</f>
        <v/>
      </c>
      <c r="C25" s="12">
        <f>_xlfn.IFERROR(D25/SUM($E$7:$M$1002),"")</f>
        <v/>
      </c>
      <c r="D25" s="30">
        <f>SUM(E25:M25)</f>
        <v/>
      </c>
      <c r="E25" s="31" t="n"/>
      <c r="F25" s="32" t="n">
        <v>1160</v>
      </c>
      <c r="G25" s="32" t="n">
        <v>3625</v>
      </c>
      <c r="H25" s="32" t="n">
        <v>1112.95</v>
      </c>
      <c r="I25" s="32" t="n">
        <v>7013.07</v>
      </c>
      <c r="J25" s="32" t="n">
        <v>1716</v>
      </c>
      <c r="K25" s="32" t="n">
        <v>1030</v>
      </c>
      <c r="L25" s="32" t="n">
        <v>9102</v>
      </c>
      <c r="M25" s="32" t="n">
        <v>3025</v>
      </c>
    </row>
    <row r="26" ht="28.5" customHeight="1" s="22">
      <c r="B26" s="11">
        <f>B25+1</f>
        <v/>
      </c>
      <c r="C26" s="12">
        <f>_xlfn.IFERROR(D26/SUM($E$7:$M$1002),"")</f>
        <v/>
      </c>
      <c r="D26" s="30">
        <f>SUM(E26:M26)</f>
        <v/>
      </c>
      <c r="E26" s="32" t="n">
        <v>4044.53</v>
      </c>
      <c r="F26" s="32" t="n">
        <v>7325.5</v>
      </c>
      <c r="G26" s="32" t="n">
        <v>4595</v>
      </c>
      <c r="H26" s="32" t="n">
        <v>1680</v>
      </c>
      <c r="I26" s="32" t="n">
        <v>5282.16</v>
      </c>
      <c r="J26" s="32" t="n">
        <v>6881.48</v>
      </c>
      <c r="K26" s="32" t="n">
        <v>2100</v>
      </c>
      <c r="L26" s="32" t="n">
        <v>4971.6</v>
      </c>
      <c r="M26" s="32" t="n">
        <v>9961</v>
      </c>
    </row>
    <row r="27" ht="28.5" customHeight="1" s="22">
      <c r="B27" s="11">
        <f>B26+1</f>
        <v/>
      </c>
      <c r="C27" s="12">
        <f>_xlfn.IFERROR(D27/SUM($E$7:$M$1002),"")</f>
        <v/>
      </c>
      <c r="D27" s="30">
        <f>SUM(E27:M27)</f>
        <v/>
      </c>
      <c r="E27" s="31" t="n">
        <v>666</v>
      </c>
      <c r="F27" s="31" t="n">
        <v>777</v>
      </c>
      <c r="G27" s="31" t="n"/>
      <c r="H27" s="31" t="n">
        <v>888</v>
      </c>
      <c r="I27" s="31" t="n"/>
      <c r="J27" s="31" t="n">
        <v>555</v>
      </c>
      <c r="K27" s="31" t="n"/>
      <c r="L27" s="31" t="n">
        <v>333</v>
      </c>
      <c r="M27" s="31" t="n"/>
    </row>
    <row r="28" ht="28.5" customHeight="1" s="22">
      <c r="B28" s="11">
        <f>B27+1</f>
        <v/>
      </c>
      <c r="C28" s="12">
        <f>_xlfn.IFERROR(D28/SUM($E$7:$M$1002),"")</f>
        <v/>
      </c>
      <c r="D28" s="30">
        <f>SUM(E28:M28)</f>
        <v/>
      </c>
      <c r="E28" s="31" t="n"/>
      <c r="F28" s="32" t="n">
        <v>309.5</v>
      </c>
      <c r="G28" s="32" t="n">
        <v>354</v>
      </c>
      <c r="H28" s="32" t="n">
        <v>9714.85</v>
      </c>
      <c r="I28" s="31" t="n"/>
      <c r="J28" s="31" t="n"/>
      <c r="K28" s="31" t="n"/>
      <c r="L28" s="31" t="n"/>
      <c r="M28" s="31" t="n"/>
    </row>
    <row r="29" ht="28.5" customHeight="1" s="22">
      <c r="B29" s="11">
        <f>B28+1</f>
        <v/>
      </c>
      <c r="C29" s="12">
        <f>_xlfn.IFERROR(D29/SUM($E$7:$M$1002),"")</f>
        <v/>
      </c>
      <c r="D29" s="30">
        <f>SUM(E29:M29)</f>
        <v/>
      </c>
      <c r="E29" s="32" t="n">
        <v>5190</v>
      </c>
      <c r="F29" s="32" t="n">
        <v>3564</v>
      </c>
      <c r="G29" s="32" t="n">
        <v>1674</v>
      </c>
      <c r="H29" s="32" t="n">
        <v>3798.2</v>
      </c>
      <c r="I29" s="32" t="n">
        <v>7440</v>
      </c>
      <c r="J29" s="32" t="n">
        <v>1130</v>
      </c>
      <c r="K29" s="32" t="n">
        <v>900</v>
      </c>
      <c r="L29" s="32" t="n">
        <v>1500</v>
      </c>
      <c r="M29" s="31" t="n"/>
    </row>
    <row r="30" ht="28.5" customHeight="1" s="22">
      <c r="B30" s="11">
        <f>B29+1</f>
        <v/>
      </c>
      <c r="C30" s="12">
        <f>_xlfn.IFERROR(D30/SUM($E$7:$M$1002),"")</f>
        <v/>
      </c>
      <c r="D30" s="30">
        <f>SUM(E30:M30)</f>
        <v/>
      </c>
      <c r="E30" s="31" t="n"/>
      <c r="F30" s="32" t="n">
        <v>1160</v>
      </c>
      <c r="G30" s="32" t="n">
        <v>3625</v>
      </c>
      <c r="H30" s="32" t="n">
        <v>1112.95</v>
      </c>
      <c r="I30" s="32" t="n">
        <v>7013.07</v>
      </c>
      <c r="J30" s="32" t="n">
        <v>1716</v>
      </c>
      <c r="K30" s="32" t="n">
        <v>1030</v>
      </c>
      <c r="L30" s="32" t="n">
        <v>9102</v>
      </c>
      <c r="M30" s="32" t="n">
        <v>3025</v>
      </c>
    </row>
    <row r="31" ht="28.5" customHeight="1" s="22">
      <c r="B31" s="11">
        <f>B30+1</f>
        <v/>
      </c>
      <c r="C31" s="12">
        <f>_xlfn.IFERROR(D31/SUM($E$7:$M$1002),"")</f>
        <v/>
      </c>
      <c r="D31" s="30">
        <f>SUM(E31:M31)</f>
        <v/>
      </c>
      <c r="E31" s="32" t="n">
        <v>4044.53</v>
      </c>
      <c r="F31" s="32" t="n">
        <v>7325.5</v>
      </c>
      <c r="G31" s="32" t="n">
        <v>4595</v>
      </c>
      <c r="H31" s="32" t="n">
        <v>1680</v>
      </c>
      <c r="I31" s="32" t="n">
        <v>5282.16</v>
      </c>
      <c r="J31" s="32" t="n">
        <v>6881.48</v>
      </c>
      <c r="K31" s="32" t="n">
        <v>2100</v>
      </c>
      <c r="L31" s="32" t="n">
        <v>4971.6</v>
      </c>
      <c r="M31" s="32" t="n">
        <v>9961</v>
      </c>
    </row>
    <row r="32" ht="28.5" customHeight="1" s="22">
      <c r="B32" s="11">
        <f>B31+1</f>
        <v/>
      </c>
      <c r="C32" s="12">
        <f>_xlfn.IFERROR(D32/SUM($E$7:$M$1002),"")</f>
        <v/>
      </c>
      <c r="D32" s="30">
        <f>SUM(E32:M32)</f>
        <v/>
      </c>
      <c r="E32" s="31" t="n">
        <v>666</v>
      </c>
      <c r="F32" s="31" t="n">
        <v>777</v>
      </c>
      <c r="G32" s="31" t="n"/>
      <c r="H32" s="31" t="n">
        <v>888</v>
      </c>
      <c r="I32" s="31" t="n"/>
      <c r="J32" s="31" t="n">
        <v>555</v>
      </c>
      <c r="K32" s="31" t="n"/>
      <c r="L32" s="31" t="n">
        <v>333</v>
      </c>
      <c r="M32" s="31" t="n"/>
    </row>
    <row r="33" ht="28.5" customHeight="1" s="22">
      <c r="B33" s="11">
        <f>B32+1</f>
        <v/>
      </c>
      <c r="C33" s="12">
        <f>_xlfn.IFERROR(D33/SUM($E$7:$M$1002),"")</f>
        <v/>
      </c>
      <c r="D33" s="30">
        <f>SUM(E33:M33)</f>
        <v/>
      </c>
      <c r="E33" s="31" t="n"/>
      <c r="F33" s="32" t="n">
        <v>309.5</v>
      </c>
      <c r="G33" s="32" t="n">
        <v>354</v>
      </c>
      <c r="H33" s="32" t="n">
        <v>9714.85</v>
      </c>
      <c r="I33" s="31" t="n"/>
      <c r="J33" s="31" t="n"/>
      <c r="K33" s="31" t="n"/>
      <c r="L33" s="31" t="n"/>
      <c r="M33" s="31" t="n"/>
    </row>
    <row r="34" ht="28.5" customHeight="1" s="22">
      <c r="B34" s="11">
        <f>B33+1</f>
        <v/>
      </c>
      <c r="C34" s="12">
        <f>_xlfn.IFERROR(D34/SUM($E$7:$M$1002),"")</f>
        <v/>
      </c>
      <c r="D34" s="30">
        <f>SUM(E34:M34)</f>
        <v/>
      </c>
      <c r="E34" s="32" t="n">
        <v>5190</v>
      </c>
      <c r="F34" s="32" t="n">
        <v>3564</v>
      </c>
      <c r="G34" s="32" t="n">
        <v>1674</v>
      </c>
      <c r="H34" s="32" t="n">
        <v>3798.2</v>
      </c>
      <c r="I34" s="32" t="n">
        <v>7440</v>
      </c>
      <c r="J34" s="32" t="n">
        <v>1130</v>
      </c>
      <c r="K34" s="32" t="n">
        <v>900</v>
      </c>
      <c r="L34" s="32" t="n">
        <v>1500</v>
      </c>
      <c r="M34" s="31" t="n"/>
    </row>
    <row r="35" ht="28.5" customHeight="1" s="22">
      <c r="B35" s="11">
        <f>B34+1</f>
        <v/>
      </c>
      <c r="C35" s="12">
        <f>_xlfn.IFERROR(D35/SUM($E$7:$M$1002),"")</f>
        <v/>
      </c>
      <c r="D35" s="30">
        <f>SUM(E35:M35)</f>
        <v/>
      </c>
      <c r="E35" s="31" t="n"/>
      <c r="F35" s="32" t="n">
        <v>1160</v>
      </c>
      <c r="G35" s="32" t="n">
        <v>3625</v>
      </c>
      <c r="H35" s="32" t="n">
        <v>1112.95</v>
      </c>
      <c r="I35" s="32" t="n">
        <v>7013.07</v>
      </c>
      <c r="J35" s="32" t="n">
        <v>1716</v>
      </c>
      <c r="K35" s="32" t="n">
        <v>1030</v>
      </c>
      <c r="L35" s="32" t="n">
        <v>9102</v>
      </c>
      <c r="M35" s="32" t="n">
        <v>3025</v>
      </c>
    </row>
    <row r="36" ht="28.5" customHeight="1" s="22">
      <c r="B36" s="11">
        <f>B35+1</f>
        <v/>
      </c>
      <c r="C36" s="12">
        <f>_xlfn.IFERROR(D36/SUM($E$7:$M$1002),"")</f>
        <v/>
      </c>
      <c r="D36" s="30">
        <f>SUM(E36:M36)</f>
        <v/>
      </c>
      <c r="E36" s="32" t="n">
        <v>4044.53</v>
      </c>
      <c r="F36" s="32" t="n">
        <v>7325.5</v>
      </c>
      <c r="G36" s="32" t="n">
        <v>4595</v>
      </c>
      <c r="H36" s="32" t="n">
        <v>1680</v>
      </c>
      <c r="I36" s="32" t="n">
        <v>5282.16</v>
      </c>
      <c r="J36" s="32" t="n">
        <v>6881.48</v>
      </c>
      <c r="K36" s="32" t="n">
        <v>2100</v>
      </c>
      <c r="L36" s="32" t="n">
        <v>4971.6</v>
      </c>
      <c r="M36" s="32" t="n">
        <v>9961</v>
      </c>
    </row>
  </sheetData>
  <mergeCells count="2">
    <mergeCell ref="B4:D5"/>
    <mergeCell ref="B2:M2"/>
  </mergeCells>
  <conditionalFormatting sqref="E5:M5">
    <cfRule type="dataBar" priority="2">
      <dataBar minLength="0" maxLength="100">
        <cfvo type="num" val="0"/>
        <cfvo type="num" val="1"/>
        <color theme="7" tint="0.6000000238418579"/>
      </dataBar>
    </cfRule>
  </conditionalFormatting>
  <conditionalFormatting sqref="C7:C36">
    <cfRule type="dataBar" priority="1">
      <dataBar minLength="0" maxLength="100">
        <cfvo type="num" val="0"/>
        <cfvo type="num" val="1"/>
        <color theme="7" tint="0.6000000238418579"/>
      </dataBar>
    </cfRule>
  </conditionalFormatting>
  <pageMargins left="0.236111111111111" right="0" top="0.236111111111111" bottom="0.393055555555556" header="0.5" footer="0.5"/>
  <pageSetup orientation="landscape" paperSize="9" scale="90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nbc-cwb01</dc:creator>
  <dcterms:created xsi:type="dcterms:W3CDTF">2021-11-09T02:49:00Z</dcterms:created>
  <dcterms:modified xsi:type="dcterms:W3CDTF">2025-07-08T05:51:26Z</dcterms:modified>
  <cp:lastModifiedBy>UMBRA~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AEA3ACB0DCA14EBAB60653235109DB2F_11</vt:lpwstr>
  </property>
  <property name="KSOProductBuildVer" fmtid="{D5CDD505-2E9C-101B-9397-08002B2CF9AE}" pid="3">
    <vt:lpwstr>2052-12.1.0.16388</vt:lpwstr>
  </property>
  <property name="KSOTemplateUUID" fmtid="{D5CDD505-2E9C-101B-9397-08002B2CF9AE}" pid="4">
    <vt:lpwstr>v1.0_mb_ju2do7ZkalJgCYgHWIjEnw==</vt:lpwstr>
  </property>
</Properties>
</file>