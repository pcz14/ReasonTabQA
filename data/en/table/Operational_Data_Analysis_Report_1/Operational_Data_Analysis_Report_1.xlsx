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Main_Table" sheetId="1" state="visible" r:id="rId1"/>
  </sheets>
  <externalReferences>
    <externalReference r:id="rId2"/>
    <externalReference r:id="rId3"/>
  </externalReferences>
  <definedNames>
    <definedName name="外购入库序时簿">'[2]外购入库序时簿'!$C$1:$W$675</definedName>
    <definedName name="委外加工入库序时簿">'[2]委外加工入库序时簿'!$B$1:$S$206</definedName>
    <definedName name="委外加工出库单序时簿">'[1]委外加工出库单序时簿'!$A$1:$S$507</definedName>
    <definedName name="_xlnm.Print_Area" localSheetId="0">'Main_Table'!$B$1:$K$26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General&quot;年&quot;"/>
    <numFmt numFmtId="165" formatCode="General&quot;月&quot;"/>
    <numFmt numFmtId="166" formatCode="m&quot;月&quot;d&quot;日&quot;;@"/>
    <numFmt numFmtId="167" formatCode="General&quot;次&quot;"/>
    <numFmt numFmtId="168" formatCode="#,##0_ "/>
  </numFmts>
  <fonts count="23">
    <font>
      <name val="宋体"/>
      <family val="2"/>
      <color theme="1"/>
      <sz val="11"/>
      <scheme val="minor"/>
    </font>
    <font>
      <name val="Arial"/>
      <family val="2"/>
      <sz val="10"/>
    </font>
    <font>
      <name val="汉仪中黑简"/>
      <family val="2"/>
      <sz val="16"/>
    </font>
    <font>
      <name val="汉仪中黑简"/>
      <family val="2"/>
      <sz val="28"/>
    </font>
    <font>
      <name val="汉仪中黑简"/>
      <family val="2"/>
      <color theme="0"/>
      <sz val="16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8" tint="-0.2499900013208389"/>
        <bgColor indexed="64"/>
      </patternFill>
    </fill>
  </fills>
  <borders count="2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medium">
        <color theme="0"/>
      </bottom>
    </border>
    <border>
      <left style="thin">
        <color theme="8" tint="-0.2499900013208389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8" tint="-0.2499900013208389"/>
      </left>
      <right style="thin">
        <color theme="0"/>
      </right>
      <top style="thin">
        <color theme="0"/>
      </top>
      <bottom style="thin">
        <color theme="8" tint="-0.2499900013208389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8" tint="-0.2499900013208389"/>
      </bottom>
    </border>
    <border>
      <left style="thin">
        <color theme="8" tint="-0.2499900013208389"/>
      </left>
      <right style="thin">
        <color theme="8" tint="-0.2499900013208389"/>
      </right>
      <top style="thin">
        <color theme="8" tint="-0.2499900013208389"/>
      </top>
      <bottom style="thin">
        <color theme="8" tint="-0.2499900013208389"/>
      </bottom>
    </border>
    <border>
      <left style="thin">
        <color theme="0"/>
      </left>
      <right style="thin">
        <color theme="8" tint="-0.2499900013208389"/>
      </right>
      <top/>
      <bottom style="thin">
        <color theme="0"/>
      </bottom>
    </border>
    <border>
      <left style="thin">
        <color theme="0"/>
      </left>
      <right style="thin">
        <color theme="8" tint="-0.2499900013208389"/>
      </right>
      <top style="thin">
        <color theme="0"/>
      </top>
      <bottom style="thin">
        <color theme="8" tint="-0.2499900013208389"/>
      </bottom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</border>
    <border>
      <left/>
      <right/>
      <top/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8" tint="-0.2499900013208389"/>
      </left>
      <right/>
      <top/>
      <bottom/>
      <diagonal/>
    </border>
    <border>
      <left style="thin">
        <color theme="8" tint="-0.2499900013208389"/>
      </left>
      <right style="thin">
        <color theme="0"/>
      </right>
      <top/>
      <bottom/>
      <diagonal/>
    </border>
    <border>
      <left style="thin">
        <color theme="8" tint="-0.2499900013208389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5" fillId="0" borderId="0"/>
    <xf numFmtId="0" fontId="6" fillId="0" borderId="0"/>
    <xf numFmtId="0" fontId="0" fillId="2" borderId="1"/>
    <xf numFmtId="0" fontId="7" fillId="0" borderId="0"/>
    <xf numFmtId="0" fontId="8" fillId="0" borderId="0"/>
    <xf numFmtId="0" fontId="9" fillId="0" borderId="0"/>
    <xf numFmtId="0" fontId="10" fillId="0" borderId="2"/>
    <xf numFmtId="0" fontId="11" fillId="0" borderId="2"/>
    <xf numFmtId="0" fontId="12" fillId="0" borderId="3"/>
    <xf numFmtId="0" fontId="12" fillId="0" borderId="0"/>
    <xf numFmtId="0" fontId="13" fillId="3" borderId="4"/>
    <xf numFmtId="0" fontId="14" fillId="4" borderId="5"/>
    <xf numFmtId="0" fontId="15" fillId="4" borderId="4"/>
    <xf numFmtId="0" fontId="16" fillId="5" borderId="6"/>
    <xf numFmtId="0" fontId="17" fillId="0" borderId="7"/>
    <xf numFmtId="0" fontId="18" fillId="0" borderId="8"/>
    <xf numFmtId="0" fontId="19" fillId="6" borderId="0"/>
    <xf numFmtId="0" fontId="20" fillId="7" borderId="0"/>
    <xf numFmtId="0" fontId="21" fillId="8" borderId="0"/>
    <xf numFmtId="0" fontId="22" fillId="9" borderId="0"/>
    <xf numFmtId="0" fontId="0" fillId="10" borderId="0"/>
    <xf numFmtId="0" fontId="0" fillId="11" borderId="0"/>
    <xf numFmtId="0" fontId="22" fillId="12" borderId="0"/>
    <xf numFmtId="0" fontId="22" fillId="13" borderId="0"/>
    <xf numFmtId="0" fontId="0" fillId="14" borderId="0"/>
    <xf numFmtId="0" fontId="0" fillId="15" borderId="0"/>
    <xf numFmtId="0" fontId="22" fillId="16" borderId="0"/>
    <xf numFmtId="0" fontId="22" fillId="17" borderId="0"/>
    <xf numFmtId="0" fontId="0" fillId="18" borderId="0"/>
    <xf numFmtId="0" fontId="0" fillId="19" borderId="0"/>
    <xf numFmtId="0" fontId="22" fillId="20" borderId="0"/>
    <xf numFmtId="0" fontId="22" fillId="21" borderId="0"/>
    <xf numFmtId="0" fontId="0" fillId="22" borderId="0"/>
    <xf numFmtId="0" fontId="0" fillId="23" borderId="0"/>
    <xf numFmtId="0" fontId="22" fillId="24" borderId="0"/>
    <xf numFmtId="0" fontId="22" fillId="25" borderId="0"/>
    <xf numFmtId="0" fontId="0" fillId="26" borderId="0"/>
    <xf numFmtId="0" fontId="0" fillId="27" borderId="0"/>
    <xf numFmtId="0" fontId="22" fillId="28" borderId="0"/>
    <xf numFmtId="0" fontId="22" fillId="29" borderId="0"/>
    <xf numFmtId="0" fontId="0" fillId="30" borderId="0"/>
    <xf numFmtId="0" fontId="0" fillId="31" borderId="0"/>
    <xf numFmtId="0" fontId="22" fillId="32" borderId="0"/>
    <xf numFmtId="0" fontId="5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3" borderId="9" applyAlignment="1" pivotButton="0" quotePrefix="0" xfId="0">
      <alignment horizontal="center" vertical="center"/>
    </xf>
    <xf numFmtId="164" fontId="4" fillId="33" borderId="10" applyAlignment="1" pivotButton="0" quotePrefix="0" xfId="0">
      <alignment horizontal="center" vertical="center"/>
    </xf>
    <xf numFmtId="165" fontId="4" fillId="33" borderId="11" applyAlignment="1" pivotButton="0" quotePrefix="0" xfId="0">
      <alignment horizontal="center" vertical="center"/>
    </xf>
    <xf numFmtId="165" fontId="4" fillId="33" borderId="11" applyAlignment="1" pivotButton="0" quotePrefix="0" xfId="0">
      <alignment horizontal="center" vertical="center" wrapText="1"/>
    </xf>
    <xf numFmtId="0" fontId="4" fillId="33" borderId="11" applyAlignment="1" pivotButton="0" quotePrefix="0" xfId="0">
      <alignment horizontal="center" vertical="center"/>
    </xf>
    <xf numFmtId="164" fontId="4" fillId="33" borderId="12" applyAlignment="1" pivotButton="0" quotePrefix="0" xfId="0">
      <alignment horizontal="center" vertical="center"/>
    </xf>
    <xf numFmtId="165" fontId="4" fillId="33" borderId="13" applyAlignment="1" pivotButton="0" quotePrefix="0" xfId="0">
      <alignment horizontal="center" vertical="center"/>
    </xf>
    <xf numFmtId="165" fontId="4" fillId="33" borderId="13" applyAlignment="1" pivotButton="0" quotePrefix="0" xfId="0">
      <alignment horizontal="center" vertical="center" wrapText="1"/>
    </xf>
    <xf numFmtId="0" fontId="4" fillId="33" borderId="13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  <xf numFmtId="167" fontId="2" fillId="0" borderId="14" applyAlignment="1" pivotButton="0" quotePrefix="0" xfId="0">
      <alignment horizontal="center" vertical="center"/>
    </xf>
    <xf numFmtId="168" fontId="2" fillId="0" borderId="14" applyAlignment="1" pivotButton="0" quotePrefix="0" xfId="0">
      <alignment horizontal="center" vertical="center"/>
    </xf>
    <xf numFmtId="10" fontId="2" fillId="0" borderId="14" applyAlignment="1" pivotButton="0" quotePrefix="0" xfId="0">
      <alignment horizontal="center" vertical="center"/>
    </xf>
    <xf numFmtId="0" fontId="4" fillId="33" borderId="15" applyAlignment="1" pivotButton="0" quotePrefix="0" xfId="0">
      <alignment horizontal="center" vertical="center"/>
    </xf>
    <xf numFmtId="0" fontId="4" fillId="33" borderId="16" applyAlignment="1" pivotButton="0" quotePrefix="0" xfId="0">
      <alignment horizontal="center" vertical="center"/>
    </xf>
    <xf numFmtId="165" fontId="4" fillId="33" borderId="17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68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8" pivotButton="0" quotePrefix="0" xfId="0"/>
    <xf numFmtId="164" fontId="4" fillId="33" borderId="10" applyAlignment="1" pivotButton="0" quotePrefix="0" xfId="0">
      <alignment horizontal="center" vertical="center"/>
    </xf>
    <xf numFmtId="165" fontId="4" fillId="33" borderId="11" applyAlignment="1" pivotButton="0" quotePrefix="0" xfId="0">
      <alignment horizontal="center" vertical="center"/>
    </xf>
    <xf numFmtId="165" fontId="4" fillId="33" borderId="11" applyAlignment="1" pivotButton="0" quotePrefix="0" xfId="0">
      <alignment horizontal="center" vertical="center" wrapText="1"/>
    </xf>
    <xf numFmtId="165" fontId="4" fillId="33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27" pivotButton="0" quotePrefix="0" xfId="0"/>
    <xf numFmtId="166" fontId="2" fillId="0" borderId="14" applyAlignment="1" pivotButton="0" quotePrefix="0" xfId="0">
      <alignment horizontal="center" vertical="center"/>
    </xf>
    <xf numFmtId="167" fontId="2" fillId="0" borderId="14" applyAlignment="1" pivotButton="0" quotePrefix="0" xfId="0">
      <alignment horizontal="center" vertical="center"/>
    </xf>
    <xf numFmtId="168" fontId="2" fillId="0" borderId="14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\\www\&#24212;&#20184;\NBC\2020&#24180;&#24212;&#20184;\202012\&#24212;&#20184;&#26126;&#32454;12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\\www\anencw$\&#36130;&#21153;&#25253;&#34920;\&#24212;&#20184;&#36134;&#27454;\2021\2021&#24180;&#24212;&#20184;&#26126;&#32454;01-09%20-%20&#26368;&#26032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外购入库序时簿"/>
      <sheetName val="委外加工入库序时簿"/>
      <sheetName val="委外加工出库单序时簿"/>
      <sheetName val="委外结存数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采购分析-供应商"/>
      <sheetName val="采购分析-物料汇总"/>
      <sheetName val="加工费-供应商分析"/>
      <sheetName val="加工费-产品分析"/>
      <sheetName val="委外加工入库序时簿"/>
      <sheetName val="采购入库物料"/>
      <sheetName val="外购入库序时簿"/>
      <sheetName val="委外加工出库单序时簿"/>
      <sheetName val="委外结存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topLeftCell="A1" workbookViewId="0">
      <selection activeCell="G32" sqref="G32"/>
    </sheetView>
  </sheetViews>
  <sheetFormatPr baseColWidth="8" defaultColWidth="9.00390625" defaultRowHeight="30" customHeight="1"/>
  <cols>
    <col width="2.375" customWidth="1" style="1" min="1" max="1"/>
    <col width="12.125" customWidth="1" style="1" min="2" max="3"/>
    <col width="14.75390625" customWidth="1" style="1" min="4" max="4"/>
    <col width="18.375" customWidth="1" style="1" min="5" max="5"/>
    <col width="14.75390625" customWidth="1" style="1" min="6" max="6"/>
    <col width="21.375" customWidth="1" style="1" min="7" max="8"/>
    <col width="14.75390625" customWidth="1" style="1" min="9" max="9"/>
    <col width="21.375" customWidth="1" style="1" min="10" max="11"/>
    <col width="20.125" customWidth="1" style="1" min="12" max="12"/>
    <col width="9.00390625" customWidth="1" style="1" min="13" max="16384"/>
  </cols>
  <sheetData>
    <row r="1" ht="7.5" customHeight="1" s="22"/>
    <row r="2" ht="36" customHeight="1" s="22">
      <c r="B2" s="2" t="inlineStr">
        <is>
          <t>Operational Data Analysis Report</t>
        </is>
      </c>
    </row>
    <row r="3" ht="4.5" customHeight="1" s="22"/>
    <row r="4" ht="10.5" customHeight="1" s="22">
      <c r="B4" s="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</row>
    <row r="5" ht="27" customHeight="1" s="22">
      <c r="B5" s="24" t="n">
        <v>2022</v>
      </c>
      <c r="C5" s="25" t="n">
        <v>7</v>
      </c>
      <c r="D5" s="26" t="inlineStr">
        <is>
          <t>Daily Sales Total</t>
        </is>
      </c>
      <c r="E5" s="27" t="inlineStr">
        <is>
          <t>Daily Sales
Ratio</t>
        </is>
      </c>
      <c r="F5" s="7" t="inlineStr">
        <is>
          <t>Tmall</t>
        </is>
      </c>
      <c r="G5" s="28" t="n"/>
      <c r="H5" s="29" t="n"/>
      <c r="I5" s="7" t="inlineStr">
        <is>
          <t>JD.com</t>
        </is>
      </c>
      <c r="J5" s="28" t="n"/>
      <c r="K5" s="29" t="n"/>
    </row>
    <row r="6" ht="27" customHeight="1" s="22">
      <c r="B6" s="30" t="n"/>
      <c r="C6" s="31" t="n"/>
      <c r="D6" s="31" t="n"/>
      <c r="E6" s="31" t="n"/>
      <c r="F6" s="11" t="inlineStr">
        <is>
          <t>Sales Revenue</t>
        </is>
      </c>
      <c r="G6" s="11" t="inlineStr">
        <is>
          <t>Shop Daily Sales Ratio</t>
        </is>
      </c>
      <c r="H6" s="11" t="inlineStr">
        <is>
          <t>Daily Total Sales Ratio</t>
        </is>
      </c>
      <c r="I6" s="11" t="inlineStr">
        <is>
          <t>Sales Revenue</t>
        </is>
      </c>
      <c r="J6" s="11" t="inlineStr">
        <is>
          <t>Shop Daily Sales Ratio</t>
        </is>
      </c>
      <c r="K6" s="17" t="inlineStr">
        <is>
          <t>Daily Total Sales Ratio</t>
        </is>
      </c>
    </row>
    <row r="7" ht="27" customHeight="1" s="22">
      <c r="B7" s="32">
        <f>DATE(B5,C5,1)</f>
        <v/>
      </c>
      <c r="C7" s="33">
        <f>TEXT(B7,"AAAA")</f>
        <v/>
      </c>
      <c r="D7" s="34">
        <f>SUMIF($F$6:$K$6,"销售额",F7:K7)</f>
        <v/>
      </c>
      <c r="E7" s="15">
        <f>D7/SUM($D:$D)</f>
        <v/>
      </c>
      <c r="F7" s="34" t="n">
        <v>30651.1</v>
      </c>
      <c r="G7" s="15">
        <f>F7/SUM($F:$F)</f>
        <v/>
      </c>
      <c r="H7" s="15">
        <f>_xlfn.IFERROR(F7/D7,"")</f>
        <v/>
      </c>
      <c r="I7" s="34" t="n">
        <v>55240</v>
      </c>
      <c r="J7" s="15">
        <f>I7/SUM($I:$I)</f>
        <v/>
      </c>
      <c r="K7" s="15">
        <f>_xlfn.IFERROR(I7/D7,"")</f>
        <v/>
      </c>
    </row>
    <row r="8" ht="27" customHeight="1" s="22">
      <c r="B8" s="32">
        <f>B7+1</f>
        <v/>
      </c>
      <c r="C8" s="33">
        <f>TEXT(B8,"AAAA")</f>
        <v/>
      </c>
      <c r="D8" s="34">
        <f>SUMIF($F$6:$K$6,"销售额",F8:K8)</f>
        <v/>
      </c>
      <c r="E8" s="15">
        <f>D8/SUM($D:$D)</f>
        <v/>
      </c>
      <c r="F8" s="34" t="n">
        <v>29027.77</v>
      </c>
      <c r="G8" s="15">
        <f>F8/SUM($F:$F)</f>
        <v/>
      </c>
      <c r="H8" s="15">
        <f>_xlfn.IFERROR(F8/D8,"")</f>
        <v/>
      </c>
      <c r="I8" s="34" t="n">
        <v>56256</v>
      </c>
      <c r="J8" s="15">
        <f>I8/SUM($I:$I)</f>
        <v/>
      </c>
      <c r="K8" s="15">
        <f>_xlfn.IFERROR(I8/D8,"")</f>
        <v/>
      </c>
    </row>
    <row r="9" ht="27" customHeight="1" s="22">
      <c r="B9" s="32">
        <f>B8+1</f>
        <v/>
      </c>
      <c r="C9" s="33">
        <f>TEXT(B9,"AAAA")</f>
        <v/>
      </c>
      <c r="D9" s="34">
        <f>SUMIF($F$6:$K$6,"销售额",F9:K9)</f>
        <v/>
      </c>
      <c r="E9" s="15">
        <f>D9/SUM($D:$D)</f>
        <v/>
      </c>
      <c r="F9" s="34" t="n">
        <v>15681</v>
      </c>
      <c r="G9" s="15">
        <f>F9/SUM($F:$F)</f>
        <v/>
      </c>
      <c r="H9" s="15">
        <f>_xlfn.IFERROR(F9/D9,"")</f>
        <v/>
      </c>
      <c r="I9" s="34" t="n">
        <v>13000</v>
      </c>
      <c r="J9" s="15">
        <f>I9/SUM($I:$I)</f>
        <v/>
      </c>
      <c r="K9" s="15">
        <f>_xlfn.IFERROR(I9/D9,"")</f>
        <v/>
      </c>
    </row>
    <row r="10" ht="27" customHeight="1" s="22">
      <c r="B10" s="32">
        <f>B9+1</f>
        <v/>
      </c>
      <c r="C10" s="33">
        <f>TEXT(B10,"AAAA")</f>
        <v/>
      </c>
      <c r="D10" s="34">
        <f>SUMIF($F$6:$K$6,"销售额",F10:K10)</f>
        <v/>
      </c>
      <c r="E10" s="15">
        <f>D10/SUM($D:$D)</f>
        <v/>
      </c>
      <c r="F10" s="34" t="n">
        <v>14686</v>
      </c>
      <c r="G10" s="15">
        <f>F10/SUM($F:$F)</f>
        <v/>
      </c>
      <c r="H10" s="15">
        <f>_xlfn.IFERROR(F10/D10,"")</f>
        <v/>
      </c>
      <c r="I10" s="34" t="n">
        <v>35471.6</v>
      </c>
      <c r="J10" s="15">
        <f>I10/SUM($I:$I)</f>
        <v/>
      </c>
      <c r="K10" s="15">
        <f>_xlfn.IFERROR(I10/D10,"")</f>
        <v/>
      </c>
    </row>
    <row r="11" ht="27" customHeight="1" s="22">
      <c r="B11" s="32">
        <f>B10+1</f>
        <v/>
      </c>
      <c r="C11" s="33">
        <f>TEXT(B11,"AAAA")</f>
        <v/>
      </c>
      <c r="D11" s="34">
        <f>SUMIF($F$6:$K$6,"销售额",F11:K11)</f>
        <v/>
      </c>
      <c r="E11" s="15">
        <f>D11/SUM($D:$D)</f>
        <v/>
      </c>
      <c r="F11" s="34" t="n">
        <v>22951</v>
      </c>
      <c r="G11" s="15">
        <f>F11/SUM($F:$F)</f>
        <v/>
      </c>
      <c r="H11" s="15">
        <f>_xlfn.IFERROR(F11/D11,"")</f>
        <v/>
      </c>
      <c r="I11" s="34" t="n">
        <v>15950</v>
      </c>
      <c r="J11" s="15">
        <f>I11/SUM($I:$I)</f>
        <v/>
      </c>
      <c r="K11" s="15">
        <f>_xlfn.IFERROR(I11/D11,"")</f>
        <v/>
      </c>
    </row>
    <row r="12" ht="27" customHeight="1" s="22">
      <c r="B12" s="32">
        <f>B11+1</f>
        <v/>
      </c>
      <c r="C12" s="33">
        <f>TEXT(B12,"AAAA")</f>
        <v/>
      </c>
      <c r="D12" s="34">
        <f>SUMIF($F$6:$K$6,"销售额",F12:K12)</f>
        <v/>
      </c>
      <c r="E12" s="15">
        <f>D12/SUM($D:$D)</f>
        <v/>
      </c>
      <c r="F12" s="34" t="n">
        <v>19471</v>
      </c>
      <c r="G12" s="15">
        <f>F12/SUM($F:$F)</f>
        <v/>
      </c>
      <c r="H12" s="15">
        <f>_xlfn.IFERROR(F12/D12,"")</f>
        <v/>
      </c>
      <c r="I12" s="34" t="n">
        <v>13425</v>
      </c>
      <c r="J12" s="15">
        <f>I12/SUM($I:$I)</f>
        <v/>
      </c>
      <c r="K12" s="15">
        <f>_xlfn.IFERROR(I12/D12,"")</f>
        <v/>
      </c>
    </row>
    <row r="13" ht="27" customHeight="1" s="22">
      <c r="B13" s="32">
        <f>B12+1</f>
        <v/>
      </c>
      <c r="C13" s="33">
        <f>TEXT(B13,"AAAA")</f>
        <v/>
      </c>
      <c r="D13" s="34">
        <f>SUMIF($F$6:$K$6,"销售额",F13:K13)</f>
        <v/>
      </c>
      <c r="E13" s="15">
        <f>D13/SUM($D:$D)</f>
        <v/>
      </c>
      <c r="F13" s="34" t="n">
        <v>61742.84</v>
      </c>
      <c r="G13" s="15">
        <f>F13/SUM($F:$F)</f>
        <v/>
      </c>
      <c r="H13" s="15">
        <f>_xlfn.IFERROR(F13/D13,"")</f>
        <v/>
      </c>
      <c r="I13" s="34" t="n">
        <v>44620</v>
      </c>
      <c r="J13" s="15">
        <f>I13/SUM($I:$I)</f>
        <v/>
      </c>
      <c r="K13" s="15">
        <f>_xlfn.IFERROR(I13/D13,"")</f>
        <v/>
      </c>
    </row>
    <row r="14" ht="27" customHeight="1" s="22">
      <c r="B14" s="32">
        <f>B13+1</f>
        <v/>
      </c>
      <c r="C14" s="33">
        <f>TEXT(B14,"AAAA")</f>
        <v/>
      </c>
      <c r="D14" s="34">
        <f>SUMIF($F$6:$K$6,"销售额",F14:K14)</f>
        <v/>
      </c>
      <c r="E14" s="15">
        <f>D14/SUM($D:$D)</f>
        <v/>
      </c>
      <c r="F14" s="34" t="n">
        <v>5689</v>
      </c>
      <c r="G14" s="15">
        <f>F14/SUM($F:$F)</f>
        <v/>
      </c>
      <c r="H14" s="15">
        <f>_xlfn.IFERROR(F14/D14,"")</f>
        <v/>
      </c>
      <c r="I14" s="34" t="n">
        <v>47280</v>
      </c>
      <c r="J14" s="15">
        <f>I14/SUM($I:$I)</f>
        <v/>
      </c>
      <c r="K14" s="15">
        <f>_xlfn.IFERROR(I14/D14,"")</f>
        <v/>
      </c>
    </row>
    <row r="15" ht="27" customHeight="1" s="22">
      <c r="B15" s="32">
        <f>B14+1</f>
        <v/>
      </c>
      <c r="C15" s="33">
        <f>TEXT(B15,"AAAA")</f>
        <v/>
      </c>
      <c r="D15" s="34">
        <f>SUMIF($F$6:$K$6,"销售额",F15:K15)</f>
        <v/>
      </c>
      <c r="E15" s="15">
        <f>D15/SUM($D:$D)</f>
        <v/>
      </c>
      <c r="F15" s="34" t="n">
        <v>30651.1</v>
      </c>
      <c r="G15" s="15">
        <f>F15/SUM($F:$F)</f>
        <v/>
      </c>
      <c r="H15" s="15">
        <f>_xlfn.IFERROR(F15/D15,"")</f>
        <v/>
      </c>
      <c r="I15" s="34" t="n">
        <v>55240</v>
      </c>
      <c r="J15" s="15">
        <f>I15/SUM($I:$I)</f>
        <v/>
      </c>
      <c r="K15" s="15">
        <f>_xlfn.IFERROR(I15/D15,"")</f>
        <v/>
      </c>
    </row>
    <row r="16" ht="27" customHeight="1" s="22">
      <c r="B16" s="32">
        <f>B15+1</f>
        <v/>
      </c>
      <c r="C16" s="33">
        <f>TEXT(B16,"AAAA")</f>
        <v/>
      </c>
      <c r="D16" s="34">
        <f>SUMIF($F$6:$K$6,"销售额",F16:K16)</f>
        <v/>
      </c>
      <c r="E16" s="15">
        <f>D16/SUM($D:$D)</f>
        <v/>
      </c>
      <c r="F16" s="34" t="n">
        <v>29027.77</v>
      </c>
      <c r="G16" s="15">
        <f>F16/SUM($F:$F)</f>
        <v/>
      </c>
      <c r="H16" s="15">
        <f>_xlfn.IFERROR(F16/D16,"")</f>
        <v/>
      </c>
      <c r="I16" s="34" t="n">
        <v>56256</v>
      </c>
      <c r="J16" s="15">
        <f>I16/SUM($I:$I)</f>
        <v/>
      </c>
      <c r="K16" s="15">
        <f>_xlfn.IFERROR(I16/D16,"")</f>
        <v/>
      </c>
    </row>
    <row r="17" ht="27" customHeight="1" s="22">
      <c r="B17" s="32">
        <f>B16+1</f>
        <v/>
      </c>
      <c r="C17" s="33">
        <f>TEXT(B17,"AAAA")</f>
        <v/>
      </c>
      <c r="D17" s="34">
        <f>SUMIF($F$6:$K$6,"销售额",F17:K17)</f>
        <v/>
      </c>
      <c r="E17" s="15">
        <f>D17/SUM($D:$D)</f>
        <v/>
      </c>
      <c r="F17" s="34" t="n">
        <v>15681</v>
      </c>
      <c r="G17" s="15">
        <f>F17/SUM($F:$F)</f>
        <v/>
      </c>
      <c r="H17" s="15">
        <f>_xlfn.IFERROR(F17/D17,"")</f>
        <v/>
      </c>
      <c r="I17" s="34" t="n">
        <v>13000</v>
      </c>
      <c r="J17" s="15">
        <f>I17/SUM($I:$I)</f>
        <v/>
      </c>
      <c r="K17" s="15">
        <f>_xlfn.IFERROR(I17/D17,"")</f>
        <v/>
      </c>
    </row>
    <row r="18" ht="27" customHeight="1" s="22">
      <c r="B18" s="32">
        <f>B17+1</f>
        <v/>
      </c>
      <c r="C18" s="33">
        <f>TEXT(B18,"AAAA")</f>
        <v/>
      </c>
      <c r="D18" s="34">
        <f>SUMIF($F$6:$K$6,"销售额",F18:K18)</f>
        <v/>
      </c>
      <c r="E18" s="15">
        <f>D18/SUM($D:$D)</f>
        <v/>
      </c>
      <c r="F18" s="34" t="n">
        <v>14686</v>
      </c>
      <c r="G18" s="15">
        <f>F18/SUM($F:$F)</f>
        <v/>
      </c>
      <c r="H18" s="15">
        <f>_xlfn.IFERROR(F18/D18,"")</f>
        <v/>
      </c>
      <c r="I18" s="34" t="n">
        <v>35471.6</v>
      </c>
      <c r="J18" s="15">
        <f>I18/SUM($I:$I)</f>
        <v/>
      </c>
      <c r="K18" s="15">
        <f>_xlfn.IFERROR(I18/D18,"")</f>
        <v/>
      </c>
    </row>
    <row r="19" ht="27" customHeight="1" s="22">
      <c r="B19" s="32">
        <f>B18+1</f>
        <v/>
      </c>
      <c r="C19" s="33">
        <f>TEXT(B19,"AAAA")</f>
        <v/>
      </c>
      <c r="D19" s="34">
        <f>SUMIF($F$6:$K$6,"销售额",F19:K19)</f>
        <v/>
      </c>
      <c r="E19" s="15">
        <f>D19/SUM($D:$D)</f>
        <v/>
      </c>
      <c r="F19" s="34" t="n">
        <v>22951</v>
      </c>
      <c r="G19" s="15">
        <f>F19/SUM($F:$F)</f>
        <v/>
      </c>
      <c r="H19" s="15">
        <f>_xlfn.IFERROR(F19/D19,"")</f>
        <v/>
      </c>
      <c r="I19" s="34" t="n">
        <v>15950</v>
      </c>
      <c r="J19" s="15">
        <f>I19/SUM($I:$I)</f>
        <v/>
      </c>
      <c r="K19" s="15">
        <f>_xlfn.IFERROR(I19/D19,"")</f>
        <v/>
      </c>
    </row>
    <row r="20" ht="27" customHeight="1" s="22">
      <c r="B20" s="32">
        <f>B19+1</f>
        <v/>
      </c>
      <c r="C20" s="33">
        <f>TEXT(B20,"AAAA")</f>
        <v/>
      </c>
      <c r="D20" s="34">
        <f>SUMIF($F$6:$K$6,"销售额",F20:K20)</f>
        <v/>
      </c>
      <c r="E20" s="15">
        <f>D20/SUM($D:$D)</f>
        <v/>
      </c>
      <c r="F20" s="34" t="n">
        <v>19471</v>
      </c>
      <c r="G20" s="15">
        <f>F20/SUM($F:$F)</f>
        <v/>
      </c>
      <c r="H20" s="15">
        <f>_xlfn.IFERROR(F20/D20,"")</f>
        <v/>
      </c>
      <c r="I20" s="34" t="n">
        <v>13425</v>
      </c>
      <c r="J20" s="15">
        <f>I20/SUM($I:$I)</f>
        <v/>
      </c>
      <c r="K20" s="15">
        <f>_xlfn.IFERROR(I20/D20,"")</f>
        <v/>
      </c>
    </row>
    <row r="21" ht="27" customHeight="1" s="22">
      <c r="B21" s="32">
        <f>B20+1</f>
        <v/>
      </c>
      <c r="C21" s="33">
        <f>TEXT(B21,"AAAA")</f>
        <v/>
      </c>
      <c r="D21" s="34">
        <f>SUMIF($F$6:$K$6,"销售额",F21:K21)</f>
        <v/>
      </c>
      <c r="E21" s="15">
        <f>D21/SUM($D:$D)</f>
        <v/>
      </c>
      <c r="F21" s="34" t="n">
        <v>61742.84</v>
      </c>
      <c r="G21" s="15">
        <f>F21/SUM($F:$F)</f>
        <v/>
      </c>
      <c r="H21" s="15">
        <f>_xlfn.IFERROR(F21/D21,"")</f>
        <v/>
      </c>
      <c r="I21" s="34" t="n">
        <v>44620</v>
      </c>
      <c r="J21" s="15">
        <f>I21/SUM($I:$I)</f>
        <v/>
      </c>
      <c r="K21" s="15">
        <f>_xlfn.IFERROR(I21/D21,"")</f>
        <v/>
      </c>
    </row>
    <row r="22" ht="27" customHeight="1" s="22">
      <c r="B22" s="32">
        <f>B21+1</f>
        <v/>
      </c>
      <c r="C22" s="33">
        <f>TEXT(B22,"AAAA")</f>
        <v/>
      </c>
      <c r="D22" s="34">
        <f>SUMIF($F$6:$K$6,"销售额",F22:K22)</f>
        <v/>
      </c>
      <c r="E22" s="15">
        <f>D22/SUM($D:$D)</f>
        <v/>
      </c>
      <c r="F22" s="34" t="n">
        <v>5689</v>
      </c>
      <c r="G22" s="15">
        <f>F22/SUM($F:$F)</f>
        <v/>
      </c>
      <c r="H22" s="15">
        <f>_xlfn.IFERROR(F22/D22,"")</f>
        <v/>
      </c>
      <c r="I22" s="34" t="n">
        <v>47280</v>
      </c>
      <c r="J22" s="15">
        <f>I22/SUM($I:$I)</f>
        <v/>
      </c>
      <c r="K22" s="15">
        <f>_xlfn.IFERROR(I22/D22,"")</f>
        <v/>
      </c>
    </row>
    <row r="23" ht="27" customHeight="1" s="22">
      <c r="B23" s="32">
        <f>B22+1</f>
        <v/>
      </c>
      <c r="C23" s="33">
        <f>TEXT(B23,"AAAA")</f>
        <v/>
      </c>
      <c r="D23" s="34">
        <f>SUMIF($F$6:$K$6,"销售额",F23:K23)</f>
        <v/>
      </c>
      <c r="E23" s="15">
        <f>D23/SUM($D:$D)</f>
        <v/>
      </c>
      <c r="F23" s="34" t="n">
        <v>30651.1</v>
      </c>
      <c r="G23" s="15">
        <f>F23/SUM($F:$F)</f>
        <v/>
      </c>
      <c r="H23" s="15">
        <f>_xlfn.IFERROR(F23/D23,"")</f>
        <v/>
      </c>
      <c r="I23" s="34" t="n">
        <v>55240</v>
      </c>
      <c r="J23" s="15">
        <f>I23/SUM($I:$I)</f>
        <v/>
      </c>
      <c r="K23" s="15">
        <f>_xlfn.IFERROR(I23/D23,"")</f>
        <v/>
      </c>
    </row>
    <row r="24" ht="27" customHeight="1" s="22">
      <c r="B24" s="32">
        <f>B23+1</f>
        <v/>
      </c>
      <c r="C24" s="33">
        <f>TEXT(B24,"AAAA")</f>
        <v/>
      </c>
      <c r="D24" s="34">
        <f>SUMIF($F$6:$K$6,"销售额",F24:K24)</f>
        <v/>
      </c>
      <c r="E24" s="15">
        <f>D24/SUM($D:$D)</f>
        <v/>
      </c>
      <c r="F24" s="34" t="n">
        <v>29027.77</v>
      </c>
      <c r="G24" s="15">
        <f>F24/SUM($F:$F)</f>
        <v/>
      </c>
      <c r="H24" s="15">
        <f>_xlfn.IFERROR(F24/D24,"")</f>
        <v/>
      </c>
      <c r="I24" s="34" t="n">
        <v>56256</v>
      </c>
      <c r="J24" s="15">
        <f>I24/SUM($I:$I)</f>
        <v/>
      </c>
      <c r="K24" s="15">
        <f>_xlfn.IFERROR(I24/D24,"")</f>
        <v/>
      </c>
    </row>
    <row r="25" ht="27" customHeight="1" s="22">
      <c r="B25" s="32">
        <f>B24+1</f>
        <v/>
      </c>
      <c r="C25" s="33">
        <f>TEXT(B25,"AAAA")</f>
        <v/>
      </c>
      <c r="D25" s="34">
        <f>SUMIF($F$6:$K$6,"销售额",F25:K25)</f>
        <v/>
      </c>
      <c r="E25" s="15">
        <f>D25/SUM($D:$D)</f>
        <v/>
      </c>
      <c r="F25" s="34" t="n">
        <v>15681</v>
      </c>
      <c r="G25" s="15">
        <f>F25/SUM($F:$F)</f>
        <v/>
      </c>
      <c r="H25" s="15">
        <f>_xlfn.IFERROR(F25/D25,"")</f>
        <v/>
      </c>
      <c r="I25" s="34" t="n">
        <v>13000</v>
      </c>
      <c r="J25" s="15">
        <f>I25/SUM($I:$I)</f>
        <v/>
      </c>
      <c r="K25" s="15">
        <f>_xlfn.IFERROR(I25/D25,"")</f>
        <v/>
      </c>
    </row>
    <row r="26" ht="27" customHeight="1" s="22">
      <c r="B26" s="32">
        <f>B25+1</f>
        <v/>
      </c>
      <c r="C26" s="33">
        <f>TEXT(B26,"AAAA")</f>
        <v/>
      </c>
      <c r="D26" s="34">
        <f>SUMIF($F$6:$K$6,"销售额",F26:K26)</f>
        <v/>
      </c>
      <c r="E26" s="15">
        <f>D26/SUM($D:$D)</f>
        <v/>
      </c>
      <c r="F26" s="34" t="n">
        <v>14686</v>
      </c>
      <c r="G26" s="15">
        <f>F26/SUM($F:$F)</f>
        <v/>
      </c>
      <c r="H26" s="15">
        <f>_xlfn.IFERROR(F26/D26,"")</f>
        <v/>
      </c>
      <c r="I26" s="34" t="n">
        <v>35471.6</v>
      </c>
      <c r="J26" s="15">
        <f>I26/SUM($I:$I)</f>
        <v/>
      </c>
      <c r="K26" s="15">
        <f>_xlfn.IFERROR(I26/D26,"")</f>
        <v/>
      </c>
    </row>
  </sheetData>
  <mergeCells count="8">
    <mergeCell ref="E5:E6"/>
    <mergeCell ref="F5:H5"/>
    <mergeCell ref="B4:K4"/>
    <mergeCell ref="I5:K5"/>
    <mergeCell ref="C5:C6"/>
    <mergeCell ref="B2:K2"/>
    <mergeCell ref="B5:B6"/>
    <mergeCell ref="D5:D6"/>
  </mergeCells>
  <conditionalFormatting sqref="E7:E14">
    <cfRule type="dataBar" priority="21">
      <dataBar minLength="0" maxLength="100">
        <cfvo type="min"/>
        <cfvo type="max"/>
        <color rgb="FFFFB628"/>
      </dataBar>
    </cfRule>
  </conditionalFormatting>
  <conditionalFormatting sqref="E15:E22">
    <cfRule type="dataBar" priority="13">
      <dataBar minLength="0" maxLength="100">
        <cfvo type="min"/>
        <cfvo type="max"/>
        <color rgb="FFFFB628"/>
      </dataBar>
    </cfRule>
  </conditionalFormatting>
  <conditionalFormatting sqref="E23:E26">
    <cfRule type="dataBar" priority="5">
      <dataBar minLength="0" maxLength="100">
        <cfvo type="min"/>
        <cfvo type="max"/>
        <color rgb="FFFFB628"/>
      </dataBar>
    </cfRule>
  </conditionalFormatting>
  <conditionalFormatting sqref="G7:G14">
    <cfRule type="dataBar" priority="20">
      <dataBar minLength="0" maxLength="100">
        <cfvo type="min"/>
        <cfvo type="max"/>
        <color rgb="FF638EC6"/>
      </dataBar>
    </cfRule>
  </conditionalFormatting>
  <conditionalFormatting sqref="G15:G22">
    <cfRule type="dataBar" priority="12">
      <dataBar minLength="0" maxLength="100">
        <cfvo type="min"/>
        <cfvo type="max"/>
        <color rgb="FF638EC6"/>
      </dataBar>
    </cfRule>
  </conditionalFormatting>
  <conditionalFormatting sqref="G23:G26">
    <cfRule type="dataBar" priority="4">
      <dataBar minLength="0" maxLength="100">
        <cfvo type="min"/>
        <cfvo type="max"/>
        <color rgb="FF638EC6"/>
      </dataBar>
    </cfRule>
  </conditionalFormatting>
  <conditionalFormatting sqref="H7:H14">
    <cfRule type="dataBar" priority="18">
      <dataBar minLength="0" maxLength="100">
        <cfvo type="min"/>
        <cfvo type="num" val="1"/>
        <color rgb="FF63C384"/>
      </dataBar>
    </cfRule>
  </conditionalFormatting>
  <conditionalFormatting sqref="H15:H22">
    <cfRule type="dataBar" priority="10">
      <dataBar minLength="0" maxLength="100">
        <cfvo type="min"/>
        <cfvo type="num" val="1"/>
        <color rgb="FF63C384"/>
      </dataBar>
    </cfRule>
  </conditionalFormatting>
  <conditionalFormatting sqref="H23:H26">
    <cfRule type="dataBar" priority="2">
      <dataBar minLength="0" maxLength="100">
        <cfvo type="min"/>
        <cfvo type="num" val="1"/>
        <color rgb="FF63C384"/>
      </dataBar>
    </cfRule>
  </conditionalFormatting>
  <conditionalFormatting sqref="J7:J14">
    <cfRule type="dataBar" priority="19">
      <dataBar minLength="0" maxLength="100">
        <cfvo type="min"/>
        <cfvo type="max"/>
        <color rgb="FF638EC6"/>
      </dataBar>
    </cfRule>
  </conditionalFormatting>
  <conditionalFormatting sqref="J15:J22">
    <cfRule type="dataBar" priority="11">
      <dataBar minLength="0" maxLength="100">
        <cfvo type="min"/>
        <cfvo type="max"/>
        <color rgb="FF638EC6"/>
      </dataBar>
    </cfRule>
  </conditionalFormatting>
  <conditionalFormatting sqref="J23:J26">
    <cfRule type="dataBar" priority="3">
      <dataBar minLength="0" maxLength="100">
        <cfvo type="min"/>
        <cfvo type="max"/>
        <color rgb="FF638EC6"/>
      </dataBar>
    </cfRule>
  </conditionalFormatting>
  <conditionalFormatting sqref="K7:K14">
    <cfRule type="dataBar" priority="17">
      <dataBar minLength="0" maxLength="100">
        <cfvo type="min"/>
        <cfvo type="num" val="1"/>
        <color rgb="FF63C384"/>
      </dataBar>
    </cfRule>
  </conditionalFormatting>
  <conditionalFormatting sqref="K15:K22">
    <cfRule type="dataBar" priority="9">
      <dataBar minLength="0" maxLength="100">
        <cfvo type="min"/>
        <cfvo type="num" val="1"/>
        <color rgb="FF63C384"/>
      </dataBar>
    </cfRule>
  </conditionalFormatting>
  <conditionalFormatting sqref="K23:K26">
    <cfRule type="dataBar" priority="1">
      <dataBar minLength="0" maxLength="100">
        <cfvo type="min"/>
        <cfvo type="num" val="1"/>
        <color rgb="FF63C384"/>
      </dataBar>
    </cfRule>
  </conditionalFormatting>
  <dataValidations count="1">
    <dataValidation sqref="A1:D3 A4:D4 A5:D5 A6:D6 A7:C7 A8:C26 A27:D1048576 D7:D14 D15:D22 D23:D26 E1:E3 E4 E5 E6 E7:E14 E15:E22 E23:E26 E27:E1048576 F1:XFD3 F4:XFD4 F5:XFD5 F6:I6 F7 F8:F14 F15 F16:F22 F23 F24:F26 F27:F1048576 G7:G14 G15:G22 G23:G26 G27:G1048576 H7:H14 H15:H22 H23:H26 H27:H1048576 I7 I8:I14 I15 I16:I22 I23 I24:I26 I27:XFD1048576 J6 J7:J14 J15:J22 J23:J26 K6 K7:K14 K15:K22 K23:K26 L6:XFD6 L7:XFD7 L8:XFD24 L25:XFD26" showDropDown="0" showInputMessage="1" showErrorMessage="1" allowBlank="1"/>
  </dataValidations>
  <pageMargins left="0.236111111111111" right="0" top="0.196527777777778" bottom="0" header="0.5" footer="0.5"/>
  <pageSetup orientation="landscape" paperSize="9" scale="85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nbc-cwb01</dc:creator>
  <dcterms:created xsi:type="dcterms:W3CDTF">2021-08-11T08:27:00Z</dcterms:created>
  <dcterms:modified xsi:type="dcterms:W3CDTF">2025-07-08T05:52:33Z</dcterms:modified>
  <cp:lastModifiedBy>UMBRA~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4557449774834566A04E4A82019DE346_11</vt:lpwstr>
  </property>
  <property name="KSOProductBuildVer" fmtid="{D5CDD505-2E9C-101B-9397-08002B2CF9AE}" pid="3">
    <vt:lpwstr>2052-12.1.0.16388</vt:lpwstr>
  </property>
  <property name="KSOTemplateUUID" fmtid="{D5CDD505-2E9C-101B-9397-08002B2CF9AE}" pid="4">
    <vt:lpwstr>v1.0_mb_p+p0yLi1eZSoNu8uz3qwSg==</vt:lpwstr>
  </property>
</Properties>
</file>