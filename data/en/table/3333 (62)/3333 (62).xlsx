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20" windowWidth="16845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思源黑体 CN Medium"/>
      <family val="2"/>
      <color theme="1"/>
      <sz val="14"/>
    </font>
    <font>
      <name val="思源黑体 CN Medium"/>
      <family val="2"/>
      <color theme="1"/>
      <sz val="11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000000238418579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2" fillId="33" borderId="0" applyAlignment="1" pivotButton="0" quotePrefix="0" xfId="0">
      <alignment horizontal="center" vertical="center"/>
    </xf>
    <xf numFmtId="0" fontId="3" fillId="33" borderId="0" applyAlignment="1" pivotButton="0" quotePrefix="0" xfId="0">
      <alignment horizontal="center" vertical="center"/>
    </xf>
    <xf numFmtId="0" fontId="2" fillId="34" borderId="9" applyAlignment="1" pivotButton="0" quotePrefix="0" xfId="0">
      <alignment horizontal="center" vertical="center" wrapText="1"/>
    </xf>
    <xf numFmtId="0" fontId="2" fillId="34" borderId="10" applyAlignment="1" pivotButton="0" quotePrefix="0" xfId="0">
      <alignment horizontal="center" vertical="center" wrapText="1"/>
    </xf>
    <xf numFmtId="164" fontId="2" fillId="34" borderId="10" applyAlignment="1" pivotButton="0" quotePrefix="0" xfId="0">
      <alignment horizontal="center" vertical="center" wrapText="1"/>
    </xf>
    <xf numFmtId="0" fontId="2" fillId="33" borderId="11" applyAlignment="1" pivotButton="0" quotePrefix="0" xfId="0">
      <alignment horizontal="center" vertical="center" wrapText="1"/>
    </xf>
    <xf numFmtId="0" fontId="2" fillId="33" borderId="12" applyAlignment="1" pivotButton="0" quotePrefix="0" xfId="0">
      <alignment horizontal="center" vertical="center" wrapText="1"/>
    </xf>
    <xf numFmtId="164" fontId="2" fillId="33" borderId="12" applyAlignment="1" pivotButton="0" quotePrefix="0" xfId="0">
      <alignment horizontal="center" vertical="center" wrapText="1"/>
    </xf>
    <xf numFmtId="10" fontId="2" fillId="34" borderId="10" applyAlignment="1" pivotButton="0" quotePrefix="0" xfId="0">
      <alignment horizontal="center" vertical="center" wrapText="1"/>
    </xf>
    <xf numFmtId="10" fontId="2" fillId="33" borderId="12" applyAlignment="1" pivotButton="0" quotePrefix="0" xfId="0">
      <alignment horizontal="center" vertical="center" wrapText="1"/>
    </xf>
    <xf numFmtId="0" fontId="2" fillId="34" borderId="13" applyAlignment="1" pivotButton="0" quotePrefix="0" xfId="0">
      <alignment horizontal="center" vertical="center" wrapText="1"/>
    </xf>
    <xf numFmtId="0" fontId="2" fillId="33" borderId="14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164" fontId="2" fillId="34" borderId="10" applyAlignment="1" pivotButton="0" quotePrefix="0" xfId="0">
      <alignment horizontal="center" vertical="center" wrapText="1"/>
    </xf>
    <xf numFmtId="164" fontId="2" fillId="33" borderId="12" applyAlignment="1" pivotButton="0" quotePrefix="0" xfId="0">
      <alignment horizontal="center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topLeftCell="G1" workbookViewId="0">
      <selection activeCell="R46" sqref="R46"/>
    </sheetView>
  </sheetViews>
  <sheetFormatPr baseColWidth="8" defaultColWidth="16.28125" defaultRowHeight="39.75" customHeight="1" outlineLevelRow="4"/>
  <cols>
    <col width="19.8515625" customWidth="1" style="1" min="1" max="1"/>
    <col width="13.8515625" customWidth="1" style="1" min="2" max="2"/>
    <col width="7.7109375" customWidth="1" style="1" min="3" max="3"/>
    <col width="8.421875" customWidth="1" style="1" min="4" max="4"/>
    <col width="9.421875" customWidth="1" style="1" min="5" max="5"/>
    <col width="7.8515625" customWidth="1" style="1" min="6" max="6"/>
    <col width="13.7109375" customWidth="1" style="1" min="7" max="7"/>
    <col width="9.421875" customWidth="1" style="1" min="8" max="8"/>
    <col width="6.421875" customWidth="1" style="1" min="9" max="9"/>
    <col width="10.421875" customWidth="1" style="1" min="10" max="10"/>
    <col width="11.00390625" customWidth="1" style="1" min="11" max="11"/>
    <col width="19.140625" customWidth="1" style="1" min="12" max="12"/>
    <col width="7.7109375" customWidth="1" style="1" min="13" max="13"/>
    <col width="8.7109375" customWidth="1" style="1" min="14" max="14"/>
    <col width="10.421875" customWidth="1" style="1" min="15" max="15"/>
    <col width="11.00390625" customWidth="1" style="1" min="16" max="16"/>
    <col width="6.57421875" customWidth="1" style="1" min="17" max="17"/>
    <col width="7.421875" customWidth="1" style="1" min="18" max="18"/>
    <col width="16.28125" customWidth="1" style="2" min="19" max="16384"/>
  </cols>
  <sheetData>
    <row r="1" ht="39.75" customHeight="1" s="16">
      <c r="A1" s="3" t="inlineStr">
        <is>
          <t>Item Number</t>
        </is>
      </c>
      <c r="B1" s="4" t="inlineStr">
        <is>
          <t>Style Number</t>
        </is>
      </c>
      <c r="C1" s="4" t="inlineStr">
        <is>
          <t>Season</t>
        </is>
      </c>
      <c r="D1" s="4" t="inlineStr">
        <is>
          <t>Suggested Price</t>
        </is>
      </c>
      <c r="E1" s="4" t="inlineStr">
        <is>
          <t>Main or Secondary Promotion</t>
        </is>
      </c>
      <c r="F1" s="4" t="inlineStr">
        <is>
          <t>Cost</t>
        </is>
      </c>
      <c r="G1" s="17" t="inlineStr">
        <is>
          <t>Activity Price Multiple</t>
        </is>
      </c>
      <c r="H1" s="4" t="inlineStr">
        <is>
          <t>Promotional Price</t>
        </is>
      </c>
      <c r="I1" s="4" t="inlineStr">
        <is>
          <t>Profit</t>
        </is>
      </c>
      <c r="J1" s="9" t="inlineStr">
        <is>
          <t>Gross profit margin</t>
        </is>
      </c>
      <c r="K1" s="4" t="inlineStr">
        <is>
          <t>All inventory</t>
        </is>
      </c>
      <c r="L1" s="4" t="inlineStr">
        <is>
          <t>Sub-category</t>
        </is>
      </c>
      <c r="M1" s="4" t="inlineStr">
        <is>
          <t>Fabric</t>
        </is>
      </c>
      <c r="N1" s="4" t="inlineStr">
        <is>
          <t>Market Price</t>
        </is>
      </c>
      <c r="O1" s="17" t="inlineStr">
        <is>
          <t>Hanger Tag Discount</t>
        </is>
      </c>
      <c r="P1" s="17" t="inlineStr">
        <is>
          <t>Activity Discount</t>
        </is>
      </c>
      <c r="Q1" s="4" t="inlineStr">
        <is>
          <t>Notes</t>
        </is>
      </c>
      <c r="R1" s="11" t="inlineStr">
        <is>
          <t>Freight</t>
        </is>
      </c>
    </row>
    <row r="2" ht="39.75" customHeight="1" s="16">
      <c r="A2" s="6" t="inlineStr">
        <is>
          <t>M983512062071</t>
        </is>
      </c>
      <c r="B2" s="7" t="inlineStr">
        <is>
          <t>M98351206</t>
        </is>
      </c>
      <c r="C2" s="7" t="inlineStr">
        <is>
          <t>Winter</t>
        </is>
      </c>
      <c r="D2" s="7" t="n">
        <v>399</v>
      </c>
      <c r="E2" s="7" t="inlineStr">
        <is>
          <t>Main promotion</t>
        </is>
      </c>
      <c r="F2" s="7" t="n">
        <v>146</v>
      </c>
      <c r="G2" s="18">
        <f>_xlfn.IFERROR((H2/F2),"")</f>
        <v/>
      </c>
      <c r="H2" s="7">
        <f>_xlfn.IFERROR(INT((F2+R2)/(1-J2)),"")</f>
        <v/>
      </c>
      <c r="I2" s="7">
        <f>_xlfn.IFERROR(INT((H2-F2-R2)),"")</f>
        <v/>
      </c>
      <c r="J2" s="10" t="n">
        <v>0.38</v>
      </c>
      <c r="K2" s="7" t="n">
        <v>605</v>
      </c>
      <c r="L2" s="7" t="inlineStr">
        <is>
          <t>Men's pajamas/home wear</t>
        </is>
      </c>
      <c r="M2" s="7" t="inlineStr">
        <is>
          <t>Fleece-lined</t>
        </is>
      </c>
      <c r="N2" s="7" t="n">
        <v>1299</v>
      </c>
      <c r="O2" s="18">
        <f>_xlfn.IFERROR((H2/N2),"")</f>
        <v/>
      </c>
      <c r="P2" s="18">
        <f>_xlfn.IFERROR((H2/N2),"")</f>
        <v/>
      </c>
      <c r="Q2" s="7" t="n">
        <v>0</v>
      </c>
      <c r="R2" s="12" t="n">
        <v>15</v>
      </c>
    </row>
    <row r="3" ht="39.75" customHeight="1" s="16">
      <c r="A3" s="6" t="inlineStr">
        <is>
          <t>X983512000073</t>
        </is>
      </c>
      <c r="B3" s="7" t="inlineStr">
        <is>
          <t>X98351200</t>
        </is>
      </c>
      <c r="C3" s="7" t="inlineStr">
        <is>
          <t>Winter</t>
        </is>
      </c>
      <c r="D3" s="7" t="n">
        <v>389</v>
      </c>
      <c r="E3" s="7" t="inlineStr">
        <is>
          <t>Main promotion</t>
        </is>
      </c>
      <c r="F3" s="7" t="n">
        <v>144</v>
      </c>
      <c r="G3" s="18">
        <f>_xlfn.IFERROR((H3/F3),"")</f>
        <v/>
      </c>
      <c r="H3" s="7">
        <f>_xlfn.IFERROR(INT((F3+R3)/(1-J3)),"")</f>
        <v/>
      </c>
      <c r="I3" s="7">
        <f>_xlfn.IFERROR(INT((H3-F3-R3)),"")</f>
        <v/>
      </c>
      <c r="J3" s="10" t="n">
        <v>0.38</v>
      </c>
      <c r="K3" s="7" t="n">
        <v>600</v>
      </c>
      <c r="L3" s="7" t="inlineStr">
        <is>
          <t>Women's pajamas / loungewear</t>
        </is>
      </c>
      <c r="M3" s="7" t="inlineStr">
        <is>
          <t>Fleece-lined</t>
        </is>
      </c>
      <c r="N3" s="7" t="n">
        <v>1269</v>
      </c>
      <c r="O3" s="18">
        <f>_xlfn.IFERROR((H3/N3),"")</f>
        <v/>
      </c>
      <c r="P3" s="18">
        <f>_xlfn.IFERROR((H3/N3),"")</f>
        <v/>
      </c>
      <c r="Q3" s="7" t="n">
        <v>0</v>
      </c>
      <c r="R3" s="12" t="n">
        <v>15</v>
      </c>
    </row>
    <row r="4" ht="39.75" customHeight="1" s="16">
      <c r="A4" s="6" t="inlineStr">
        <is>
          <t>X983512002137</t>
        </is>
      </c>
      <c r="B4" s="7" t="inlineStr">
        <is>
          <t>X98351200</t>
        </is>
      </c>
      <c r="C4" s="7" t="inlineStr">
        <is>
          <t>Winter</t>
        </is>
      </c>
      <c r="D4" s="7" t="n">
        <v>389</v>
      </c>
      <c r="E4" s="7" t="inlineStr">
        <is>
          <t>Main promotion</t>
        </is>
      </c>
      <c r="F4" s="7" t="n">
        <v>144</v>
      </c>
      <c r="G4" s="18">
        <f>_xlfn.IFERROR((H4/F4),"")</f>
        <v/>
      </c>
      <c r="H4" s="7">
        <f>_xlfn.IFERROR(INT((F4+R4)/(1-J4)),"")</f>
        <v/>
      </c>
      <c r="I4" s="7">
        <f>_xlfn.IFERROR(INT((H4-F4-R4)),"")</f>
        <v/>
      </c>
      <c r="J4" s="10" t="n">
        <v>0.38</v>
      </c>
      <c r="K4" s="7" t="n">
        <v>600</v>
      </c>
      <c r="L4" s="7" t="inlineStr">
        <is>
          <t>Women's pajamas / loungewear</t>
        </is>
      </c>
      <c r="M4" s="7" t="inlineStr">
        <is>
          <t>Fleece-lined</t>
        </is>
      </c>
      <c r="N4" s="7" t="n">
        <v>1269</v>
      </c>
      <c r="O4" s="18">
        <f>_xlfn.IFERROR((H4/N4),"")</f>
        <v/>
      </c>
      <c r="P4" s="18">
        <f>_xlfn.IFERROR((H4/N4),"")</f>
        <v/>
      </c>
      <c r="Q4" s="7" t="n">
        <v>0</v>
      </c>
      <c r="R4" s="12" t="n">
        <v>15</v>
      </c>
    </row>
    <row r="5" ht="39.75" customHeight="1" s="16">
      <c r="A5" s="6" t="inlineStr">
        <is>
          <t>J983512574933</t>
        </is>
      </c>
      <c r="B5" s="7" t="inlineStr">
        <is>
          <t>J98351257</t>
        </is>
      </c>
      <c r="C5" s="7" t="inlineStr">
        <is>
          <t>Winter</t>
        </is>
      </c>
      <c r="D5" s="7" t="n">
        <v>389</v>
      </c>
      <c r="E5" s="7" t="inlineStr">
        <is>
          <t>Secondary promotion</t>
        </is>
      </c>
      <c r="F5" s="7" t="n">
        <v>142</v>
      </c>
      <c r="G5" s="18">
        <f>_xlfn.IFERROR((H5/F5),"")</f>
        <v/>
      </c>
      <c r="H5" s="7">
        <f>_xlfn.IFERROR(INT((F5+R5)/(1-J5)),"")</f>
        <v/>
      </c>
      <c r="I5" s="7">
        <f>_xlfn.IFERROR(INT((H5-F5-R5)),"")</f>
        <v/>
      </c>
      <c r="J5" s="10" t="n">
        <v>0.38</v>
      </c>
      <c r="K5" s="7" t="n">
        <v>400</v>
      </c>
      <c r="L5" s="7" t="inlineStr">
        <is>
          <t>Women's pajamas / loungewear</t>
        </is>
      </c>
      <c r="M5" s="7" t="inlineStr">
        <is>
          <t>Fleece-lined</t>
        </is>
      </c>
      <c r="N5" s="7" t="n">
        <v>1269</v>
      </c>
      <c r="O5" s="18">
        <f>_xlfn.IFERROR((H5/N5),"")</f>
        <v/>
      </c>
      <c r="P5" s="18">
        <f>_xlfn.IFERROR((H5/N5),"")</f>
        <v/>
      </c>
      <c r="Q5" s="7" t="n">
        <v>0</v>
      </c>
      <c r="R5" s="12" t="n">
        <v>15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2022-10-31T08:51:00Z</dcterms:created>
  <dcterms:modified xsi:type="dcterms:W3CDTF">2025-07-09T01:50:18Z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80B00EB63EBC42069DA9B0DBCBEB4839_11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v1.0_mb_i8U3a4f25Mg6HflUaOCYZQ==</vt:lpwstr>
  </property>
</Properties>
</file>