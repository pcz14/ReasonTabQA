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23040" windowHeight="8604" tabRatio="600" firstSheet="1" autoFilterDateGrouping="1"/>
  </bookViews>
  <sheets>
    <sheet name="Sheet1" sheetId="1" state="visible" r:id="rId1"/>
  </sheets>
  <definedNames>
    <definedName name="_?">#REF!</definedName>
    <definedName name="__?">#REF!</definedName>
    <definedName name="___?">#REF!</definedName>
    <definedName name="____?">#REF!</definedName>
    <definedName name="______?">#REF!</definedName>
    <definedName name="_xlnm._FilterDatabase" localSheetId="0" hidden="1">'Sheet1'!$A$8:$AH$179</definedName>
    <definedName name="_xlnm.Print_Titles" localSheetId="0">'Sheet1'!$3:$8</definedName>
  </definedNames>
  <calcPr calcId="191029" fullCalcOnLoad="1"/>
</workbook>
</file>

<file path=xl/styles.xml><?xml version="1.0" encoding="utf-8"?>
<styleSheet xmlns="http://schemas.openxmlformats.org/spreadsheetml/2006/main">
  <numFmts count="4">
    <numFmt numFmtId="164" formatCode="0_);[Red]\(0\)"/>
    <numFmt numFmtId="165" formatCode="0.00_ "/>
    <numFmt numFmtId="166" formatCode="0.00_);[Red]\(0.00\)"/>
    <numFmt numFmtId="167" formatCode="0.0000_ "/>
  </numFmts>
  <fonts count="42">
    <font>
      <name val="宋体"/>
      <family val="2"/>
      <sz val="12"/>
    </font>
    <font>
      <name val="Arial"/>
      <family val="2"/>
      <sz val="10"/>
    </font>
    <font>
      <name val="黑体"/>
      <family val="2"/>
      <b val="1"/>
      <color theme="1"/>
      <sz val="12"/>
    </font>
    <font>
      <name val="黑体"/>
      <family val="2"/>
      <color theme="1"/>
      <sz val="12"/>
    </font>
    <font>
      <name val="宋体"/>
      <family val="2"/>
      <color theme="1"/>
      <sz val="11"/>
    </font>
    <font>
      <name val="黑体"/>
      <family val="2"/>
      <color theme="1"/>
      <sz val="16"/>
    </font>
    <font>
      <name val="黑体"/>
      <family val="2"/>
      <color theme="1"/>
      <sz val="10"/>
    </font>
    <font>
      <name val="黑体"/>
      <family val="2"/>
      <color theme="1"/>
      <sz val="36"/>
    </font>
    <font>
      <name val="黑体"/>
      <family val="2"/>
      <color theme="1"/>
      <sz val="11"/>
    </font>
    <font>
      <name val="黑体"/>
      <family val="2"/>
      <sz val="11"/>
    </font>
    <font>
      <name val="Microsoft YaHei"/>
      <family val="2"/>
      <b val="1"/>
      <color theme="1"/>
      <sz val="12"/>
    </font>
    <font>
      <name val="仿宋_GB2312"/>
      <family val="2"/>
      <color theme="1"/>
      <sz val="12"/>
    </font>
    <font>
      <name val="Times New Roman"/>
      <family val="2"/>
      <b val="1"/>
      <color theme="1"/>
      <sz val="10"/>
    </font>
    <font>
      <name val="黑体"/>
      <family val="2"/>
      <color indexed="8"/>
      <sz val="11"/>
    </font>
    <font>
      <name val="黑体"/>
      <family val="2"/>
      <b val="1"/>
      <color theme="1"/>
      <sz val="11"/>
    </font>
    <font>
      <name val="Calibri"/>
      <family val="2"/>
      <color theme="1"/>
      <sz val="11"/>
      <scheme val="minor"/>
    </font>
    <font>
      <name val="Calibri"/>
      <family val="2"/>
      <color rgb="FF0000FF"/>
      <sz val="11"/>
      <u val="single"/>
      <scheme val="minor"/>
    </font>
    <font>
      <name val="Calibri"/>
      <family val="2"/>
      <color rgb="FF800080"/>
      <sz val="11"/>
      <u val="single"/>
      <scheme val="minor"/>
    </font>
    <font>
      <name val="Calibri"/>
      <family val="2"/>
      <color rgb="FFFF0000"/>
      <sz val="11"/>
      <scheme val="minor"/>
    </font>
    <font>
      <name val="Calibri"/>
      <family val="2"/>
      <b val="1"/>
      <color theme="3"/>
      <sz val="18"/>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b val="1"/>
      <color rgb="FFFFFFFF"/>
      <sz val="11"/>
      <scheme val="minor"/>
    </font>
    <font>
      <name val="Calibri"/>
      <family val="2"/>
      <color rgb="FFFA7D00"/>
      <sz val="11"/>
      <scheme val="minor"/>
    </font>
    <font>
      <name val="Calibri"/>
      <family val="2"/>
      <b val="1"/>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theme="0"/>
      <sz val="11"/>
      <scheme val="minor"/>
    </font>
    <font>
      <name val="宋体"/>
      <family val="2"/>
      <color indexed="8"/>
      <sz val="11"/>
    </font>
    <font>
      <name val="宋体"/>
      <family val="2"/>
      <sz val="11"/>
    </font>
    <font>
      <name val="宋体"/>
      <family val="2"/>
      <color theme="1"/>
      <sz val="12"/>
    </font>
    <font>
      <name val="Times New Roman"/>
      <family val="2"/>
      <color theme="1"/>
      <sz val="10"/>
    </font>
    <font>
      <name val="宋体"/>
      <family val="2"/>
      <color theme="1"/>
      <sz val="10"/>
    </font>
    <font>
      <name val="Calibri"/>
      <family val="2"/>
      <color theme="1"/>
      <sz val="12"/>
      <scheme val="minor"/>
    </font>
    <font>
      <name val="宋体"/>
      <family val="2"/>
      <b val="1"/>
      <sz val="12"/>
    </font>
    <font>
      <name val="宋体"/>
      <family val="2"/>
      <color rgb="FF0000FF"/>
      <sz val="12"/>
      <u val="single"/>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right style="thin"/>
      <top style="thin"/>
      <bottom style="thin"/>
    </border>
    <border>
      <left style="thin"/>
      <right style="thin"/>
      <top/>
      <bottom style="thin"/>
    </border>
    <border>
      <left style="thin"/>
      <right style="thin"/>
      <top style="thin"/>
      <bottom/>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63">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43" fontId="15" fillId="0" borderId="0"/>
    <xf numFmtId="44" fontId="15" fillId="0" borderId="0"/>
    <xf numFmtId="9" fontId="15" fillId="0" borderId="0"/>
    <xf numFmtId="41" fontId="15" fillId="0" borderId="0"/>
    <xf numFmtId="42" fontId="15" fillId="0" borderId="0"/>
    <xf numFmtId="0" fontId="16" fillId="0" borderId="0"/>
    <xf numFmtId="0" fontId="17" fillId="0" borderId="0"/>
    <xf numFmtId="0" fontId="15" fillId="2" borderId="1"/>
    <xf numFmtId="0" fontId="18" fillId="0" borderId="0"/>
    <xf numFmtId="0" fontId="19" fillId="0" borderId="0"/>
    <xf numFmtId="0" fontId="20" fillId="0" borderId="0"/>
    <xf numFmtId="0" fontId="21" fillId="0" borderId="2"/>
    <xf numFmtId="0" fontId="22" fillId="0" borderId="2"/>
    <xf numFmtId="0" fontId="23" fillId="0" borderId="3"/>
    <xf numFmtId="0" fontId="23" fillId="0" borderId="0"/>
    <xf numFmtId="0" fontId="24" fillId="3" borderId="4"/>
    <xf numFmtId="0" fontId="25" fillId="4" borderId="5"/>
    <xf numFmtId="0" fontId="26" fillId="4" borderId="4"/>
    <xf numFmtId="0" fontId="27" fillId="5" borderId="6"/>
    <xf numFmtId="0" fontId="28" fillId="0" borderId="7"/>
    <xf numFmtId="0" fontId="29" fillId="0" borderId="8"/>
    <xf numFmtId="0" fontId="30" fillId="6" borderId="0"/>
    <xf numFmtId="0" fontId="31" fillId="7" borderId="0"/>
    <xf numFmtId="0" fontId="32" fillId="8" borderId="0"/>
    <xf numFmtId="0" fontId="33" fillId="9" borderId="0"/>
    <xf numFmtId="0" fontId="15" fillId="10" borderId="0"/>
    <xf numFmtId="0" fontId="15" fillId="11" borderId="0"/>
    <xf numFmtId="0" fontId="33" fillId="12" borderId="0"/>
    <xf numFmtId="0" fontId="33" fillId="13" borderId="0"/>
    <xf numFmtId="0" fontId="15" fillId="14" borderId="0"/>
    <xf numFmtId="0" fontId="15" fillId="15" borderId="0"/>
    <xf numFmtId="0" fontId="33" fillId="16" borderId="0"/>
    <xf numFmtId="0" fontId="33" fillId="17" borderId="0"/>
    <xf numFmtId="0" fontId="15" fillId="18" borderId="0"/>
    <xf numFmtId="0" fontId="15" fillId="19" borderId="0"/>
    <xf numFmtId="0" fontId="33" fillId="20" borderId="0"/>
    <xf numFmtId="0" fontId="33" fillId="21" borderId="0"/>
    <xf numFmtId="0" fontId="15" fillId="22" borderId="0"/>
    <xf numFmtId="0" fontId="15" fillId="23" borderId="0"/>
    <xf numFmtId="0" fontId="33" fillId="24" borderId="0"/>
    <xf numFmtId="0" fontId="33" fillId="25" borderId="0"/>
    <xf numFmtId="0" fontId="15" fillId="26" borderId="0"/>
    <xf numFmtId="0" fontId="15" fillId="27" borderId="0"/>
    <xf numFmtId="0" fontId="33" fillId="28" borderId="0"/>
    <xf numFmtId="0" fontId="33" fillId="29" borderId="0"/>
    <xf numFmtId="0" fontId="15" fillId="30" borderId="0"/>
    <xf numFmtId="0" fontId="15" fillId="31" borderId="0"/>
    <xf numFmtId="0" fontId="33" fillId="32" borderId="0"/>
    <xf numFmtId="0" fontId="34" fillId="0" borderId="0" applyAlignment="1">
      <alignment vertical="center"/>
    </xf>
    <xf numFmtId="0" fontId="0" fillId="0" borderId="0" applyAlignment="1">
      <alignment vertical="center"/>
    </xf>
    <xf numFmtId="0" fontId="0" fillId="0" borderId="0" applyAlignment="1">
      <alignment vertical="center"/>
    </xf>
    <xf numFmtId="0" fontId="34" fillId="0" borderId="0"/>
    <xf numFmtId="0" fontId="0" fillId="0" borderId="0"/>
    <xf numFmtId="0" fontId="0" fillId="0" borderId="0"/>
    <xf numFmtId="0" fontId="0" fillId="0" borderId="0" applyAlignment="1">
      <alignment vertical="center"/>
    </xf>
    <xf numFmtId="0" fontId="0" fillId="0" borderId="0"/>
    <xf numFmtId="0" fontId="41" fillId="0" borderId="0" applyAlignment="1">
      <alignment vertical="center"/>
    </xf>
  </cellStyleXfs>
  <cellXfs count="122">
    <xf numFmtId="0" fontId="0" fillId="0" borderId="0" applyAlignment="1" pivotButton="0" quotePrefix="0" xfId="0">
      <alignment vertical="center"/>
    </xf>
    <xf numFmtId="0" fontId="2" fillId="33" borderId="0" applyAlignment="1" pivotButton="0" quotePrefix="0" xfId="0">
      <alignment horizontal="center" vertical="center"/>
    </xf>
    <xf numFmtId="0" fontId="3" fillId="33" borderId="0" applyAlignment="1" pivotButton="0" quotePrefix="0" xfId="0">
      <alignment horizontal="center" vertical="center" wrapText="1"/>
    </xf>
    <xf numFmtId="0" fontId="3" fillId="33" borderId="0" applyAlignment="1" pivotButton="0" quotePrefix="0" xfId="0">
      <alignment horizontal="center" vertical="center"/>
    </xf>
    <xf numFmtId="0" fontId="3" fillId="33" borderId="0" applyAlignment="1" pivotButton="0" quotePrefix="0" xfId="0">
      <alignment horizontal="center" vertical="center" wrapText="1"/>
    </xf>
    <xf numFmtId="0" fontId="4" fillId="33" borderId="0" pivotButton="0" quotePrefix="0" xfId="0"/>
    <xf numFmtId="0" fontId="3" fillId="33" borderId="0" applyAlignment="1" pivotButton="0" quotePrefix="0" xfId="0">
      <alignment horizontal="center" vertical="center"/>
    </xf>
    <xf numFmtId="0" fontId="3" fillId="33" borderId="0" applyAlignment="1" pivotButton="0" quotePrefix="0" xfId="0">
      <alignment horizontal="left" vertical="center"/>
    </xf>
    <xf numFmtId="0" fontId="5" fillId="33" borderId="0" applyAlignment="1" pivotButton="0" quotePrefix="0" xfId="0">
      <alignment horizontal="center" vertical="center"/>
    </xf>
    <xf numFmtId="0" fontId="5" fillId="33" borderId="0" applyAlignment="1" pivotButton="0" quotePrefix="0" xfId="0">
      <alignment horizontal="left" vertical="center"/>
    </xf>
    <xf numFmtId="0" fontId="6" fillId="33" borderId="0" applyAlignment="1" pivotButton="0" quotePrefix="0" xfId="0">
      <alignment horizontal="center" vertical="center"/>
    </xf>
    <xf numFmtId="0" fontId="6" fillId="33" borderId="0" applyAlignment="1" pivotButton="0" quotePrefix="0" xfId="0">
      <alignment horizontal="left" vertical="center"/>
    </xf>
    <xf numFmtId="0" fontId="7" fillId="33" borderId="0" applyAlignment="1" pivotButton="0" quotePrefix="0" xfId="0">
      <alignment horizontal="center" vertical="center"/>
    </xf>
    <xf numFmtId="0" fontId="7" fillId="33" borderId="0" applyAlignment="1" pivotButton="0" quotePrefix="0" xfId="0">
      <alignment horizontal="left" vertical="center"/>
    </xf>
    <xf numFmtId="0" fontId="3" fillId="33" borderId="9" applyAlignment="1" pivotButton="0" quotePrefix="0" xfId="0">
      <alignment horizontal="center" vertical="center"/>
    </xf>
    <xf numFmtId="0" fontId="3" fillId="33" borderId="9" applyAlignment="1" pivotButton="0" quotePrefix="0" xfId="0">
      <alignment horizontal="center" vertical="center" wrapText="1"/>
    </xf>
    <xf numFmtId="0" fontId="2" fillId="33" borderId="9" applyAlignment="1" pivotButton="0" quotePrefix="0" xfId="0">
      <alignment horizontal="center" vertical="center" wrapText="1"/>
    </xf>
    <xf numFmtId="0" fontId="2" fillId="33" borderId="9" applyAlignment="1" pivotButton="0" quotePrefix="0" xfId="0">
      <alignment horizontal="center" vertical="center" wrapText="1"/>
    </xf>
    <xf numFmtId="0" fontId="2" fillId="33" borderId="9" applyAlignment="1" pivotButton="0" quotePrefix="0" xfId="0">
      <alignment horizontal="left" vertical="center" wrapText="1"/>
    </xf>
    <xf numFmtId="0" fontId="2" fillId="33" borderId="9" applyAlignment="1" pivotButton="0" quotePrefix="0" xfId="0">
      <alignment horizontal="center" vertical="center"/>
    </xf>
    <xf numFmtId="0" fontId="2" fillId="33" borderId="9" applyAlignment="1" pivotButton="0" quotePrefix="0" xfId="0">
      <alignment horizontal="center" vertical="center" wrapText="1"/>
    </xf>
    <xf numFmtId="0" fontId="2" fillId="33" borderId="9" applyAlignment="1" pivotButton="0" quotePrefix="0" xfId="0">
      <alignment horizontal="center" vertical="center"/>
    </xf>
    <xf numFmtId="0" fontId="2" fillId="33" borderId="9" applyAlignment="1" pivotButton="0" quotePrefix="0" xfId="0">
      <alignment horizontal="left" vertical="center"/>
    </xf>
    <xf numFmtId="0" fontId="3" fillId="33" borderId="9" applyAlignment="1" pivotButton="0" quotePrefix="0" xfId="0">
      <alignment horizontal="center" vertical="center"/>
    </xf>
    <xf numFmtId="0" fontId="3" fillId="33" borderId="9" applyAlignment="1" pivotButton="0" quotePrefix="0" xfId="0">
      <alignment horizontal="left" vertical="center"/>
    </xf>
    <xf numFmtId="0" fontId="3" fillId="33" borderId="9" applyAlignment="1" pivotButton="0" quotePrefix="0" xfId="0">
      <alignment horizontal="center" vertical="center" wrapText="1"/>
    </xf>
    <xf numFmtId="0" fontId="3" fillId="33" borderId="9" applyAlignment="1" pivotButton="0" quotePrefix="0" xfId="0">
      <alignment horizontal="left" vertical="center" wrapText="1"/>
    </xf>
    <xf numFmtId="0" fontId="8" fillId="33" borderId="9" applyAlignment="1" pivotButton="0" quotePrefix="0" xfId="0">
      <alignment horizontal="center" vertical="center" wrapText="1"/>
    </xf>
    <xf numFmtId="0" fontId="8" fillId="33" borderId="9" applyAlignment="1" pivotButton="0" quotePrefix="0" xfId="0">
      <alignment horizontal="left" vertical="center" wrapText="1"/>
    </xf>
    <xf numFmtId="0" fontId="9" fillId="0" borderId="9" applyAlignment="1" pivotButton="0" quotePrefix="0" xfId="0">
      <alignment horizontal="left" vertical="center" wrapText="1"/>
    </xf>
    <xf numFmtId="0" fontId="3" fillId="33" borderId="9" applyAlignment="1" pivotButton="0" quotePrefix="0" xfId="0">
      <alignment horizontal="center" vertical="center" wrapText="1"/>
    </xf>
    <xf numFmtId="0" fontId="9" fillId="0" borderId="9" applyAlignment="1" pivotButton="0" quotePrefix="0" xfId="74">
      <alignment horizontal="left" vertical="center" wrapText="1"/>
    </xf>
    <xf numFmtId="0" fontId="9" fillId="33" borderId="9" applyAlignment="1" pivotButton="0" quotePrefix="0" xfId="69">
      <alignment horizontal="center" vertical="center" wrapText="1"/>
    </xf>
    <xf numFmtId="0" fontId="9" fillId="33" borderId="9" applyAlignment="1" pivotButton="0" quotePrefix="0" xfId="69">
      <alignment horizontal="left" vertical="center" wrapText="1"/>
    </xf>
    <xf numFmtId="0" fontId="3" fillId="33" borderId="9" applyAlignment="1" pivotButton="0" quotePrefix="0" xfId="0">
      <alignment horizontal="center" vertical="center" wrapText="1"/>
    </xf>
    <xf numFmtId="0" fontId="3" fillId="33" borderId="9" applyAlignment="1" pivotButton="0" quotePrefix="0" xfId="0">
      <alignment horizontal="left" vertical="center" wrapText="1"/>
    </xf>
    <xf numFmtId="0" fontId="3" fillId="33" borderId="9" applyAlignment="1" pivotButton="0" quotePrefix="0" xfId="0">
      <alignment horizontal="left" vertical="center" wrapText="1"/>
    </xf>
    <xf numFmtId="0" fontId="8" fillId="33" borderId="9" applyAlignment="1" pivotButton="0" quotePrefix="0" xfId="0">
      <alignment horizontal="center" vertical="center" wrapText="1"/>
    </xf>
    <xf numFmtId="0" fontId="10" fillId="33" borderId="9" applyAlignment="1" pivotButton="0" quotePrefix="0" xfId="0">
      <alignment horizontal="center" vertical="center"/>
    </xf>
    <xf numFmtId="0" fontId="3" fillId="33" borderId="9" applyAlignment="1" pivotButton="0" quotePrefix="0" xfId="0">
      <alignment horizontal="center" vertical="center"/>
    </xf>
    <xf numFmtId="0" fontId="3" fillId="33" borderId="9" applyAlignment="1" pivotButton="0" quotePrefix="0" xfId="0">
      <alignment horizontal="left" vertical="center" wrapText="1"/>
    </xf>
    <xf numFmtId="0" fontId="2" fillId="33" borderId="9" applyAlignment="1" pivotButton="0" quotePrefix="0" xfId="0">
      <alignment horizontal="center" vertical="center"/>
    </xf>
    <xf numFmtId="0" fontId="11" fillId="33" borderId="9" applyAlignment="1" pivotButton="0" quotePrefix="0" xfId="0">
      <alignment horizontal="center" vertical="center" wrapText="1"/>
    </xf>
    <xf numFmtId="0" fontId="6" fillId="33" borderId="9" applyAlignment="1" pivotButton="0" quotePrefix="0" xfId="0">
      <alignment horizontal="center" vertical="center" wrapText="1"/>
    </xf>
    <xf numFmtId="0" fontId="3" fillId="33" borderId="9" applyAlignment="1" pivotButton="0" quotePrefix="0" xfId="0">
      <alignment horizontal="left" vertical="center"/>
    </xf>
    <xf numFmtId="0" fontId="9" fillId="33" borderId="9" applyAlignment="1" pivotButton="0" quotePrefix="0" xfId="0">
      <alignment horizontal="left" vertical="center" wrapText="1"/>
    </xf>
    <xf numFmtId="0" fontId="9" fillId="33" borderId="9" applyAlignment="1" pivotButton="0" quotePrefix="0" xfId="0">
      <alignment horizontal="center" vertical="center" wrapText="1"/>
    </xf>
    <xf numFmtId="0" fontId="8" fillId="33" borderId="9" applyAlignment="1" pivotButton="0" quotePrefix="0" xfId="0">
      <alignment horizontal="center" vertical="center" wrapText="1"/>
    </xf>
    <xf numFmtId="164" fontId="9" fillId="33" borderId="9" applyAlignment="1" pivotButton="0" quotePrefix="0" xfId="0">
      <alignment horizontal="center" vertical="center" wrapText="1"/>
    </xf>
    <xf numFmtId="165" fontId="8" fillId="33" borderId="9" applyAlignment="1" pivotButton="0" quotePrefix="0" xfId="0">
      <alignment horizontal="left" vertical="center" wrapText="1"/>
    </xf>
    <xf numFmtId="165" fontId="8" fillId="0" borderId="9" applyAlignment="1" pivotButton="0" quotePrefix="0" xfId="0">
      <alignment horizontal="left" vertical="center" wrapText="1"/>
    </xf>
    <xf numFmtId="0" fontId="3" fillId="33" borderId="10" applyAlignment="1" pivotButton="0" quotePrefix="0" xfId="0">
      <alignment horizontal="center" vertical="center" wrapText="1"/>
    </xf>
    <xf numFmtId="166" fontId="3" fillId="33" borderId="9" applyAlignment="1" pivotButton="0" quotePrefix="0" xfId="0">
      <alignment horizontal="center" vertical="center"/>
    </xf>
    <xf numFmtId="0" fontId="12" fillId="33" borderId="9" applyAlignment="1" pivotButton="0" quotePrefix="0" xfId="0">
      <alignment horizontal="center" vertical="center" wrapText="1"/>
    </xf>
    <xf numFmtId="164" fontId="3" fillId="33" borderId="9" applyAlignment="1" pivotButton="0" quotePrefix="0" xfId="0">
      <alignment horizontal="center" vertical="center" wrapText="1"/>
    </xf>
    <xf numFmtId="165" fontId="3" fillId="33" borderId="9" applyAlignment="1" pivotButton="0" quotePrefix="0" xfId="0">
      <alignment horizontal="center" vertical="center"/>
    </xf>
    <xf numFmtId="0" fontId="3" fillId="33" borderId="9" applyAlignment="1" pivotButton="0" quotePrefix="0" xfId="0">
      <alignment horizontal="justify" vertical="center" wrapText="1"/>
    </xf>
    <xf numFmtId="167" fontId="3" fillId="33" borderId="10" applyAlignment="1" pivotButton="0" quotePrefix="0" xfId="0">
      <alignment horizontal="center" vertical="center" wrapText="1"/>
    </xf>
    <xf numFmtId="0" fontId="3" fillId="33" borderId="10" applyAlignment="1" pivotButton="0" quotePrefix="0" xfId="0">
      <alignment horizontal="center" vertical="center" wrapText="1"/>
    </xf>
    <xf numFmtId="0" fontId="13" fillId="33" borderId="9" applyAlignment="1" pivotButton="0" quotePrefix="0" xfId="0">
      <alignment horizontal="center" vertical="center" wrapText="1"/>
    </xf>
    <xf numFmtId="165" fontId="9" fillId="33" borderId="9" applyAlignment="1" pivotButton="0" quotePrefix="0" xfId="0">
      <alignment horizontal="left" vertical="center" wrapText="1"/>
    </xf>
    <xf numFmtId="164" fontId="3" fillId="33" borderId="9" applyAlignment="1" pivotButton="0" quotePrefix="0" xfId="0">
      <alignment horizontal="left" vertical="center" wrapText="1"/>
    </xf>
    <xf numFmtId="164" fontId="8" fillId="33" borderId="9" applyAlignment="1" pivotButton="0" quotePrefix="0" xfId="0">
      <alignment horizontal="center" vertical="center" wrapText="1"/>
    </xf>
    <xf numFmtId="0" fontId="8" fillId="33" borderId="9" applyAlignment="1" pivotButton="0" quotePrefix="0" xfId="0">
      <alignment horizontal="center" vertical="center"/>
    </xf>
    <xf numFmtId="0" fontId="9" fillId="33" borderId="9" applyAlignment="1" pivotButton="0" quotePrefix="0" xfId="0">
      <alignment horizontal="center" vertical="center"/>
    </xf>
    <xf numFmtId="0" fontId="13" fillId="33" borderId="9" applyAlignment="1" pivotButton="0" quotePrefix="0" xfId="0">
      <alignment horizontal="center" vertical="center" wrapText="1"/>
    </xf>
    <xf numFmtId="0" fontId="9" fillId="33" borderId="9" applyAlignment="1" pivotButton="0" quotePrefix="0" xfId="0">
      <alignment horizontal="left" vertical="center"/>
    </xf>
    <xf numFmtId="0" fontId="2" fillId="33" borderId="9" applyAlignment="1" pivotButton="0" quotePrefix="0" xfId="0">
      <alignment horizontal="center" vertical="center" wrapText="1"/>
    </xf>
    <xf numFmtId="0" fontId="3" fillId="33" borderId="9" applyAlignment="1" pivotButton="0" quotePrefix="0" xfId="75">
      <alignment horizontal="center" vertical="center" wrapText="1"/>
    </xf>
    <xf numFmtId="0" fontId="3" fillId="33" borderId="9" applyAlignment="1" pivotButton="0" quotePrefix="0" xfId="75">
      <alignment horizontal="left" vertical="center" wrapText="1"/>
    </xf>
    <xf numFmtId="0" fontId="2" fillId="33" borderId="9" applyAlignment="1" pivotButton="0" quotePrefix="0" xfId="75">
      <alignment horizontal="center" vertical="center" wrapText="1"/>
    </xf>
    <xf numFmtId="0" fontId="3" fillId="33" borderId="9" applyAlignment="1" pivotButton="0" quotePrefix="0" xfId="0">
      <alignment horizontal="center" vertical="center" wrapText="1"/>
    </xf>
    <xf numFmtId="0" fontId="8" fillId="33" borderId="9" applyAlignment="1" pivotButton="0" quotePrefix="0" xfId="75">
      <alignment horizontal="left" vertical="center" wrapText="1"/>
    </xf>
    <xf numFmtId="0" fontId="14" fillId="33" borderId="9" applyAlignment="1" pivotButton="0" quotePrefix="0" xfId="0">
      <alignment horizontal="center" vertical="center" wrapText="1"/>
    </xf>
    <xf numFmtId="0" fontId="8" fillId="33" borderId="10" applyAlignment="1" pivotButton="0" quotePrefix="0" xfId="0">
      <alignment horizontal="center" vertical="center" wrapText="1"/>
    </xf>
    <xf numFmtId="49" fontId="3" fillId="33" borderId="9" applyAlignment="1" pivotButton="0" quotePrefix="0" xfId="0">
      <alignment horizontal="left" vertical="center" wrapText="1"/>
    </xf>
    <xf numFmtId="0" fontId="3" fillId="33" borderId="10" applyAlignment="1" pivotButton="0" quotePrefix="0" xfId="0">
      <alignment horizontal="left" vertical="center" wrapText="1"/>
    </xf>
    <xf numFmtId="0" fontId="3" fillId="33" borderId="10" applyAlignment="1" pivotButton="0" quotePrefix="0" xfId="0">
      <alignment horizontal="center" vertical="center" wrapText="1"/>
    </xf>
    <xf numFmtId="167" fontId="3" fillId="33" borderId="9" applyAlignment="1" pivotButton="0" quotePrefix="0" xfId="0">
      <alignment horizontal="center" vertical="center" wrapText="1"/>
    </xf>
    <xf numFmtId="0" fontId="9" fillId="33" borderId="9" applyAlignment="1" pivotButton="0" quotePrefix="0" xfId="0">
      <alignment horizontal="center" vertical="center" wrapText="1"/>
    </xf>
    <xf numFmtId="0" fontId="3" fillId="33" borderId="11" applyAlignment="1" pivotButton="0" quotePrefix="0" xfId="0">
      <alignment horizontal="center" vertical="center"/>
    </xf>
    <xf numFmtId="0" fontId="3" fillId="33" borderId="10" applyAlignment="1" pivotButton="0" quotePrefix="0" xfId="0">
      <alignment horizontal="center" vertical="center"/>
    </xf>
    <xf numFmtId="0" fontId="3" fillId="33" borderId="10" applyAlignment="1" pivotButton="0" quotePrefix="0" xfId="0">
      <alignment horizontal="left" vertical="center" wrapText="1"/>
    </xf>
    <xf numFmtId="0" fontId="3" fillId="33" borderId="10" applyAlignment="1" pivotButton="0" quotePrefix="0" xfId="0">
      <alignment horizontal="center" vertical="center" wrapText="1"/>
    </xf>
    <xf numFmtId="165" fontId="9" fillId="0" borderId="9" applyAlignment="1" pivotButton="0" quotePrefix="0" xfId="0">
      <alignment horizontal="left" vertical="center" wrapText="1"/>
    </xf>
    <xf numFmtId="164" fontId="3" fillId="33" borderId="9" applyAlignment="1" pivotButton="0" quotePrefix="0" xfId="0">
      <alignment horizontal="center" vertical="center"/>
    </xf>
    <xf numFmtId="0" fontId="3" fillId="33" borderId="10" applyAlignment="1" pivotButton="0" quotePrefix="0" xfId="0">
      <alignment horizontal="center" vertical="center"/>
    </xf>
    <xf numFmtId="0" fontId="3" fillId="33" borderId="10" applyAlignment="1" pivotButton="0" quotePrefix="0" xfId="0">
      <alignment horizontal="left" vertical="center"/>
    </xf>
    <xf numFmtId="0" fontId="2" fillId="33" borderId="9" applyAlignment="1" pivotButton="0" quotePrefix="0" xfId="0">
      <alignment horizontal="left" vertical="center"/>
    </xf>
    <xf numFmtId="166" fontId="3" fillId="33" borderId="9" applyAlignment="1" pivotButton="0" quotePrefix="0" xfId="0">
      <alignment horizontal="center" vertical="center" wrapText="1"/>
    </xf>
    <xf numFmtId="0" fontId="8" fillId="33" borderId="9" applyAlignment="1" pivotButton="0" quotePrefix="0" xfId="0">
      <alignment vertical="center" wrapText="1"/>
    </xf>
    <xf numFmtId="0" fontId="6" fillId="33" borderId="9" applyAlignment="1" pivotButton="0" quotePrefix="0" xfId="0">
      <alignment horizontal="center" vertical="center"/>
    </xf>
    <xf numFmtId="165" fontId="3" fillId="33" borderId="10" applyAlignment="1" pivotButton="0" quotePrefix="0" xfId="0">
      <alignment horizontal="center" vertical="center"/>
    </xf>
    <xf numFmtId="167" fontId="3" fillId="33" borderId="9" applyAlignment="1" pivotButton="0" quotePrefix="0" xfId="0">
      <alignment horizontal="center" vertical="center" wrapText="1"/>
    </xf>
    <xf numFmtId="0" fontId="40" fillId="0" borderId="0" applyAlignment="1" pivotButton="0" quotePrefix="0" xfId="0">
      <alignment vertical="center"/>
    </xf>
    <xf numFmtId="0" fontId="41" fillId="0" borderId="0" applyAlignment="1" pivotButton="0" quotePrefix="0" xfId="76">
      <alignment vertical="center"/>
    </xf>
    <xf numFmtId="0" fontId="41" fillId="0" borderId="0" applyAlignment="1" pivotButton="0" quotePrefix="0" xfId="0">
      <alignment vertical="center"/>
    </xf>
    <xf numFmtId="0" fontId="0" fillId="0" borderId="0" pivotButton="0" quotePrefix="0" xfId="0"/>
    <xf numFmtId="0" fontId="0" fillId="0" borderId="14" pivotButton="0" quotePrefix="0" xfId="0"/>
    <xf numFmtId="0" fontId="0" fillId="0" borderId="15" pivotButton="0" quotePrefix="0" xfId="0"/>
    <xf numFmtId="0" fontId="0" fillId="0" borderId="17" pivotButton="0" quotePrefix="0" xfId="0"/>
    <xf numFmtId="0" fontId="0" fillId="0" borderId="13" pivotButton="0" quotePrefix="0" xfId="0"/>
    <xf numFmtId="0" fontId="0" fillId="0" borderId="12"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18" pivotButton="0" quotePrefix="0" xfId="0"/>
    <xf numFmtId="165" fontId="3" fillId="33" borderId="9" applyAlignment="1" pivotButton="0" quotePrefix="0" xfId="0">
      <alignment horizontal="center" vertical="center"/>
    </xf>
    <xf numFmtId="166" fontId="3" fillId="33" borderId="9" applyAlignment="1" pivotButton="0" quotePrefix="0" xfId="0">
      <alignment horizontal="center" vertical="center"/>
    </xf>
    <xf numFmtId="164" fontId="9" fillId="33" borderId="9" applyAlignment="1" pivotButton="0" quotePrefix="0" xfId="0">
      <alignment horizontal="center" vertical="center" wrapText="1"/>
    </xf>
    <xf numFmtId="165" fontId="8" fillId="33" borderId="9" applyAlignment="1" pivotButton="0" quotePrefix="0" xfId="0">
      <alignment horizontal="left" vertical="center" wrapText="1"/>
    </xf>
    <xf numFmtId="165" fontId="8" fillId="0" borderId="9" applyAlignment="1" pivotButton="0" quotePrefix="0" xfId="0">
      <alignment horizontal="left" vertical="center" wrapText="1"/>
    </xf>
    <xf numFmtId="167" fontId="3" fillId="33" borderId="10" applyAlignment="1" pivotButton="0" quotePrefix="0" xfId="0">
      <alignment horizontal="center" vertical="center" wrapText="1"/>
    </xf>
    <xf numFmtId="164" fontId="3" fillId="33" borderId="9" applyAlignment="1" pivotButton="0" quotePrefix="0" xfId="0">
      <alignment horizontal="center" vertical="center" wrapText="1"/>
    </xf>
    <xf numFmtId="167" fontId="3" fillId="33" borderId="9" applyAlignment="1" pivotButton="0" quotePrefix="0" xfId="0">
      <alignment horizontal="center" vertical="center" wrapText="1"/>
    </xf>
    <xf numFmtId="165" fontId="9" fillId="33" borderId="9" applyAlignment="1" pivotButton="0" quotePrefix="0" xfId="0">
      <alignment horizontal="left" vertical="center" wrapText="1"/>
    </xf>
    <xf numFmtId="164" fontId="3" fillId="33" borderId="9" applyAlignment="1" pivotButton="0" quotePrefix="0" xfId="0">
      <alignment horizontal="left" vertical="center" wrapText="1"/>
    </xf>
    <xf numFmtId="164" fontId="8" fillId="33" borderId="9" applyAlignment="1" pivotButton="0" quotePrefix="0" xfId="0">
      <alignment horizontal="center" vertical="center" wrapText="1"/>
    </xf>
    <xf numFmtId="165" fontId="9" fillId="0" borderId="9" applyAlignment="1" pivotButton="0" quotePrefix="0" xfId="0">
      <alignment horizontal="left" vertical="center" wrapText="1"/>
    </xf>
    <xf numFmtId="164" fontId="3" fillId="33" borderId="9" applyAlignment="1" pivotButton="0" quotePrefix="0" xfId="0">
      <alignment horizontal="center" vertical="center"/>
    </xf>
    <xf numFmtId="165" fontId="3" fillId="33" borderId="10" applyAlignment="1" pivotButton="0" quotePrefix="0" xfId="0">
      <alignment horizontal="center" vertical="center"/>
    </xf>
    <xf numFmtId="166" fontId="3" fillId="33" borderId="9" applyAlignment="1" pivotButton="0" quotePrefix="0" xfId="0">
      <alignment horizontal="center" vertical="center" wrapText="1"/>
    </xf>
  </cellXfs>
  <cellStyles count="63">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常规 100" xfId="54"/>
    <cellStyle name="常规 14" xfId="55"/>
    <cellStyle name="常规 15" xfId="56"/>
    <cellStyle name="常规 2" xfId="57"/>
    <cellStyle name="常规 2 2" xfId="58"/>
    <cellStyle name="常规 3" xfId="59"/>
    <cellStyle name="常规 4" xfId="60"/>
    <cellStyle name="常规_景泰县2015年财政资金项目计划" xfId="61"/>
    <cellStyle name="Hyperlink" xfId="6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16</col>
      <colOff>466725</colOff>
      <row>15</row>
      <rowOff>0</rowOff>
    </from>
    <to>
      <col>16</col>
      <colOff>676275</colOff>
      <row>15</row>
      <rowOff>838200</rowOff>
    </to>
    <pic>
      <nvPicPr>
        <cNvPr id="2" name="Picture 140" descr="3142418731510196992515"/>
        <cNvPicPr preferRelativeResize="1">
          <a:picLocks noChangeAspect="1"/>
        </cNvPicPr>
      </nvPicPr>
      <blipFill>
        <a:blip r:embed="rId1"/>
        <a:stretch>
          <a:fillRect/>
        </a:stretch>
      </blipFill>
      <spPr>
        <a:xfrm>
          <a:off x="15106650" y="17059275"/>
          <a:ext cx="209550" cy="838200"/>
        </a:xfrm>
        <a:prstGeom prst="rect">
          <avLst/>
        </a:prstGeom>
        <a:noFill/>
        <a:ln w="9525">
          <a:noFill/>
          <a:prstDash val="solid"/>
        </a:ln>
      </spPr>
    </pic>
    <clientData/>
  </twoCellAnchor>
  <twoCellAnchor editAs="oneCell">
    <from>
      <col>16</col>
      <colOff>466725</colOff>
      <row>15</row>
      <rowOff>0</rowOff>
    </from>
    <to>
      <col>16</col>
      <colOff>676275</colOff>
      <row>15</row>
      <rowOff>838200</rowOff>
    </to>
    <pic>
      <nvPicPr>
        <cNvPr id="3" name="Picture 140" descr="3142418731510196992515"/>
        <cNvPicPr preferRelativeResize="1">
          <a:picLocks noChangeAspect="1"/>
        </cNvPicPr>
      </nvPicPr>
      <blipFill>
        <a:blip r:embed="rId2"/>
        <a:stretch>
          <a:fillRect/>
        </a:stretch>
      </blipFill>
      <spPr>
        <a:xfrm>
          <a:off x="15106650" y="17059275"/>
          <a:ext cx="209550" cy="838200"/>
        </a:xfrm>
        <a:prstGeom prst="rect">
          <avLst/>
        </a:prstGeom>
        <a:noFill/>
        <a:ln w="9525">
          <a:noFill/>
          <a:prstDash val="solid"/>
        </a:ln>
      </spPr>
    </pic>
    <clientData/>
  </twoCellAnchor>
  <twoCellAnchor editAs="oneCell">
    <from>
      <col>16</col>
      <colOff>466725</colOff>
      <row>15</row>
      <rowOff>0</rowOff>
    </from>
    <to>
      <col>16</col>
      <colOff>485775</colOff>
      <row>15</row>
      <rowOff>838200</rowOff>
    </to>
    <pic>
      <nvPicPr>
        <cNvPr id="4" name="Picture 140" descr="3142418731510196992515"/>
        <cNvPicPr preferRelativeResize="1">
          <a:picLocks noChangeAspect="1"/>
        </cNvPicPr>
      </nvPicPr>
      <blipFill>
        <a:blip r:embed="rId3"/>
        <a:stretch>
          <a:fillRect/>
        </a:stretch>
      </blipFill>
      <spPr>
        <a:xfrm>
          <a:off x="15106650" y="17059275"/>
          <a:ext cx="19050" cy="838200"/>
        </a:xfrm>
        <a:prstGeom prst="rect">
          <avLst/>
        </a:prstGeom>
        <a:noFill/>
        <a:ln w="9525">
          <a:noFill/>
          <a:prstDash val="solid"/>
        </a:ln>
      </spPr>
    </pic>
    <clientData/>
  </twoCellAnchor>
  <twoCellAnchor editAs="oneCell">
    <from>
      <col>16</col>
      <colOff>466725</colOff>
      <row>15</row>
      <rowOff>0</rowOff>
    </from>
    <to>
      <col>16</col>
      <colOff>485775</colOff>
      <row>15</row>
      <rowOff>838200</rowOff>
    </to>
    <pic>
      <nvPicPr>
        <cNvPr id="5" name="Picture 140" descr="3142418731510196992515"/>
        <cNvPicPr preferRelativeResize="1">
          <a:picLocks noChangeAspect="1"/>
        </cNvPicPr>
      </nvPicPr>
      <blipFill>
        <a:blip r:embed="rId4"/>
        <a:stretch>
          <a:fillRect/>
        </a:stretch>
      </blipFill>
      <spPr>
        <a:xfrm>
          <a:off x="15106650" y="17059275"/>
          <a:ext cx="19050" cy="838200"/>
        </a:xfrm>
        <a:prstGeom prst="rect">
          <avLst/>
        </a:prstGeom>
        <a:noFill/>
        <a:ln w="9525">
          <a:noFill/>
          <a:prstDash val="solid"/>
        </a:ln>
      </spPr>
    </pic>
    <clientData/>
  </twoCellAnchor>
  <twoCellAnchor editAs="oneCell">
    <from>
      <col>16</col>
      <colOff>466725</colOff>
      <row>15</row>
      <rowOff>0</rowOff>
    </from>
    <to>
      <col>16</col>
      <colOff>485775</colOff>
      <row>15</row>
      <rowOff>838200</rowOff>
    </to>
    <pic>
      <nvPicPr>
        <cNvPr id="6" name="Picture 140" descr="3142418731510196992515"/>
        <cNvPicPr preferRelativeResize="1">
          <a:picLocks noChangeAspect="1"/>
        </cNvPicPr>
      </nvPicPr>
      <blipFill>
        <a:blip r:embed="rId5"/>
        <a:stretch>
          <a:fillRect/>
        </a:stretch>
      </blipFill>
      <spPr>
        <a:xfrm>
          <a:off x="15106650" y="17059275"/>
          <a:ext cx="19050" cy="838200"/>
        </a:xfrm>
        <a:prstGeom prst="rect">
          <avLst/>
        </a:prstGeom>
        <a:noFill/>
        <a:ln w="9525">
          <a:noFill/>
          <a:prstDash val="solid"/>
        </a:ln>
      </spPr>
    </pic>
    <clientData/>
  </twoCellAnchor>
  <twoCellAnchor editAs="oneCell">
    <from>
      <col>16</col>
      <colOff>466725</colOff>
      <row>15</row>
      <rowOff>0</rowOff>
    </from>
    <to>
      <col>16</col>
      <colOff>485775</colOff>
      <row>15</row>
      <rowOff>838200</rowOff>
    </to>
    <pic>
      <nvPicPr>
        <cNvPr id="7" name="Picture 140" descr="3142418731510196992515"/>
        <cNvPicPr preferRelativeResize="1">
          <a:picLocks noChangeAspect="1"/>
        </cNvPicPr>
      </nvPicPr>
      <blipFill>
        <a:blip r:embed="rId6"/>
        <a:stretch>
          <a:fillRect/>
        </a:stretch>
      </blipFill>
      <spPr>
        <a:xfrm>
          <a:off x="15106650" y="17059275"/>
          <a:ext cx="19050" cy="838200"/>
        </a:xfrm>
        <a:prstGeom prst="rect">
          <avLst/>
        </a:prstGeom>
        <a:noFill/>
        <a:ln w="9525">
          <a:noFill/>
          <a:prstDash val="solid"/>
        </a:ln>
      </spPr>
    </pic>
    <clientData/>
  </twoCellAnchor>
  <twoCellAnchor editAs="oneCell">
    <from>
      <col>16</col>
      <colOff>466725</colOff>
      <row>15</row>
      <rowOff>0</rowOff>
    </from>
    <to>
      <col>16</col>
      <colOff>676275</colOff>
      <row>15</row>
      <rowOff>838200</rowOff>
    </to>
    <pic>
      <nvPicPr>
        <cNvPr id="8" name="Picture 140" descr="3142418731510196992515"/>
        <cNvPicPr preferRelativeResize="1">
          <a:picLocks noChangeAspect="1"/>
        </cNvPicPr>
      </nvPicPr>
      <blipFill>
        <a:blip r:embed="rId7"/>
        <a:stretch>
          <a:fillRect/>
        </a:stretch>
      </blipFill>
      <spPr>
        <a:xfrm>
          <a:off x="15106650" y="17059275"/>
          <a:ext cx="209550" cy="838200"/>
        </a:xfrm>
        <a:prstGeom prst="rect">
          <avLst/>
        </a:prstGeom>
        <a:noFill/>
        <a:ln w="9525">
          <a:noFill/>
          <a:prstDash val="solid"/>
        </a:ln>
      </spPr>
    </pic>
    <clientData/>
  </twoCellAnchor>
  <twoCellAnchor editAs="oneCell">
    <from>
      <col>16</col>
      <colOff>466725</colOff>
      <row>15</row>
      <rowOff>0</rowOff>
    </from>
    <to>
      <col>16</col>
      <colOff>676275</colOff>
      <row>15</row>
      <rowOff>838200</rowOff>
    </to>
    <pic>
      <nvPicPr>
        <cNvPr id="9" name="Picture 140" descr="3142418731510196992515"/>
        <cNvPicPr preferRelativeResize="1">
          <a:picLocks noChangeAspect="1"/>
        </cNvPicPr>
      </nvPicPr>
      <blipFill>
        <a:blip r:embed="rId8"/>
        <a:stretch>
          <a:fillRect/>
        </a:stretch>
      </blipFill>
      <spPr>
        <a:xfrm>
          <a:off x="15106650" y="17059275"/>
          <a:ext cx="209550" cy="838200"/>
        </a:xfrm>
        <a:prstGeom prst="rect">
          <avLst/>
        </a:prstGeom>
        <a:noFill/>
        <a:ln w="9525">
          <a:noFill/>
          <a:prstDash val="solid"/>
        </a:ln>
      </spPr>
    </pic>
    <clientData/>
  </twoCellAnchor>
  <twoCellAnchor editAs="oneCell">
    <from>
      <col>16</col>
      <colOff>466725</colOff>
      <row>15</row>
      <rowOff>0</rowOff>
    </from>
    <to>
      <col>16</col>
      <colOff>485775</colOff>
      <row>15</row>
      <rowOff>838200</rowOff>
    </to>
    <pic>
      <nvPicPr>
        <cNvPr id="10" name="Picture 140" descr="3142418731510196992515"/>
        <cNvPicPr preferRelativeResize="1">
          <a:picLocks noChangeAspect="1"/>
        </cNvPicPr>
      </nvPicPr>
      <blipFill>
        <a:blip r:embed="rId9"/>
        <a:stretch>
          <a:fillRect/>
        </a:stretch>
      </blipFill>
      <spPr>
        <a:xfrm>
          <a:off x="15106650" y="17059275"/>
          <a:ext cx="19050" cy="838200"/>
        </a:xfrm>
        <a:prstGeom prst="rect">
          <avLst/>
        </a:prstGeom>
        <a:noFill/>
        <a:ln w="9525">
          <a:noFill/>
          <a:prstDash val="solid"/>
        </a:ln>
      </spPr>
    </pic>
    <clientData/>
  </twoCellAnchor>
  <twoCellAnchor editAs="oneCell">
    <from>
      <col>16</col>
      <colOff>466725</colOff>
      <row>15</row>
      <rowOff>0</rowOff>
    </from>
    <to>
      <col>16</col>
      <colOff>485775</colOff>
      <row>15</row>
      <rowOff>838200</rowOff>
    </to>
    <pic>
      <nvPicPr>
        <cNvPr id="11" name="Picture 140" descr="3142418731510196992515"/>
        <cNvPicPr preferRelativeResize="1">
          <a:picLocks noChangeAspect="1"/>
        </cNvPicPr>
      </nvPicPr>
      <blipFill>
        <a:blip r:embed="rId10"/>
        <a:stretch>
          <a:fillRect/>
        </a:stretch>
      </blipFill>
      <spPr>
        <a:xfrm>
          <a:off x="15106650" y="17059275"/>
          <a:ext cx="19050" cy="838200"/>
        </a:xfrm>
        <a:prstGeom prst="rect">
          <avLst/>
        </a:prstGeom>
        <a:noFill/>
        <a:ln w="9525">
          <a:noFill/>
          <a:prstDash val="solid"/>
        </a:ln>
      </spPr>
    </pic>
    <clientData/>
  </twoCellAnchor>
  <twoCellAnchor editAs="oneCell">
    <from>
      <col>16</col>
      <colOff>466725</colOff>
      <row>15</row>
      <rowOff>0</rowOff>
    </from>
    <to>
      <col>16</col>
      <colOff>676275</colOff>
      <row>15</row>
      <rowOff>847725</rowOff>
    </to>
    <pic>
      <nvPicPr>
        <cNvPr id="12" name="Picture 140" descr="3142418731510196992515"/>
        <cNvPicPr preferRelativeResize="1">
          <a:picLocks noChangeAspect="1"/>
        </cNvPicPr>
      </nvPicPr>
      <blipFill>
        <a:blip r:embed="rId11"/>
        <a:stretch>
          <a:fillRect/>
        </a:stretch>
      </blipFill>
      <spPr>
        <a:xfrm>
          <a:off x="15106650" y="17059275"/>
          <a:ext cx="209550" cy="847725"/>
        </a:xfrm>
        <a:prstGeom prst="rect">
          <avLst/>
        </a:prstGeom>
        <a:noFill/>
        <a:ln w="9525">
          <a:noFill/>
          <a:prstDash val="solid"/>
        </a:ln>
      </spPr>
    </pic>
    <clientData/>
  </twoCellAnchor>
  <twoCellAnchor editAs="oneCell">
    <from>
      <col>16</col>
      <colOff>466725</colOff>
      <row>15</row>
      <rowOff>0</rowOff>
    </from>
    <to>
      <col>16</col>
      <colOff>676275</colOff>
      <row>15</row>
      <rowOff>847725</rowOff>
    </to>
    <pic>
      <nvPicPr>
        <cNvPr id="13" name="Picture 140" descr="3142418731510196992515"/>
        <cNvPicPr preferRelativeResize="1">
          <a:picLocks noChangeAspect="1"/>
        </cNvPicPr>
      </nvPicPr>
      <blipFill>
        <a:blip r:embed="rId12"/>
        <a:stretch>
          <a:fillRect/>
        </a:stretch>
      </blipFill>
      <spPr>
        <a:xfrm>
          <a:off x="15106650" y="17059275"/>
          <a:ext cx="209550" cy="847725"/>
        </a:xfrm>
        <a:prstGeom prst="rect">
          <avLst/>
        </a:prstGeom>
        <a:noFill/>
        <a:ln w="9525">
          <a:noFill/>
          <a:prstDash val="solid"/>
        </a:ln>
      </spPr>
    </pic>
    <clientData/>
  </twoCellAnchor>
  <twoCellAnchor editAs="oneCell">
    <from>
      <col>16</col>
      <colOff>466725</colOff>
      <row>15</row>
      <rowOff>0</rowOff>
    </from>
    <to>
      <col>16</col>
      <colOff>485775</colOff>
      <row>15</row>
      <rowOff>847725</rowOff>
    </to>
    <pic>
      <nvPicPr>
        <cNvPr id="14" name="Picture 140" descr="3142418731510196992515"/>
        <cNvPicPr preferRelativeResize="1">
          <a:picLocks noChangeAspect="1"/>
        </cNvPicPr>
      </nvPicPr>
      <blipFill>
        <a:blip r:embed="rId13"/>
        <a:stretch>
          <a:fillRect/>
        </a:stretch>
      </blipFill>
      <spPr>
        <a:xfrm>
          <a:off x="15106650" y="17059275"/>
          <a:ext cx="19050" cy="847725"/>
        </a:xfrm>
        <a:prstGeom prst="rect">
          <avLst/>
        </a:prstGeom>
        <a:noFill/>
        <a:ln w="9525">
          <a:noFill/>
          <a:prstDash val="solid"/>
        </a:ln>
      </spPr>
    </pic>
    <clientData/>
  </twoCellAnchor>
  <twoCellAnchor editAs="oneCell">
    <from>
      <col>16</col>
      <colOff>466725</colOff>
      <row>15</row>
      <rowOff>0</rowOff>
    </from>
    <to>
      <col>16</col>
      <colOff>485775</colOff>
      <row>15</row>
      <rowOff>847725</rowOff>
    </to>
    <pic>
      <nvPicPr>
        <cNvPr id="15" name="Picture 140" descr="3142418731510196992515"/>
        <cNvPicPr preferRelativeResize="1">
          <a:picLocks noChangeAspect="1"/>
        </cNvPicPr>
      </nvPicPr>
      <blipFill>
        <a:blip r:embed="rId14"/>
        <a:stretch>
          <a:fillRect/>
        </a:stretch>
      </blipFill>
      <spPr>
        <a:xfrm>
          <a:off x="15106650" y="17059275"/>
          <a:ext cx="19050" cy="847725"/>
        </a:xfrm>
        <a:prstGeom prst="rect">
          <avLst/>
        </a:prstGeom>
        <a:noFill/>
        <a:ln w="9525">
          <a:noFill/>
          <a:prstDash val="solid"/>
        </a:ln>
      </spPr>
    </pic>
    <clientData/>
  </twoCellAnchor>
  <twoCellAnchor editAs="oneCell">
    <from>
      <col>16</col>
      <colOff>466725</colOff>
      <row>15</row>
      <rowOff>0</rowOff>
    </from>
    <to>
      <col>16</col>
      <colOff>485775</colOff>
      <row>15</row>
      <rowOff>847725</rowOff>
    </to>
    <pic>
      <nvPicPr>
        <cNvPr id="16" name="Picture 140" descr="3142418731510196992515"/>
        <cNvPicPr preferRelativeResize="1">
          <a:picLocks noChangeAspect="1"/>
        </cNvPicPr>
      </nvPicPr>
      <blipFill>
        <a:blip r:embed="rId15"/>
        <a:stretch>
          <a:fillRect/>
        </a:stretch>
      </blipFill>
      <spPr>
        <a:xfrm>
          <a:off x="15106650" y="17059275"/>
          <a:ext cx="19050" cy="847725"/>
        </a:xfrm>
        <a:prstGeom prst="rect">
          <avLst/>
        </a:prstGeom>
        <a:noFill/>
        <a:ln w="9525">
          <a:noFill/>
          <a:prstDash val="solid"/>
        </a:ln>
      </spPr>
    </pic>
    <clientData/>
  </twoCellAnchor>
  <twoCellAnchor editAs="oneCell">
    <from>
      <col>16</col>
      <colOff>466725</colOff>
      <row>15</row>
      <rowOff>0</rowOff>
    </from>
    <to>
      <col>16</col>
      <colOff>485775</colOff>
      <row>15</row>
      <rowOff>847725</rowOff>
    </to>
    <pic>
      <nvPicPr>
        <cNvPr id="17" name="Picture 140" descr="3142418731510196992515"/>
        <cNvPicPr preferRelativeResize="1">
          <a:picLocks noChangeAspect="1"/>
        </cNvPicPr>
      </nvPicPr>
      <blipFill>
        <a:blip r:embed="rId16"/>
        <a:stretch>
          <a:fillRect/>
        </a:stretch>
      </blipFill>
      <spPr>
        <a:xfrm>
          <a:off x="15106650" y="17059275"/>
          <a:ext cx="19050" cy="847725"/>
        </a:xfrm>
        <a:prstGeom prst="rect">
          <avLst/>
        </a:prstGeom>
        <a:noFill/>
        <a:ln w="9525">
          <a:noFill/>
          <a:prstDash val="solid"/>
        </a:ln>
      </spPr>
    </pic>
    <clientData/>
  </twoCellAnchor>
  <twoCellAnchor editAs="oneCell">
    <from>
      <col>16</col>
      <colOff>466725</colOff>
      <row>15</row>
      <rowOff>0</rowOff>
    </from>
    <to>
      <col>16</col>
      <colOff>676275</colOff>
      <row>15</row>
      <rowOff>847725</rowOff>
    </to>
    <pic>
      <nvPicPr>
        <cNvPr id="18" name="Picture 140" descr="3142418731510196992515"/>
        <cNvPicPr preferRelativeResize="1">
          <a:picLocks noChangeAspect="1"/>
        </cNvPicPr>
      </nvPicPr>
      <blipFill>
        <a:blip r:embed="rId17"/>
        <a:stretch>
          <a:fillRect/>
        </a:stretch>
      </blipFill>
      <spPr>
        <a:xfrm>
          <a:off x="15106650" y="17059275"/>
          <a:ext cx="209550" cy="847725"/>
        </a:xfrm>
        <a:prstGeom prst="rect">
          <avLst/>
        </a:prstGeom>
        <a:noFill/>
        <a:ln w="9525">
          <a:noFill/>
          <a:prstDash val="solid"/>
        </a:ln>
      </spPr>
    </pic>
    <clientData/>
  </twoCellAnchor>
  <twoCellAnchor editAs="oneCell">
    <from>
      <col>16</col>
      <colOff>466725</colOff>
      <row>15</row>
      <rowOff>0</rowOff>
    </from>
    <to>
      <col>16</col>
      <colOff>676275</colOff>
      <row>15</row>
      <rowOff>847725</rowOff>
    </to>
    <pic>
      <nvPicPr>
        <cNvPr id="19" name="Picture 140" descr="3142418731510196992515"/>
        <cNvPicPr preferRelativeResize="1">
          <a:picLocks noChangeAspect="1"/>
        </cNvPicPr>
      </nvPicPr>
      <blipFill>
        <a:blip r:embed="rId18"/>
        <a:stretch>
          <a:fillRect/>
        </a:stretch>
      </blipFill>
      <spPr>
        <a:xfrm>
          <a:off x="15106650" y="17059275"/>
          <a:ext cx="209550" cy="847725"/>
        </a:xfrm>
        <a:prstGeom prst="rect">
          <avLst/>
        </a:prstGeom>
        <a:noFill/>
        <a:ln w="9525">
          <a:noFill/>
          <a:prstDash val="solid"/>
        </a:ln>
      </spPr>
    </pic>
    <clientData/>
  </twoCellAnchor>
  <twoCellAnchor editAs="oneCell">
    <from>
      <col>16</col>
      <colOff>466725</colOff>
      <row>15</row>
      <rowOff>0</rowOff>
    </from>
    <to>
      <col>16</col>
      <colOff>485775</colOff>
      <row>15</row>
      <rowOff>847725</rowOff>
    </to>
    <pic>
      <nvPicPr>
        <cNvPr id="20" name="Picture 140" descr="3142418731510196992515"/>
        <cNvPicPr preferRelativeResize="1">
          <a:picLocks noChangeAspect="1"/>
        </cNvPicPr>
      </nvPicPr>
      <blipFill>
        <a:blip r:embed="rId19"/>
        <a:stretch>
          <a:fillRect/>
        </a:stretch>
      </blipFill>
      <spPr>
        <a:xfrm>
          <a:off x="15106650" y="17059275"/>
          <a:ext cx="19050" cy="847725"/>
        </a:xfrm>
        <a:prstGeom prst="rect">
          <avLst/>
        </a:prstGeom>
        <a:noFill/>
        <a:ln w="9525">
          <a:noFill/>
          <a:prstDash val="solid"/>
        </a:ln>
      </spPr>
    </pic>
    <clientData/>
  </twoCellAnchor>
  <twoCellAnchor editAs="oneCell">
    <from>
      <col>16</col>
      <colOff>466725</colOff>
      <row>15</row>
      <rowOff>0</rowOff>
    </from>
    <to>
      <col>16</col>
      <colOff>485775</colOff>
      <row>15</row>
      <rowOff>847725</rowOff>
    </to>
    <pic>
      <nvPicPr>
        <cNvPr id="21" name="Picture 140" descr="3142418731510196992515"/>
        <cNvPicPr preferRelativeResize="1">
          <a:picLocks noChangeAspect="1"/>
        </cNvPicPr>
      </nvPicPr>
      <blipFill>
        <a:blip r:embed="rId20"/>
        <a:stretch>
          <a:fillRect/>
        </a:stretch>
      </blipFill>
      <spPr>
        <a:xfrm>
          <a:off x="15106650" y="17059275"/>
          <a:ext cx="19050" cy="847725"/>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22" name="Picture 140" descr="3142418731510196992515"/>
        <cNvPicPr preferRelativeResize="1">
          <a:picLocks noChangeAspect="1"/>
        </cNvPicPr>
      </nvPicPr>
      <blipFill>
        <a:blip r:embed="rId21"/>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23" name="Picture 140" descr="3142418731510196992515"/>
        <cNvPicPr preferRelativeResize="1">
          <a:picLocks noChangeAspect="1"/>
        </cNvPicPr>
      </nvPicPr>
      <blipFill>
        <a:blip r:embed="rId22"/>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24" name="Picture 140" descr="3142418731510196992515"/>
        <cNvPicPr preferRelativeResize="1">
          <a:picLocks noChangeAspect="1"/>
        </cNvPicPr>
      </nvPicPr>
      <blipFill>
        <a:blip r:embed="rId23"/>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25" name="Picture 140" descr="3142418731510196992515"/>
        <cNvPicPr preferRelativeResize="1">
          <a:picLocks noChangeAspect="1"/>
        </cNvPicPr>
      </nvPicPr>
      <blipFill>
        <a:blip r:embed="rId24"/>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26" name="Picture 140" descr="3142418731510196992515"/>
        <cNvPicPr preferRelativeResize="1">
          <a:picLocks noChangeAspect="1"/>
        </cNvPicPr>
      </nvPicPr>
      <blipFill>
        <a:blip r:embed="rId25"/>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27" name="Picture 140" descr="3142418731510196992515"/>
        <cNvPicPr preferRelativeResize="1">
          <a:picLocks noChangeAspect="1"/>
        </cNvPicPr>
      </nvPicPr>
      <blipFill>
        <a:blip r:embed="rId26"/>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28" name="Picture 140" descr="3142418731510196992515"/>
        <cNvPicPr preferRelativeResize="1">
          <a:picLocks noChangeAspect="1"/>
        </cNvPicPr>
      </nvPicPr>
      <blipFill>
        <a:blip r:embed="rId27"/>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29" name="Picture 140" descr="3142418731510196992515"/>
        <cNvPicPr preferRelativeResize="1">
          <a:picLocks noChangeAspect="1"/>
        </cNvPicPr>
      </nvPicPr>
      <blipFill>
        <a:blip r:embed="rId28"/>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30" name="Picture 140" descr="3142418731510196992515"/>
        <cNvPicPr preferRelativeResize="1">
          <a:picLocks noChangeAspect="1"/>
        </cNvPicPr>
      </nvPicPr>
      <blipFill>
        <a:blip r:embed="rId29"/>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31" name="Picture 140" descr="3142418731510196992515"/>
        <cNvPicPr preferRelativeResize="1">
          <a:picLocks noChangeAspect="1"/>
        </cNvPicPr>
      </nvPicPr>
      <blipFill>
        <a:blip r:embed="rId30"/>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32" name="Picture 140" descr="3142418731510196992515"/>
        <cNvPicPr preferRelativeResize="1">
          <a:picLocks noChangeAspect="1"/>
        </cNvPicPr>
      </nvPicPr>
      <blipFill>
        <a:blip r:embed="rId31"/>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33" name="Picture 140" descr="3142418731510196992515"/>
        <cNvPicPr preferRelativeResize="1">
          <a:picLocks noChangeAspect="1"/>
        </cNvPicPr>
      </nvPicPr>
      <blipFill>
        <a:blip r:embed="rId32"/>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34" name="Picture 140" descr="3142418731510196992515"/>
        <cNvPicPr preferRelativeResize="1">
          <a:picLocks noChangeAspect="1"/>
        </cNvPicPr>
      </nvPicPr>
      <blipFill>
        <a:blip r:embed="rId33"/>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35" name="Picture 140" descr="3142418731510196992515"/>
        <cNvPicPr preferRelativeResize="1">
          <a:picLocks noChangeAspect="1"/>
        </cNvPicPr>
      </nvPicPr>
      <blipFill>
        <a:blip r:embed="rId34"/>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36" name="Picture 140" descr="3142418731510196992515"/>
        <cNvPicPr preferRelativeResize="1">
          <a:picLocks noChangeAspect="1"/>
        </cNvPicPr>
      </nvPicPr>
      <blipFill>
        <a:blip r:embed="rId35"/>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37" name="Picture 140" descr="3142418731510196992515"/>
        <cNvPicPr preferRelativeResize="1">
          <a:picLocks noChangeAspect="1"/>
        </cNvPicPr>
      </nvPicPr>
      <blipFill>
        <a:blip r:embed="rId36"/>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38" name="Picture 140" descr="3142418731510196992515"/>
        <cNvPicPr preferRelativeResize="1">
          <a:picLocks noChangeAspect="1"/>
        </cNvPicPr>
      </nvPicPr>
      <blipFill>
        <a:blip r:embed="rId37"/>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676275</colOff>
      <row>110</row>
      <rowOff>247650</rowOff>
    </to>
    <pic>
      <nvPicPr>
        <cNvPr id="39" name="Picture 140" descr="3142418731510196992515"/>
        <cNvPicPr preferRelativeResize="1">
          <a:picLocks noChangeAspect="1"/>
        </cNvPicPr>
      </nvPicPr>
      <blipFill>
        <a:blip r:embed="rId38"/>
        <a:stretch>
          <a:fillRect/>
        </a:stretch>
      </blipFill>
      <spPr>
        <a:xfrm>
          <a:off x="15106650" y="121558050"/>
          <a:ext cx="2095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40" name="Picture 140" descr="3142418731510196992515"/>
        <cNvPicPr preferRelativeResize="1">
          <a:picLocks noChangeAspect="1"/>
        </cNvPicPr>
      </nvPicPr>
      <blipFill>
        <a:blip r:embed="rId39"/>
        <a:stretch>
          <a:fillRect/>
        </a:stretch>
      </blipFill>
      <spPr>
        <a:xfrm>
          <a:off x="15106650" y="121558050"/>
          <a:ext cx="19050" cy="838200"/>
        </a:xfrm>
        <a:prstGeom prst="rect">
          <avLst/>
        </a:prstGeom>
        <a:noFill/>
        <a:ln w="9525">
          <a:noFill/>
          <a:prstDash val="solid"/>
        </a:ln>
      </spPr>
    </pic>
    <clientData/>
  </twoCellAnchor>
  <twoCellAnchor editAs="oneCell">
    <from>
      <col>16</col>
      <colOff>466725</colOff>
      <row>109</row>
      <rowOff>0</rowOff>
    </from>
    <to>
      <col>16</col>
      <colOff>485775</colOff>
      <row>110</row>
      <rowOff>247650</rowOff>
    </to>
    <pic>
      <nvPicPr>
        <cNvPr id="41" name="Picture 140" descr="3142418731510196992515"/>
        <cNvPicPr preferRelativeResize="1">
          <a:picLocks noChangeAspect="1"/>
        </cNvPicPr>
      </nvPicPr>
      <blipFill>
        <a:blip r:embed="rId40"/>
        <a:stretch>
          <a:fillRect/>
        </a:stretch>
      </blipFill>
      <spPr>
        <a:xfrm>
          <a:off x="15106650" y="121558050"/>
          <a:ext cx="19050" cy="838200"/>
        </a:xfrm>
        <a:prstGeom prst="rect">
          <avLst/>
        </a:prstGeom>
        <a:noFill/>
        <a:ln w="9525">
          <a:noFill/>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V179"/>
  <sheetViews>
    <sheetView view="pageBreakPreview" topLeftCell="A13" zoomScale="70" zoomScaleSheetLayoutView="70" workbookViewId="0">
      <selection activeCell="F14" sqref="F14"/>
    </sheetView>
  </sheetViews>
  <sheetFormatPr baseColWidth="8" defaultColWidth="9.00390625" defaultRowHeight="14.25"/>
  <cols>
    <col width="5.75390625" customWidth="1" style="6" min="1" max="1"/>
    <col width="13.625" customWidth="1" style="7" min="2" max="2"/>
    <col width="6.375" customWidth="1" style="6" min="3" max="3"/>
    <col width="8.25390625" customWidth="1" style="6" min="4" max="4"/>
    <col width="7.00390625" customWidth="1" style="6" min="5" max="5"/>
    <col width="51.25390625" customWidth="1" style="7" min="6" max="6"/>
    <col width="12.00390625" customWidth="1" style="6" min="7" max="7"/>
    <col width="6.125" customWidth="1" style="6" min="8" max="8"/>
    <col width="15.125" customWidth="1" style="7" min="9" max="9"/>
    <col width="21.625" customWidth="1" style="6" min="10" max="10"/>
    <col width="6.75390625" customWidth="1" style="6" min="11" max="11"/>
    <col width="7.00390625" customWidth="1" style="6" min="12" max="12"/>
    <col width="7.75390625" customWidth="1" style="6" min="13" max="13"/>
    <col width="8.00390625" customWidth="1" style="6" min="14" max="14"/>
    <col width="7.50390625" customWidth="1" style="6" min="15" max="15"/>
    <col width="8.00390625" customWidth="1" style="6" min="16" max="16"/>
    <col width="8.875" customWidth="1" style="6" min="17" max="17"/>
    <col width="8.25390625" customWidth="1" style="6" min="18" max="18"/>
    <col width="7.25390625" customWidth="1" style="6" min="19" max="19"/>
    <col width="6.75390625" customWidth="1" style="6" min="20" max="20"/>
    <col width="10.75390625" customWidth="1" style="6" min="21" max="21"/>
    <col width="8.75390625" customWidth="1" style="6" min="22" max="22"/>
    <col width="9.00390625" customWidth="1" style="6" min="23" max="16384"/>
  </cols>
  <sheetData>
    <row r="1" ht="39.75" customHeight="1" s="97">
      <c r="A1" s="8" t="inlineStr">
        <is>
          <t>Annex 2</t>
        </is>
      </c>
    </row>
    <row r="2" ht="14.25" customHeight="1" s="97">
      <c r="A2" s="10" t="n"/>
    </row>
    <row r="3" ht="60" customHeight="1" s="97">
      <c r="A3" s="12" t="inlineStr">
        <is>
          <t>Pingchuan District 2025 Annual Consolidation and Expansion of Poverty Alleviation Achievements and Rural Revitalization Project Database</t>
        </is>
      </c>
    </row>
    <row r="4" ht="33" customFormat="1" customHeight="1" s="1">
      <c r="A4" s="39" t="inlineStr">
        <is>
          <t>Serial Number</t>
        </is>
      </c>
      <c r="B4" s="71" t="inlineStr">
        <is>
          <t>Project Name</t>
        </is>
      </c>
      <c r="C4" s="71" t="inlineStr">
        <is>
          <t>Construction Nature (New Construction or Continued Construction)</t>
        </is>
      </c>
      <c r="D4" s="71" t="inlineStr">
        <is>
          <t>Construction Start and End Years</t>
        </is>
      </c>
      <c r="E4" s="71" t="inlineStr">
        <is>
          <t>Construction Location (Detailed to the Village Level within Townships)</t>
        </is>
      </c>
      <c r="F4" s="71" t="inlineStr">
        <is>
          <t>Construction Content and Scale</t>
        </is>
      </c>
      <c r="G4" s="71" t="inlineStr">
        <is>
          <t>Investment Estimate (10,000 yuan)</t>
        </is>
      </c>
      <c r="H4" s="71" t="inlineStr">
        <is>
          <t>Funding Methods (Source of Funds)</t>
        </is>
      </c>
      <c r="I4" s="71" t="inlineStr">
        <is>
          <t>Performance Targets</t>
        </is>
      </c>
      <c r="J4" s="98" t="n"/>
      <c r="K4" s="98" t="n"/>
      <c r="L4" s="98" t="n"/>
      <c r="M4" s="98" t="n"/>
      <c r="N4" s="98" t="n"/>
      <c r="O4" s="98" t="n"/>
      <c r="P4" s="98" t="n"/>
      <c r="Q4" s="98" t="n"/>
      <c r="R4" s="99" t="n"/>
      <c r="S4" s="71" t="inlineStr">
        <is>
          <t>Project
Supervising
Unit</t>
        </is>
      </c>
      <c r="T4" s="71" t="inlineStr">
        <is>
          <t>Project  
Implementation  
Unit</t>
        </is>
      </c>
      <c r="U4" s="71" t="inlineStr">
        <is>
          <t>Entry  
Time</t>
        </is>
      </c>
      <c r="V4" s="41" t="inlineStr">
        <is>
          <t>Notes</t>
        </is>
      </c>
    </row>
    <row r="5" ht="33" customFormat="1" customHeight="1" s="1">
      <c r="A5" s="100" t="n"/>
      <c r="B5" s="100" t="n"/>
      <c r="C5" s="100" t="n"/>
      <c r="D5" s="100" t="n"/>
      <c r="E5" s="100" t="n"/>
      <c r="F5" s="100" t="n"/>
      <c r="G5" s="100" t="n"/>
      <c r="H5" s="100" t="n"/>
      <c r="I5" s="71" t="inlineStr">
        <is>
          <t>Project Benefit Situation</t>
        </is>
      </c>
      <c r="J5" s="71" t="inlineStr">
        <is>
          <t>Interest Linkage Mechanism (Mechanism for Linking and Leading Farmers)</t>
        </is>
      </c>
      <c r="K5" s="71" t="inlineStr">
        <is>
          <t>Number of Beneficiary Villages  
(Pieces)</t>
        </is>
      </c>
      <c r="L5" s="101" t="n"/>
      <c r="M5" s="71" t="inlineStr">
        <is>
          <t>Beneficiary Households  
(Ten Thousand Households)</t>
        </is>
      </c>
      <c r="N5" s="102" t="n"/>
      <c r="O5" s="101" t="n"/>
      <c r="P5" s="71" t="inlineStr">
        <is>
          <t>Beneficiary population  
(10,000 people)</t>
        </is>
      </c>
      <c r="Q5" s="102" t="n"/>
      <c r="R5" s="101" t="n"/>
      <c r="S5" s="100" t="n"/>
      <c r="T5" s="100" t="n"/>
      <c r="U5" s="100" t="n"/>
      <c r="V5" s="100" t="n"/>
    </row>
    <row r="6" ht="12" customFormat="1" customHeight="1" s="1">
      <c r="A6" s="100" t="n"/>
      <c r="B6" s="100" t="n"/>
      <c r="C6" s="100" t="n"/>
      <c r="D6" s="100" t="n"/>
      <c r="E6" s="100" t="n"/>
      <c r="F6" s="100" t="n"/>
      <c r="G6" s="100" t="n"/>
      <c r="H6" s="100" t="n"/>
      <c r="I6" s="100" t="n"/>
      <c r="J6" s="100" t="n"/>
      <c r="K6" s="103" t="n"/>
      <c r="L6" s="104" t="n"/>
      <c r="M6" s="103" t="n"/>
      <c r="N6" s="105" t="n"/>
      <c r="O6" s="104" t="n"/>
      <c r="P6" s="103" t="n"/>
      <c r="Q6" s="105" t="n"/>
      <c r="R6" s="104" t="n"/>
      <c r="S6" s="100" t="n"/>
      <c r="T6" s="100" t="n"/>
      <c r="U6" s="100" t="n"/>
      <c r="V6" s="100" t="n"/>
    </row>
    <row r="7" ht="33" customFormat="1" customHeight="1" s="1">
      <c r="A7" s="100" t="n"/>
      <c r="B7" s="100" t="n"/>
      <c r="C7" s="100" t="n"/>
      <c r="D7" s="100" t="n"/>
      <c r="E7" s="100" t="n"/>
      <c r="F7" s="100" t="n"/>
      <c r="G7" s="100" t="n"/>
      <c r="H7" s="100" t="n"/>
      <c r="I7" s="100" t="n"/>
      <c r="J7" s="100" t="n"/>
      <c r="K7" s="71" t="inlineStr">
        <is>
          <t>Poor Alleviation Village</t>
        </is>
      </c>
      <c r="L7" s="71" t="inlineStr">
        <is>
          <t>Other villages</t>
        </is>
      </c>
      <c r="M7" s="71" t="inlineStr">
        <is>
          <t>Subtotal</t>
        </is>
      </c>
      <c r="N7" s="71" t="inlineStr">
        <is>
          <t>Poor households who have been lifted out of poverty (including those under monitoring)</t>
        </is>
      </c>
      <c r="O7" s="71" t="inlineStr">
        <is>
          <t>Other farmers</t>
        </is>
      </c>
      <c r="P7" s="71" t="inlineStr">
        <is>
          <t>Subtotal</t>
        </is>
      </c>
      <c r="Q7" s="71" t="inlineStr">
        <is>
          <t>Number of people lifted out of poverty (including those under monitoring)</t>
        </is>
      </c>
      <c r="R7" s="71" t="inlineStr">
        <is>
          <t>Other population</t>
        </is>
      </c>
      <c r="S7" s="100" t="n"/>
      <c r="T7" s="100" t="n"/>
      <c r="U7" s="100" t="n"/>
      <c r="V7" s="100" t="n"/>
    </row>
    <row r="8" ht="52.5" customFormat="1" customHeight="1" s="1">
      <c r="A8" s="106" t="n"/>
      <c r="B8" s="106" t="n"/>
      <c r="C8" s="106" t="n"/>
      <c r="D8" s="106" t="n"/>
      <c r="E8" s="106" t="n"/>
      <c r="F8" s="106" t="n"/>
      <c r="G8" s="106" t="n"/>
      <c r="H8" s="106" t="n"/>
      <c r="I8" s="106" t="n"/>
      <c r="J8" s="106" t="n"/>
      <c r="K8" s="106" t="n"/>
      <c r="L8" s="106" t="n"/>
      <c r="M8" s="106" t="n"/>
      <c r="N8" s="106" t="n"/>
      <c r="O8" s="106" t="n"/>
      <c r="P8" s="106" t="n"/>
      <c r="Q8" s="106" t="n"/>
      <c r="R8" s="106" t="n"/>
      <c r="S8" s="106" t="n"/>
      <c r="T8" s="106" t="n"/>
      <c r="U8" s="106" t="n"/>
      <c r="V8" s="106" t="n"/>
    </row>
    <row r="9" ht="52.5" customFormat="1" customHeight="1" s="1">
      <c r="A9" s="39" t="n"/>
      <c r="B9" s="67" t="inlineStr">
        <is>
          <t>Total</t>
        </is>
      </c>
      <c r="C9" s="71" t="n"/>
      <c r="D9" s="71" t="n"/>
      <c r="E9" s="71" t="n"/>
      <c r="F9" s="71" t="n"/>
      <c r="G9" s="67">
        <f>G10+G97+G103+G169+G174</f>
        <v/>
      </c>
      <c r="H9" s="71" t="n"/>
      <c r="I9" s="71" t="n"/>
      <c r="J9" s="71" t="n"/>
      <c r="K9" s="71" t="n"/>
      <c r="L9" s="71" t="n"/>
      <c r="M9" s="71" t="n"/>
      <c r="N9" s="71" t="n"/>
      <c r="O9" s="71" t="n"/>
      <c r="P9" s="71" t="n"/>
      <c r="Q9" s="71" t="n"/>
      <c r="R9" s="71" t="n"/>
      <c r="S9" s="71" t="n"/>
      <c r="T9" s="71" t="n"/>
      <c r="U9" s="71" t="n"/>
      <c r="V9" s="41" t="n"/>
    </row>
    <row r="10" ht="39.75" customHeight="1" s="97">
      <c r="A10" s="39" t="inlineStr">
        <is>
          <t>One</t>
        </is>
      </c>
      <c r="B10" s="67" t="inlineStr">
        <is>
          <t>Industrial Development</t>
        </is>
      </c>
      <c r="C10" s="39" t="n"/>
      <c r="D10" s="67" t="n"/>
      <c r="E10" s="67" t="n"/>
      <c r="F10" s="18" t="n"/>
      <c r="G10" s="67">
        <f>G11+G36+G95</f>
        <v/>
      </c>
      <c r="H10" s="67" t="n"/>
      <c r="I10" s="18" t="n"/>
      <c r="J10" s="67" t="n"/>
      <c r="K10" s="67" t="n"/>
      <c r="L10" s="67" t="n"/>
      <c r="M10" s="67" t="n"/>
      <c r="N10" s="67" t="n"/>
      <c r="O10" s="67" t="n"/>
      <c r="P10" s="67" t="n"/>
      <c r="Q10" s="67" t="n"/>
      <c r="R10" s="67" t="n"/>
      <c r="S10" s="41" t="n"/>
      <c r="T10" s="41" t="n"/>
      <c r="U10" s="41" t="n"/>
      <c r="V10" s="39" t="n"/>
    </row>
    <row r="11" ht="39.75" customHeight="1" s="97">
      <c r="A11" s="41" t="inlineStr">
        <is>
          <t>㈠</t>
        </is>
      </c>
      <c r="B11" s="67" t="inlineStr">
        <is>
          <t>Productive type</t>
        </is>
      </c>
      <c r="C11" s="39" t="n"/>
      <c r="D11" s="41" t="n"/>
      <c r="E11" s="41" t="n"/>
      <c r="F11" s="88" t="n"/>
      <c r="G11" s="41">
        <f>G12+G25+G27+G31</f>
        <v/>
      </c>
      <c r="H11" s="41" t="n"/>
      <c r="I11" s="88" t="n"/>
      <c r="J11" s="41" t="n"/>
      <c r="K11" s="41" t="n"/>
      <c r="L11" s="41" t="n"/>
      <c r="M11" s="41" t="n"/>
      <c r="N11" s="41" t="n"/>
      <c r="O11" s="41" t="n"/>
      <c r="P11" s="41" t="n"/>
      <c r="Q11" s="41" t="n"/>
      <c r="R11" s="41" t="n"/>
      <c r="S11" s="41" t="n"/>
      <c r="T11" s="41" t="n"/>
      <c r="U11" s="41" t="n"/>
      <c r="V11" s="39" t="n"/>
    </row>
    <row r="12" ht="39.75" customHeight="1" s="97">
      <c r="A12" s="41" t="inlineStr">
        <is>
          <t>⑴</t>
        </is>
      </c>
      <c r="B12" s="67" t="inlineStr">
        <is>
          <t>Agriculture and animal husbandry</t>
        </is>
      </c>
      <c r="C12" s="39" t="n"/>
      <c r="D12" s="39" t="n"/>
      <c r="E12" s="39" t="n"/>
      <c r="F12" s="44" t="n"/>
      <c r="G12" s="41" t="n">
        <v>3109</v>
      </c>
      <c r="H12" s="39" t="n"/>
      <c r="I12" s="44" t="n"/>
      <c r="J12" s="39" t="n"/>
      <c r="K12" s="39" t="n"/>
      <c r="L12" s="39" t="n"/>
      <c r="M12" s="39" t="n"/>
      <c r="N12" s="39" t="n"/>
      <c r="O12" s="39" t="n"/>
      <c r="P12" s="39" t="n"/>
      <c r="Q12" s="39" t="n"/>
      <c r="R12" s="39" t="n"/>
      <c r="S12" s="39" t="n"/>
      <c r="T12" s="39" t="n"/>
      <c r="U12" s="39" t="n"/>
      <c r="V12" s="39" t="n"/>
    </row>
    <row r="13" ht="252.75" customHeight="1" s="97">
      <c r="A13" s="39" t="n">
        <v>1</v>
      </c>
      <c r="B13" s="71" t="inlineStr">
        <is>
          <t>Pingchuan District Edible Flower Seed Industrial Park Seedling Center (Phase III) Construction Project</t>
        </is>
      </c>
      <c r="C13" s="71" t="inlineStr">
        <is>
          <t>Newly built</t>
        </is>
      </c>
      <c r="D13" s="71" t="inlineStr">
        <is>
          <t>2025.3-2025.10</t>
        </is>
      </c>
      <c r="E13" s="71" t="inlineStr">
        <is>
          <t>Yagei  
Shuicun</t>
        </is>
      </c>
      <c r="F13" s="40" t="inlineStr">
        <is>
          <t>Construct two new high-standard intelligent greenhouse sheds (No. 3 and No. 4), with a total area of 9,900 square meters. Each shed is 96 meters long, 52 meters wide, and 7.5 meters high. The investment from the follow-up funds accounts for 30% of the total investment; the investment from the follow-up funds forms separately and reliably measurable operating fixed assets. The ownership of the fixed assets is confirmed to the rural collective economic organizations, which sign standardized lease contracts with agricultural operating entities, specifying the asset lease rate of return.</t>
        </is>
      </c>
      <c r="G13" s="71" t="n">
        <v>360</v>
      </c>
      <c r="H13" s="71" t="inlineStr">
        <is>
          <t>Consecutive 
Funds</t>
        </is>
      </c>
      <c r="I13" s="40" t="inlineStr">
        <is>
          <t>After the project is completed, it can support and promote the local and surrounding population in developing Xanthoceras sorbifolium planting, and absorb farmers' labor employment to increase farmers' income.</t>
        </is>
      </c>
      <c r="J13" s="40" t="inlineStr">
        <is>
          <t>Through the implementation of this project, it can indirectly motivate the local population to participate in labor employment and increase their income from work. At the same time, it will also increase the collective income of the village.</t>
        </is>
      </c>
      <c r="K13" s="71" t="n"/>
      <c r="L13" s="71" t="n">
        <v>16</v>
      </c>
      <c r="M13" s="71" t="n">
        <v>1.1341</v>
      </c>
      <c r="N13" s="71" t="n">
        <v>0.1141</v>
      </c>
      <c r="O13" s="71" t="n">
        <v>1.02</v>
      </c>
      <c r="P13" s="71" t="n">
        <v>3.8292</v>
      </c>
      <c r="Q13" s="71" t="n">
        <v>0.4792</v>
      </c>
      <c r="R13" s="71" t="n">
        <v>3.35</v>
      </c>
      <c r="S13" s="71" t="inlineStr">
        <is>
          <t>Agriculture and Rural Affairs Bureau</t>
        </is>
      </c>
      <c r="T13" s="71" t="inlineStr">
        <is>
          <t>Shuiquan Town</t>
        </is>
      </c>
      <c r="U13" s="107" t="n">
        <v>2024.1</v>
      </c>
      <c r="V13" s="39" t="inlineStr">
        <is>
          <t>Consolidate a batch</t>
        </is>
      </c>
    </row>
    <row r="14" ht="252.75" customHeight="1" s="97">
      <c r="A14" s="39" t="n">
        <v>2</v>
      </c>
      <c r="B14" s="47" t="inlineStr">
        <is>
          <t>Gansu Xueguo Seed Industry Superior Seed Demonstration Base Construction Project</t>
        </is>
      </c>
      <c r="C14" s="71" t="inlineStr">
        <is>
          <t>Newly built</t>
        </is>
      </c>
      <c r="D14" s="71" t="inlineStr">
        <is>
          <t>2025.3-2025.10</t>
        </is>
      </c>
      <c r="E14" s="71" t="inlineStr">
        <is>
          <t>Yage Shui Village</t>
        </is>
      </c>
      <c r="F14" s="28" t="inlineStr">
        <is>
          <t>Construct one intelligent greenhouse seedling nursery with a 10,000 square meter intelligent greenhouse, equipped with heating systems, cooling systems, water-saving irrigation facilities, and other equipment; build a high-quality variety propagation base of 145 acres, equipped with water-saving irrigation systems; and provide supporting agricultural machinery such as plant protection machines, solar-powered insect-killing lamps, and transport vehicles. The project construction investment is 44.555 million yuan, including: applying for fiscal funds for the consolidation and advancement of rural revitalization amounting to 12 million yuan, accounting for 26.93% of the total investment; self-raised funds amounting to 32.555 million yuan, accounting for 73.07% of the total investment; the investment in connection funds forms independently measurable and reliable operating fixed assets, the ownership of fixed assets is confirmed to rural collective economic organizations, and rural collective economic organizations sign standardized lease contracts with agricultural operating entities, specifying the asset lease yield rate.</t>
        </is>
      </c>
      <c r="G14" s="71" t="n">
        <v>1200</v>
      </c>
      <c r="H14" s="71" t="inlineStr">
        <is>
          <t>Consecutive 
Funds</t>
        </is>
      </c>
      <c r="I14" s="40" t="inlineStr">
        <is>
          <t>Through industrial support, increase farmers' income, with an average annual income of 3,000 to 5,000 yuan per household.</t>
        </is>
      </c>
      <c r="J14" s="40" t="inlineStr">
        <is>
          <t>Through the implementation of this project, it can indirectly motivate the local population to participate in labor employment and increase their income from work. At the same time, it will also increase the collective income of the village.</t>
        </is>
      </c>
      <c r="K14" s="71" t="n"/>
      <c r="L14" s="71" t="n">
        <v>16</v>
      </c>
      <c r="M14" s="71" t="n">
        <v>1.1341</v>
      </c>
      <c r="N14" s="71" t="n">
        <v>0.1141</v>
      </c>
      <c r="O14" s="71" t="n">
        <v>1.02</v>
      </c>
      <c r="P14" s="71" t="n">
        <v>3.8292</v>
      </c>
      <c r="Q14" s="71" t="n">
        <v>0.4792</v>
      </c>
      <c r="R14" s="71" t="n">
        <v>3.35</v>
      </c>
      <c r="S14" s="71" t="inlineStr">
        <is>
          <t>Agriculture and Rural Affairs Bureau</t>
        </is>
      </c>
      <c r="T14" s="71" t="inlineStr">
        <is>
          <t>Shuiquan Town</t>
        </is>
      </c>
      <c r="U14" s="107" t="n">
        <v>2024.1</v>
      </c>
      <c r="V14" s="39" t="inlineStr">
        <is>
          <t>Consolidate a batch</t>
        </is>
      </c>
    </row>
    <row r="15" ht="388.5" customHeight="1" s="97">
      <c r="A15" s="39" t="n">
        <v>3</v>
      </c>
      <c r="B15" s="71" t="inlineStr">
        <is>
          <t>Planting Subsidy Project</t>
        </is>
      </c>
      <c r="C15" s="71" t="inlineStr">
        <is>
          <t>Newly built</t>
        </is>
      </c>
      <c r="D15" s="71" t="inlineStr">
        <is>
          <t>2025.3-2025.10</t>
        </is>
      </c>
      <c r="E15" s="71" t="inlineStr">
        <is>
          <t>7 townships</t>
        </is>
      </c>
      <c r="F15" s="29" t="inlineStr">
        <is>
          <t>1. Breeding subsidy for households who have been lifted out of poverty (monitored households). For each female cow or female donkey raised by households who have been lifted out of poverty (monitored households) and aged over six months, a subsidy of 500 yuan per head will be provided; for each female sheep raised and aged over six months, a subsidy of 100 yuan per head will be provided; for each female sheep or dairy goat aged over six months introduced from a sheep breeding farm with a provincial or municipal livestock breeding business license, a subsidy of 500 yuan per head will be provided, with a maximum subsidy of 60 sheep per household. For each female cow or female donkey aged over ten months introduced from a cattle or donkey breeding farm with a provincial or municipal livestock breeding business license by households who have been lifted out of poverty (monitored households), a subsidy of 3,000 yuan per head will be provided for beef cattle or black donkeys, with a maximum subsidy of 10 heads per household; for each female sheep or dairy goat aged over six months introduced from a sheep breeding farm with a provincial or municipal livestock breeding business license, a subsidy of 500 yuan per head will be provided, with a maximum subsidy of 60 sheep per household.
2. Breeding subsidy for general households. For each female cow or female donkey aged over ten months introduced from a cattle or donkey breeding farm with a provincial or municipal livestock breeding business license by general households, a subsidy of 3,000 yuan per head will be provided for beef cattle or black donkeys, with a maximum subsidy of 10 heads per household; for each female sheep or dairy goat aged over six months introduced from a sheep breeding farm with a provincial or municipal livestock breeding business license, a subsidy of 500 yuan per head will be provided, with a maximum subsidy of 60 sheep per household.
3. Subsidy standard for dairy cow breeding. Under the condition of giving priority to households who have been lifted out of poverty and monitored households, a subsidy of 1,000 yuan per head will be provided for female dairy cows raised by households with less than 100 dairy cows in the entire district.
The total annual subsidy amount per household under the above subsidy policies shall not exceed 30,000 yuan.</t>
        </is>
      </c>
      <c r="G15" s="71" t="n">
        <v>350</v>
      </c>
      <c r="H15" s="71" t="inlineStr">
        <is>
          <t>Consecutive 
Funds</t>
        </is>
      </c>
      <c r="I15" s="40" t="inlineStr">
        <is>
          <t>Continuously expand the planting area of Helianthus tuberosus and specialty vegetables, implement contracted purchase, and continuously increase farmers' income.</t>
        </is>
      </c>
      <c r="J15" s="40" t="n"/>
      <c r="K15" s="71" t="n">
        <v>15</v>
      </c>
      <c r="L15" s="71" t="n">
        <v>46</v>
      </c>
      <c r="M15" s="71" t="n">
        <v>0.6</v>
      </c>
      <c r="N15" s="71" t="n">
        <v>0.12</v>
      </c>
      <c r="O15" s="71" t="n">
        <v>0.48</v>
      </c>
      <c r="P15" s="71" t="n">
        <v>2.3</v>
      </c>
      <c r="Q15" s="71" t="n">
        <v>0.5</v>
      </c>
      <c r="R15" s="71" t="n">
        <v>1.8</v>
      </c>
      <c r="S15" s="71" t="inlineStr">
        <is>
          <t>Agriculture and Rural Affairs Bureau</t>
        </is>
      </c>
      <c r="T15" s="71" t="inlineStr">
        <is>
          <t>Industry Stock</t>
        </is>
      </c>
      <c r="U15" s="107" t="n">
        <v>2024.1</v>
      </c>
      <c r="V15" s="39" t="n"/>
    </row>
    <row r="16" ht="159.75" customHeight="1" s="97">
      <c r="A16" s="39" t="n">
        <v>4</v>
      </c>
      <c r="B16" s="71" t="inlineStr">
        <is>
          <t>Soybean-Corn Strip Intercropping Subsidy</t>
        </is>
      </c>
      <c r="C16" s="71" t="inlineStr">
        <is>
          <t>Newly built</t>
        </is>
      </c>
      <c r="D16" s="71" t="inlineStr">
        <is>
          <t>2024.3-2024.10</t>
        </is>
      </c>
      <c r="E16" s="71" t="inlineStr">
        <is>
          <t>Gonghe Town  
Baoji Town  
Wangjia Mountain Town  
Shuiquan Town</t>
        </is>
      </c>
      <c r="F16" s="40" t="inlineStr">
        <is>
          <t>Plant 10,000 mu of soybean and corn intercropping on plots with good water and fertilizer conditions, including: Gonghe Town planting 2,000 mu; Baoji Town planting 4,000 mu; Wangjia Mountain Town planting 2,000 mu; Shuiquan Town planting 2,000 mu, with an 8-jin seed subsidy per mu.</t>
        </is>
      </c>
      <c r="G16" s="71" t="n">
        <v>64</v>
      </c>
      <c r="H16" s="71" t="inlineStr">
        <is>
          <t>Consecutive 
Funds</t>
        </is>
      </c>
      <c r="I16" s="40" t="inlineStr">
        <is>
          <t>Continue to promote the soybean-corn strip intercropping model to provide technical support for large-scale promotion in the later stage; drive 30 farmers and operating entities, increase income by 1,000 yuan per mu on average, and achieve a total income increase of 10 million yuan.</t>
        </is>
      </c>
      <c r="J16" s="71" t="n"/>
      <c r="K16" s="71" t="n">
        <v>6</v>
      </c>
      <c r="L16" s="71" t="n">
        <v>38</v>
      </c>
      <c r="M16" s="71" t="n">
        <v>0.2127</v>
      </c>
      <c r="N16" s="71" t="n">
        <v>0.1335</v>
      </c>
      <c r="O16" s="71" t="n">
        <v>0.0793</v>
      </c>
      <c r="P16" s="108" t="n">
        <v>1.4238</v>
      </c>
      <c r="Q16" s="71" t="n">
        <v>0.6643</v>
      </c>
      <c r="R16" s="40" t="n">
        <v>0.7595</v>
      </c>
      <c r="S16" s="71" t="inlineStr">
        <is>
          <t>Agriculture and Rural Affairs Bureau</t>
        </is>
      </c>
      <c r="T16" s="71" t="inlineStr">
        <is>
          <t>Planting Industry Section</t>
        </is>
      </c>
      <c r="U16" s="107" t="n">
        <v>2024.1</v>
      </c>
      <c r="V16" s="39" t="n"/>
    </row>
    <row r="17" ht="184.5" customHeight="1" s="97">
      <c r="A17" s="39" t="n">
        <v>5</v>
      </c>
      <c r="B17" s="71" t="inlineStr">
        <is>
          <t>Good Seed and Cultivation Demonstration and Promotion Project</t>
        </is>
      </c>
      <c r="C17" s="71" t="inlineStr">
        <is>
          <t>Newly built</t>
        </is>
      </c>
      <c r="D17" s="71" t="inlineStr">
        <is>
          <t>2025.3-2025.10</t>
        </is>
      </c>
      <c r="E17" s="71" t="inlineStr">
        <is>
          <t>7 townships</t>
        </is>
      </c>
      <c r="F17" s="40" t="inlineStr">
        <is>
          <t>1. Select superior varieties (apples, vegetables, wheat, corn, soybeans, millet, quinoa, flax, etc.) to establish 12 demonstration and promotion bases for variety multiplication and standardized production. 2. Carry out 40 experimental demonstrations on introducing new varieties, new materials, new technologies, and green pest and disease control. 3. Combine with the breeding of superior varieties for characteristic industries, and collaborate with agricultural research institutes and seed companies at the provincial and municipal levels to establish breeding bases for wheat, buckwheat, millet, quinoa, flax, potato, soybeans, vegetables, and forest fruits, and establish a joint body for characteristic industries.</t>
        </is>
      </c>
      <c r="G17" s="71" t="n">
        <v>30</v>
      </c>
      <c r="H17" s="71" t="inlineStr">
        <is>
          <t>Consecutive 
Funds</t>
        </is>
      </c>
      <c r="I17" s="40" t="inlineStr">
        <is>
          <t>Build a base and demonstration area of more than 28,000 mu, promoting technological promotion covering over 35,000 mu. Through measures such as standardized planting demonstrations and integrated green pest control, increase economic benefits by more than 1 million yuan, while reducing pesticide and fertilizer inputs by 5%.</t>
        </is>
      </c>
      <c r="J17" s="40" t="n"/>
      <c r="K17" s="71" t="n">
        <v>15</v>
      </c>
      <c r="L17" s="71" t="n">
        <v>46</v>
      </c>
      <c r="M17" s="71" t="n">
        <v>0.825</v>
      </c>
      <c r="N17" s="71" t="n">
        <v>0.257</v>
      </c>
      <c r="O17" s="71" t="n">
        <v>0.5679999999999999</v>
      </c>
      <c r="P17" s="71" t="n">
        <v>2.887</v>
      </c>
      <c r="Q17" s="71" t="n">
        <v>0.8992</v>
      </c>
      <c r="R17" s="71" t="n">
        <v>1.9873</v>
      </c>
      <c r="S17" s="71" t="inlineStr">
        <is>
          <t>Agriculture and Rural Affairs Bureau</t>
        </is>
      </c>
      <c r="T17" s="71" t="inlineStr">
        <is>
          <t>Agricultural Technology Center</t>
        </is>
      </c>
      <c r="U17" s="107" t="n">
        <v>2024.1</v>
      </c>
      <c r="V17" s="39" t="n"/>
    </row>
    <row r="18" ht="135.75" customHeight="1" s="97">
      <c r="A18" s="39" t="n">
        <v>6</v>
      </c>
      <c r="B18" s="71" t="inlineStr">
        <is>
          <t>Laozhuang Village, Gonghe Town Off-Season Vegetable Cultivation Project</t>
        </is>
      </c>
      <c r="C18" s="71" t="inlineStr">
        <is>
          <t>Newly built</t>
        </is>
      </c>
      <c r="D18" s="71" t="inlineStr">
        <is>
          <t>2025.3-2025.10</t>
        </is>
      </c>
      <c r="E18" s="71" t="inlineStr">
        <is>
          <t>Laozhuang Village</t>
        </is>
      </c>
      <c r="F18" s="40" t="inlineStr">
        <is>
          <t>Repair 32 plastic greenhouses in Miaohetown and cultivate vegetables.</t>
        </is>
      </c>
      <c r="G18" s="71" t="n">
        <v>80</v>
      </c>
      <c r="H18" s="71" t="inlineStr">
        <is>
          <t>Consecutive 
Funds</t>
        </is>
      </c>
      <c r="I18" s="40" t="inlineStr">
        <is>
          <t>The greenhouse is operated by the Laozhuang Village Shareholding Economic Cooperative. It plans to cultivate vegetables such as peppers and tomatoes to develop the village's collective economy, improve village conditions, and support rural revitalization.</t>
        </is>
      </c>
      <c r="J18" s="40" t="n"/>
      <c r="K18" s="71" t="n"/>
      <c r="L18" s="71" t="n">
        <v>1</v>
      </c>
      <c r="M18" s="71" t="n">
        <v>0.0456</v>
      </c>
      <c r="N18" s="71" t="n">
        <v>0.0052</v>
      </c>
      <c r="O18" s="71" t="n">
        <v>0.0404</v>
      </c>
      <c r="P18" s="71" t="n">
        <v>0.1978</v>
      </c>
      <c r="Q18" s="71" t="n">
        <v>0.0221</v>
      </c>
      <c r="R18" s="71" t="n">
        <v>0.1757</v>
      </c>
      <c r="S18" s="71" t="inlineStr">
        <is>
          <t>Development and Reform Bureau</t>
        </is>
      </c>
      <c r="T18" s="71" t="inlineStr">
        <is>
          <t>Gonghe Town</t>
        </is>
      </c>
      <c r="U18" s="107" t="n">
        <v>2024.1</v>
      </c>
      <c r="V18" s="39" t="inlineStr">
        <is>
          <t>Upgrade a batch</t>
        </is>
      </c>
    </row>
    <row r="19" ht="361.5" customHeight="1" s="97">
      <c r="A19" s="39" t="n">
        <v>7</v>
      </c>
      <c r="B19" s="71" t="inlineStr">
        <is>
          <t>Livestock Breeding Subsidy Project</t>
        </is>
      </c>
      <c r="C19" s="71" t="inlineStr">
        <is>
          <t>Newly built</t>
        </is>
      </c>
      <c r="D19" s="71" t="inlineStr">
        <is>
          <t>2025.3-2025.10</t>
        </is>
      </c>
      <c r="E19" s="71" t="inlineStr">
        <is>
          <t>7 townships 61 villages</t>
        </is>
      </c>
      <c r="F19" s="31" t="inlineStr">
        <is>
          <t>1. Subsidy standards for breeding of households that have been lifted out of poverty (monitored households). A one-time subsidy will be provided for female cattle (including yaks) and female donkeys raised by households that have been lifted out of poverty (monitored households) in the district, with each animal receiving a subsidy of 500 yuan; a one-time subsidy will also be provided for female sheep raised by these households, with each animal receiving a subsidy of 100 yuan. For households that have been lifted out of poverty (monitored households), if they introduce female cattle (including yaks) or female donkeys aged over 10 months from cattle or donkey farms with provincial or municipal breeding livestock production and operation permits, each beef cattle or black donkey will receive a subsidy of 3,000 yuan, with a maximum of 10 animals per household, and each yak will receive a subsidy of 1,000 yuan, with a maximum of 30 animals per household; if they introduce female sheep or dairy goats aged over 6 months from sheep farms with provincial or municipal breeding livestock production and operation permits, each animal will receive a subsidy of 500 yuan, with a maximum of 60 animals per household.
2. Subsidy standards for breeding of general households. For general households, if they introduce female cattle (including yaks) or female donkeys aged over 10 months from cattle or donkey farms with provincial or municipal breeding livestock production and operation permits, each beef cattle or black donkey will receive a subsidy of 3,000 yuan, with a maximum of 10 animals per household, and each yak will receive a subsidy of 1,000 yuan, with a maximum of 30 animals per household; if they introduce female sheep or dairy goats aged over 6 months from sheep farms with provincial or municipal breeding livestock production and operation permits, each animal will receive a subsidy of 500 yuan, with a maximum of 60 animals per household.
3. Subsidy standards for dairy cattle breeding. A one-time subsidy will be provided for lactating dairy cows raised by households with less than 100 dairy cows in the district, with each cow receiving a subsidy of 1,000 yuan.
The total annual subsidy for breeding female livestock by households that have been lifted out of poverty (monitored households) and dairy cattle breeding by general households will not exceed 10,000 yuan per household. The total annual subsidy for the above three subsidy policies will not exceed 30,000 yuan per household. Households that implement courtyard economy subsidy projects this year cannot repeat the implementation of breeding subsidy projects.</t>
        </is>
      </c>
      <c r="G19" s="71" t="n">
        <v>650</v>
      </c>
      <c r="H19" s="71" t="inlineStr">
        <is>
          <t>Consecutive 
Funds</t>
        </is>
      </c>
      <c r="I19" s="40" t="inlineStr">
        <is>
          <t>The cattle and sheep industry scale, as part of the livestock industry, continues to expand, with ongoing enhancement in development vitality. Farmers, especially those who have been lifted out of poverty and those under monitoring, participate in the production and operation of cattle, sheep, donkeys, and other livestock, further stimulating their internal motivation and continuously improving their self-development capabilities. The income of farmers from animal husbandry continues to increase.</t>
        </is>
      </c>
      <c r="J19" s="71" t="n"/>
      <c r="K19" s="71" t="n">
        <v>15</v>
      </c>
      <c r="L19" s="71" t="n">
        <v>46</v>
      </c>
      <c r="M19" s="71" t="n">
        <v>0.2024</v>
      </c>
      <c r="N19" s="71" t="n">
        <v>0.1824</v>
      </c>
      <c r="O19" s="71" t="n">
        <v>0.02</v>
      </c>
      <c r="P19" s="71" t="n">
        <v>0.6</v>
      </c>
      <c r="Q19" s="71" t="n">
        <v>0.54</v>
      </c>
      <c r="R19" s="71" t="n">
        <v>0.06</v>
      </c>
      <c r="S19" s="71" t="inlineStr">
        <is>
          <t>Agriculture and Rural Affairs Bureau</t>
        </is>
      </c>
      <c r="T19" s="71" t="inlineStr">
        <is>
          <t>Animal Husbandry  
Center</t>
        </is>
      </c>
      <c r="U19" s="107" t="n">
        <v>2024.1</v>
      </c>
      <c r="V19" s="39" t="n"/>
    </row>
    <row r="20" ht="141.75" customHeight="1" s="97">
      <c r="A20" s="39" t="n">
        <v>8</v>
      </c>
      <c r="B20" s="32" t="inlineStr">
        <is>
          <t>Agricultural Operation Subject Linking and Leading Farmers Reward and Subsidy</t>
        </is>
      </c>
      <c r="C20" s="71" t="inlineStr">
        <is>
          <t>Newly built</t>
        </is>
      </c>
      <c r="D20" s="71" t="inlineStr">
        <is>
          <t>2025.1-2025.12</t>
        </is>
      </c>
      <c r="E20" s="71" t="inlineStr">
        <is>
          <t>7 townships</t>
        </is>
      </c>
      <c r="F20" s="33" t="inlineStr">
        <is>
          <t>For projects that can mobilize more than 50 households to deeply participate in production and operation through methods such as contract production, entrusted breeding, and technical services, and that employ more than 10 local rural laborers (among whom at least 40% must be households that have been lifted out of poverty or monitoring targets), a subsidy will be provided: for each rural laborer employed for a cumulative period of more than 3 months and who is paid labor remuneration on time and in full, the agricultural operating entity will receive a one-time subsidy of no more than 3,000 yuan per person. The maximum total subsidy amount shall not exceed 500,000 yuan, and the subsidy funds must be used for agricultural production and development.</t>
        </is>
      </c>
      <c r="G20" s="39" t="n">
        <v>75</v>
      </c>
      <c r="H20" s="71" t="inlineStr">
        <is>
          <t>Consecutive 
Funds</t>
        </is>
      </c>
      <c r="I20" s="71" t="inlineStr">
        <is>
          <t>Continuously expand agricultural production and development, and continuously increase farmers' income.</t>
        </is>
      </c>
      <c r="J20" s="40" t="n"/>
      <c r="K20" s="39" t="n">
        <v>2</v>
      </c>
      <c r="L20" s="39" t="n">
        <v>6</v>
      </c>
      <c r="M20" s="39" t="n">
        <v>0.05</v>
      </c>
      <c r="N20" s="39" t="n">
        <v>0.02</v>
      </c>
      <c r="O20" s="39" t="n">
        <v>0.03</v>
      </c>
      <c r="P20" s="39" t="n">
        <v>0.2</v>
      </c>
      <c r="Q20" s="39" t="n">
        <v>0.08</v>
      </c>
      <c r="R20" s="39" t="n">
        <v>0.12</v>
      </c>
      <c r="S20" s="71" t="inlineStr">
        <is>
          <t>Agriculture and Rural Affairs Bureau</t>
        </is>
      </c>
      <c r="T20" s="56" t="inlineStr">
        <is>
          <t>Industry Stock</t>
        </is>
      </c>
      <c r="U20" s="107" t="n">
        <v>2024.1</v>
      </c>
      <c r="V20" s="39" t="n"/>
    </row>
    <row r="21" ht="102" customHeight="1" s="97">
      <c r="A21" s="39" t="n">
        <v>9</v>
      </c>
      <c r="B21" s="71" t="inlineStr">
        <is>
          <t>Agricultural Product Brand Cultivation Project</t>
        </is>
      </c>
      <c r="C21" s="71" t="n"/>
      <c r="D21" s="71" t="inlineStr">
        <is>
          <t>2024.1-2025.12</t>
        </is>
      </c>
      <c r="E21" s="71" t="inlineStr">
        <is>
          <t>7 townships</t>
        </is>
      </c>
      <c r="F21" s="40" t="inlineStr">
        <is>
          <t>Each enterprise listed in the "Ganwei" brand directory of certified green food within the year will be subsidized 20,000 yuan. Each enterprise or individual whose agricultural products brand is successfully submitted and selected on other official platforms will also receive a subsidy of 20,000 yuan.</t>
        </is>
      </c>
      <c r="G21" s="71" t="n">
        <v>20</v>
      </c>
      <c r="H21" s="71" t="inlineStr">
        <is>
          <t>Consecutive 
Funds</t>
        </is>
      </c>
      <c r="I21" s="40" t="inlineStr">
        <is>
          <t>Enhance enterprises' enthusiasm for certifying "three products and one label" products, increase brand awareness, and improve product value.</t>
        </is>
      </c>
      <c r="J21" s="40" t="n"/>
      <c r="K21" s="71" t="n">
        <v>15</v>
      </c>
      <c r="L21" s="71" t="n">
        <v>46</v>
      </c>
      <c r="M21" s="71" t="n">
        <v>1.1742</v>
      </c>
      <c r="N21" s="71" t="n">
        <v>0.0342</v>
      </c>
      <c r="O21" s="71" t="n">
        <v>1.14</v>
      </c>
      <c r="P21" s="71" t="n">
        <v>4.12</v>
      </c>
      <c r="Q21" s="71" t="n">
        <v>0.12</v>
      </c>
      <c r="R21" s="71" t="n">
        <v>4</v>
      </c>
      <c r="S21" s="71" t="inlineStr">
        <is>
          <t>Agriculture and Rural Affairs Bureau</t>
        </is>
      </c>
      <c r="T21" s="71" t="inlineStr">
        <is>
          <t>Quality Supervision Station</t>
        </is>
      </c>
      <c r="U21" s="107" t="n">
        <v>2024.1</v>
      </c>
      <c r="V21" s="39" t="n"/>
    </row>
    <row r="22" ht="235.5" customHeight="1" s="97">
      <c r="A22" s="39" t="n">
        <v>10</v>
      </c>
      <c r="B22" s="71" t="inlineStr">
        <is>
          <t>Agricultural Product Brand Publicity and Promotion Project</t>
        </is>
      </c>
      <c r="C22" s="71" t="n"/>
      <c r="D22" s="71" t="inlineStr">
        <is>
          <t>2024.1-2025.12</t>
        </is>
      </c>
      <c r="E22" s="71" t="inlineStr">
        <is>
          <t>7 townships</t>
        </is>
      </c>
      <c r="F22" s="40" t="inlineStr">
        <is>
          <t>1. Organize agricultural production enterprises or individuals in the whole area to actively participate in national green food expos, agricultural product trade exhibitions, Lanzhou Investment and Trade Fair, Gansu Taste brand product launch events and other exhibitions. Provide subsidies for food, accommodation and transportation expenses for participating enterprises, and set up awards for active participation, most popular agricultural products, and best-selling products. Winning enterprises or individuals will be awarded 10,000 RMB each. 2. Host large-scale exhibitions such as the Farmers' Harvest Festival in the whole area and special promotional events for distinctive agricultural products. Carry out promotional activities to bring agricultural products into supermarkets, residential communities, and stations, and promote the "Pingchuan Flavor" and "Selenium-rich Products" agricultural product trademarks and brands through national mainstream media or by distributing promotional brochures. 3. Support and encourage agricultural enterprises, cooperatives, and rural talents to participate in various skill competitions such as product development and packaging design, and provide rewards to winning units or individuals, with the funding for each award not exceeding 20,000 RMB.</t>
        </is>
      </c>
      <c r="G22" s="71" t="n">
        <v>30</v>
      </c>
      <c r="H22" s="71" t="inlineStr">
        <is>
          <t>Consecutive 
Funds</t>
        </is>
      </c>
      <c r="I22" s="40" t="inlineStr">
        <is>
          <t>Enhance the brand awareness and reputation of the trademarks "Pingchuan Flavor" and "Selenium-rich Products," promote product sales, and resolve the problem of difficult product sales.</t>
        </is>
      </c>
      <c r="J22" s="40" t="n"/>
      <c r="K22" s="71" t="n">
        <v>15</v>
      </c>
      <c r="L22" s="71" t="n">
        <v>46</v>
      </c>
      <c r="M22" s="71" t="n">
        <v>1.1742</v>
      </c>
      <c r="N22" s="71" t="n">
        <v>0.0342</v>
      </c>
      <c r="O22" s="71" t="n">
        <v>1.14</v>
      </c>
      <c r="P22" s="71" t="n">
        <v>4.12</v>
      </c>
      <c r="Q22" s="71" t="n">
        <v>0.12</v>
      </c>
      <c r="R22" s="71" t="n">
        <v>4</v>
      </c>
      <c r="S22" s="71" t="inlineStr">
        <is>
          <t>Agriculture and Rural Affairs Bureau</t>
        </is>
      </c>
      <c r="T22" s="71" t="inlineStr">
        <is>
          <t>Quality Supervision Station</t>
        </is>
      </c>
      <c r="U22" s="107" t="n">
        <v>2024.1</v>
      </c>
      <c r="V22" s="39" t="n"/>
    </row>
    <row r="23" ht="235.5" customHeight="1" s="97">
      <c r="A23" s="39" t="n">
        <v>11</v>
      </c>
      <c r="B23" s="71" t="inlineStr">
        <is>
          <t>Agricultural Products Production (E-commerce) Sales Connection Project</t>
        </is>
      </c>
      <c r="C23" s="71" t="n"/>
      <c r="D23" s="71" t="inlineStr">
        <is>
          <t>2024.1-2025.12</t>
        </is>
      </c>
      <c r="E23" s="71" t="inlineStr">
        <is>
          <t>Within the District, Outside the District</t>
        </is>
      </c>
      <c r="F23" s="40" t="inlineStr">
        <is>
          <t>1. Integrate high-quality agricultural products throughout the district, create an online sales platform ("Pingchuan Flavor" or "Ganwei" agricultural products, including mini-program or APP development), forming a closed chain from agricultural input supply to production and procurement to sales and distribution, achieving synchronized online and offline sales, and providing subsidies for physical exhibition hall construction, operation team building, and equipment support. 2. Provide logistics and express delivery fee subsidies to e-commerce enterprises within the district that have the capability to promote product sales. 3. Provide rewards to live-streaming sales influencers (with sales transactions exceeding 100,000 yuan). 4. Provide a 20,000-yuan subsidy for each new store that uses local black donkey meat, mountain goat meat, or other distinctive raw materials as ingredients to offer specialty catering services such as Pingchuan black donkey meat or Pingchuan mountain goat meat.</t>
        </is>
      </c>
      <c r="G23" s="71" t="n">
        <v>50</v>
      </c>
      <c r="H23" s="71" t="inlineStr">
        <is>
          <t>Consecutive 
Funds</t>
        </is>
      </c>
      <c r="I23" s="40" t="inlineStr">
        <is>
          <t>Promote the sales of agricultural products throughout the region and resolve problems of difficult sales or stockpiling.</t>
        </is>
      </c>
      <c r="J23" s="40" t="n"/>
      <c r="K23" s="71" t="n">
        <v>15</v>
      </c>
      <c r="L23" s="71" t="n">
        <v>46</v>
      </c>
      <c r="M23" s="71" t="n">
        <v>1.1742</v>
      </c>
      <c r="N23" s="71" t="n">
        <v>0.0342</v>
      </c>
      <c r="O23" s="71" t="n">
        <v>1.14</v>
      </c>
      <c r="P23" s="71" t="n">
        <v>4.12</v>
      </c>
      <c r="Q23" s="71" t="n">
        <v>0.12</v>
      </c>
      <c r="R23" s="71" t="n">
        <v>4</v>
      </c>
      <c r="S23" s="71" t="inlineStr">
        <is>
          <t>Agriculture and Rural Affairs Bureau</t>
        </is>
      </c>
      <c r="T23" s="71" t="inlineStr">
        <is>
          <t>Quality Supervision Station</t>
        </is>
      </c>
      <c r="U23" s="107" t="n">
        <v>2024.1</v>
      </c>
      <c r="V23" s="39" t="n"/>
    </row>
    <row r="24" ht="247.5" customHeight="1" s="97">
      <c r="A24" s="39" t="n">
        <v>12</v>
      </c>
      <c r="B24" s="40" t="inlineStr">
        <is>
          <t>Pingchuan District Grain and Oil Single Yield Increase High-Yield Field Creation Project</t>
        </is>
      </c>
      <c r="C24" s="71" t="inlineStr">
        <is>
          <t>Newly built</t>
        </is>
      </c>
      <c r="D24" s="71" t="inlineStr">
        <is>
          <t>2025.2-2025.12</t>
        </is>
      </c>
      <c r="E24" s="71" t="inlineStr">
        <is>
          <t>7 townships</t>
        </is>
      </c>
      <c r="F24" s="28" t="inlineStr">
        <is>
          <t>1. Create 20,000 mu of high-yield demonstration areas for grain and oil crops to increase per mu yield, with a subsidy of 100 yuan per mu. 2. Select superior varieties (with wheat, corn, soybeans, potatoes, and small grains as the focus) and establish at least one 100-mu integrated "five-good" (good varieties, good fields, good techniques, good machinery, good systems) high-yield demonstration area in each administrative village across the region, forming demonstration areas at the village level and demonstration zones at the township level, moving from points to areas, connecting points into zones, and promoting the entire region to strive for increased yield per unit area of grain and oil crops in the high-yield demonstration areas. 3. Strengthen the cultivation of large-scale planting operators, highlight regional advantages, optimize crop layout, scientifically combine varieties, integrate technology application, implement green prevention and control, clarify the technical pathways for key crops, and strive to improve the yield levels of major grain and oil crops.</t>
        </is>
      </c>
      <c r="G24" s="47" t="n">
        <v>200</v>
      </c>
      <c r="H24" s="71" t="inlineStr">
        <is>
          <t>Consecutive 
Funds</t>
        </is>
      </c>
      <c r="I24" s="40" t="inlineStr">
        <is>
          <t>Support 15 poverty-alleviated villages with 126 households and 498 people, and other villages with 46 villages, 531 households, and 2,194 people to carry out standardized demonstration planting, driving 40 village collective economies and cooperatives, and benefiting more than 13,000 contiguous households.</t>
        </is>
      </c>
      <c r="J24" s="71" t="n"/>
      <c r="K24" s="71" t="n">
        <v>15</v>
      </c>
      <c r="L24" s="71" t="n">
        <v>46</v>
      </c>
      <c r="M24" s="71" t="n">
        <v>1.509</v>
      </c>
      <c r="N24" s="71" t="n">
        <v>0.4462</v>
      </c>
      <c r="O24" s="71" t="n">
        <v>1.0628</v>
      </c>
      <c r="P24" s="71" t="n">
        <v>5.2963</v>
      </c>
      <c r="Q24" s="71" t="n">
        <v>1.8197</v>
      </c>
      <c r="R24" s="71" t="n">
        <v>3.4766</v>
      </c>
      <c r="S24" s="71" t="inlineStr">
        <is>
          <t>Agriculture and Rural Affairs Bureau</t>
        </is>
      </c>
      <c r="T24" s="71" t="inlineStr">
        <is>
          <t>Agricultural Technology Center</t>
        </is>
      </c>
      <c r="U24" s="107" t="n">
        <v>2024.1</v>
      </c>
      <c r="V24" s="39" t="n"/>
    </row>
    <row r="25" ht="33.75" customHeight="1" s="97">
      <c r="A25" s="38" t="inlineStr">
        <is>
          <t>⑵</t>
        </is>
      </c>
      <c r="B25" s="67" t="inlineStr">
        <is>
          <t>Yard Economy</t>
        </is>
      </c>
      <c r="C25" s="71" t="n"/>
      <c r="D25" s="71" t="n"/>
      <c r="E25" s="71" t="n"/>
      <c r="F25" s="40" t="n"/>
      <c r="G25" s="67" t="n">
        <v>50</v>
      </c>
      <c r="H25" s="71" t="n"/>
      <c r="I25" s="40" t="n"/>
      <c r="J25" s="40" t="n"/>
      <c r="K25" s="71" t="n"/>
      <c r="L25" s="71" t="n"/>
      <c r="M25" s="71" t="n"/>
      <c r="N25" s="71" t="n"/>
      <c r="O25" s="71" t="n"/>
      <c r="P25" s="71" t="n"/>
      <c r="Q25" s="71" t="n"/>
      <c r="R25" s="71" t="n"/>
      <c r="S25" s="71" t="n"/>
      <c r="T25" s="71" t="n"/>
      <c r="U25" s="107" t="n"/>
      <c r="V25" s="39" t="n"/>
    </row>
    <row r="26" ht="226.5" customHeight="1" s="97">
      <c r="A26" s="39" t="n">
        <v>1</v>
      </c>
      <c r="B26" s="71" t="inlineStr">
        <is>
          <t>Courtyard Economy Subsidy</t>
        </is>
      </c>
      <c r="C26" s="71" t="inlineStr">
        <is>
          <t>Newly built</t>
        </is>
      </c>
      <c r="D26" s="71" t="inlineStr">
        <is>
          <t>2025.3-2025.10</t>
        </is>
      </c>
      <c r="E26" s="71" t="inlineStr">
        <is>
          <t>7 townships</t>
        </is>
      </c>
      <c r="F26" s="40" t="inlineStr">
        <is>
          <t>According to the requirements of the Provincial Rural Revitalization Bureau and the Provincial Department of Agriculture and Rural Affairs in their "Implementation Opinions on Encouraging and Guiding High-quality Development of Courtyard Economy in Poverty-eliminated Areas," support will be provided with a focus on households that have been lifted out of poverty and households under monitoring. This includes developing courtyard-based distinctive planting, breeding, handicrafts, leisure tourism, and production and life services. Subsidies will be provided for the cultivation of special crops such as edible fungi, apples, grapes, dates, peaches, Xanthoceras sorbifolium, forest trees and flowers, and ornamental potted plants; the breeding of poultry and livestock such as chickens, ducks, pigeons, rabbits, bees, donkeys, fattening pigs, meat sheep, and beef cattle; the processing and production of agricultural products (flour, edible oil, etc.) and food products (steamed buns, noodles, pastries, glass noodles, steamed rice cakes, tofu, vermicelli, vinegar, etc.); the development of distinctive homestays, family guesthouses, leisure farmhouses, farm restaurants, small picking gardens, and the operation of small supermarkets (convenience stores), small restaurants (snack shops), small vegetable shops (stalls), barber shops, and repair shops as part of the life service industry. Subsidies will be granted after meeting the subsidy criteria and passing the acceptance inspection.</t>
        </is>
      </c>
      <c r="G26" s="71" t="n">
        <v>50</v>
      </c>
      <c r="H26" s="71" t="inlineStr">
        <is>
          <t>Consecutive 
Funds</t>
        </is>
      </c>
      <c r="I26" s="40" t="inlineStr">
        <is>
          <t>Poor population and monitoring targets participate in developing courtyard economy, further stimulating endogenous motivation and continuously enhancing self-development capabilities. Income obtained through the courtyard economy continues to increase.</t>
        </is>
      </c>
      <c r="J26" s="40" t="n"/>
      <c r="K26" s="71" t="n">
        <v>15</v>
      </c>
      <c r="L26" s="71" t="n">
        <v>46</v>
      </c>
      <c r="M26" s="71" t="n">
        <v>0.8</v>
      </c>
      <c r="N26" s="71" t="n">
        <v>0.12</v>
      </c>
      <c r="O26" s="71" t="n">
        <v>0.68</v>
      </c>
      <c r="P26" s="71" t="n">
        <v>3.2</v>
      </c>
      <c r="Q26" s="71" t="n">
        <v>0.5</v>
      </c>
      <c r="R26" s="71" t="n">
        <v>2.7</v>
      </c>
      <c r="S26" s="71" t="inlineStr">
        <is>
          <t>Agriculture and Rural Affairs Bureau</t>
        </is>
      </c>
      <c r="T26" s="56" t="inlineStr">
        <is>
          <t>Industry Stock</t>
        </is>
      </c>
      <c r="U26" s="107" t="n">
        <v>2024.1</v>
      </c>
      <c r="V26" s="39" t="n"/>
    </row>
    <row r="27" ht="39.75" customHeight="1" s="97">
      <c r="A27" s="41" t="inlineStr">
        <is>
          <t>⑶</t>
        </is>
      </c>
      <c r="B27" s="67" t="inlineStr">
        <is>
          <t>Processing Industry</t>
        </is>
      </c>
      <c r="C27" s="71" t="n"/>
      <c r="D27" s="71" t="n"/>
      <c r="E27" s="71" t="n"/>
      <c r="F27" s="40" t="n"/>
      <c r="G27" s="67" t="n">
        <v>280</v>
      </c>
      <c r="H27" s="71" t="n"/>
      <c r="I27" s="40" t="n"/>
      <c r="J27" s="71" t="n"/>
      <c r="K27" s="71" t="n"/>
      <c r="L27" s="71" t="n"/>
      <c r="M27" s="71" t="n"/>
      <c r="N27" s="71" t="n"/>
      <c r="O27" s="71" t="n"/>
      <c r="P27" s="71" t="n"/>
      <c r="Q27" s="71" t="n"/>
      <c r="R27" s="71" t="n"/>
      <c r="S27" s="71" t="n"/>
      <c r="T27" s="39" t="n"/>
      <c r="U27" s="39" t="n"/>
      <c r="V27" s="39" t="n"/>
    </row>
    <row r="28" ht="153" customHeight="1" s="97">
      <c r="A28" s="39" t="n">
        <v>1</v>
      </c>
      <c r="B28" s="71" t="inlineStr">
        <is>
          <t>Agricultural Product Origin Processing Projects</t>
        </is>
      </c>
      <c r="C28" s="71" t="inlineStr">
        <is>
          <t>Newly built</t>
        </is>
      </c>
      <c r="D28" s="71" t="inlineStr">
        <is>
          <t>2025.3-2025.10</t>
        </is>
      </c>
      <c r="E28" s="71" t="inlineStr">
        <is>
          <t>Shuiquan Town</t>
        </is>
      </c>
      <c r="F28" s="40" t="inlineStr">
        <is>
          <t>Relying on cold storage and fresh-keeping facilities at agricultural product origins, install two sets of cleaning, grading, cutting, and packaging machinery to complete the preliminary processing of agricultural products, improve the comprehensive utilization rate of existing cold storage and fresh-keeping facilities, promote the construction of the entire agricultural industry chain, and enhance the added value of agricultural products. For projects constructed and operated by agricultural business entities, the investment from the follow-up funds accounts for 30% of the total investment; the investment from the follow-up funds forms separately and reliably measurable operating fixed assets, which are registered under rural collective economic organizations. The rural collective economic organizations sign standardized lease contracts with agricultural business entities, specifying the asset lease return rate.</t>
        </is>
      </c>
      <c r="G28" s="71" t="n">
        <v>80</v>
      </c>
      <c r="H28" s="71" t="inlineStr">
        <is>
          <t>Consecutive 
Funds</t>
        </is>
      </c>
      <c r="I28" s="40" t="inlineStr">
        <is>
          <t>Complete the initial processing of agricultural products, improve the comprehensive utilization rate of cold storage and fresh-keeping facilities for existing products, promote the construction of the entire agricultural industry chain, and enhance the added value of agricultural products.</t>
        </is>
      </c>
      <c r="J28" s="40" t="inlineStr">
        <is>
          <t>Through the implementation of this project, it can indirectly motivate the local population to participate in labor employment and increase their income from work. At the same time, it will also increase the collective income of the village.</t>
        </is>
      </c>
      <c r="K28" s="71" t="n">
        <v>5</v>
      </c>
      <c r="L28" s="71" t="n">
        <v>14</v>
      </c>
      <c r="M28" s="71" t="n">
        <v>0.4</v>
      </c>
      <c r="N28" s="71" t="n">
        <v>0.1</v>
      </c>
      <c r="O28" s="71" t="n">
        <v>0.3</v>
      </c>
      <c r="P28" s="71" t="n">
        <v>1.1</v>
      </c>
      <c r="Q28" s="71" t="n">
        <v>0.15</v>
      </c>
      <c r="R28" s="71" t="n">
        <v>0.95</v>
      </c>
      <c r="S28" s="71" t="inlineStr">
        <is>
          <t>Agriculture and Rural Affairs Bureau</t>
        </is>
      </c>
      <c r="T28" s="71" t="inlineStr">
        <is>
          <t>Industry Stock</t>
        </is>
      </c>
      <c r="U28" s="107" t="n">
        <v>2024.1</v>
      </c>
      <c r="V28" s="39" t="inlineStr">
        <is>
          <t>Upgrade a batch</t>
        </is>
      </c>
    </row>
    <row r="29" ht="120.75" customHeight="1" s="97">
      <c r="A29" s="39" t="n">
        <v>2</v>
      </c>
      <c r="B29" s="71" t="inlineStr">
        <is>
          <t>Fuxing Township Agricultural Products Processing Construction Project</t>
        </is>
      </c>
      <c r="C29" s="71" t="inlineStr">
        <is>
          <t>Newly built</t>
        </is>
      </c>
      <c r="D29" s="71" t="inlineStr">
        <is>
          <t>2025.3-2025.10</t>
        </is>
      </c>
      <c r="E29" s="71" t="inlineStr">
        <is>
          <t>Fuxing Township</t>
        </is>
      </c>
      <c r="F29" s="40" t="inlineStr">
        <is>
          <t>A new agricultural product processing workshop will be built in the south of the Fuxing Community for storing and processing specialty products such as honeysuckle, Xanthoceras sorbifolium, and zucchini. The factory is made of color steel structure, covering an area of 300 square meters, and is equipped with two medium-sized dryers. The asset will belong to the village collective, and the village will increase its collective income by collecting lease fees. (The distribution ratio of village collective income shall be no less than 5%).</t>
        </is>
      </c>
      <c r="G29" s="71" t="n">
        <v>50</v>
      </c>
      <c r="H29" s="71" t="inlineStr">
        <is>
          <t>Consecutive 
Funds</t>
        </is>
      </c>
      <c r="I29" s="40" t="inlineStr">
        <is>
          <t>Steadily promote the transformation of agricultural planting structure, consolidate the demonstration and leadership of characteristic industries, drive the public to expand planting scale, and extend the industrial chain.</t>
        </is>
      </c>
      <c r="J29" s="40" t="inlineStr">
        <is>
          <t>After the project is implemented, it can absorb more than 20 local residents and resettlement area residents for employment, with an estimated increase in income of 1,500 yuan per person.</t>
        </is>
      </c>
      <c r="K29" s="71" t="n">
        <v>5</v>
      </c>
      <c r="L29" s="71" t="n">
        <v>2</v>
      </c>
      <c r="M29" s="71">
        <f>N29+O29</f>
        <v/>
      </c>
      <c r="N29" s="71" t="n">
        <v>0.00114</v>
      </c>
      <c r="O29" s="71" t="n">
        <v>0.00096</v>
      </c>
      <c r="P29" s="71">
        <f>Q29+R29</f>
        <v/>
      </c>
      <c r="Q29" s="71" t="n">
        <v>0.00357</v>
      </c>
      <c r="R29" s="71" t="n">
        <v>0.00042</v>
      </c>
      <c r="S29" s="71" t="inlineStr">
        <is>
          <t>Development and Reform Bureau</t>
        </is>
      </c>
      <c r="T29" s="71" t="inlineStr">
        <is>
          <t>Fuxing Township</t>
        </is>
      </c>
      <c r="U29" s="107" t="n">
        <v>2024.1</v>
      </c>
      <c r="V29" s="39" t="inlineStr">
        <is>
          <t>Upgrade a batch</t>
        </is>
      </c>
    </row>
    <row r="30" ht="111" customHeight="1" s="97">
      <c r="A30" s="39" t="n">
        <v>3</v>
      </c>
      <c r="B30" s="71" t="inlineStr">
        <is>
          <t>Zhangtian Township Beizhuang Village Small Cereal Processing Base Construction Project</t>
        </is>
      </c>
      <c r="C30" s="71" t="inlineStr">
        <is>
          <t>Newly built</t>
        </is>
      </c>
      <c r="D30" s="71" t="inlineStr">
        <is>
          <t>2025.3-2025.10</t>
        </is>
      </c>
      <c r="E30" s="71" t="inlineStr">
        <is>
          <t>Beizhuang Village</t>
        </is>
      </c>
      <c r="F30" s="40" t="inlineStr">
        <is>
          <t>Construct 1 flour processing workshop, 1 miscellaneous grain noodle workshop, and 1 oil processing workshop. The connection fund investment accounts for 30% of the total investment; the connection fund investment forms separately and reliably measurable operating fixed assets. The fixed assets are confirmed to belong to rural collective economic organizations, and the rural collective economic organizations sign standardized lease contracts with agricultural operating entities, specifying the asset lease rate of return.</t>
        </is>
      </c>
      <c r="G30" s="71" t="n">
        <v>150</v>
      </c>
      <c r="H30" s="71" t="inlineStr">
        <is>
          <t>Consecutive 
Funds</t>
        </is>
      </c>
      <c r="I30" s="40" t="inlineStr">
        <is>
          <t>Solve the problem of deep processing of small grains in Zhongtian Township.</t>
        </is>
      </c>
      <c r="J30" s="40" t="inlineStr">
        <is>
          <t>After the project is implemented, it can solve the problem of small miscellaneous grain procurement for the local people, while absorbing more than 18 local workers, with an estimated per capita income of 2,000 yuan.</t>
        </is>
      </c>
      <c r="K30" s="71" t="n">
        <v>1</v>
      </c>
      <c r="L30" s="71" t="n">
        <v>5</v>
      </c>
      <c r="M30" s="71" t="n">
        <v>0.05</v>
      </c>
      <c r="N30" s="71" t="n">
        <v>0.012</v>
      </c>
      <c r="O30" s="71" t="n">
        <v>0.038</v>
      </c>
      <c r="P30" s="71" t="n">
        <v>0.2432</v>
      </c>
      <c r="Q30" s="71" t="n">
        <v>0.0906</v>
      </c>
      <c r="R30" s="71" t="n">
        <v>0.1526</v>
      </c>
      <c r="S30" s="71" t="inlineStr">
        <is>
          <t>Agriculture and Rural Affairs Bureau</t>
        </is>
      </c>
      <c r="T30" s="71" t="inlineStr">
        <is>
          <t>Zhangtian Township</t>
        </is>
      </c>
      <c r="U30" s="107" t="n">
        <v>2024.1</v>
      </c>
      <c r="V30" s="39" t="inlineStr">
        <is>
          <t>Upgrade a batch</t>
        </is>
      </c>
    </row>
    <row r="31" ht="33" customHeight="1" s="97">
      <c r="A31" s="41" t="inlineStr">
        <is>
          <t>⑶</t>
        </is>
      </c>
      <c r="B31" s="67" t="inlineStr">
        <is>
          <t>Village Collective Economy Development Project</t>
        </is>
      </c>
      <c r="C31" s="71" t="n"/>
      <c r="D31" s="71" t="n"/>
      <c r="E31" s="71" t="n"/>
      <c r="F31" s="40" t="n"/>
      <c r="G31" s="67" t="n">
        <v>1560</v>
      </c>
      <c r="H31" s="71" t="n"/>
      <c r="I31" s="40" t="n"/>
      <c r="J31" s="40" t="n"/>
      <c r="K31" s="71" t="n"/>
      <c r="L31" s="71" t="n"/>
      <c r="M31" s="71" t="n"/>
      <c r="N31" s="71" t="n"/>
      <c r="O31" s="71" t="n"/>
      <c r="P31" s="71" t="n"/>
      <c r="Q31" s="71" t="n"/>
      <c r="R31" s="71" t="n"/>
      <c r="S31" s="71" t="n"/>
      <c r="T31" s="71" t="n"/>
      <c r="U31" s="107" t="n"/>
      <c r="V31" s="39" t="n"/>
    </row>
    <row r="32" ht="75.75" customHeight="1" s="97">
      <c r="A32" s="39" t="n">
        <v>1</v>
      </c>
      <c r="B32" s="71" t="inlineStr">
        <is>
          <t>Baoji Town Xiaochuan Village Drying Workshop Construction Project</t>
        </is>
      </c>
      <c r="C32" s="42" t="inlineStr">
        <is>
          <t>Newly built</t>
        </is>
      </c>
      <c r="D32" s="42" t="n">
        <v>2025</v>
      </c>
      <c r="E32" s="42" t="inlineStr">
        <is>
          <t>Xiaochuan Village</t>
        </is>
      </c>
      <c r="F32" s="40" t="inlineStr">
        <is>
          <t>Hardening of 1,500 square meters of site, construction of one new grain storage warehouse, and supporting facilities such as a drying tower. The assets will belong to the village collective, and the village will increase its collective income by collecting lease fees. (The distribution ratio of village collective income shall be no less than 5%).</t>
        </is>
      </c>
      <c r="G32" s="71" t="n">
        <v>260</v>
      </c>
      <c r="H32" s="71" t="inlineStr">
        <is>
          <t>Consecutive 
Funds</t>
        </is>
      </c>
      <c r="I32" s="40" t="inlineStr">
        <is>
          <t>Solve the storage problem of 12,000 mu of crops in the surrounding area.</t>
        </is>
      </c>
      <c r="J32" s="53" t="n"/>
      <c r="K32" s="42" t="n">
        <v>1</v>
      </c>
      <c r="L32" s="42" t="n"/>
      <c r="M32" s="71" t="n">
        <v>0.0241</v>
      </c>
      <c r="N32" s="71" t="n">
        <v>0.006</v>
      </c>
      <c r="O32" s="71" t="n">
        <v>0.0191</v>
      </c>
      <c r="P32" s="71" t="n">
        <v>0.0876</v>
      </c>
      <c r="Q32" s="71" t="n">
        <v>0.0241</v>
      </c>
      <c r="R32" s="71" t="n">
        <v>0.0618</v>
      </c>
      <c r="S32" s="71" t="inlineStr">
        <is>
          <t>Agriculture and Rural Affairs Bureau</t>
        </is>
      </c>
      <c r="T32" s="71" t="inlineStr">
        <is>
          <t>Baoji Town</t>
        </is>
      </c>
      <c r="U32" s="107" t="n">
        <v>2024.1</v>
      </c>
      <c r="V32" s="39" t="inlineStr">
        <is>
          <t>Upgrade a batch</t>
        </is>
      </c>
    </row>
    <row r="33" ht="97.5" customHeight="1" s="97">
      <c r="A33" s="39" t="n">
        <v>2</v>
      </c>
      <c r="B33" s="71" t="inlineStr">
        <is>
          <t>Shuiquan Town Grain Drying and Storage Infrastructure Construction Project</t>
        </is>
      </c>
      <c r="C33" s="71" t="inlineStr">
        <is>
          <t>Newly built</t>
        </is>
      </c>
      <c r="D33" s="71" t="inlineStr">
        <is>
          <t>2025.3-2025.10</t>
        </is>
      </c>
      <c r="E33" s="71" t="inlineStr">
        <is>
          <t>Yage Shui Village</t>
        </is>
      </c>
      <c r="F33" s="40" t="inlineStr">
        <is>
          <t>Construct a corn drying site covering 133,200 square meters, install one mixed-flow drying tower with a capacity of 160 tons/day (less than 30 water content), one mixed-flow drying tower with a capacity of 200 tons/day (less than 30 water content), two配套 heat exchange hot air furnaces, one 120-ton ground scale, one cleaning machine, three dehulling machines, two forklifts, five 15-meter conveyors, and power facilities, and construct six grain silos with a capacity of 300 tons each.</t>
        </is>
      </c>
      <c r="G33" s="43" t="n">
        <v>700</v>
      </c>
      <c r="H33" s="71" t="inlineStr">
        <is>
          <t>Consecutive 
Funds</t>
        </is>
      </c>
      <c r="I33" s="40" t="inlineStr">
        <is>
          <t>Mobilize farmer labor force, increase village collective economic income</t>
        </is>
      </c>
      <c r="J33" s="40" t="n"/>
      <c r="L33" s="71" t="n">
        <v>1</v>
      </c>
      <c r="M33" s="71" t="n">
        <v>0.0075</v>
      </c>
      <c r="N33" s="71" t="n">
        <v>0.0003</v>
      </c>
      <c r="O33" s="71" t="n">
        <v>0.0072</v>
      </c>
      <c r="P33" s="71" t="n">
        <v>0.0302</v>
      </c>
      <c r="Q33" s="71" t="n">
        <v>0.0014</v>
      </c>
      <c r="R33" s="71" t="n">
        <v>0.0288</v>
      </c>
      <c r="S33" s="71" t="inlineStr">
        <is>
          <t>Agriculture and Rural Affairs Bureau</t>
        </is>
      </c>
      <c r="T33" s="71" t="inlineStr">
        <is>
          <t>Shuiquan Town</t>
        </is>
      </c>
      <c r="U33" s="107" t="n">
        <v>2024.1</v>
      </c>
      <c r="V33" s="39" t="inlineStr">
        <is>
          <t>Upgrade a batch</t>
        </is>
      </c>
    </row>
    <row r="34" ht="91.5" customHeight="1" s="97">
      <c r="A34" s="39" t="n">
        <v>3</v>
      </c>
      <c r="B34" s="71" t="inlineStr">
        <is>
          <t>Rou Niu Breeding and Farming Base Construction Project in Wuxing Village, Zhongtian Township</t>
        </is>
      </c>
      <c r="C34" s="71" t="inlineStr">
        <is>
          <t>Newly built</t>
        </is>
      </c>
      <c r="D34" s="71" t="inlineStr">
        <is>
          <t>2025.3-2025.10</t>
        </is>
      </c>
      <c r="E34" s="71" t="inlineStr">
        <is>
          <t>Wuxing Village</t>
        </is>
      </c>
      <c r="F34" s="40" t="inlineStr">
        <is>
          <t>New livestock breeding base of 6,000 square meters, 1 feed processing workshop, 1 forage storage room, 15 pens, with a capacity of 300 heads. The assets belong to the village collective, and the village increases its collective income by collecting contracting fees. (The distribution ratio of village collective income is no less than 5%).</t>
        </is>
      </c>
      <c r="G34" s="71" t="n">
        <v>200</v>
      </c>
      <c r="H34" s="71" t="inlineStr">
        <is>
          <t>Consecutive 
Funds</t>
        </is>
      </c>
      <c r="I34" s="40" t="inlineStr">
        <is>
          <t>After the completion of this project, it will enhance livestock breeding capacity, beautify the village appearance, and increase villagers' income.</t>
        </is>
      </c>
      <c r="J34" s="40" t="n"/>
      <c r="K34" s="71" t="n"/>
      <c r="L34" s="71" t="n">
        <v>1</v>
      </c>
      <c r="M34" s="71" t="n">
        <v>0.0077</v>
      </c>
      <c r="N34" s="71" t="n">
        <v>0.0032</v>
      </c>
      <c r="O34" s="71" t="n">
        <v>0.0045</v>
      </c>
      <c r="P34" s="71" t="n">
        <v>0.0352</v>
      </c>
      <c r="Q34" s="71" t="n">
        <v>0.0152</v>
      </c>
      <c r="R34" s="71" t="n">
        <v>0.02</v>
      </c>
      <c r="S34" s="71" t="inlineStr">
        <is>
          <t>Agriculture and Rural Affairs Bureau</t>
        </is>
      </c>
      <c r="T34" s="71" t="inlineStr">
        <is>
          <t>Zhangtian Township</t>
        </is>
      </c>
      <c r="U34" s="107" t="n">
        <v>2024.1</v>
      </c>
      <c r="V34" s="39" t="inlineStr">
        <is>
          <t>Consolidate a batch</t>
        </is>
      </c>
    </row>
    <row r="35" ht="91.5" customHeight="1" s="97">
      <c r="A35" s="39" t="n">
        <v>4</v>
      </c>
      <c r="B35" s="71" t="inlineStr">
        <is>
          <t>Village Collective Economic Development Project</t>
        </is>
      </c>
      <c r="C35" s="71" t="inlineStr">
        <is>
          <t>Newly built</t>
        </is>
      </c>
      <c r="D35" s="71" t="inlineStr">
        <is>
          <t>2025.1-2025.12</t>
        </is>
      </c>
      <c r="E35" s="71" t="inlineStr">
        <is>
          <t>Xiaoshui Village  
Yagou Shui Village  
Shuiquan Village  
Jingerchuan Village</t>
        </is>
      </c>
      <c r="F35" s="40" t="inlineStr">
        <is>
          <t>Develop the Xanthoceras sorbifolium industry in four villages: Xiaoshui Village, Yagoushui Village, Shuiquan Village of Shuiquan Town, and Jing'ercuan Village of Wangjia Mountain Town. Each village will plant more than 200 mu of Xanthoceras sorbifolium. The assets will belong to the village collective, and the village will increase its collective income by collecting contracting fees. (The distribution ratio of village collective income shall be no less than 5%).</t>
        </is>
      </c>
      <c r="G35" s="71" t="n">
        <v>400</v>
      </c>
      <c r="H35" s="71" t="inlineStr">
        <is>
          <t>Consecutive 
Funds</t>
        </is>
      </c>
      <c r="I35" s="40" t="inlineStr">
        <is>
          <t>Support and drive the local economic development, and improve the production and living conditions of the people.</t>
        </is>
      </c>
      <c r="J35" s="40" t="inlineStr">
        <is>
          <t>After the project is implemented, it can increase the income of farmers and the collective economy of the village.</t>
        </is>
      </c>
      <c r="K35" s="71" t="n"/>
      <c r="L35" s="71" t="n">
        <v>4</v>
      </c>
      <c r="M35" s="71">
        <f>N35+O35</f>
        <v/>
      </c>
      <c r="N35" s="71" t="n">
        <v>0.006</v>
      </c>
      <c r="O35" s="71" t="n">
        <v>0.0191</v>
      </c>
      <c r="P35" s="71">
        <f>Q35+R35</f>
        <v/>
      </c>
      <c r="Q35" s="71" t="n">
        <v>0.0241</v>
      </c>
      <c r="R35" s="71" t="n">
        <v>0.0618</v>
      </c>
      <c r="S35" s="71" t="inlineStr">
        <is>
          <t>Agriculture and Rural Affairs Bureau</t>
        </is>
      </c>
      <c r="T35" s="71" t="inlineStr">
        <is>
          <t>Relevant Townships</t>
        </is>
      </c>
      <c r="U35" s="107" t="n">
        <v>2024.1</v>
      </c>
      <c r="V35" s="39" t="n"/>
    </row>
    <row r="36" ht="39.75" customHeight="1" s="97">
      <c r="A36" s="41" t="inlineStr">
        <is>
          <t>㈡</t>
        </is>
      </c>
      <c r="B36" s="67" t="inlineStr">
        <is>
          <t>Supporting Infrastructure</t>
        </is>
      </c>
      <c r="C36" s="39" t="n"/>
      <c r="D36" s="39" t="n"/>
      <c r="E36" s="39" t="n"/>
      <c r="F36" s="44" t="n"/>
      <c r="G36" s="41">
        <f>G37+G86</f>
        <v/>
      </c>
      <c r="H36" s="71" t="n"/>
      <c r="I36" s="44" t="n"/>
      <c r="J36" s="39" t="n"/>
      <c r="K36" s="39" t="n"/>
      <c r="L36" s="39" t="n"/>
      <c r="M36" s="39" t="n"/>
      <c r="N36" s="39" t="n"/>
      <c r="O36" s="39" t="n"/>
      <c r="P36" s="39" t="n"/>
      <c r="Q36" s="39" t="n"/>
      <c r="R36" s="39" t="n"/>
      <c r="S36" s="39" t="n"/>
      <c r="T36" s="39" t="n"/>
      <c r="U36" s="39" t="n"/>
      <c r="V36" s="39" t="n"/>
    </row>
    <row r="37" ht="42.75" customHeight="1" s="97">
      <c r="A37" s="41" t="inlineStr">
        <is>
          <t>⑴</t>
        </is>
      </c>
      <c r="B37" s="67" t="inlineStr">
        <is>
          <t>Small farmland water conservancy facilities</t>
        </is>
      </c>
      <c r="C37" s="39" t="n"/>
      <c r="D37" s="39" t="n"/>
      <c r="E37" s="39" t="n"/>
      <c r="F37" s="44" t="n"/>
      <c r="G37" s="41" t="n">
        <v>6920.65</v>
      </c>
      <c r="H37" s="71" t="n"/>
      <c r="I37" s="44" t="n"/>
      <c r="J37" s="39" t="n"/>
      <c r="K37" s="39" t="n"/>
      <c r="L37" s="39" t="n"/>
      <c r="M37" s="39" t="n"/>
      <c r="N37" s="39" t="n"/>
      <c r="O37" s="39" t="n"/>
      <c r="P37" s="39" t="n"/>
      <c r="Q37" s="39" t="n"/>
      <c r="R37" s="39" t="n"/>
      <c r="S37" s="39" t="n"/>
      <c r="T37" s="39" t="n"/>
      <c r="U37" s="39" t="n"/>
      <c r="V37" s="39" t="n"/>
    </row>
    <row r="38" ht="70.5" customFormat="1" customHeight="1" s="4">
      <c r="A38" s="71" t="n">
        <v>1</v>
      </c>
      <c r="B38" s="71" t="inlineStr">
        <is>
          <t>Shuiquan Town Shashiliu Village High-efficiency Water-saving Irrigation Project Water Supply Pipeline Construction Project</t>
        </is>
      </c>
      <c r="C38" s="71" t="inlineStr">
        <is>
          <t>Continuation construction</t>
        </is>
      </c>
      <c r="D38" s="71" t="inlineStr">
        <is>
          <t>2025.3-2025.10</t>
        </is>
      </c>
      <c r="E38" s="71" t="inlineStr">
        <is>
          <t>Shaliu
Shui Village</t>
        </is>
      </c>
      <c r="F38" s="40" t="inlineStr">
        <is>
          <t>Lay spiral welded steel pipe DN250 water conveyance pipeline 5901 meters, PE250 water conveyance pipeline 300 meters, including 42 piers, 4 inspection wells, 3 drainage wells, 3 air release wells; construct 1 new pre-pool for water intake and 1 pumping station.</t>
        </is>
      </c>
      <c r="G38" s="71" t="n">
        <v>278.4</v>
      </c>
      <c r="H38" s="71" t="inlineStr">
        <is>
          <t>Consecutive 
Funds</t>
        </is>
      </c>
      <c r="I38" s="40" t="inlineStr">
        <is>
          <t>Supplementary water source engineering to ensure that the already high-standard farmland can smoothly access water and generate benefits.</t>
        </is>
      </c>
      <c r="J38" s="71" t="n"/>
      <c r="K38" s="71" t="n"/>
      <c r="L38" s="71" t="n">
        <v>1</v>
      </c>
      <c r="M38" s="71" t="n">
        <v>0.0615</v>
      </c>
      <c r="N38" s="71" t="n">
        <v>0.0123</v>
      </c>
      <c r="O38" s="71" t="n">
        <v>0.0492</v>
      </c>
      <c r="P38" s="71" t="n">
        <v>0.1558</v>
      </c>
      <c r="Q38" s="71" t="n">
        <v>0.0332</v>
      </c>
      <c r="R38" s="71" t="n">
        <v>0.1226</v>
      </c>
      <c r="S38" s="71" t="inlineStr">
        <is>
          <t>Agriculture and Rural Affairs Bureau</t>
        </is>
      </c>
      <c r="T38" s="71" t="inlineStr">
        <is>
          <t>Shuiquan Town</t>
        </is>
      </c>
      <c r="U38" s="107" t="n">
        <v>2024.1</v>
      </c>
      <c r="V38" s="71" t="n"/>
    </row>
    <row r="39" ht="70.5" customFormat="1" customHeight="1" s="4">
      <c r="A39" s="71" t="n">
        <v>2</v>
      </c>
      <c r="B39" s="71" t="inlineStr">
        <is>
          <t>Shuiquan Town Shashiliu Village High-efficiency Water-saving Irrigation Project Water Storage Pool Construction Project</t>
        </is>
      </c>
      <c r="C39" s="71" t="inlineStr">
        <is>
          <t>Continuation construction</t>
        </is>
      </c>
      <c r="D39" s="71" t="inlineStr">
        <is>
          <t>2025.3-2025.10</t>
        </is>
      </c>
      <c r="E39" s="71" t="inlineStr">
        <is>
          <t>Shaliu
Shui Village</t>
        </is>
      </c>
      <c r="F39" s="40" t="inlineStr">
        <is>
          <t>Construct 1 water reservoir with a capacity of 30,000 cubic meters, 1 pump house, lay 1,195.95 meters of PE200 water supply pipeline, and build 8 supporting piers, 2 inspection wells, and 1 drainage well.</t>
        </is>
      </c>
      <c r="G39" s="71" t="n">
        <v>327</v>
      </c>
      <c r="H39" s="71" t="inlineStr">
        <is>
          <t>Consecutive 
Funds</t>
        </is>
      </c>
      <c r="I39" s="40" t="inlineStr">
        <is>
          <t>Supplementary water source engineering to ensure that the already high-standard farmland can smoothly access water and generate benefits.</t>
        </is>
      </c>
      <c r="J39" s="71" t="n"/>
      <c r="K39" s="71" t="n"/>
      <c r="L39" s="71" t="n">
        <v>1</v>
      </c>
      <c r="M39" s="71">
        <f>N39+O39</f>
        <v/>
      </c>
      <c r="N39" s="71" t="n">
        <v>0.0123</v>
      </c>
      <c r="O39" s="71" t="n">
        <v>0.0492</v>
      </c>
      <c r="P39" s="71">
        <f>Q39+R39</f>
        <v/>
      </c>
      <c r="Q39" s="71" t="n">
        <v>0.0332</v>
      </c>
      <c r="R39" s="71" t="n">
        <v>0.1226</v>
      </c>
      <c r="S39" s="71" t="inlineStr">
        <is>
          <t>Agriculture and Rural Affairs Bureau</t>
        </is>
      </c>
      <c r="T39" s="71" t="inlineStr">
        <is>
          <t>Shuiquan Town</t>
        </is>
      </c>
      <c r="U39" s="107" t="n">
        <v>2024.1</v>
      </c>
      <c r="V39" s="71" t="n"/>
    </row>
    <row r="40" ht="64.5" customFormat="1" customHeight="1" s="4">
      <c r="A40" s="71" t="n">
        <v>3</v>
      </c>
      <c r="B40" s="71" t="inlineStr">
        <is>
          <t>Shuiquan Town Hanpingchuan Village Corn Cultivation High-efficiency Water-saving Irrigation Project</t>
        </is>
      </c>
      <c r="C40" s="71" t="inlineStr">
        <is>
          <t>Newly built</t>
        </is>
      </c>
      <c r="D40" s="71" t="inlineStr">
        <is>
          <t>2025.3-2025.10</t>
        </is>
      </c>
      <c r="E40" s="71" t="inlineStr">
        <is>
          <t>Hanshipingchuan Village</t>
        </is>
      </c>
      <c r="F40" s="40" t="inlineStr">
        <is>
          <t>Construct a 10,000 m³ water storage tank, lay PE pipe materials DN160 (1.0 MPa) totaling 5,200 m, and PE90 (0.25 MPa) totaling 4,000 m; build 2 gate valve wells, 13 inspection wells, 10 drainage wells, 1 equipment room, and 1 set of the main system.</t>
        </is>
      </c>
      <c r="G40" s="71" t="n">
        <v>300</v>
      </c>
      <c r="H40" s="71" t="inlineStr">
        <is>
          <t>Consecutive 
Funds</t>
        </is>
      </c>
      <c r="I40" s="40" t="inlineStr">
        <is>
          <t>Reduce water resource waste and increase the income of the local industry.</t>
        </is>
      </c>
      <c r="J40" s="71" t="n"/>
      <c r="K40" s="71" t="n"/>
      <c r="L40" s="71" t="n">
        <v>1</v>
      </c>
      <c r="M40" s="71">
        <f>N40+O40</f>
        <v/>
      </c>
      <c r="N40" s="71" t="n">
        <v>0.0013</v>
      </c>
      <c r="O40" s="71" t="n">
        <v>0.0513</v>
      </c>
      <c r="P40" s="71">
        <f>Q40+R40</f>
        <v/>
      </c>
      <c r="Q40" s="71" t="n">
        <v>0.0062</v>
      </c>
      <c r="R40" s="71" t="n">
        <v>0.1723</v>
      </c>
      <c r="S40" s="71" t="inlineStr">
        <is>
          <t>Agriculture and Rural Affairs Bureau</t>
        </is>
      </c>
      <c r="T40" s="71" t="inlineStr">
        <is>
          <t>Shuiquan Town</t>
        </is>
      </c>
      <c r="U40" s="107" t="n">
        <v>2024.1</v>
      </c>
      <c r="V40" s="71" t="n"/>
    </row>
    <row r="41" ht="64.5" customFormat="1" customHeight="1" s="4">
      <c r="A41" s="71" t="n">
        <v>4</v>
      </c>
      <c r="B41" s="47" t="inlineStr">
        <is>
          <t>Shuiquan Town Shashiliu Village Channel Lining Project</t>
        </is>
      </c>
      <c r="C41" s="47" t="inlineStr">
        <is>
          <t>Newly built</t>
        </is>
      </c>
      <c r="D41" s="47" t="inlineStr">
        <is>
          <t>2025.3-2025.10</t>
        </is>
      </c>
      <c r="E41" s="47" t="inlineStr">
        <is>
          <t>Shashuiliu Village</t>
        </is>
      </c>
      <c r="F41" s="45" t="inlineStr">
        <is>
          <t>Lining U50 channel for 1,180 meters, and constructing 68 distribution gates.</t>
        </is>
      </c>
      <c r="G41" s="71" t="n">
        <v>19</v>
      </c>
      <c r="H41" s="71" t="n"/>
      <c r="I41" s="28" t="inlineStr">
        <is>
          <t>Solve irrigation area of 500 mu.</t>
        </is>
      </c>
      <c r="J41" s="71" t="n"/>
      <c r="K41" s="71" t="n"/>
      <c r="L41" s="71" t="n">
        <v>1</v>
      </c>
      <c r="M41" s="71">
        <f>N41+O41</f>
        <v/>
      </c>
      <c r="N41" s="71" t="n">
        <v>0.0123</v>
      </c>
      <c r="O41" s="71" t="n">
        <v>0.0492</v>
      </c>
      <c r="P41" s="71">
        <f>Q41+R41</f>
        <v/>
      </c>
      <c r="Q41" s="71" t="n">
        <v>0.0332</v>
      </c>
      <c r="R41" s="71" t="n">
        <v>0.1226</v>
      </c>
      <c r="S41" s="71" t="inlineStr">
        <is>
          <t>Agriculture and Rural Affairs Bureau</t>
        </is>
      </c>
      <c r="T41" s="71" t="inlineStr">
        <is>
          <t>Shuiquan Town</t>
        </is>
      </c>
      <c r="U41" s="107" t="n">
        <v>2024.1</v>
      </c>
      <c r="V41" s="71" t="n"/>
    </row>
    <row r="42" ht="66.75" customFormat="1" customHeight="1" s="4">
      <c r="A42" s="71" t="n">
        <v>5</v>
      </c>
      <c r="B42" s="79" t="inlineStr">
        <is>
          <t>Shuiquan Town Fengyuan Village Corn Planting High-efficiency Water-saving Irrigation Project</t>
        </is>
      </c>
      <c r="C42" s="71" t="inlineStr">
        <is>
          <t>Newly built</t>
        </is>
      </c>
      <c r="D42" s="71" t="inlineStr">
        <is>
          <t>2025.3-2025.10</t>
        </is>
      </c>
      <c r="E42" s="71" t="inlineStr">
        <is>
          <t>Fengyuan Village</t>
        </is>
      </c>
      <c r="F42" s="45" t="inlineStr">
        <is>
          <t>Construct a 5,000 m³ water storage tank, lay a total of 3,200 m of PE pipe material DN160 (1.0 MPa), and a total of 2,500 m of PE flexible pipe φ90 (0.25 MPa); construct 2 gate valve wells, 6 inspection wells, 8 drainage wells, 1 equipment room, and 1 set of the main system.</t>
        </is>
      </c>
      <c r="G42" s="71" t="n">
        <v>210</v>
      </c>
      <c r="H42" s="71" t="inlineStr">
        <is>
          <t>Consecutive 
Funds</t>
        </is>
      </c>
      <c r="I42" s="40" t="inlineStr">
        <is>
          <t>Reduce water resource waste and increase the income of the local industry.</t>
        </is>
      </c>
      <c r="J42" s="71" t="n"/>
      <c r="K42" s="71" t="n"/>
      <c r="L42" s="71" t="n">
        <v>1</v>
      </c>
      <c r="M42" s="71" t="n">
        <v>0.017</v>
      </c>
      <c r="N42" s="71" t="n">
        <v>0.0042</v>
      </c>
      <c r="O42" s="71" t="n">
        <v>0.0128</v>
      </c>
      <c r="P42" s="71" t="n">
        <v>0.0939</v>
      </c>
      <c r="Q42" s="71" t="n">
        <v>0.0223</v>
      </c>
      <c r="R42" s="71" t="n">
        <v>0.0716</v>
      </c>
      <c r="S42" s="71" t="inlineStr">
        <is>
          <t>Agriculture and Rural Affairs Bureau</t>
        </is>
      </c>
      <c r="T42" s="71" t="inlineStr">
        <is>
          <t>Shuiquan Town</t>
        </is>
      </c>
      <c r="U42" s="107" t="n">
        <v>2024.1</v>
      </c>
      <c r="V42" s="71" t="n"/>
    </row>
    <row r="43" ht="57" customFormat="1" customHeight="1" s="4">
      <c r="A43" s="71" t="n">
        <v>6</v>
      </c>
      <c r="B43" s="79" t="inlineStr">
        <is>
          <t>Shuiquan Town Yagoushui Village High-efficiency Water-saving Irrigation Project</t>
        </is>
      </c>
      <c r="C43" s="71" t="inlineStr">
        <is>
          <t>Newly built</t>
        </is>
      </c>
      <c r="D43" s="71" t="inlineStr">
        <is>
          <t>2025.3-2025.10</t>
        </is>
      </c>
      <c r="E43" s="71" t="inlineStr">
        <is>
          <t>Yagei  
Shuicun</t>
        </is>
      </c>
      <c r="F43" s="45" t="inlineStr">
        <is>
          <t>Level 600 acres of land, build a 5,000 cubic meter water storage pool, and lay 5.7 kilometers of pipeline.</t>
        </is>
      </c>
      <c r="G43" s="71" t="n">
        <v>180</v>
      </c>
      <c r="H43" s="71" t="n"/>
      <c r="I43" s="40" t="inlineStr">
        <is>
          <t>Reduce water resource waste and increase the income of the local industry.</t>
        </is>
      </c>
      <c r="J43" s="71" t="n"/>
      <c r="K43" s="71" t="n"/>
      <c r="L43" s="71" t="n">
        <v>1</v>
      </c>
      <c r="M43" s="71" t="n">
        <v>0.0075</v>
      </c>
      <c r="N43" s="71" t="n">
        <v>0.0003</v>
      </c>
      <c r="O43" s="71" t="n">
        <v>0.0072</v>
      </c>
      <c r="P43" s="71" t="n">
        <v>0.0302</v>
      </c>
      <c r="Q43" s="71" t="n">
        <v>0.0014</v>
      </c>
      <c r="R43" s="71" t="n">
        <v>0.0288</v>
      </c>
      <c r="S43" s="71" t="inlineStr">
        <is>
          <t>Agriculture and Rural Affairs Bureau</t>
        </is>
      </c>
      <c r="T43" s="71" t="inlineStr">
        <is>
          <t>Shuiquan Town</t>
        </is>
      </c>
      <c r="U43" s="107" t="n">
        <v>2024.1</v>
      </c>
      <c r="V43" s="71" t="n"/>
    </row>
    <row r="44" ht="69" customHeight="1" s="97">
      <c r="A44" s="71" t="n">
        <v>7</v>
      </c>
      <c r="B44" s="47" t="inlineStr">
        <is>
          <t>Shuiquan Town Yagoushui Village Corn Planting Irrigation Pipeline Construction Project</t>
        </is>
      </c>
      <c r="C44" s="109" t="inlineStr">
        <is>
          <t>Newly built</t>
        </is>
      </c>
      <c r="D44" s="79" t="inlineStr">
        <is>
          <t>2025.3-2025.10</t>
        </is>
      </c>
      <c r="E44" s="109" t="inlineStr">
        <is>
          <t>Yage Shui Village</t>
        </is>
      </c>
      <c r="F44" s="110" t="inlineStr">
        <is>
          <t>Lay 1881m of grade 100 Ф315 PE pipe, 420m of grade 100 Ф200 PE pipe, and 2 inspection wells.</t>
        </is>
      </c>
      <c r="G44" s="109" t="n">
        <v>105</v>
      </c>
      <c r="H44" s="71" t="inlineStr">
        <is>
          <t>Consecutive 
Funds</t>
        </is>
      </c>
      <c r="I44" s="40" t="inlineStr">
        <is>
          <t>Solve irrigation area of 200 acres.</t>
        </is>
      </c>
      <c r="J44" s="71" t="n"/>
      <c r="K44" s="71" t="n"/>
      <c r="L44" s="71" t="n">
        <v>1</v>
      </c>
      <c r="M44" s="71" t="n">
        <v>0.0075</v>
      </c>
      <c r="N44" s="71" t="n">
        <v>0.0003</v>
      </c>
      <c r="O44" s="71" t="n">
        <v>0.0072</v>
      </c>
      <c r="P44" s="71" t="n">
        <v>0.0302</v>
      </c>
      <c r="Q44" s="71" t="n">
        <v>0.0014</v>
      </c>
      <c r="R44" s="71" t="n">
        <v>0.0288</v>
      </c>
      <c r="S44" s="71" t="inlineStr">
        <is>
          <t>Agriculture and Rural Affairs Bureau</t>
        </is>
      </c>
      <c r="T44" s="71" t="inlineStr">
        <is>
          <t>Shuiquan Town</t>
        </is>
      </c>
      <c r="U44" s="107" t="n">
        <v>2024.1</v>
      </c>
      <c r="V44" s="39" t="n"/>
    </row>
    <row r="45" ht="61.5" customFormat="1" customHeight="1" s="4">
      <c r="A45" s="71" t="n">
        <v>8</v>
      </c>
      <c r="B45" s="71" t="inlineStr">
        <is>
          <t>Shuiquan Town Zayuan Village Corn Industry Channel Lining Project</t>
        </is>
      </c>
      <c r="C45" s="71" t="inlineStr">
        <is>
          <t>Newly built</t>
        </is>
      </c>
      <c r="D45" s="71" t="inlineStr">
        <is>
          <t>2025.3-2025.10</t>
        </is>
      </c>
      <c r="E45" s="71" t="inlineStr">
        <is>
          <t>Zaoyuan Village</t>
        </is>
      </c>
      <c r="F45" s="40" t="inlineStr">
        <is>
          <t>Lining of U50 channel for 6 km, 480 sluice gates, and 40 meters of culvert pipes.</t>
        </is>
      </c>
      <c r="G45" s="71" t="n">
        <v>90</v>
      </c>
      <c r="H45" s="71" t="inlineStr">
        <is>
          <t>Consecutive 
Funds</t>
        </is>
      </c>
      <c r="I45" s="40" t="inlineStr">
        <is>
          <t>Reduce water resource waste and increase the income of the local industry.</t>
        </is>
      </c>
      <c r="J45" s="71" t="n"/>
      <c r="K45" s="71" t="n"/>
      <c r="L45" s="71" t="n">
        <v>1</v>
      </c>
      <c r="M45" s="71" t="n">
        <v>0.0373</v>
      </c>
      <c r="N45" s="71" t="n">
        <v>0.0013</v>
      </c>
      <c r="O45" s="71" t="n">
        <v>0.036</v>
      </c>
      <c r="P45" s="71" t="n">
        <v>0.148</v>
      </c>
      <c r="Q45" s="71" t="n">
        <v>0.028</v>
      </c>
      <c r="R45" s="71" t="n">
        <v>0.12</v>
      </c>
      <c r="S45" s="71" t="inlineStr">
        <is>
          <t>Agriculture and Rural Affairs Bureau</t>
        </is>
      </c>
      <c r="T45" s="71" t="inlineStr">
        <is>
          <t>Shuiquan Town</t>
        </is>
      </c>
      <c r="U45" s="107" t="n">
        <v>2024.1</v>
      </c>
      <c r="V45" s="71" t="n"/>
    </row>
    <row r="46" ht="66" customHeight="1" s="97">
      <c r="A46" s="71" t="n">
        <v>9</v>
      </c>
      <c r="B46" s="71" t="inlineStr">
        <is>
          <t>Shuiquan Town Dahuangwan Village Corn Seed Production Industry Channel Lining Project</t>
        </is>
      </c>
      <c r="C46" s="71" t="inlineStr">
        <is>
          <t>Newly built</t>
        </is>
      </c>
      <c r="D46" s="71" t="inlineStr">
        <is>
          <t>2025.3-2025.10</t>
        </is>
      </c>
      <c r="E46" s="71" t="inlineStr">
        <is>
          <t>Big Yellow Bay Village</t>
        </is>
      </c>
      <c r="F46" s="40" t="inlineStr">
        <is>
          <t>Lining of U50 channel for 6 km, 400 sluice gates.</t>
        </is>
      </c>
      <c r="G46" s="39" t="n">
        <v>90</v>
      </c>
      <c r="H46" s="71" t="inlineStr">
        <is>
          <t>Consecutive 
Funds</t>
        </is>
      </c>
      <c r="I46" s="40" t="inlineStr">
        <is>
          <t>Reduce water resource waste and increase the income of the local industry.</t>
        </is>
      </c>
      <c r="J46" s="39" t="n"/>
      <c r="K46" s="39" t="n"/>
      <c r="L46" s="6" t="n">
        <v>1</v>
      </c>
      <c r="M46" s="39" t="n">
        <v>0.0434</v>
      </c>
      <c r="N46" s="39" t="n">
        <v>0.0012</v>
      </c>
      <c r="O46" s="39" t="n">
        <v>0.0422</v>
      </c>
      <c r="P46" s="39" t="n">
        <v>0.1746</v>
      </c>
      <c r="Q46" s="39" t="n">
        <v>0.0042</v>
      </c>
      <c r="R46" s="39" t="n">
        <v>0.165</v>
      </c>
      <c r="S46" s="71" t="inlineStr">
        <is>
          <t>Agriculture and Rural Affairs Bureau</t>
        </is>
      </c>
      <c r="T46" s="71" t="inlineStr">
        <is>
          <t>Shuiquan Town</t>
        </is>
      </c>
      <c r="U46" s="107" t="n">
        <v>2024.1</v>
      </c>
      <c r="V46" s="39" t="n"/>
    </row>
    <row r="47" ht="57" customFormat="1" customHeight="1" s="4">
      <c r="A47" s="71" t="n">
        <v>10</v>
      </c>
      <c r="B47" s="71" t="inlineStr">
        <is>
          <t>Shuiquan Town Xiaohuangwan Village Corn Industry Channel Lining Project</t>
        </is>
      </c>
      <c r="C47" s="71" t="inlineStr">
        <is>
          <t>Newly built</t>
        </is>
      </c>
      <c r="D47" s="71" t="inlineStr">
        <is>
          <t>2025.3-2025.10</t>
        </is>
      </c>
      <c r="E47" s="71" t="inlineStr">
        <is>
          <t>Xiaohuang Bay Village</t>
        </is>
      </c>
      <c r="F47" s="40" t="inlineStr">
        <is>
          <t>Lining of U50 channel for 5 km, 400 sluice gates, and 40 meters of culvert pipe.</t>
        </is>
      </c>
      <c r="G47" s="71" t="n">
        <v>75</v>
      </c>
      <c r="H47" s="71" t="inlineStr">
        <is>
          <t>Consecutive 
Funds</t>
        </is>
      </c>
      <c r="I47" s="40" t="inlineStr">
        <is>
          <t>Reduce water resource waste and increase the income of the local industry.</t>
        </is>
      </c>
      <c r="J47" s="71" t="n"/>
      <c r="K47" s="71" t="n"/>
      <c r="L47" s="71" t="n">
        <v>1</v>
      </c>
      <c r="M47" s="71" t="n">
        <v>0.0275</v>
      </c>
      <c r="N47" s="71" t="n">
        <v>0.0063</v>
      </c>
      <c r="O47" s="71" t="n">
        <v>0.0213</v>
      </c>
      <c r="P47" s="71" t="n">
        <v>0.0964</v>
      </c>
      <c r="Q47" s="71" t="n">
        <v>0.0276</v>
      </c>
      <c r="R47" s="71" t="n">
        <v>0.0688</v>
      </c>
      <c r="S47" s="71" t="inlineStr">
        <is>
          <t>Agriculture and Rural Affairs Bureau</t>
        </is>
      </c>
      <c r="T47" s="71" t="inlineStr">
        <is>
          <t>Shuiquan Town</t>
        </is>
      </c>
      <c r="U47" s="107" t="n">
        <v>2024.1</v>
      </c>
      <c r="V47" s="71" t="n"/>
    </row>
    <row r="48" ht="78" customHeight="1" s="97">
      <c r="A48" s="71" t="n">
        <v>11</v>
      </c>
      <c r="B48" s="71" t="inlineStr">
        <is>
          <t>Shuiquan Town Yagoushui Village Corn Cultivation Irrigation Channel Renovation Project</t>
        </is>
      </c>
      <c r="C48" s="71" t="inlineStr">
        <is>
          <t>Newly built</t>
        </is>
      </c>
      <c r="D48" s="71" t="inlineStr">
        <is>
          <t>2025.3-2025.10</t>
        </is>
      </c>
      <c r="E48" s="71" t="inlineStr">
        <is>
          <t>Yagei  
Shuicun</t>
        </is>
      </c>
      <c r="F48" s="40" t="inlineStr">
        <is>
          <t>Newly built PE300 water conveyance pipeline 480m, newly built channel lining (U50) 2291m, unidirectional flow control ditch gate 74 units, bidirectional flow control ditch gate 72 units, culvert pipe 4 units, outlet anti-erosion pool 1 unit, wall-penetrating jacking pipe 8m, gate valve well 1 unit.</t>
        </is>
      </c>
      <c r="G48" s="71" t="n">
        <v>65.25</v>
      </c>
      <c r="H48" s="71" t="inlineStr">
        <is>
          <t>Consecutive 
Funds</t>
        </is>
      </c>
      <c r="I48" s="40" t="inlineStr">
        <is>
          <t>Solve the condition of irrigation channels and ensure irrigation</t>
        </is>
      </c>
      <c r="J48" s="39" t="n"/>
      <c r="K48" s="39" t="n"/>
      <c r="L48" s="39" t="n">
        <v>1</v>
      </c>
      <c r="M48" s="39" t="n">
        <v>0.0149</v>
      </c>
      <c r="N48" s="39" t="n">
        <v>0.0005999999999999999</v>
      </c>
      <c r="O48" s="39" t="n">
        <v>0.0143</v>
      </c>
      <c r="P48" s="39" t="n">
        <v>0.063</v>
      </c>
      <c r="Q48" s="39" t="n">
        <v>0.0029</v>
      </c>
      <c r="R48" s="39" t="n">
        <v>0.0601</v>
      </c>
      <c r="S48" s="71" t="inlineStr">
        <is>
          <t>Agriculture and Rural Affairs Bureau</t>
        </is>
      </c>
      <c r="T48" s="71" t="inlineStr">
        <is>
          <t>Shuiquan Town</t>
        </is>
      </c>
      <c r="U48" s="107" t="n">
        <v>2024.1</v>
      </c>
      <c r="V48" s="39" t="n"/>
    </row>
    <row r="49" ht="57" customFormat="1" customHeight="1" s="4">
      <c r="A49" s="71" t="n">
        <v>12</v>
      </c>
      <c r="B49" s="71" t="inlineStr">
        <is>
          <t>Shuiquan Town Doucheng Village Corn Industry Channel Lining Project</t>
        </is>
      </c>
      <c r="C49" s="71" t="inlineStr">
        <is>
          <t>Newly built</t>
        </is>
      </c>
      <c r="D49" s="71" t="inlineStr">
        <is>
          <t>2025.3-2025.10</t>
        </is>
      </c>
      <c r="E49" s="71" t="inlineStr">
        <is>
          <t>Doucheng Village</t>
        </is>
      </c>
      <c r="F49" s="40" t="inlineStr">
        <is>
          <t>Lining of U50 channel for 5 km, 400 sluice gates, and 40 meters of culvert pipe.</t>
        </is>
      </c>
      <c r="G49" s="71" t="n">
        <v>90</v>
      </c>
      <c r="H49" s="71" t="inlineStr">
        <is>
          <t>Consecutive 
Funds</t>
        </is>
      </c>
      <c r="I49" s="40" t="inlineStr">
        <is>
          <t>Reduce water resource waste and increase the income of the local industry.</t>
        </is>
      </c>
      <c r="J49" s="71" t="n"/>
      <c r="K49" s="71" t="n"/>
      <c r="L49" s="71" t="n">
        <v>1</v>
      </c>
      <c r="M49" s="71" t="n">
        <v>0.028</v>
      </c>
      <c r="N49" s="71" t="n">
        <v>0.0021</v>
      </c>
      <c r="O49" s="71" t="n">
        <v>0.0259</v>
      </c>
      <c r="P49" s="71" t="n">
        <v>0.098</v>
      </c>
      <c r="Q49" s="71" t="n">
        <v>0.0074</v>
      </c>
      <c r="R49" s="71" t="n">
        <v>0.0906</v>
      </c>
      <c r="S49" s="71" t="inlineStr">
        <is>
          <t>Agriculture and Rural Affairs Bureau</t>
        </is>
      </c>
      <c r="T49" s="71" t="inlineStr">
        <is>
          <t>Shuiquan Town</t>
        </is>
      </c>
      <c r="U49" s="107" t="n">
        <v>2024.1</v>
      </c>
      <c r="V49" s="71" t="n"/>
    </row>
    <row r="50" ht="57" customFormat="1" customHeight="1" s="4">
      <c r="A50" s="71" t="n">
        <v>13</v>
      </c>
      <c r="B50" s="71" t="inlineStr">
        <is>
          <t>Shuiquan Town Shuiquan Village Corn Industry Channel Lining Project</t>
        </is>
      </c>
      <c r="C50" s="71" t="inlineStr">
        <is>
          <t>Newly built</t>
        </is>
      </c>
      <c r="D50" s="71" t="inlineStr">
        <is>
          <t>2025.3-2025.10</t>
        </is>
      </c>
      <c r="E50" s="71" t="inlineStr">
        <is>
          <t>Shuiquan Village</t>
        </is>
      </c>
      <c r="F50" s="40" t="inlineStr">
        <is>
          <t>Lining of U50 channel for 5 km, 400 sluice gates, and 40 meters of culvert pipe.</t>
        </is>
      </c>
      <c r="G50" s="71" t="n">
        <v>90</v>
      </c>
      <c r="H50" s="71" t="inlineStr">
        <is>
          <t>Consecutive 
Funds</t>
        </is>
      </c>
      <c r="I50" s="40" t="inlineStr">
        <is>
          <t>Reduce water resource waste and increase the income of the local industry.</t>
        </is>
      </c>
      <c r="J50" s="71" t="n"/>
      <c r="K50" s="71" t="n"/>
      <c r="L50" s="71" t="n">
        <v>1</v>
      </c>
      <c r="M50" s="71" t="n">
        <v>0.028</v>
      </c>
      <c r="N50" s="71" t="n">
        <v>0.0025</v>
      </c>
      <c r="O50" s="71" t="n">
        <v>0.0663</v>
      </c>
      <c r="P50" s="71" t="n">
        <v>0.098</v>
      </c>
      <c r="Q50" s="71" t="n">
        <v>0.009900000000000001</v>
      </c>
      <c r="R50" s="71" t="n">
        <v>0.2024</v>
      </c>
      <c r="S50" s="71" t="inlineStr">
        <is>
          <t>Agriculture and Rural Affairs Bureau</t>
        </is>
      </c>
      <c r="T50" s="71" t="inlineStr">
        <is>
          <t>Shuiquan Town</t>
        </is>
      </c>
      <c r="U50" s="107" t="n">
        <v>2024.1</v>
      </c>
      <c r="V50" s="71" t="n"/>
    </row>
    <row r="51" ht="57.75" customFormat="1" customHeight="1" s="4">
      <c r="A51" s="71" t="n">
        <v>14</v>
      </c>
      <c r="B51" s="71" t="inlineStr">
        <is>
          <t>Shuiquan Town Yangling Village Corn Industry Channel Lining Project</t>
        </is>
      </c>
      <c r="C51" s="71" t="inlineStr">
        <is>
          <t>Newly built</t>
        </is>
      </c>
      <c r="D51" s="71" t="inlineStr">
        <is>
          <t>2025.3-2025.10</t>
        </is>
      </c>
      <c r="E51" s="71" t="inlineStr">
        <is>
          <t>Yangling Village</t>
        </is>
      </c>
      <c r="F51" s="40" t="inlineStr">
        <is>
          <t>Lining 4 km of U50 channel, 230 sluice gates, and 32 meters of culvert pipe in the first and second production teams.</t>
        </is>
      </c>
      <c r="G51" s="71" t="n">
        <v>52</v>
      </c>
      <c r="H51" s="71" t="inlineStr">
        <is>
          <t>Consecutive 
Funds</t>
        </is>
      </c>
      <c r="I51" s="40" t="inlineStr">
        <is>
          <t>Reduce water resource waste and increase the income of the local industry.</t>
        </is>
      </c>
      <c r="J51" s="71" t="n"/>
      <c r="K51" s="71" t="n"/>
      <c r="L51" s="71" t="n">
        <v>1</v>
      </c>
      <c r="M51" s="71" t="n">
        <v>0.03</v>
      </c>
      <c r="N51" s="71" t="n">
        <v>0.002</v>
      </c>
      <c r="O51" s="71" t="n">
        <v>0.028</v>
      </c>
      <c r="P51" s="71" t="n">
        <v>0.09</v>
      </c>
      <c r="Q51" s="71" t="n">
        <v>0.006</v>
      </c>
      <c r="R51" s="71" t="n">
        <v>0.08400000000000001</v>
      </c>
      <c r="S51" s="71" t="inlineStr">
        <is>
          <t>Agriculture and Rural Affairs Bureau</t>
        </is>
      </c>
      <c r="T51" s="71" t="inlineStr">
        <is>
          <t>Shuiquan Town</t>
        </is>
      </c>
      <c r="U51" s="107" t="n">
        <v>2024.1</v>
      </c>
      <c r="V51" s="71" t="n"/>
    </row>
    <row r="52" ht="54.75" customHeight="1" s="97">
      <c r="A52" s="71" t="n">
        <v>15</v>
      </c>
      <c r="B52" s="71" t="inlineStr">
        <is>
          <t>Baoji Town Shigoutan Water-saving Irrigation Water Storage Pool Project</t>
        </is>
      </c>
      <c r="C52" s="71" t="inlineStr">
        <is>
          <t>Newly built</t>
        </is>
      </c>
      <c r="D52" s="71" t="inlineStr">
        <is>
          <t>2025.3-2025.10</t>
        </is>
      </c>
      <c r="E52" s="71" t="inlineStr">
        <is>
          <t>Jianshan Village</t>
        </is>
      </c>
      <c r="F52" s="40" t="inlineStr">
        <is>
          <t>Build a new 40,000 cubic meter water regulation and storage pool, with supporting pipelines and other facilities.</t>
        </is>
      </c>
      <c r="G52" s="71" t="n">
        <v>275</v>
      </c>
      <c r="H52" s="71" t="inlineStr">
        <is>
          <t>Consecutive 
Funds</t>
        </is>
      </c>
      <c r="I52" s="40" t="inlineStr">
        <is>
          <t>Solve the irrigation problem for 5,000 mu of land in Shigoutan.</t>
        </is>
      </c>
      <c r="J52" s="71" t="n"/>
      <c r="K52" s="71" t="n"/>
      <c r="L52" s="71" t="n">
        <v>1</v>
      </c>
      <c r="M52" s="71" t="n">
        <v>0.0195</v>
      </c>
      <c r="N52" s="71" t="n">
        <v>0.0032</v>
      </c>
      <c r="O52" s="71" t="n">
        <v>0.0163</v>
      </c>
      <c r="P52" s="71" t="n">
        <v>0.0678</v>
      </c>
      <c r="Q52" s="71" t="n">
        <v>0.0137</v>
      </c>
      <c r="R52" s="71" t="n">
        <v>0.0541</v>
      </c>
      <c r="S52" s="71" t="inlineStr">
        <is>
          <t>Water Resources Bureau</t>
        </is>
      </c>
      <c r="T52" s="71" t="inlineStr">
        <is>
          <t>Baoji Town</t>
        </is>
      </c>
      <c r="U52" s="107" t="n">
        <v>2024.1</v>
      </c>
      <c r="V52" s="39" t="n"/>
    </row>
    <row r="53" ht="61.5" customHeight="1" s="97">
      <c r="A53" s="71" t="n">
        <v>16</v>
      </c>
      <c r="B53" s="71" t="inlineStr">
        <is>
          <t>Baoji Town, Diaogou Village Water-saving Irrigation Water Storage Pool Project</t>
        </is>
      </c>
      <c r="C53" s="71" t="inlineStr">
        <is>
          <t>Newly built</t>
        </is>
      </c>
      <c r="D53" s="71" t="inlineStr">
        <is>
          <t>2025.3-2025.10</t>
        </is>
      </c>
      <c r="E53" s="71" t="inlineStr">
        <is>
          <t>Diao Gou Village</t>
        </is>
      </c>
      <c r="F53" s="40" t="inlineStr">
        <is>
          <t>1000 meters of PE160 pipeline, construct a new 10,000 cubic meter water storage tank.</t>
        </is>
      </c>
      <c r="G53" s="71" t="n">
        <v>85</v>
      </c>
      <c r="H53" s="71" t="inlineStr">
        <is>
          <t>Consecutive 
Funds</t>
        </is>
      </c>
      <c r="I53" s="40" t="inlineStr">
        <is>
          <t>Develop 500 acres of village collective economy income planting to solve the issue for the entire village.</t>
        </is>
      </c>
      <c r="J53" s="71" t="n"/>
      <c r="K53" s="71" t="n"/>
      <c r="L53" s="71" t="n">
        <v>1</v>
      </c>
      <c r="M53" s="71" t="n">
        <v>0.0355</v>
      </c>
      <c r="N53" s="71" t="n">
        <v>0.001</v>
      </c>
      <c r="O53" s="71" t="n">
        <v>0.0345</v>
      </c>
      <c r="P53" s="71" t="n">
        <v>0.1347</v>
      </c>
      <c r="Q53" s="71" t="n">
        <v>0.0037</v>
      </c>
      <c r="R53" s="71" t="n">
        <v>0.131</v>
      </c>
      <c r="S53" s="71" t="inlineStr">
        <is>
          <t>Water Resources Bureau</t>
        </is>
      </c>
      <c r="T53" s="71" t="inlineStr">
        <is>
          <t>Baoji Town</t>
        </is>
      </c>
      <c r="U53" s="107" t="n">
        <v>2024.1</v>
      </c>
      <c r="V53" s="39" t="n"/>
    </row>
    <row r="54" ht="61.5" customHeight="1" s="97">
      <c r="A54" s="71" t="n">
        <v>17</v>
      </c>
      <c r="B54" s="71" t="inlineStr">
        <is>
          <t>Baohua Town Dayan Village Land Leveling and Infrastructure Construction Project</t>
        </is>
      </c>
      <c r="C54" s="71" t="inlineStr">
        <is>
          <t>Newly built</t>
        </is>
      </c>
      <c r="D54" s="71" t="inlineStr">
        <is>
          <t>2025.3-2025.10</t>
        </is>
      </c>
      <c r="E54" s="71" t="inlineStr">
        <is>
          <t>Dawan Village</t>
        </is>
      </c>
      <c r="F54" s="40" t="inlineStr">
        <is>
          <t>Level 250 acres of land, construct 5 km of new irrigation pipelines using DN125 PE pipes, install 3 inspection wells and 3 drainage wells.</t>
        </is>
      </c>
      <c r="G54" s="71" t="n">
        <v>75</v>
      </c>
      <c r="H54" s="71" t="inlineStr">
        <is>
          <t>Consecutive 
Funds</t>
        </is>
      </c>
      <c r="I54" s="40" t="inlineStr">
        <is>
          <t>Improve the effective irrigation area by 400 mu.</t>
        </is>
      </c>
      <c r="J54" s="71" t="n"/>
      <c r="K54" s="71" t="n"/>
      <c r="L54" s="71" t="n">
        <v>1</v>
      </c>
      <c r="M54" s="71" t="n">
        <v>0.0162</v>
      </c>
      <c r="N54" s="71" t="n">
        <v>0.016</v>
      </c>
      <c r="O54" s="71" t="n">
        <v>0.0002</v>
      </c>
      <c r="P54" s="71" t="n">
        <v>0.0543</v>
      </c>
      <c r="Q54" s="71" t="n">
        <v>0.0533</v>
      </c>
      <c r="R54" s="71" t="n">
        <v>0.001</v>
      </c>
      <c r="S54" s="71" t="inlineStr">
        <is>
          <t>Agriculture and Rural Affairs Bureau</t>
        </is>
      </c>
      <c r="T54" s="71" t="inlineStr">
        <is>
          <t>Baoji Town</t>
        </is>
      </c>
      <c r="U54" s="107" t="n">
        <v>2024.1</v>
      </c>
      <c r="V54" s="39" t="n"/>
    </row>
    <row r="55" ht="54" customHeight="1" s="97">
      <c r="A55" s="71" t="n">
        <v>18</v>
      </c>
      <c r="B55" s="71" t="inlineStr">
        <is>
          <t>Baoji Town, Diaogou Village Wheat and Corn Industry Channel Lining Project</t>
        </is>
      </c>
      <c r="C55" s="71" t="inlineStr">
        <is>
          <t>Newly built</t>
        </is>
      </c>
      <c r="D55" s="71" t="inlineStr">
        <is>
          <t>2025.3-2025.10</t>
        </is>
      </c>
      <c r="E55" s="71" t="inlineStr">
        <is>
          <t>Diao Gou Village</t>
        </is>
      </c>
      <c r="F55" s="40" t="inlineStr">
        <is>
          <t>Lining 5 kilometers of 50U-shaped channel</t>
        </is>
      </c>
      <c r="G55" s="71" t="n">
        <v>60</v>
      </c>
      <c r="H55" s="71" t="inlineStr">
        <is>
          <t>Consecutive 
Funds</t>
        </is>
      </c>
      <c r="I55" s="40" t="inlineStr">
        <is>
          <t>Solve the irrigation problem for 480 mu of land in Sanshe.</t>
        </is>
      </c>
      <c r="J55" s="71" t="n"/>
      <c r="K55" s="71" t="n"/>
      <c r="L55" s="71" t="n">
        <v>1</v>
      </c>
      <c r="M55" s="71" t="n">
        <v>0.0098</v>
      </c>
      <c r="N55" s="71" t="n">
        <v>0.0004</v>
      </c>
      <c r="O55" s="71" t="n">
        <v>0.0094</v>
      </c>
      <c r="P55" s="71" t="n">
        <v>0.0488</v>
      </c>
      <c r="Q55" s="71" t="n">
        <v>0.0014</v>
      </c>
      <c r="R55" s="71" t="n">
        <v>0.0474</v>
      </c>
      <c r="S55" s="71" t="inlineStr">
        <is>
          <t>Agriculture and Rural Affairs Bureau</t>
        </is>
      </c>
      <c r="T55" s="71" t="inlineStr">
        <is>
          <t>Baoji Town</t>
        </is>
      </c>
      <c r="U55" s="107" t="n">
        <v>2024.1</v>
      </c>
      <c r="V55" s="39" t="n"/>
    </row>
    <row r="56" ht="60.75" customHeight="1" s="97">
      <c r="A56" s="71" t="n">
        <v>19</v>
      </c>
      <c r="B56" s="71" t="inlineStr">
        <is>
          <t>Baoji Town Weidi Village Wheat and Corn Irrigation Pipeline Renewal Project</t>
        </is>
      </c>
      <c r="C56" s="71" t="inlineStr">
        <is>
          <t>Newly built</t>
        </is>
      </c>
      <c r="D56" s="71" t="inlineStr">
        <is>
          <t>2025.3-2025.10</t>
        </is>
      </c>
      <c r="E56" s="71" t="inlineStr">
        <is>
          <t>Wei's Family
Land Village</t>
        </is>
      </c>
      <c r="F56" s="111" t="inlineStr">
        <is>
          <t>Lay 3,544 meters of 100-grade Ф160 PE pipe.</t>
        </is>
      </c>
      <c r="G56" s="79" t="n">
        <v>49</v>
      </c>
      <c r="H56" s="71" t="inlineStr">
        <is>
          <t>Consecutive 
Funds</t>
        </is>
      </c>
      <c r="I56" s="40" t="inlineStr">
        <is>
          <t>Improve irrigation area for corn and wheat by 800 mu.</t>
        </is>
      </c>
      <c r="J56" s="71" t="n"/>
      <c r="K56" s="71" t="n"/>
      <c r="L56" s="71" t="n">
        <v>1</v>
      </c>
      <c r="M56" s="71" t="n">
        <v>0.008999999999999999</v>
      </c>
      <c r="N56" s="71" t="n">
        <v>0.001</v>
      </c>
      <c r="O56" s="71" t="n">
        <v>0.008</v>
      </c>
      <c r="P56" s="71" t="n">
        <v>0.036</v>
      </c>
      <c r="Q56" s="71" t="n">
        <v>0.044</v>
      </c>
      <c r="R56" s="71" t="n">
        <v>0.0316</v>
      </c>
      <c r="S56" s="71" t="inlineStr">
        <is>
          <t>Agriculture and Rural Affairs Bureau</t>
        </is>
      </c>
      <c r="T56" s="71" t="inlineStr">
        <is>
          <t>Baoji Town</t>
        </is>
      </c>
      <c r="U56" s="107" t="n">
        <v>2024.1</v>
      </c>
      <c r="V56" s="39" t="n"/>
    </row>
    <row r="57" ht="66" customHeight="1" s="97">
      <c r="A57" s="71" t="n">
        <v>20</v>
      </c>
      <c r="B57" s="71" t="inlineStr">
        <is>
          <t>Baojī Town Dūndūn Tān Village Wheat and Corn Industry Channel Lining Project</t>
        </is>
      </c>
      <c r="C57" s="39" t="inlineStr">
        <is>
          <t>Continuation construction</t>
        </is>
      </c>
      <c r="D57" s="71" t="inlineStr">
        <is>
          <t>2025.3-2025.10</t>
        </is>
      </c>
      <c r="E57" s="71" t="inlineStr">
        <is>
          <t>Dunden Tanch Village</t>
        </is>
      </c>
      <c r="F57" s="44" t="inlineStr">
        <is>
          <t>Lining a U-shaped channel for 4.5 kilometers.</t>
        </is>
      </c>
      <c r="G57" s="39" t="n">
        <v>50</v>
      </c>
      <c r="H57" s="71" t="inlineStr">
        <is>
          <t>Consecutive 
Funds</t>
        </is>
      </c>
      <c r="I57" s="40" t="inlineStr">
        <is>
          <t>Improve irrigation for 1,000 acres.</t>
        </is>
      </c>
      <c r="J57" s="71" t="n"/>
      <c r="K57" s="71" t="n"/>
      <c r="L57" s="71" t="n">
        <v>1</v>
      </c>
      <c r="M57" s="71" t="n">
        <v>0.0201</v>
      </c>
      <c r="N57" s="71" t="n">
        <v>0.0015</v>
      </c>
      <c r="O57" s="71" t="n">
        <v>0.0186</v>
      </c>
      <c r="P57" s="71" t="n">
        <v>0.0801</v>
      </c>
      <c r="Q57" s="71" t="n">
        <v>0.0066</v>
      </c>
      <c r="R57" s="71" t="n">
        <v>0.0735</v>
      </c>
      <c r="S57" s="71" t="inlineStr">
        <is>
          <t>Agriculture and Rural Affairs Bureau</t>
        </is>
      </c>
      <c r="T57" s="71" t="inlineStr">
        <is>
          <t>Baoji Town</t>
        </is>
      </c>
      <c r="U57" s="107" t="n">
        <v>2024.1</v>
      </c>
      <c r="V57" s="39" t="n"/>
    </row>
    <row r="58" ht="150.75" customHeight="1" s="97">
      <c r="A58" s="71" t="n">
        <v>21</v>
      </c>
      <c r="B58" s="71" t="inlineStr">
        <is>
          <t>Baojji Town Wheat and Corn Industry Well Maintenance Project</t>
        </is>
      </c>
      <c r="C58" s="71" t="inlineStr">
        <is>
          <t>Update</t>
        </is>
      </c>
      <c r="D58" s="71" t="inlineStr">
        <is>
          <t>2025.3-2025.10</t>
        </is>
      </c>
      <c r="E58" s="83" t="inlineStr">
        <is>
          <t>Fengyuan Village</t>
        </is>
      </c>
      <c r="F58" s="40" t="inlineStr">
        <is>
          <t>Repair 7 water wells, including: Fengyuan Village Well No.1, replace 1 set of motor and water pump, 450 meters of cable, and 150 meters of lift pipe; Well No.2, replace 1 set of motor and water pump; Xin Sanhao Well in Hejiachuan Village, replace 1 set of water pump; Old Sanhao Well in Hejiachuan Village, replace 1 set of water pump and 300 meters of 5-inch lift pipe; Well No.5 in Dunden Tan Village, replace 1 set of motor and water pump, 200 meters of lift pipe for Well No.2; repair 1 set of water pump motor for the drinking water well in Diaogou Village, replace 1 set of motor and water pump for the lower seven branch well, and 200 meters of lift pipe.</t>
        </is>
      </c>
      <c r="G58" s="71" t="n">
        <v>42</v>
      </c>
      <c r="H58" s="71" t="inlineStr">
        <is>
          <t>Consecutive 
Funds</t>
        </is>
      </c>
      <c r="I58" s="40" t="inlineStr">
        <is>
          <t>Improve irrigation for 2,600 mu of land.</t>
        </is>
      </c>
      <c r="J58" s="71" t="n"/>
      <c r="K58" s="71" t="n"/>
      <c r="L58" s="83" t="n">
        <v>4</v>
      </c>
      <c r="M58" s="83" t="n">
        <v>0.08740000000000001</v>
      </c>
      <c r="N58" s="83" t="n">
        <v>0.0055</v>
      </c>
      <c r="O58" s="83" t="n">
        <v>0.0819</v>
      </c>
      <c r="P58" s="83" t="n">
        <v>0.3366</v>
      </c>
      <c r="Q58" s="83" t="n">
        <v>0.0201</v>
      </c>
      <c r="R58" s="112" t="n">
        <v>0.3165</v>
      </c>
      <c r="S58" s="39" t="inlineStr">
        <is>
          <t>Water Resources Bureau</t>
        </is>
      </c>
      <c r="T58" s="71" t="inlineStr">
        <is>
          <t>Baoji Town</t>
        </is>
      </c>
      <c r="U58" s="107" t="n">
        <v>2024.1</v>
      </c>
      <c r="V58" s="39" t="n"/>
    </row>
    <row r="59" ht="78" customHeight="1" s="97">
      <c r="A59" s="71" t="n">
        <v>22</v>
      </c>
      <c r="B59" s="71" t="inlineStr">
        <is>
          <t>Baoji Town Zhoujiadi Village Channel Lining and Pipeline Laying Project</t>
        </is>
      </c>
      <c r="C59" s="71" t="inlineStr">
        <is>
          <t>Newly built</t>
        </is>
      </c>
      <c r="D59" s="71" t="inlineStr">
        <is>
          <t>2025.3-2025.10</t>
        </is>
      </c>
      <c r="E59" s="71" t="inlineStr">
        <is>
          <t>Zhoujia  
Dicun</t>
        </is>
      </c>
      <c r="F59" s="40" t="inlineStr">
        <is>
          <t>Lining 1.5 km of 50U-type channel, 61 single-direction water diversion outlets, 4 double-direction water diversion outlets; laying 50 meters of PE200 pipeline, constructing 900 cubic meters of new water retaining wall.</t>
        </is>
      </c>
      <c r="G59" s="71" t="n">
        <v>33</v>
      </c>
      <c r="H59" s="71" t="inlineStr">
        <is>
          <t>Consecutive 
Funds</t>
        </is>
      </c>
      <c r="I59" s="40" t="inlineStr">
        <is>
          <t>Improve corn and wheat irrigation area by 200 mu.</t>
        </is>
      </c>
      <c r="J59" s="113" t="n"/>
      <c r="K59" s="71" t="n"/>
      <c r="L59" s="71" t="n">
        <v>1</v>
      </c>
      <c r="M59" s="71" t="n">
        <v>0.0232</v>
      </c>
      <c r="N59" s="71" t="n">
        <v>0.0001</v>
      </c>
      <c r="O59" s="71" t="n">
        <v>0.0231</v>
      </c>
      <c r="P59" s="71" t="n">
        <v>0.00856</v>
      </c>
      <c r="Q59" s="71" t="n">
        <v>0.0005</v>
      </c>
      <c r="R59" s="71" t="n">
        <v>0.00851</v>
      </c>
      <c r="S59" s="71" t="inlineStr">
        <is>
          <t>Agriculture and Rural Affairs Bureau</t>
        </is>
      </c>
      <c r="T59" s="71" t="inlineStr">
        <is>
          <t>Baoji Town</t>
        </is>
      </c>
      <c r="U59" s="107" t="n">
        <v>2024.1</v>
      </c>
      <c r="V59" s="39" t="n"/>
    </row>
    <row r="60" ht="78" customHeight="1" s="97">
      <c r="A60" s="71" t="n">
        <v>23</v>
      </c>
      <c r="B60" s="71" t="inlineStr">
        <is>
          <t>Gonghe Town Xihé Village High-efficiency Water-saving Irrigation Water Storage Pool Construction Project</t>
        </is>
      </c>
      <c r="C60" s="71" t="inlineStr">
        <is>
          <t>Newly built</t>
        </is>
      </c>
      <c r="D60" s="71" t="inlineStr">
        <is>
          <t>2025.3-2025.10</t>
        </is>
      </c>
      <c r="E60" s="71" t="inlineStr">
        <is>
          <t>Xihhe Village</t>
        </is>
      </c>
      <c r="F60" s="40" t="inlineStr">
        <is>
          <t>Build a new 50,000 m³ water storage pool.</t>
        </is>
      </c>
      <c r="G60" s="71" t="n">
        <v>400</v>
      </c>
      <c r="H60" s="71" t="n"/>
      <c r="I60" s="40" t="inlineStr">
        <is>
          <t>Reduce water resource waste and increase the income of the people's industries.</t>
        </is>
      </c>
      <c r="J60" s="113" t="n"/>
      <c r="K60" s="71" t="n"/>
      <c r="L60" s="71" t="n">
        <v>1</v>
      </c>
      <c r="M60" s="71">
        <f>N60+O60</f>
        <v/>
      </c>
      <c r="N60" s="71" t="n">
        <v>0.015</v>
      </c>
      <c r="O60" s="71" t="n">
        <v>0.0409</v>
      </c>
      <c r="P60" s="71">
        <f>Q60+R60</f>
        <v/>
      </c>
      <c r="Q60" s="71" t="n">
        <v>0.063</v>
      </c>
      <c r="R60" s="71" t="n">
        <v>0.1712</v>
      </c>
      <c r="S60" s="71" t="inlineStr">
        <is>
          <t>Agriculture and Rural Affairs Bureau</t>
        </is>
      </c>
      <c r="T60" s="71" t="inlineStr">
        <is>
          <t>Gonghe Town</t>
        </is>
      </c>
      <c r="U60" s="107" t="n">
        <v>2024.1</v>
      </c>
      <c r="V60" s="39" t="n"/>
    </row>
    <row r="61" ht="78" customHeight="1" s="97">
      <c r="A61" s="71" t="n">
        <v>24</v>
      </c>
      <c r="B61" s="71" t="inlineStr">
        <is>
          <t>Gonghe Town Xihex Village High-Efficiency Water-Saving Irrigation Water Diversion Pipeline Construction Project</t>
        </is>
      </c>
      <c r="C61" s="71" t="inlineStr">
        <is>
          <t>Newly built</t>
        </is>
      </c>
      <c r="D61" s="71" t="inlineStr">
        <is>
          <t>2025.3-2025.10</t>
        </is>
      </c>
      <c r="E61" s="71" t="inlineStr">
        <is>
          <t>Xihhe Village</t>
        </is>
      </c>
      <c r="F61" s="40" t="inlineStr">
        <is>
          <t>Provide 2756m of 100-grade PEφ400/0.8MPa pipeline, provide 7563m of 100-grade PEφ355/0.8MPa pipeline, provide 681m of 100-grade PEφ200/0.8MPa pipeline, 9 inspection wells, and 6 air release wells. 720</t>
        </is>
      </c>
      <c r="G61" s="71" t="n">
        <v>720</v>
      </c>
      <c r="H61" s="71" t="n"/>
      <c r="I61" s="40" t="inlineStr">
        <is>
          <t>Reduce water resource waste and increase the income of the people's industries.</t>
        </is>
      </c>
      <c r="J61" s="113" t="n"/>
      <c r="K61" s="71" t="n"/>
      <c r="L61" s="71" t="n">
        <v>1</v>
      </c>
      <c r="M61" s="71">
        <f>N61+O61</f>
        <v/>
      </c>
      <c r="N61" s="71" t="n">
        <v>0.015</v>
      </c>
      <c r="O61" s="71" t="n">
        <v>0.0409</v>
      </c>
      <c r="P61" s="71">
        <f>Q61+R61</f>
        <v/>
      </c>
      <c r="Q61" s="71" t="n">
        <v>0.063</v>
      </c>
      <c r="R61" s="71" t="n">
        <v>0.1712</v>
      </c>
      <c r="S61" s="71" t="inlineStr">
        <is>
          <t>Agriculture and Rural Affairs Bureau</t>
        </is>
      </c>
      <c r="T61" s="71" t="inlineStr">
        <is>
          <t>Gonghe Town</t>
        </is>
      </c>
      <c r="U61" s="107" t="n">
        <v>2024.1</v>
      </c>
      <c r="V61" s="39" t="n"/>
    </row>
    <row r="62" ht="78" customHeight="1" s="97">
      <c r="A62" s="71" t="n">
        <v>25</v>
      </c>
      <c r="B62" s="71" t="inlineStr">
        <is>
          <t>Gonghe Town Ge Xiongshui Village High-efficiency Water-saving Irrigation Water Diversion Pipeline Construction Project</t>
        </is>
      </c>
      <c r="C62" s="71" t="inlineStr">
        <is>
          <t>Newly built</t>
        </is>
      </c>
      <c r="D62" s="71" t="inlineStr">
        <is>
          <t>2025.3-2025.10</t>
        </is>
      </c>
      <c r="E62" s="71" t="inlineStr">
        <is>
          <t>Brothers Village</t>
        </is>
      </c>
      <c r="F62" s="40" t="inlineStr">
        <is>
          <t>Lay water transmission pipeline for 3.3 kilometers, PEφ200, install 3 inspection chambers</t>
        </is>
      </c>
      <c r="G62" s="71" t="n">
        <v>60</v>
      </c>
      <c r="H62" s="71" t="n"/>
      <c r="I62" s="40" t="inlineStr">
        <is>
          <t>Improve irrigation area for industrial crop planting by 1,500 mu.</t>
        </is>
      </c>
      <c r="J62" s="113" t="n"/>
      <c r="K62" s="71" t="n"/>
      <c r="L62" s="71" t="n">
        <v>1</v>
      </c>
      <c r="M62" s="71">
        <f>N62+O62</f>
        <v/>
      </c>
      <c r="N62" s="71" t="n">
        <v>0.003</v>
      </c>
      <c r="O62" s="71" t="n">
        <v>0.043</v>
      </c>
      <c r="P62" s="71">
        <f>Q62+R62</f>
        <v/>
      </c>
      <c r="Q62" s="71" t="n">
        <v>0.0126</v>
      </c>
      <c r="R62" s="71" t="n">
        <v>0.181</v>
      </c>
      <c r="S62" s="71" t="inlineStr">
        <is>
          <t>Agriculture and Rural Affairs Bureau</t>
        </is>
      </c>
      <c r="T62" s="71" t="inlineStr">
        <is>
          <t>Gonghe Town</t>
        </is>
      </c>
      <c r="U62" s="107" t="n">
        <v>2024.1</v>
      </c>
      <c r="V62" s="39" t="n"/>
    </row>
    <row r="63" ht="112.5" customHeight="1" s="97">
      <c r="A63" s="71" t="n">
        <v>26</v>
      </c>
      <c r="B63" s="71" t="inlineStr">
        <is>
          <t>Gonghe Town Maohe Luo Village Well Maintenance Project</t>
        </is>
      </c>
      <c r="C63" s="71" t="inlineStr">
        <is>
          <t>Newly built</t>
        </is>
      </c>
      <c r="D63" s="71" t="inlineStr">
        <is>
          <t>2025.3-2025.10</t>
        </is>
      </c>
      <c r="E63" s="71" t="inlineStr">
        <is>
          <t>Mao He  
Luo Village</t>
        </is>
      </c>
      <c r="F63" s="40" t="inlineStr">
        <is>
          <t>125 horsepower water pump and 63 kW well electronic equipment for 4 sets of well配套设施, 125 discharge water pipe 180m.</t>
        </is>
      </c>
      <c r="G63" s="71" t="n">
        <v>18</v>
      </c>
      <c r="H63" s="71" t="inlineStr">
        <is>
          <t>Consecutive 
Funds</t>
        </is>
      </c>
      <c r="I63" s="40" t="inlineStr">
        <is>
          <t>It can enhance the efficiency of water wells, ensure timely irrigation for crops, and prevent yield reduction caused by drought. It also increases farmers' income.</t>
        </is>
      </c>
      <c r="J63" s="71" t="n"/>
      <c r="K63" s="71" t="n">
        <v>1</v>
      </c>
      <c r="L63" s="71" t="n"/>
      <c r="M63" s="71" t="n">
        <v>0.0163</v>
      </c>
      <c r="N63" s="71" t="n">
        <v>0.0042</v>
      </c>
      <c r="O63" s="71" t="n">
        <v>0.0121</v>
      </c>
      <c r="P63" s="71" t="n">
        <v>0.0654</v>
      </c>
      <c r="Q63" s="71" t="n">
        <v>0.0196</v>
      </c>
      <c r="R63" s="71" t="n">
        <v>0.0458</v>
      </c>
      <c r="S63" s="39" t="inlineStr">
        <is>
          <t>Water Resources Bureau</t>
        </is>
      </c>
      <c r="T63" s="39" t="inlineStr">
        <is>
          <t>Gonghe Town</t>
        </is>
      </c>
      <c r="U63" s="107" t="n">
        <v>2024.1</v>
      </c>
      <c r="V63" s="39" t="n"/>
    </row>
    <row r="64" ht="112.5" customHeight="1" s="97">
      <c r="A64" s="71" t="n">
        <v>27</v>
      </c>
      <c r="B64" s="71" t="inlineStr">
        <is>
          <t>Pingchuan District and Town High-efficiency Water-saving Irrigation Renovation and Upgrade Project</t>
        </is>
      </c>
      <c r="C64" s="71" t="inlineStr">
        <is>
          <t>Continuation construction</t>
        </is>
      </c>
      <c r="D64" s="71" t="inlineStr">
        <is>
          <t>2025.3-2025.10</t>
        </is>
      </c>
      <c r="E64" s="71" t="inlineStr">
        <is>
          <t>Maobula Village</t>
        </is>
      </c>
      <c r="F64" s="40" t="inlineStr">
        <is>
          <t>Level 3,182 acres of land, improve soil for 9,504 acres, lay 15.82 km of field pipelines, and construct 17.43 km of field roads.</t>
        </is>
      </c>
      <c r="G64" s="71" t="n">
        <v>302</v>
      </c>
      <c r="H64" s="71" t="inlineStr">
        <is>
          <t>Consecutive 
Funds</t>
        </is>
      </c>
      <c r="I64" s="40" t="inlineStr">
        <is>
          <t>Solve the irrigation problem for 4,500 mu of arable land in this village, develop characteristic industries, and increase income.</t>
        </is>
      </c>
      <c r="J64" s="71" t="n"/>
      <c r="K64" s="71" t="n"/>
      <c r="L64" s="71" t="n">
        <v>1</v>
      </c>
      <c r="M64" s="71" t="n">
        <v>0.08019999999999999</v>
      </c>
      <c r="N64" s="71" t="n">
        <v>0.0077</v>
      </c>
      <c r="O64" s="71" t="n">
        <v>0.0725</v>
      </c>
      <c r="P64" s="71" t="n">
        <v>0.3209</v>
      </c>
      <c r="Q64" s="71" t="n">
        <v>0.0346</v>
      </c>
      <c r="R64" s="71" t="n">
        <v>0.2863</v>
      </c>
      <c r="S64" s="39" t="inlineStr">
        <is>
          <t>Agriculture and Rural Affairs Bureau</t>
        </is>
      </c>
      <c r="T64" s="39" t="inlineStr">
        <is>
          <t>Gonghe Town</t>
        </is>
      </c>
      <c r="U64" s="107" t="n">
        <v>2024.1</v>
      </c>
      <c r="V64" s="39" t="n"/>
    </row>
    <row r="65" ht="81" customHeight="1" s="97">
      <c r="A65" s="71" t="n">
        <v>28</v>
      </c>
      <c r="B65" s="71" t="inlineStr">
        <is>
          <t>Gonghe Town Maobula Village Dry Land Watermelon Planting Industry Water Storage Pond</t>
        </is>
      </c>
      <c r="C65" s="71" t="inlineStr">
        <is>
          <t>Newly built</t>
        </is>
      </c>
      <c r="D65" s="71" t="inlineStr">
        <is>
          <t>2025.3-2025.10</t>
        </is>
      </c>
      <c r="E65" s="71" t="inlineStr">
        <is>
          <t>Maobula Village</t>
        </is>
      </c>
      <c r="F65" s="45" t="inlineStr">
        <is>
          <t>Construct a new 1,500 m³ water storage tank and lay 590 m of 100-grade Ф110 PE pipe.</t>
        </is>
      </c>
      <c r="G65" s="79" t="n">
        <v>34</v>
      </c>
      <c r="H65" s="71" t="inlineStr">
        <is>
          <t>Consecutive 
Funds</t>
        </is>
      </c>
      <c r="I65" s="40" t="inlineStr">
        <is>
          <t>Solve the water supply for watermelon planting on more than 1,500 mu of dry land and increase farmers' income.</t>
        </is>
      </c>
      <c r="J65" s="71" t="n"/>
      <c r="K65" s="71" t="n"/>
      <c r="L65" s="71" t="n">
        <v>1</v>
      </c>
      <c r="M65" s="71" t="n">
        <v>0.005</v>
      </c>
      <c r="N65" s="71" t="n">
        <v>0.0007</v>
      </c>
      <c r="O65" s="71" t="n">
        <v>0.0043</v>
      </c>
      <c r="P65" s="71" t="n">
        <v>0.023</v>
      </c>
      <c r="Q65" s="71" t="n">
        <v>0.003</v>
      </c>
      <c r="R65" s="71" t="n">
        <v>0.02</v>
      </c>
      <c r="S65" s="39" t="inlineStr">
        <is>
          <t>Water Resources Bureau</t>
        </is>
      </c>
      <c r="T65" s="39" t="inlineStr">
        <is>
          <t>Gonghe Town</t>
        </is>
      </c>
      <c r="U65" s="107" t="n">
        <v>2024.1</v>
      </c>
      <c r="V65" s="39" t="n"/>
    </row>
    <row r="66" ht="111" customHeight="1" s="97">
      <c r="A66" s="71" t="n">
        <v>29</v>
      </c>
      <c r="B66" s="79" t="inlineStr">
        <is>
          <t>Gonghe Town Xiaoshui Village Characteristic Planting High-efficiency Water-saving Water Storage Pool Construction Project</t>
        </is>
      </c>
      <c r="C66" s="109" t="inlineStr">
        <is>
          <t>Newly built</t>
        </is>
      </c>
      <c r="D66" s="79" t="inlineStr">
        <is>
          <t>2025.3-2025.10</t>
        </is>
      </c>
      <c r="E66" s="109" t="inlineStr">
        <is>
          <t>Xiaoshui Village</t>
        </is>
      </c>
      <c r="F66" s="110" t="inlineStr">
        <is>
          <t>Construct a new 8,300 m³ water storage tank, along with 1,803 meters of 1.0 MPa Ф160 PE100 grade pipeline, one pump house, and electromechanical equipment.</t>
        </is>
      </c>
      <c r="G66" s="109" t="n">
        <v>136</v>
      </c>
      <c r="H66" s="71" t="inlineStr">
        <is>
          <t>Consecutive 
Funds</t>
        </is>
      </c>
      <c r="I66" s="45" t="inlineStr">
        <is>
          <t>Improve irrigation area for industrial crop planting by 1,200 mu.</t>
        </is>
      </c>
      <c r="J66" s="71" t="n"/>
      <c r="K66" s="71" t="n"/>
      <c r="L66" s="71" t="n">
        <v>1</v>
      </c>
      <c r="M66" s="71" t="n">
        <v>0.0557</v>
      </c>
      <c r="N66" s="71" t="n">
        <v>0.006</v>
      </c>
      <c r="O66" s="71" t="n">
        <v>0.0497</v>
      </c>
      <c r="P66" s="71" t="n">
        <v>0.1561</v>
      </c>
      <c r="Q66" s="71" t="n">
        <v>0.032</v>
      </c>
      <c r="R66" s="71" t="n">
        <v>0.1241</v>
      </c>
      <c r="S66" s="39" t="inlineStr">
        <is>
          <t>Water Resources Bureau</t>
        </is>
      </c>
      <c r="T66" s="39" t="inlineStr">
        <is>
          <t>Gonghe Town</t>
        </is>
      </c>
      <c r="U66" s="107" t="n">
        <v>2024.1</v>
      </c>
      <c r="V66" s="39" t="n"/>
    </row>
    <row r="67" ht="121.5" customHeight="1" s="97">
      <c r="A67" s="71" t="n">
        <v>30</v>
      </c>
      <c r="B67" s="71" t="inlineStr">
        <is>
          <t>Xiaoshui Village, Gonghe Town Channel Lining Project</t>
        </is>
      </c>
      <c r="C67" s="71" t="inlineStr">
        <is>
          <t>Newly built</t>
        </is>
      </c>
      <c r="D67" s="71" t="inlineStr">
        <is>
          <t>2025.3-2025.10</t>
        </is>
      </c>
      <c r="E67" s="71" t="inlineStr">
        <is>
          <t>Xiaoshui Village</t>
        </is>
      </c>
      <c r="F67" s="40" t="inlineStr">
        <is>
          <t>3 km channel lining in Xiaoshui Village, using U50 channel.</t>
        </is>
      </c>
      <c r="G67" s="71" t="n">
        <v>38</v>
      </c>
      <c r="H67" s="71" t="inlineStr">
        <is>
          <t>Consecutive 
Funds</t>
        </is>
      </c>
      <c r="I67" s="40" t="inlineStr">
        <is>
          <t>Improve farmland irrigation conditions, increase the effective irrigation area by 2,000 mu, develop agricultural industries, and promote comprehensive rural revitalization through industrial revitalization.</t>
        </is>
      </c>
      <c r="J67" s="71" t="n"/>
      <c r="K67" s="71" t="n"/>
      <c r="L67" s="71" t="n">
        <v>1</v>
      </c>
      <c r="M67" s="71" t="n">
        <v>0.0557</v>
      </c>
      <c r="N67" s="71" t="n">
        <v>0.006</v>
      </c>
      <c r="O67" s="71" t="n">
        <v>0.0497</v>
      </c>
      <c r="P67" s="71" t="n">
        <v>0.1561</v>
      </c>
      <c r="Q67" s="71" t="n">
        <v>0.032</v>
      </c>
      <c r="R67" s="71" t="n">
        <v>0.1241</v>
      </c>
      <c r="S67" s="71" t="inlineStr">
        <is>
          <t>Agriculture and Rural Affairs Bureau</t>
        </is>
      </c>
      <c r="T67" s="39" t="inlineStr">
        <is>
          <t>Gonghe Town</t>
        </is>
      </c>
      <c r="U67" s="107" t="n">
        <v>2024.1</v>
      </c>
      <c r="V67" s="39" t="n"/>
    </row>
    <row r="68" ht="94.5" customHeight="1" s="97">
      <c r="A68" s="71" t="n">
        <v>31</v>
      </c>
      <c r="B68" s="71" t="inlineStr">
        <is>
          <t>Gonghe Town Zhonghe Village High-efficiency Water-saving Irrigation Project</t>
        </is>
      </c>
      <c r="C68" s="71" t="inlineStr">
        <is>
          <t>Newly built</t>
        </is>
      </c>
      <c r="D68" s="71" t="inlineStr">
        <is>
          <t>2025.3-2025.10</t>
        </is>
      </c>
      <c r="E68" s="71" t="inlineStr">
        <is>
          <t>Zhonghe Village</t>
        </is>
      </c>
      <c r="F68" s="40" t="inlineStr">
        <is>
          <t>Construct 3,000 acres of high-standard farmland, and equip with one set of high-efficiency water-saving irrigation facilities.</t>
        </is>
      </c>
      <c r="G68" s="71" t="n">
        <v>1020</v>
      </c>
      <c r="H68" s="71" t="inlineStr">
        <is>
          <t>Consecutive 
Funds</t>
        </is>
      </c>
      <c r="I68" s="40" t="inlineStr">
        <is>
          <t>Effectively solve agricultural irrigation water for 1200 acres of farmland and increase farmers' income.</t>
        </is>
      </c>
      <c r="J68" s="71" t="n"/>
      <c r="K68" s="71" t="n"/>
      <c r="L68" s="71" t="n">
        <v>1</v>
      </c>
      <c r="M68" s="71" t="n">
        <v>0.0735</v>
      </c>
      <c r="N68" s="71" t="n">
        <v>0.007</v>
      </c>
      <c r="O68" s="71" t="n">
        <v>0.0665</v>
      </c>
      <c r="P68" s="71" t="n">
        <v>0.2844</v>
      </c>
      <c r="Q68" s="71" t="n">
        <v>0.0293</v>
      </c>
      <c r="R68" s="71" t="n">
        <v>0.2551</v>
      </c>
      <c r="S68" s="39" t="inlineStr">
        <is>
          <t>Water Resources Bureau</t>
        </is>
      </c>
      <c r="T68" s="39" t="inlineStr">
        <is>
          <t>Gonghe Town</t>
        </is>
      </c>
      <c r="U68" s="107" t="n">
        <v>2024.1</v>
      </c>
      <c r="V68" s="39" t="n"/>
    </row>
    <row r="69" ht="114.75" customHeight="1" s="97">
      <c r="A69" s="71" t="n">
        <v>32</v>
      </c>
      <c r="B69" s="71" t="inlineStr">
        <is>
          <t>Revitalization Township Hankou Village Farmland Irrigation Water-saving Project</t>
        </is>
      </c>
      <c r="C69" s="71" t="inlineStr">
        <is>
          <t>Newly built</t>
        </is>
      </c>
      <c r="D69" s="71" t="n">
        <v>2025</v>
      </c>
      <c r="E69" s="71" t="inlineStr">
        <is>
          <t>Fuxing Township</t>
        </is>
      </c>
      <c r="F69" s="40" t="inlineStr">
        <is>
          <t>New construction of 100-grade PE pipe Φ90, 1.0MPa main pipeline 4500 meters, 100-grade PE pipe Φ75, 1.0MPa pipeline 3650 meters, 100-grade PE pipe Φ63, 1.6MPa (vertical pipe) pipeline 420 meters, 4 gate valve wells, 4 drainage wells, 1 management building of 15 square meters, and related works.</t>
        </is>
      </c>
      <c r="G69" s="71" t="n">
        <v>102</v>
      </c>
      <c r="H69" s="71" t="inlineStr">
        <is>
          <t>Consecutive 
Funds</t>
        </is>
      </c>
      <c r="I69" s="71" t="inlineStr">
        <is>
          <t>After the completion of the project construction, land resources and water resources have been rationally utilized, and the irrigation difficulties of 1,600 mu of land have also been resolved.</t>
        </is>
      </c>
      <c r="J69" s="39" t="n"/>
      <c r="K69" s="39" t="n">
        <v>1</v>
      </c>
      <c r="L69" s="39" t="n"/>
      <c r="M69" s="40">
        <f>N69+O69</f>
        <v/>
      </c>
      <c r="N69" s="71" t="n">
        <v>0.0026</v>
      </c>
      <c r="O69" s="71" t="n">
        <v>0.0053</v>
      </c>
      <c r="P69" s="6">
        <f>Q69+R69</f>
        <v/>
      </c>
      <c r="Q69" s="71" t="n">
        <v>0.0091</v>
      </c>
      <c r="R69" s="71" t="n">
        <v>0.0185</v>
      </c>
      <c r="S69" s="71" t="inlineStr">
        <is>
          <t>Agriculture and Rural Affairs Bureau</t>
        </is>
      </c>
      <c r="T69" s="71" t="inlineStr">
        <is>
          <t>Fuxing Township</t>
        </is>
      </c>
      <c r="U69" s="107" t="n">
        <v>2024.1</v>
      </c>
      <c r="V69" s="39" t="n"/>
    </row>
    <row r="70" ht="189" customHeight="1" s="97">
      <c r="A70" s="71" t="n">
        <v>33</v>
      </c>
      <c r="B70" s="83" t="inlineStr">
        <is>
          <t>Fuxing Township Farmland Irrigation Water-saving Project</t>
        </is>
      </c>
      <c r="C70" s="83" t="inlineStr">
        <is>
          <t>Newly built</t>
        </is>
      </c>
      <c r="D70" s="71" t="inlineStr">
        <is>
          <t>2025.3-2025.10</t>
        </is>
      </c>
      <c r="E70" s="83" t="inlineStr">
        <is>
          <t>Hankou Village</t>
        </is>
      </c>
      <c r="F70" s="40" t="inlineStr">
        <is>
          <t>Construct 2 new 5,000 cubic meter water storage tanks in Hangu Village, Fuxing Township, and install supporting water and fertilizer integrated pipelines.</t>
        </is>
      </c>
      <c r="G70" s="83" t="n">
        <v>100</v>
      </c>
      <c r="H70" s="71" t="inlineStr">
        <is>
          <t>Consecutive 
Funds</t>
        </is>
      </c>
      <c r="I70" s="82" t="inlineStr">
        <is>
          <t>Solve the irrigation water shortage for 3,000 mu of farmland, save water costs, and increase the income of local residents.</t>
        </is>
      </c>
      <c r="J70" s="83" t="n"/>
      <c r="K70" s="83" t="n">
        <v>3</v>
      </c>
      <c r="L70" s="83" t="n"/>
      <c r="M70" s="6">
        <f>N70+O70</f>
        <v/>
      </c>
      <c r="N70" s="83" t="n">
        <v>0.0134</v>
      </c>
      <c r="O70" s="83" t="n">
        <v>0.00076</v>
      </c>
      <c r="P70" s="6">
        <f>Q70+R70</f>
        <v/>
      </c>
      <c r="Q70" s="83" t="n">
        <v>0.0387</v>
      </c>
      <c r="R70" s="83" t="n">
        <v>0.0062</v>
      </c>
      <c r="S70" s="71" t="inlineStr">
        <is>
          <t>Agriculture and Rural Affairs Bureau</t>
        </is>
      </c>
      <c r="T70" s="83" t="inlineStr">
        <is>
          <t>Fuxing Township</t>
        </is>
      </c>
      <c r="U70" s="107" t="n">
        <v>2024.1</v>
      </c>
      <c r="V70" s="39" t="n"/>
    </row>
    <row r="71" ht="105" customHeight="1" s="97">
      <c r="A71" s="71" t="n">
        <v>34</v>
      </c>
      <c r="B71" s="71" t="inlineStr">
        <is>
          <t>Zhangtian Township Wuxing Village Elevated Water Tank Construction Project</t>
        </is>
      </c>
      <c r="C71" s="71" t="inlineStr">
        <is>
          <t>Newly built</t>
        </is>
      </c>
      <c r="D71" s="71" t="inlineStr">
        <is>
          <t>2025.3-2025.10</t>
        </is>
      </c>
      <c r="E71" s="71" t="inlineStr">
        <is>
          <t>Wuxing Village</t>
        </is>
      </c>
      <c r="F71" s="40" t="inlineStr">
        <is>
          <t>Build a new 40,000 cubic meter elevated water tank in Wuxing Village</t>
        </is>
      </c>
      <c r="G71" s="71" t="n">
        <v>400</v>
      </c>
      <c r="H71" s="71" t="inlineStr">
        <is>
          <t>Consecutive 
Funds</t>
        </is>
      </c>
      <c r="I71" s="40" t="inlineStr">
        <is>
          <t>Improve water resource utilization, ensure effective land irrigation, increase crop yields, and raise villagers' income.</t>
        </is>
      </c>
      <c r="J71" s="71" t="n"/>
      <c r="K71" s="71" t="n"/>
      <c r="L71" s="71" t="n">
        <v>1</v>
      </c>
      <c r="M71" s="71" t="n">
        <v>0.0307</v>
      </c>
      <c r="N71" s="71" t="n">
        <v>0.008500000000000001</v>
      </c>
      <c r="O71" s="71" t="n">
        <v>0.0222</v>
      </c>
      <c r="P71" s="114" t="n">
        <v>0.1288</v>
      </c>
      <c r="Q71" s="114" t="n">
        <v>0.0281</v>
      </c>
      <c r="R71" s="71" t="n">
        <v>0.1007</v>
      </c>
      <c r="S71" s="71" t="inlineStr">
        <is>
          <t>Water Resources Bureau</t>
        </is>
      </c>
      <c r="T71" s="71" t="inlineStr">
        <is>
          <t>Zhangtian Township</t>
        </is>
      </c>
      <c r="U71" s="107" t="n">
        <v>2024.1</v>
      </c>
      <c r="V71" s="39" t="n"/>
    </row>
    <row r="72" ht="96" customHeight="1" s="97">
      <c r="A72" s="71" t="n">
        <v>35</v>
      </c>
      <c r="B72" s="79" t="inlineStr">
        <is>
          <t>Huangqiao Town Jiaokou Village Corn and Wheat Industry Irrigation Water Storage Pool Construction Project</t>
        </is>
      </c>
      <c r="C72" s="79" t="inlineStr">
        <is>
          <t>Newly built</t>
        </is>
      </c>
      <c r="D72" s="65" t="inlineStr">
        <is>
          <t>2025.3-2025.10</t>
        </is>
      </c>
      <c r="E72" s="79" t="inlineStr">
        <is>
          <t>Jiaokou Village</t>
        </is>
      </c>
      <c r="F72" s="110" t="inlineStr">
        <is>
          <t>Construct a new 1,500 m³ water storage tank.</t>
        </is>
      </c>
      <c r="G72" s="79" t="n">
        <v>18</v>
      </c>
      <c r="H72" s="71" t="inlineStr">
        <is>
          <t>Consecutive 
Funds</t>
        </is>
      </c>
      <c r="I72" s="40" t="inlineStr">
        <is>
          <t>Solve the irrigation problem for 650 mu of land for villagers in Yangaoye and Batai, promoting increased income from crop cultivation.</t>
        </is>
      </c>
      <c r="J72" s="71" t="n"/>
      <c r="K72" s="71" t="n">
        <v>1</v>
      </c>
      <c r="L72" s="71" t="n">
        <v>0</v>
      </c>
      <c r="M72" s="71" t="n">
        <v>0.0198</v>
      </c>
      <c r="N72" s="71" t="n">
        <v>0.0062</v>
      </c>
      <c r="O72" s="71" t="n">
        <v>0.0136</v>
      </c>
      <c r="P72" s="71" t="n">
        <v>0.0804</v>
      </c>
      <c r="Q72" s="71" t="n">
        <v>0.0206</v>
      </c>
      <c r="R72" s="71" t="n">
        <v>0.0598</v>
      </c>
      <c r="S72" s="71" t="inlineStr">
        <is>
          <t>Water Resources Bureau</t>
        </is>
      </c>
      <c r="T72" s="71" t="inlineStr">
        <is>
          <t>Huangqiao Town</t>
        </is>
      </c>
      <c r="U72" s="107" t="n">
        <v>2024.1</v>
      </c>
      <c r="V72" s="39" t="n"/>
    </row>
    <row r="73" ht="66" customHeight="1" s="97">
      <c r="A73" s="71" t="n">
        <v>36</v>
      </c>
      <c r="B73" s="71" t="inlineStr">
        <is>
          <t>Huangqiao Town Shuangpu Village Crop Production Well Irrigation Pipeline Replacement Project</t>
        </is>
      </c>
      <c r="C73" s="71" t="inlineStr">
        <is>
          <t>Newly built</t>
        </is>
      </c>
      <c r="D73" s="71" t="inlineStr">
        <is>
          <t>2025.3-2025.10</t>
        </is>
      </c>
      <c r="E73" s="71" t="inlineStr">
        <is>
          <t>Shuangpu Village</t>
        </is>
      </c>
      <c r="F73" s="115" t="inlineStr">
        <is>
          <t>Lay 816 meters of 100-grade PE pipe.</t>
        </is>
      </c>
      <c r="G73" s="79" t="n">
        <v>15</v>
      </c>
      <c r="H73" s="71" t="inlineStr">
        <is>
          <t>Consecutive 
Funds</t>
        </is>
      </c>
      <c r="I73" s="40" t="inlineStr">
        <is>
          <t>Solve the farmland irrigation for 543 households and 2,165 people in the entire Shuanglv Village, increase farmers' income, and ensure grain production.</t>
        </is>
      </c>
      <c r="J73" s="71" t="n"/>
      <c r="K73" s="71" t="n"/>
      <c r="L73" s="71" t="n">
        <v>1</v>
      </c>
      <c r="M73" s="71" t="n">
        <v>0.0543</v>
      </c>
      <c r="N73" s="71" t="n">
        <v>0.0114</v>
      </c>
      <c r="O73" s="71" t="n">
        <v>0.0429</v>
      </c>
      <c r="P73" s="71" t="n">
        <v>0.2165</v>
      </c>
      <c r="Q73" s="71" t="n">
        <v>0.0484</v>
      </c>
      <c r="R73" s="71" t="n">
        <v>0.1681</v>
      </c>
      <c r="S73" s="71" t="inlineStr">
        <is>
          <t>Agriculture and Rural Affairs Bureau</t>
        </is>
      </c>
      <c r="T73" s="71" t="inlineStr">
        <is>
          <t>Huangqiao Town</t>
        </is>
      </c>
      <c r="U73" s="107" t="n">
        <v>2024.1</v>
      </c>
      <c r="V73" s="39" t="n"/>
    </row>
    <row r="74" ht="78.75" customHeight="1" s="97">
      <c r="A74" s="71" t="n">
        <v>37</v>
      </c>
      <c r="B74" s="71" t="inlineStr">
        <is>
          <t>Huangqiao Town Qiaoshan Village Corn and Wheat Cultivation Industry Water Supply Pipeline Laying Project</t>
        </is>
      </c>
      <c r="C74" s="71" t="inlineStr">
        <is>
          <t>Collective</t>
        </is>
      </c>
      <c r="D74" s="71" t="inlineStr">
        <is>
          <t>2025.3-2025.10</t>
        </is>
      </c>
      <c r="E74" s="71" t="inlineStr">
        <is>
          <t>Qiaoshan Village</t>
        </is>
      </c>
      <c r="F74" s="40" t="inlineStr">
        <is>
          <t>Purchase one 75 kW water pump, repair the existing 200 cubic meter water storage tank in Shangchuan She, and lay PVC pipes: 125 mm 820 meters, 90 mm 795 meters, 75 mm 1863 meters, 50 mm 2494 meters, drip irrigation hose 32 mm 5000 meters, as well as check wells, branch wells, and other supporting facilities.</t>
        </is>
      </c>
      <c r="G74" s="71" t="n">
        <v>48</v>
      </c>
      <c r="H74" s="71" t="inlineStr">
        <is>
          <t>Consecutive 
Funds</t>
        </is>
      </c>
      <c r="I74" s="40" t="inlineStr">
        <is>
          <t>Greatly improve crop planting conditions and promote villagers' increased production and income.</t>
        </is>
      </c>
      <c r="J74" s="71" t="n"/>
      <c r="K74" s="71" t="n">
        <v>1</v>
      </c>
      <c r="L74" s="71" t="n">
        <v>0</v>
      </c>
      <c r="M74" s="71" t="n">
        <v>0.017</v>
      </c>
      <c r="N74" s="71" t="n">
        <v>0.0056</v>
      </c>
      <c r="O74" s="71" t="n">
        <v>0.0114</v>
      </c>
      <c r="P74" s="71" t="n">
        <v>0.0576</v>
      </c>
      <c r="Q74" s="71" t="n">
        <v>0.0198</v>
      </c>
      <c r="R74" s="71" t="n">
        <v>0.0378</v>
      </c>
      <c r="S74" s="71" t="inlineStr">
        <is>
          <t>Agriculture and Rural Affairs Bureau</t>
        </is>
      </c>
      <c r="T74" s="71" t="inlineStr">
        <is>
          <t>Huangqiao Town</t>
        </is>
      </c>
      <c r="U74" s="107" t="n">
        <v>2024.1</v>
      </c>
      <c r="V74" s="39" t="n"/>
    </row>
    <row r="75" ht="60" customHeight="1" s="97">
      <c r="A75" s="71" t="n">
        <v>38</v>
      </c>
      <c r="B75" s="79" t="inlineStr">
        <is>
          <t>Huangqiao Town Yawan Village Industrial Planting Pipeline Renewal Project</t>
        </is>
      </c>
      <c r="C75" s="79" t="inlineStr">
        <is>
          <t>Newly built</t>
        </is>
      </c>
      <c r="D75" s="65" t="inlineStr">
        <is>
          <t>2025.3-2025.10</t>
        </is>
      </c>
      <c r="E75" s="79" t="inlineStr">
        <is>
          <t>Yuwan Village</t>
        </is>
      </c>
      <c r="F75" s="110" t="inlineStr">
        <is>
          <t>Lay 4058m of 100-grade Ф160 PE pipe.</t>
        </is>
      </c>
      <c r="G75" s="79" t="n">
        <v>91</v>
      </c>
      <c r="H75" s="71" t="inlineStr">
        <is>
          <t>Consecutive 
Funds</t>
        </is>
      </c>
      <c r="I75" s="40" t="inlineStr">
        <is>
          <t>Improve the effective irrigation area by 400 mu.</t>
        </is>
      </c>
      <c r="J75" s="71" t="n"/>
      <c r="K75" s="71" t="n"/>
      <c r="L75" s="71" t="n">
        <v>1</v>
      </c>
      <c r="M75" s="71" t="n">
        <v>0.024</v>
      </c>
      <c r="N75" s="71" t="n">
        <v>0.0054</v>
      </c>
      <c r="O75" s="71" t="n">
        <v>0.0186</v>
      </c>
      <c r="P75" s="71" t="n">
        <v>0.978</v>
      </c>
      <c r="Q75" s="71" t="n">
        <v>0.15</v>
      </c>
      <c r="R75" s="71" t="n">
        <v>0.828</v>
      </c>
      <c r="S75" s="71" t="inlineStr">
        <is>
          <t>Agriculture and Rural Affairs Bureau</t>
        </is>
      </c>
      <c r="T75" s="71" t="inlineStr">
        <is>
          <t>Huangqiao Town</t>
        </is>
      </c>
      <c r="U75" s="107" t="n">
        <v>2024.1</v>
      </c>
      <c r="V75" s="39" t="n"/>
    </row>
    <row r="76" ht="60" customHeight="1" s="97">
      <c r="A76" s="71" t="n">
        <v>39</v>
      </c>
      <c r="B76" s="79" t="inlineStr">
        <is>
          <t>Huangqiao Town Yawan Village High-efficiency Water-saving Irrigation Water Diversion Pipeline Construction Project</t>
        </is>
      </c>
      <c r="C76" s="79" t="inlineStr">
        <is>
          <t>Newly built</t>
        </is>
      </c>
      <c r="D76" s="79" t="inlineStr">
        <is>
          <t>2025.3-2025.10</t>
        </is>
      </c>
      <c r="E76" s="79" t="inlineStr">
        <is>
          <t>Yuwan Village</t>
        </is>
      </c>
      <c r="F76" s="45" t="inlineStr">
        <is>
          <t>Lay 1090m of 100-grade Ф200 PE pipe, 1 set of head system, and 200m of power transmission line.</t>
        </is>
      </c>
      <c r="G76" s="79" t="n">
        <v>52</v>
      </c>
      <c r="H76" s="71" t="inlineStr">
        <is>
          <t>Consecutive 
Funds</t>
        </is>
      </c>
      <c r="I76" s="40" t="inlineStr">
        <is>
          <t>Improve irrigation area for industrial crop planting by 1,000 mu.</t>
        </is>
      </c>
      <c r="J76" s="71" t="n"/>
      <c r="K76" s="71" t="n"/>
      <c r="L76" s="71" t="n">
        <v>1</v>
      </c>
      <c r="M76" s="71">
        <f>N76+O76</f>
        <v/>
      </c>
      <c r="N76" s="71" t="n">
        <v>0.0114</v>
      </c>
      <c r="O76" s="71" t="n">
        <v>0.0429</v>
      </c>
      <c r="P76" s="71">
        <f>Q76+R76</f>
        <v/>
      </c>
      <c r="Q76" s="71" t="n">
        <v>0.0484</v>
      </c>
      <c r="R76" s="71" t="n">
        <v>0.1681</v>
      </c>
      <c r="S76" s="71" t="inlineStr">
        <is>
          <t>Agriculture and Rural Affairs Bureau</t>
        </is>
      </c>
      <c r="T76" s="71" t="inlineStr">
        <is>
          <t>Huangqiao Town</t>
        </is>
      </c>
      <c r="U76" s="107" t="n">
        <v>2024.1</v>
      </c>
      <c r="V76" s="39" t="n"/>
    </row>
    <row r="77" ht="60" customHeight="1" s="97">
      <c r="A77" s="71" t="n">
        <v>40</v>
      </c>
      <c r="B77" s="71" t="inlineStr">
        <is>
          <t>Huangqiao Town, Ma Yinshui Village High-efficiency Water-saving Irrigation Water Diversion Pipeline Construction Project</t>
        </is>
      </c>
      <c r="C77" s="71" t="inlineStr">
        <is>
          <t>Newly built</t>
        </is>
      </c>
      <c r="D77" s="71" t="inlineStr">
        <is>
          <t>2025.3-2025.10</t>
        </is>
      </c>
      <c r="E77" s="71" t="inlineStr">
        <is>
          <t>Ma Yinshui Village</t>
        </is>
      </c>
      <c r="F77" s="40" t="inlineStr">
        <is>
          <t>Lay water transmission pipeline for 980 meters, PEφ200, install 3 inspection chambers</t>
        </is>
      </c>
      <c r="G77" s="71" t="n">
        <v>25</v>
      </c>
      <c r="H77" s="71" t="inlineStr">
        <is>
          <t>Consecutive 
Funds</t>
        </is>
      </c>
      <c r="I77" s="40" t="inlineStr">
        <is>
          <t>Improve irrigation area for industrial crop planting by 1,500 mu.</t>
        </is>
      </c>
      <c r="J77" s="71" t="n"/>
      <c r="K77" s="71" t="n"/>
      <c r="L77" s="71" t="n">
        <v>1</v>
      </c>
      <c r="M77" s="71">
        <f>N77+O77</f>
        <v/>
      </c>
      <c r="N77" s="71" t="n">
        <v>0.0114</v>
      </c>
      <c r="O77" s="71" t="n">
        <v>0.0429</v>
      </c>
      <c r="P77" s="71">
        <f>Q77+R77</f>
        <v/>
      </c>
      <c r="Q77" s="71" t="n">
        <v>0.0484</v>
      </c>
      <c r="R77" s="71" t="n">
        <v>0.1681</v>
      </c>
      <c r="S77" s="71" t="inlineStr">
        <is>
          <t>Agriculture and Rural Affairs Bureau</t>
        </is>
      </c>
      <c r="T77" s="71" t="inlineStr">
        <is>
          <t>Gonghe Town</t>
        </is>
      </c>
      <c r="U77" s="107" t="n">
        <v>2024.1</v>
      </c>
      <c r="V77" s="39" t="n"/>
    </row>
    <row r="78" ht="84" customHeight="1" s="97">
      <c r="A78" s="71" t="n">
        <v>41</v>
      </c>
      <c r="B78" s="113" t="inlineStr">
        <is>
          <t>Wangjia Mountain Town Jingercuan Village Circular Agriculture Drip Irrigation Project</t>
        </is>
      </c>
      <c r="C78" s="113" t="inlineStr">
        <is>
          <t>Newly built</t>
        </is>
      </c>
      <c r="D78" s="71" t="inlineStr">
        <is>
          <t>2025.3-2025.10</t>
        </is>
      </c>
      <c r="E78" s="113" t="inlineStr">
        <is>
          <t>Jingerchuan Village</t>
        </is>
      </c>
      <c r="F78" s="116" t="inlineStr">
        <is>
          <t>Xinzhuangou 520 Mu Water Field Drip Irrigation Project. Construct 4 kilometers of 110CM pipelines and build 40 inspection wells. Supporting facilities for a 10,000 cubic meter water tank.</t>
        </is>
      </c>
      <c r="G78" s="113" t="n">
        <v>100</v>
      </c>
      <c r="H78" s="71" t="inlineStr">
        <is>
          <t>Consecutive 
Funds</t>
        </is>
      </c>
      <c r="I78" s="116" t="inlineStr">
        <is>
          <t>Effectively manage some fallow land, save water resources, increase crop yields, and increase villagers' income.</t>
        </is>
      </c>
      <c r="J78" s="113" t="n"/>
      <c r="K78" s="113" t="n">
        <v>1</v>
      </c>
      <c r="L78" s="113" t="n"/>
      <c r="M78" s="71" t="n">
        <v>0.0058</v>
      </c>
      <c r="N78" s="71" t="n">
        <v>0.0019</v>
      </c>
      <c r="O78" s="71" t="n">
        <v>0.0039</v>
      </c>
      <c r="P78" s="71" t="n">
        <v>0.0203</v>
      </c>
      <c r="Q78" s="71" t="n">
        <v>0.0066</v>
      </c>
      <c r="R78" s="71" t="n">
        <v>0.0137</v>
      </c>
      <c r="S78" s="71" t="inlineStr">
        <is>
          <t>Agriculture and Rural Affairs Bureau</t>
        </is>
      </c>
      <c r="T78" s="113" t="inlineStr">
        <is>
          <t>Wangjia  
Shan Town</t>
        </is>
      </c>
      <c r="U78" s="107" t="n">
        <v>2024.1</v>
      </c>
      <c r="V78" s="39" t="n"/>
    </row>
    <row r="79" ht="84" customHeight="1" s="97">
      <c r="A79" s="71" t="n">
        <v>42</v>
      </c>
      <c r="B79" s="113" t="inlineStr">
        <is>
          <t>Wangjia Mountain Town Yudachuan Village Circular Agriculture Drip Irrigation Project</t>
        </is>
      </c>
      <c r="C79" s="113" t="inlineStr">
        <is>
          <t>Newly built</t>
        </is>
      </c>
      <c r="D79" s="71" t="inlineStr">
        <is>
          <t>2025.3-2025.10</t>
        </is>
      </c>
      <c r="E79" s="113" t="inlineStr">
        <is>
          <t>Yu Da
Chuan Village</t>
        </is>
      </c>
      <c r="F79" s="116" t="inlineStr">
        <is>
          <t>Construct a new 5,000 cubic meter water storage pool, lay 4 kilometers of 110 pipelines, and build 40 inspection wells.</t>
        </is>
      </c>
      <c r="G79" s="113" t="n">
        <v>100</v>
      </c>
      <c r="H79" s="71" t="inlineStr">
        <is>
          <t>Consecutive 
Funds</t>
        </is>
      </c>
      <c r="I79" s="116" t="inlineStr">
        <is>
          <t>Improve industrial planting irrigation area by 500 mu.</t>
        </is>
      </c>
      <c r="J79" s="113" t="n"/>
      <c r="K79" s="113" t="n">
        <v>1</v>
      </c>
      <c r="L79" s="113" t="n"/>
      <c r="M79" s="71">
        <f>N79+O79</f>
        <v/>
      </c>
      <c r="N79" s="71" t="n">
        <v>0.0019</v>
      </c>
      <c r="O79" s="71" t="n">
        <v>0.0039</v>
      </c>
      <c r="P79" s="71">
        <f>Q79+R79</f>
        <v/>
      </c>
      <c r="Q79" s="71" t="n">
        <v>0.0066</v>
      </c>
      <c r="R79" s="71" t="n">
        <v>0.0137</v>
      </c>
      <c r="S79" s="71" t="inlineStr">
        <is>
          <t>Agriculture and Rural Affairs Bureau</t>
        </is>
      </c>
      <c r="T79" s="113" t="inlineStr">
        <is>
          <t>Wangjia  
Shan Town</t>
        </is>
      </c>
      <c r="U79" s="107" t="n">
        <v>2024.1</v>
      </c>
      <c r="V79" s="39" t="n"/>
    </row>
    <row r="80" ht="57" customHeight="1" s="97">
      <c r="A80" s="71" t="n">
        <v>43</v>
      </c>
      <c r="B80" s="113" t="inlineStr">
        <is>
          <t>Wangjia Mountain Town Yu Dachuan Village Breeding Community Upgrade and Renovation Project</t>
        </is>
      </c>
      <c r="C80" s="71" t="inlineStr">
        <is>
          <t>Newly built</t>
        </is>
      </c>
      <c r="D80" s="71" t="inlineStr">
        <is>
          <t>2025.3-2025.10</t>
        </is>
      </c>
      <c r="E80" s="71" t="inlineStr">
        <is>
          <t>Yu Da
Chuan Village</t>
        </is>
      </c>
      <c r="F80" s="116" t="inlineStr">
        <is>
          <t>Demolish and rebuild 8 grass and fodder storage rooms, 8 individual pens, and 7 large pens; construct 300 meters of new drainage pipes; and repair 200 square meters of collapsed cemented areas.</t>
        </is>
      </c>
      <c r="G80" s="113" t="n">
        <v>62</v>
      </c>
      <c r="H80" s="71" t="inlineStr">
        <is>
          <t>Consecutive 
Funds</t>
        </is>
      </c>
      <c r="I80" s="116" t="inlineStr">
        <is>
          <t>Eliminate safety hazards</t>
        </is>
      </c>
      <c r="J80" s="113" t="n"/>
      <c r="K80" s="71" t="n">
        <v>1</v>
      </c>
      <c r="L80" s="71" t="n">
        <v>0</v>
      </c>
      <c r="M80" s="71" t="n">
        <v>0.0179</v>
      </c>
      <c r="N80" s="71" t="n">
        <v>0.0044</v>
      </c>
      <c r="O80" s="71" t="n">
        <v>0.0135</v>
      </c>
      <c r="P80" s="71" t="n">
        <v>0.0679</v>
      </c>
      <c r="Q80" s="71" t="n">
        <v>0.0194</v>
      </c>
      <c r="R80" s="71" t="n">
        <v>0.0485</v>
      </c>
      <c r="S80" s="71" t="inlineStr">
        <is>
          <t>Agriculture and Rural Affairs Bureau</t>
        </is>
      </c>
      <c r="T80" s="113" t="inlineStr">
        <is>
          <t>Wangjia  
Shan Town</t>
        </is>
      </c>
      <c r="U80" s="107" t="n">
        <v>2024.1</v>
      </c>
      <c r="V80" s="39" t="n"/>
    </row>
    <row r="81" ht="60" customHeight="1" s="97">
      <c r="A81" s="71" t="n">
        <v>44</v>
      </c>
      <c r="B81" s="113" t="inlineStr">
        <is>
          <t>Wangjia Mountain Town Wanmiao Village Channel Lining Project</t>
        </is>
      </c>
      <c r="C81" s="113" t="inlineStr">
        <is>
          <t>Newly built</t>
        </is>
      </c>
      <c r="D81" s="71" t="inlineStr">
        <is>
          <t>2025.3-2025.10</t>
        </is>
      </c>
      <c r="E81" s="71" t="inlineStr">
        <is>
          <t>Wanmiao Village</t>
        </is>
      </c>
      <c r="F81" s="116" t="inlineStr">
        <is>
          <t>1. 4700 meters of 50U-shaped channel: 2000 meters in Changdachuan She, 500 meters in Wuguai She, and 2200 meters in East and West Zhangdaba She;  
2. 300 meters of 400mm diameter threaded pipe: 300 meters in Diao Zhangzi She.</t>
        </is>
      </c>
      <c r="G81" s="113" t="n">
        <v>80</v>
      </c>
      <c r="H81" s="71" t="inlineStr">
        <is>
          <t>Consecutive 
Funds</t>
        </is>
      </c>
      <c r="I81" s="116" t="inlineStr">
        <is>
          <t>Solve the problem of difficult irrigation</t>
        </is>
      </c>
      <c r="J81" s="113" t="n"/>
      <c r="K81" s="113" t="n"/>
      <c r="L81" s="113" t="n">
        <v>1</v>
      </c>
      <c r="M81" s="71" t="n">
        <v>0.0411</v>
      </c>
      <c r="N81" s="71" t="n">
        <v>0.0071</v>
      </c>
      <c r="O81" s="114" t="n">
        <v>0.034</v>
      </c>
      <c r="P81" s="114" t="n">
        <v>0.163</v>
      </c>
      <c r="Q81" s="114" t="n">
        <v>0.02</v>
      </c>
      <c r="R81" s="71" t="n">
        <v>0.143</v>
      </c>
      <c r="S81" s="71" t="inlineStr">
        <is>
          <t>Agriculture and Rural Affairs Bureau</t>
        </is>
      </c>
      <c r="T81" s="113" t="inlineStr">
        <is>
          <t>Wangjia  
Shan Town</t>
        </is>
      </c>
      <c r="U81" s="107" t="n">
        <v>2024.1</v>
      </c>
      <c r="V81" s="39" t="n"/>
    </row>
    <row r="82" ht="85.5" customHeight="1" s="97">
      <c r="A82" s="71" t="n">
        <v>45</v>
      </c>
      <c r="B82" s="71" t="inlineStr">
        <is>
          <t>Wangjia Mountain Town Dayingshui Village Shibizi Social Circular Agriculture Field Supporting Pipeline Project</t>
        </is>
      </c>
      <c r="C82" s="113" t="inlineStr">
        <is>
          <t>Newly built</t>
        </is>
      </c>
      <c r="D82" s="71" t="inlineStr">
        <is>
          <t>2025.3-2025.10</t>
        </is>
      </c>
      <c r="E82" s="71" t="inlineStr">
        <is>
          <t>Daying  
Shuicun</t>
        </is>
      </c>
      <c r="F82" s="40" t="inlineStr">
        <is>
          <t>Lay pipelines 8.5 km (3.5 km of water conveyance pipe with Φ200, 5 km of water conveyance pipe with Φ90), construct 7 inspection wells, 5 iron gate valves, and other pipeline fittings.</t>
        </is>
      </c>
      <c r="G82" s="71" t="n">
        <v>85</v>
      </c>
      <c r="H82" s="71" t="inlineStr">
        <is>
          <t>Consecutive 
Funds</t>
        </is>
      </c>
      <c r="I82" s="116" t="inlineStr">
        <is>
          <t>Solve the problem of difficult irrigation</t>
        </is>
      </c>
      <c r="J82" s="113" t="n"/>
      <c r="K82" s="113" t="n"/>
      <c r="L82" s="71" t="n">
        <v>1</v>
      </c>
      <c r="M82" s="114" t="n">
        <v>0.008999999999999999</v>
      </c>
      <c r="N82" s="114" t="n">
        <v>0.003</v>
      </c>
      <c r="O82" s="114" t="n">
        <v>0.006</v>
      </c>
      <c r="P82" s="71" t="n">
        <v>0.0365</v>
      </c>
      <c r="Q82" s="71" t="n">
        <v>0.0132</v>
      </c>
      <c r="R82" s="71" t="n">
        <v>0.0233</v>
      </c>
      <c r="S82" s="71" t="inlineStr">
        <is>
          <t>Agriculture and Rural Affairs Bureau</t>
        </is>
      </c>
      <c r="T82" s="113" t="inlineStr">
        <is>
          <t>Wangjia  
Shan Town</t>
        </is>
      </c>
      <c r="U82" s="107" t="n">
        <v>2024.1</v>
      </c>
      <c r="V82" s="39" t="n"/>
    </row>
    <row r="83" ht="84" customHeight="1" s="97">
      <c r="A83" s="71" t="n">
        <v>46</v>
      </c>
      <c r="B83" s="47" t="inlineStr">
        <is>
          <t>Wangjia Mountain Town Dayingshui Village Characteristic Chinese Herbal Medicine Planting Infrastructure Supporting Project</t>
        </is>
      </c>
      <c r="C83" s="117" t="inlineStr">
        <is>
          <t>Newly built</t>
        </is>
      </c>
      <c r="D83" s="47" t="inlineStr">
        <is>
          <t>2025.3-2025.10</t>
        </is>
      </c>
      <c r="E83" s="47" t="inlineStr">
        <is>
          <t>Daying  
Shuicun</t>
        </is>
      </c>
      <c r="F83" s="115" t="inlineStr">
        <is>
          <t>Lay 889 km of hot melt PE160 pipeline, one pressure pump.</t>
        </is>
      </c>
      <c r="G83" s="47" t="n">
        <v>25</v>
      </c>
      <c r="H83" s="71" t="inlineStr">
        <is>
          <t>Consecutive 
Funds</t>
        </is>
      </c>
      <c r="I83" s="116" t="inlineStr">
        <is>
          <t>Solve the problem of difficult irrigation</t>
        </is>
      </c>
      <c r="J83" s="113" t="n"/>
      <c r="K83" s="113" t="n"/>
      <c r="L83" s="71" t="n">
        <v>1</v>
      </c>
      <c r="M83" s="114" t="n">
        <v>0.008999999999999999</v>
      </c>
      <c r="N83" s="114" t="n">
        <v>0.003</v>
      </c>
      <c r="O83" s="114" t="n">
        <v>0.006</v>
      </c>
      <c r="P83" s="71" t="n">
        <v>0.0365</v>
      </c>
      <c r="Q83" s="71" t="n">
        <v>0.0132</v>
      </c>
      <c r="R83" s="71" t="n">
        <v>0.0233</v>
      </c>
      <c r="S83" s="71" t="inlineStr">
        <is>
          <t>Agriculture and Rural Affairs Bureau</t>
        </is>
      </c>
      <c r="T83" s="113" t="inlineStr">
        <is>
          <t>Wangjia  
Shan Town</t>
        </is>
      </c>
      <c r="U83" s="107" t="n">
        <v>2024.1</v>
      </c>
      <c r="V83" s="39" t="n"/>
    </row>
    <row r="84" ht="66.75" customHeight="1" s="97">
      <c r="A84" s="71" t="n">
        <v>47</v>
      </c>
      <c r="B84" s="71" t="inlineStr">
        <is>
          <t>Gonghe Town Maohe Luo Corn Planting Industry High-Efficiency Water Saving and Water Storage Pool Construction Project</t>
        </is>
      </c>
      <c r="C84" s="113" t="inlineStr">
        <is>
          <t>Newly built</t>
        </is>
      </c>
      <c r="D84" s="71" t="inlineStr">
        <is>
          <t>2025.3-2025.10</t>
        </is>
      </c>
      <c r="E84" s="71" t="inlineStr">
        <is>
          <t>Xihhe Village</t>
        </is>
      </c>
      <c r="F84" s="40" t="inlineStr">
        <is>
          <t>Construct one 5000m³ water storage tank, along with one set of supporting high-efficiency water-saving irrigation system.</t>
        </is>
      </c>
      <c r="G84" s="71" t="n">
        <v>195</v>
      </c>
      <c r="H84" s="71" t="inlineStr">
        <is>
          <t>Consecutive 
Funds</t>
        </is>
      </c>
      <c r="I84" s="116" t="inlineStr">
        <is>
          <t>Reduce water resource waste and increase the income of the local industry.</t>
        </is>
      </c>
      <c r="J84" s="113" t="n"/>
      <c r="K84" s="113" t="n"/>
      <c r="L84" s="71" t="n">
        <v>1</v>
      </c>
      <c r="M84" s="71" t="n">
        <v>0.0163</v>
      </c>
      <c r="N84" s="71" t="n">
        <v>0.0042</v>
      </c>
      <c r="O84" s="71" t="n">
        <v>0.0121</v>
      </c>
      <c r="P84" s="71" t="n">
        <v>0.0654</v>
      </c>
      <c r="Q84" s="71" t="n">
        <v>0.0196</v>
      </c>
      <c r="R84" s="71" t="n">
        <v>0.0458</v>
      </c>
      <c r="S84" s="71" t="inlineStr">
        <is>
          <t>Agriculture and Rural Affairs Bureau</t>
        </is>
      </c>
      <c r="T84" s="39" t="inlineStr">
        <is>
          <t>Gonghe Town</t>
        </is>
      </c>
      <c r="U84" s="107" t="n">
        <v>2024.1</v>
      </c>
      <c r="V84" s="39" t="n"/>
    </row>
    <row r="85" ht="165" customHeight="1" s="97">
      <c r="A85" s="71" t="n">
        <v>48</v>
      </c>
      <c r="B85" s="71" t="inlineStr">
        <is>
          <t>Hanshui Pump Station Maintenance and Conservation Project</t>
        </is>
      </c>
      <c r="C85" s="113" t="inlineStr">
        <is>
          <t>Continuation construction</t>
        </is>
      </c>
      <c r="D85" s="71" t="inlineStr">
        <is>
          <t>2025-2025</t>
        </is>
      </c>
      <c r="E85" s="71" t="inlineStr">
        <is>
          <t>Shuiquan Town, Doucheng Village, Yangling Village, Hanpingchuan Village, Jia Zhuang Village, Shuangcha Village</t>
        </is>
      </c>
      <c r="F85" s="40" t="inlineStr">
        <is>
          <t>Maintenance and repair of 37 sets of pump units and electrical equipment at 9 pumping stations.</t>
        </is>
      </c>
      <c r="G85" s="71" t="n">
        <v>54</v>
      </c>
      <c r="H85" s="71" t="inlineStr">
        <is>
          <t>Consecutive 
Funds</t>
        </is>
      </c>
      <c r="I85" s="116" t="inlineStr">
        <is>
          <t>It can coordinate to improve the irrigation water demand for 52,300 mu of farmland in the irrigation area, shorten the irrigation cycle, and alleviate the supply and demand contradiction of water use in the irrigation area. It can effectively consolidate agricultural production increase and income growth for 315 households, 1,145 people in 8 villages of Shuiquan Town.</t>
        </is>
      </c>
      <c r="J85" s="113" t="n"/>
      <c r="K85" s="113" t="n"/>
      <c r="L85" s="71" t="n">
        <v>8</v>
      </c>
      <c r="M85" s="71" t="n">
        <v>0.853</v>
      </c>
      <c r="N85" s="71" t="n">
        <v>0.031</v>
      </c>
      <c r="O85" s="71" t="n">
        <v>0.85</v>
      </c>
      <c r="P85" s="71" t="n">
        <v>4.2</v>
      </c>
      <c r="Q85" s="71" t="n">
        <v>1.1</v>
      </c>
      <c r="R85" s="71" t="n">
        <v>3.1</v>
      </c>
      <c r="S85" s="71" t="inlineStr">
        <is>
          <t>Water Resources Bureau</t>
        </is>
      </c>
      <c r="T85" s="39" t="inlineStr">
        <is>
          <t>Water Diversion Bureau</t>
        </is>
      </c>
      <c r="U85" s="107" t="inlineStr">
        <is>
          <t>2024.10</t>
        </is>
      </c>
      <c r="V85" s="39" t="n"/>
    </row>
    <row r="86" ht="42" customHeight="1" s="97">
      <c r="A86" s="67" t="inlineStr">
        <is>
          <t>⑵</t>
        </is>
      </c>
      <c r="B86" s="67" t="inlineStr">
        <is>
          <t>Industrial Road</t>
        </is>
      </c>
      <c r="C86" s="113" t="n"/>
      <c r="D86" s="71" t="n"/>
      <c r="E86" s="71" t="n"/>
      <c r="F86" s="40" t="n"/>
      <c r="G86" s="67" t="n">
        <v>427.5</v>
      </c>
      <c r="H86" s="71" t="n"/>
      <c r="I86" s="116" t="n"/>
      <c r="J86" s="113" t="n"/>
      <c r="K86" s="113" t="n"/>
      <c r="L86" s="71" t="n"/>
      <c r="M86" s="114" t="n"/>
      <c r="N86" s="114" t="n"/>
      <c r="O86" s="114" t="n"/>
      <c r="P86" s="71" t="n"/>
      <c r="Q86" s="71" t="n"/>
      <c r="R86" s="71" t="n"/>
      <c r="S86" s="71" t="n"/>
      <c r="T86" s="113" t="n"/>
      <c r="U86" s="107" t="n"/>
      <c r="V86" s="39" t="n"/>
    </row>
    <row r="87" ht="51.75" customHeight="1" s="97">
      <c r="A87" s="71" t="n">
        <v>1</v>
      </c>
      <c r="B87" s="79" t="inlineStr">
        <is>
          <t>Shuiquan Town Yangling Village Corn Industry Road Paving Project</t>
        </is>
      </c>
      <c r="C87" s="79" t="inlineStr">
        <is>
          <t>Newly built</t>
        </is>
      </c>
      <c r="D87" s="79" t="inlineStr">
        <is>
          <t>2025.3-2025.10</t>
        </is>
      </c>
      <c r="E87" s="79" t="inlineStr">
        <is>
          <t>Yangling Village</t>
        </is>
      </c>
      <c r="F87" s="115" t="inlineStr">
        <is>
          <t>Pavement a 3.5-meter wide, 18-centimeter thick industrial road for 2,209 meters.</t>
        </is>
      </c>
      <c r="G87" s="79" t="n">
        <v>91</v>
      </c>
      <c r="H87" s="71" t="inlineStr">
        <is>
          <t>Consecutive 
Funds</t>
        </is>
      </c>
      <c r="I87" s="116" t="inlineStr">
        <is>
          <t>Improve the problems of people's travel and transportation of agricultural by-products.</t>
        </is>
      </c>
      <c r="J87" s="113" t="n"/>
      <c r="K87" s="113" t="n"/>
      <c r="L87" s="71" t="n">
        <v>1</v>
      </c>
      <c r="M87" s="71">
        <f>N87+O87</f>
        <v/>
      </c>
      <c r="N87" s="71" t="n">
        <v>0.0025</v>
      </c>
      <c r="O87" s="71" t="n">
        <v>0.07480000000000001</v>
      </c>
      <c r="P87" s="71">
        <f>Q87+R87</f>
        <v/>
      </c>
      <c r="Q87" s="71" t="n">
        <v>0.0094</v>
      </c>
      <c r="R87" s="71" t="n">
        <v>0.2537</v>
      </c>
      <c r="S87" s="71" t="inlineStr">
        <is>
          <t>Transportation Bureau</t>
        </is>
      </c>
      <c r="T87" s="71" t="inlineStr">
        <is>
          <t>Shuiquan Town</t>
        </is>
      </c>
      <c r="U87" s="107" t="n">
        <v>2024.1</v>
      </c>
      <c r="V87" s="39" t="n"/>
    </row>
    <row r="88" ht="72" customFormat="1" customHeight="1" s="4">
      <c r="A88" s="71" t="n">
        <v>2</v>
      </c>
      <c r="B88" s="71" t="inlineStr">
        <is>
          <t>Shuiquan Town Zayuan Village Corn Industry Road Paving Project</t>
        </is>
      </c>
      <c r="C88" s="71" t="inlineStr">
        <is>
          <t>Newly built</t>
        </is>
      </c>
      <c r="D88" s="71" t="inlineStr">
        <is>
          <t>2025.3-2025.10</t>
        </is>
      </c>
      <c r="E88" s="71" t="inlineStr">
        <is>
          <t>Zaoyuan Village</t>
        </is>
      </c>
      <c r="F88" s="40" t="inlineStr">
        <is>
          <t>Paved road 2 km in length, 3.5 m in width, 18 cm in thickness.</t>
        </is>
      </c>
      <c r="G88" s="71" t="n">
        <v>90</v>
      </c>
      <c r="H88" s="71" t="inlineStr">
        <is>
          <t>Consecutive 
Funds</t>
        </is>
      </c>
      <c r="I88" s="40" t="inlineStr">
        <is>
          <t>Improve the problems of people's travel and transportation of agricultural by-products.</t>
        </is>
      </c>
      <c r="J88" s="71" t="n"/>
      <c r="K88" s="71" t="n"/>
      <c r="L88" s="71" t="n">
        <v>1</v>
      </c>
      <c r="M88" s="71" t="n">
        <v>0.0149</v>
      </c>
      <c r="N88" s="71" t="n">
        <v>0.0007</v>
      </c>
      <c r="O88" s="71" t="n">
        <v>0.0187</v>
      </c>
      <c r="P88" s="71" t="n">
        <v>0.1087</v>
      </c>
      <c r="Q88" s="71" t="n">
        <v>0.0031</v>
      </c>
      <c r="R88" s="71" t="n">
        <v>0.1056</v>
      </c>
      <c r="S88" s="71" t="inlineStr">
        <is>
          <t>Transportation Bureau</t>
        </is>
      </c>
      <c r="T88" s="71" t="inlineStr">
        <is>
          <t>Shuiquan Town</t>
        </is>
      </c>
      <c r="U88" s="107" t="n">
        <v>2024.1</v>
      </c>
      <c r="V88" s="71" t="n"/>
    </row>
    <row r="89" ht="58.5" customHeight="1" s="97">
      <c r="A89" s="71" t="n">
        <v>3</v>
      </c>
      <c r="B89" s="79" t="inlineStr">
        <is>
          <t>Shuiquan Town Shuangcha Village Corn Planting Industry Road Paving Project</t>
        </is>
      </c>
      <c r="C89" s="79" t="inlineStr">
        <is>
          <t>Newly built</t>
        </is>
      </c>
      <c r="D89" s="65" t="inlineStr">
        <is>
          <t>2025.3-2025.10</t>
        </is>
      </c>
      <c r="E89" s="79" t="inlineStr">
        <is>
          <t>Shuangcha Village</t>
        </is>
      </c>
      <c r="F89" s="45" t="inlineStr">
        <is>
          <t>Pavement of 3.5-meter-wide and 18-cm-thick industrial road for 1,224 meters, pavement of 3-meter-wide and 18-cm-thick industrial road for 529 meters.</t>
        </is>
      </c>
      <c r="G89" s="79" t="n">
        <v>71</v>
      </c>
      <c r="H89" s="71" t="inlineStr">
        <is>
          <t>Consecutive 
Funds</t>
        </is>
      </c>
      <c r="I89" s="40" t="inlineStr">
        <is>
          <t>Improve the problems of people's travel and transportation of agricultural by-products.</t>
        </is>
      </c>
      <c r="J89" s="71" t="n"/>
      <c r="K89" s="71" t="n"/>
      <c r="L89" s="71" t="n">
        <v>1</v>
      </c>
      <c r="M89" s="71" t="n">
        <v>0.0076</v>
      </c>
      <c r="N89" s="71" t="n">
        <v>0.0003</v>
      </c>
      <c r="O89" s="71" t="n">
        <v>0.0073</v>
      </c>
      <c r="P89" s="71" t="n">
        <v>0.0302</v>
      </c>
      <c r="Q89" s="71" t="n">
        <v>0.0012</v>
      </c>
      <c r="R89" s="71" t="n">
        <v>0.029</v>
      </c>
      <c r="S89" s="71" t="inlineStr">
        <is>
          <t>Transportation Bureau</t>
        </is>
      </c>
      <c r="T89" s="71" t="inlineStr">
        <is>
          <t>Shuiquan Town</t>
        </is>
      </c>
      <c r="U89" s="107" t="n">
        <v>2024.1</v>
      </c>
      <c r="V89" s="39" t="n"/>
    </row>
    <row r="90" ht="58.5" customHeight="1" s="97">
      <c r="A90" s="71" t="n">
        <v>4</v>
      </c>
      <c r="B90" s="79" t="inlineStr">
        <is>
          <t>Shuiquan Town Shuangcha Village Zhaoshutai Corn Planting Industrial Road Paving Project</t>
        </is>
      </c>
      <c r="C90" s="79" t="inlineStr">
        <is>
          <t>Newly built</t>
        </is>
      </c>
      <c r="D90" s="65" t="inlineStr">
        <is>
          <t>2025.3-2025.10</t>
        </is>
      </c>
      <c r="E90" s="79" t="inlineStr">
        <is>
          <t>Shuangcha Village</t>
        </is>
      </c>
      <c r="F90" s="115" t="inlineStr">
        <is>
          <t>Harden a 598-meter industrial road with a width of 4.5 meters and thickness of 18 centimeters.</t>
        </is>
      </c>
      <c r="G90" s="79" t="n">
        <v>32</v>
      </c>
      <c r="H90" s="71" t="inlineStr">
        <is>
          <t>Consecutive 
Funds</t>
        </is>
      </c>
      <c r="I90" s="40" t="inlineStr">
        <is>
          <t>Improve the problems of people's travel and transportation of agricultural by-products.</t>
        </is>
      </c>
      <c r="J90" s="71" t="n"/>
      <c r="K90" s="71" t="n"/>
      <c r="L90" s="71" t="n">
        <v>1</v>
      </c>
      <c r="M90" s="71" t="n">
        <v>0.0076</v>
      </c>
      <c r="N90" s="71" t="n">
        <v>0.0003</v>
      </c>
      <c r="O90" s="71" t="n">
        <v>0.0073</v>
      </c>
      <c r="P90" s="71" t="n">
        <v>0.0302</v>
      </c>
      <c r="Q90" s="71" t="n">
        <v>0.0012</v>
      </c>
      <c r="R90" s="71" t="n">
        <v>0.029</v>
      </c>
      <c r="S90" s="71" t="inlineStr">
        <is>
          <t>Transportation Bureau</t>
        </is>
      </c>
      <c r="T90" s="71" t="inlineStr">
        <is>
          <t>Shuiquan Town</t>
        </is>
      </c>
      <c r="U90" s="107" t="n">
        <v>2024.1</v>
      </c>
      <c r="V90" s="39" t="n"/>
    </row>
    <row r="91" ht="58.5" customHeight="1" s="97">
      <c r="A91" s="71" t="n">
        <v>5</v>
      </c>
      <c r="B91" s="79" t="inlineStr">
        <is>
          <t>Shuiquan Town Doucheng Village Vegetable Industry Road Paving Project</t>
        </is>
      </c>
      <c r="C91" s="79" t="inlineStr">
        <is>
          <t>Newly built</t>
        </is>
      </c>
      <c r="D91" s="79" t="inlineStr">
        <is>
          <t>2025.3-2025.10</t>
        </is>
      </c>
      <c r="E91" s="79" t="inlineStr">
        <is>
          <t>Doucheng Village</t>
        </is>
      </c>
      <c r="F91" s="110" t="inlineStr">
        <is>
          <t>Harden an 800-meter industrial road with a width of 3 meters and a thickness of 18 centimeters.</t>
        </is>
      </c>
      <c r="G91" s="63" t="n">
        <v>24</v>
      </c>
      <c r="H91" s="71" t="inlineStr">
        <is>
          <t>Consecutive 
Funds</t>
        </is>
      </c>
      <c r="I91" s="40" t="inlineStr">
        <is>
          <t>Improve the problems of people's travel and transportation of agricultural by-products.</t>
        </is>
      </c>
      <c r="J91" s="71" t="n"/>
      <c r="K91" s="71" t="n"/>
      <c r="L91" s="64" t="n">
        <v>1</v>
      </c>
      <c r="M91" s="6">
        <f>N91+O91</f>
        <v/>
      </c>
      <c r="N91" s="79" t="n">
        <v>0.0025</v>
      </c>
      <c r="O91" s="79" t="n">
        <v>0.07480000000000001</v>
      </c>
      <c r="P91" s="6">
        <f>Q91+R91</f>
        <v/>
      </c>
      <c r="Q91" s="79" t="n">
        <v>0.032</v>
      </c>
      <c r="R91" s="79" t="n">
        <v>0.2537</v>
      </c>
      <c r="S91" s="71" t="inlineStr">
        <is>
          <t>Transportation Bureau</t>
        </is>
      </c>
      <c r="T91" s="71" t="inlineStr">
        <is>
          <t>Shuiquan Town</t>
        </is>
      </c>
      <c r="U91" s="107" t="n">
        <v>2024.1</v>
      </c>
      <c r="V91" s="39" t="n"/>
    </row>
    <row r="92" ht="57" customHeight="1" s="97">
      <c r="A92" s="71" t="n">
        <v>6</v>
      </c>
      <c r="B92" s="79" t="inlineStr">
        <is>
          <t>Baojī Town Dūndūn Tān Village Wheat and Corn Industrial Road Paving Project</t>
        </is>
      </c>
      <c r="C92" s="64" t="inlineStr">
        <is>
          <t>Newly built</t>
        </is>
      </c>
      <c r="D92" s="65" t="inlineStr">
        <is>
          <t>2025.3-2025.10</t>
        </is>
      </c>
      <c r="E92" s="79" t="inlineStr">
        <is>
          <t>Dunduntaan Village</t>
        </is>
      </c>
      <c r="F92" s="45" t="inlineStr">
        <is>
          <t>Pavement of 3.5-meter wide, 18-centimeter thick industrial road for 766 meters.</t>
        </is>
      </c>
      <c r="G92" s="64" t="n">
        <v>32</v>
      </c>
      <c r="H92" s="71" t="inlineStr">
        <is>
          <t>Consecutive 
Funds</t>
        </is>
      </c>
      <c r="I92" s="40" t="inlineStr">
        <is>
          <t>Improve the problems of people's travel and transportation of agricultural by-products.</t>
        </is>
      </c>
      <c r="J92" s="71" t="n"/>
      <c r="K92" s="71" t="n"/>
      <c r="L92" s="71" t="n">
        <v>1</v>
      </c>
      <c r="M92" s="71" t="n">
        <v>0.0201</v>
      </c>
      <c r="N92" s="71" t="n">
        <v>0.0015</v>
      </c>
      <c r="O92" s="71" t="n">
        <v>0.0186</v>
      </c>
      <c r="P92" s="71" t="n">
        <v>0.0801</v>
      </c>
      <c r="Q92" s="71" t="n">
        <v>0.0066</v>
      </c>
      <c r="R92" s="71" t="n">
        <v>0.0735</v>
      </c>
      <c r="S92" s="71" t="inlineStr">
        <is>
          <t>Transportation Bureau</t>
        </is>
      </c>
      <c r="T92" s="71" t="inlineStr">
        <is>
          <t>Baoji Town</t>
        </is>
      </c>
      <c r="U92" s="107" t="n">
        <v>2024.1</v>
      </c>
      <c r="V92" s="39" t="n"/>
    </row>
    <row r="93" ht="57" customHeight="1" s="97">
      <c r="A93" s="71" t="n">
        <v>7</v>
      </c>
      <c r="B93" s="65" t="inlineStr">
        <is>
          <t>Baoji Town Xiaochuan Village Wheat and Corn Industrial Road Paving Project</t>
        </is>
      </c>
      <c r="C93" s="65" t="inlineStr">
        <is>
          <t>Newly built</t>
        </is>
      </c>
      <c r="D93" s="65" t="inlineStr">
        <is>
          <t>2025.3-2025.10</t>
        </is>
      </c>
      <c r="E93" s="64" t="inlineStr">
        <is>
          <t>Xiaochuan Village</t>
        </is>
      </c>
      <c r="F93" s="66" t="inlineStr">
        <is>
          <t>Pavement a 3.5-meter wide, 18-centimeter thick industrial road for 1,650 meters.</t>
        </is>
      </c>
      <c r="G93" s="64" t="n">
        <v>68</v>
      </c>
      <c r="H93" s="71" t="inlineStr">
        <is>
          <t>Consecutive 
Funds</t>
        </is>
      </c>
      <c r="I93" s="40" t="inlineStr">
        <is>
          <t>Improve the problems of people's travel and transportation of agricultural by-products.</t>
        </is>
      </c>
      <c r="J93" s="71" t="n"/>
      <c r="K93" s="71" t="n">
        <v>1</v>
      </c>
      <c r="L93" s="71" t="n"/>
      <c r="M93" s="6">
        <f>N93+O93</f>
        <v/>
      </c>
      <c r="N93" s="71" t="n">
        <v>0.0063</v>
      </c>
      <c r="O93" s="71" t="n">
        <v>0.0191</v>
      </c>
      <c r="P93" s="71">
        <f>Q93+R93</f>
        <v/>
      </c>
      <c r="Q93" s="71" t="n">
        <v>0.0264</v>
      </c>
      <c r="R93" s="71" t="n">
        <v>0.061</v>
      </c>
      <c r="S93" s="71" t="inlineStr">
        <is>
          <t>Transportation Bureau</t>
        </is>
      </c>
      <c r="T93" s="71" t="inlineStr">
        <is>
          <t>Baoji Town</t>
        </is>
      </c>
      <c r="U93" s="107" t="n">
        <v>2024.1</v>
      </c>
      <c r="V93" s="39" t="n"/>
    </row>
    <row r="94" ht="69" customHeight="1" s="97">
      <c r="A94" s="71" t="n">
        <v>8</v>
      </c>
      <c r="B94" s="71" t="inlineStr">
        <is>
          <t>Huangqiao Town Shuangpu Village Breeding Area Industrial Road Paving Project</t>
        </is>
      </c>
      <c r="C94" s="71" t="inlineStr">
        <is>
          <t>Newly built</t>
        </is>
      </c>
      <c r="D94" s="71" t="inlineStr">
        <is>
          <t>2025.3-2025.10</t>
        </is>
      </c>
      <c r="E94" s="71" t="inlineStr">
        <is>
          <t>Shuangpu Village</t>
        </is>
      </c>
      <c r="F94" s="40" t="inlineStr">
        <is>
          <t>Construct a 2-kilometer industrial road from the Lujiadadi intersection in Shuangpu Village (beside G341) to Houposha. The road surface width is 3.5 meters, with a thickness of 0.18 meters, and each side shoulder is 0.25 meters, filled with rammed earth.</t>
        </is>
      </c>
      <c r="G94" s="71" t="n">
        <v>76</v>
      </c>
      <c r="H94" s="71" t="inlineStr">
        <is>
          <t>Consecutive 
Funds</t>
        </is>
      </c>
      <c r="I94" s="40" t="inlineStr">
        <is>
          <t>Improve the problems of people's travel and transportation of agricultural by-products.</t>
        </is>
      </c>
      <c r="J94" s="71" t="n"/>
      <c r="K94" s="71" t="n"/>
      <c r="L94" s="71" t="n">
        <v>1</v>
      </c>
      <c r="M94" s="71" t="n">
        <v>0.0117</v>
      </c>
      <c r="N94" s="71" t="n">
        <v>0.0028</v>
      </c>
      <c r="O94" s="71" t="n">
        <v>0.0089</v>
      </c>
      <c r="P94" s="71" t="n">
        <v>0.016</v>
      </c>
      <c r="Q94" s="71" t="n">
        <v>0.0125</v>
      </c>
      <c r="R94" s="71" t="n">
        <v>0.0035</v>
      </c>
      <c r="S94" s="71" t="inlineStr">
        <is>
          <t>Transportation Bureau</t>
        </is>
      </c>
      <c r="T94" s="71" t="inlineStr">
        <is>
          <t>Huangqiao Town</t>
        </is>
      </c>
      <c r="U94" s="107" t="n">
        <v>2024.1</v>
      </c>
      <c r="V94" s="39" t="n"/>
    </row>
    <row r="95" ht="39" customHeight="1" s="97">
      <c r="A95" s="41" t="inlineStr">
        <is>
          <t>㈢</t>
        </is>
      </c>
      <c r="B95" s="67" t="inlineStr">
        <is>
          <t>Financial Insurance
Supporting Facilities</t>
        </is>
      </c>
      <c r="C95" s="39" t="n"/>
      <c r="D95" s="39" t="n"/>
      <c r="E95" s="39" t="n"/>
      <c r="F95" s="44" t="n"/>
      <c r="G95" s="41" t="n">
        <v>170</v>
      </c>
      <c r="H95" s="71" t="n"/>
      <c r="I95" s="44" t="n"/>
      <c r="J95" s="39" t="n"/>
      <c r="K95" s="39" t="n"/>
      <c r="L95" s="39" t="n"/>
      <c r="M95" s="39" t="n"/>
      <c r="N95" s="39" t="n"/>
      <c r="O95" s="39" t="n"/>
      <c r="P95" s="39" t="n"/>
      <c r="Q95" s="39" t="n"/>
      <c r="R95" s="39" t="n"/>
      <c r="S95" s="39" t="n"/>
      <c r="T95" s="39" t="n"/>
      <c r="U95" s="39" t="n"/>
      <c r="V95" s="39" t="n"/>
    </row>
    <row r="96" ht="100.5" customFormat="1" customHeight="1" s="6">
      <c r="A96" s="39" t="n">
        <v>1</v>
      </c>
      <c r="B96" s="68" t="inlineStr">
        <is>
          <t>Small Loan Interest Subsidy Funds</t>
        </is>
      </c>
      <c r="C96" s="71" t="inlineStr">
        <is>
          <t>Newly built</t>
        </is>
      </c>
      <c r="D96" s="71" t="inlineStr">
        <is>
          <t>2025.3-2025.10</t>
        </is>
      </c>
      <c r="E96" s="68" t="inlineStr">
        <is>
          <t>Each township</t>
        </is>
      </c>
      <c r="F96" s="69" t="inlineStr">
        <is>
          <t>Interest subsidy funds for small loans to help people out of poverty.</t>
        </is>
      </c>
      <c r="G96" s="39" t="n">
        <v>170</v>
      </c>
      <c r="H96" s="71" t="inlineStr">
        <is>
          <t>Consecutive 
Funds</t>
        </is>
      </c>
      <c r="I96" s="69" t="inlineStr">
        <is>
          <t>Develop production through loans and reduce the loan burden for low-income populations. The annual interest subsidy rate will provide subsidies according to the current national benchmark interest rate.</t>
        </is>
      </c>
      <c r="J96" s="68" t="n"/>
      <c r="K96" s="71" t="n">
        <v>15</v>
      </c>
      <c r="L96" s="71" t="n">
        <v>46</v>
      </c>
      <c r="M96" s="6">
        <f>N96+O96</f>
        <v/>
      </c>
      <c r="N96" s="39" t="n">
        <v>0.0396</v>
      </c>
      <c r="O96" s="39" t="n">
        <v>0.0396</v>
      </c>
      <c r="P96" s="39">
        <f>Q96+R96</f>
        <v/>
      </c>
      <c r="Q96" s="108" t="n">
        <v>0.1663</v>
      </c>
      <c r="R96" s="71" t="n">
        <v>0.1663</v>
      </c>
      <c r="S96" s="71" t="inlineStr">
        <is>
          <t>Agriculture and Rural Affairs Bureau</t>
        </is>
      </c>
      <c r="T96" s="71" t="inlineStr">
        <is>
          <t>Each township</t>
        </is>
      </c>
      <c r="U96" s="107" t="n">
        <v>2024.1</v>
      </c>
      <c r="V96" s="39" t="n"/>
    </row>
    <row r="97" ht="42.75" customHeight="1" s="97">
      <c r="A97" s="39" t="inlineStr">
        <is>
          <t>Two</t>
        </is>
      </c>
      <c r="B97" s="70" t="inlineStr">
        <is>
          <t>Employment assistance</t>
        </is>
      </c>
      <c r="C97" s="39" t="n"/>
      <c r="D97" s="39" t="n"/>
      <c r="E97" s="39" t="n"/>
      <c r="F97" s="44" t="n"/>
      <c r="G97" s="41" t="n">
        <v>376.4</v>
      </c>
      <c r="H97" s="71" t="inlineStr">
        <is>
          <t>Consecutive 
Funds</t>
        </is>
      </c>
      <c r="I97" s="44" t="n"/>
      <c r="J97" s="39" t="n"/>
      <c r="K97" s="39" t="n"/>
      <c r="L97" s="39" t="n"/>
      <c r="M97" s="39" t="n"/>
      <c r="N97" s="39" t="n"/>
      <c r="O97" s="80" t="n"/>
      <c r="P97" s="6" t="n"/>
      <c r="Q97" s="39" t="n"/>
      <c r="R97" s="39" t="n"/>
      <c r="S97" s="39" t="n"/>
      <c r="T97" s="39" t="n"/>
      <c r="U97" s="39" t="n"/>
      <c r="V97" s="39" t="n"/>
    </row>
    <row r="98" ht="63.75" customFormat="1" customHeight="1" s="6">
      <c r="A98" s="39" t="n">
        <v>1</v>
      </c>
      <c r="B98" s="71" t="inlineStr">
        <is>
          <t>Rural Public Welfare Positions</t>
        </is>
      </c>
      <c r="C98" s="71" t="inlineStr">
        <is>
          <t>Newly built</t>
        </is>
      </c>
      <c r="D98" s="71" t="inlineStr">
        <is>
          <t>2025.1-2025.12</t>
        </is>
      </c>
      <c r="E98" s="71" t="inlineStr">
        <is>
          <t>7 townships 61 villages</t>
        </is>
      </c>
      <c r="F98" s="40" t="inlineStr">
        <is>
          <t>Total of 250 rural public welfare job positions, with 6,000 yuan issued to each person annually (issued monthly), requiring a total of 1.5 million yuan (including 462,000 yuan from provincial funds)</t>
        </is>
      </c>
      <c r="G98" s="71" t="n">
        <v>103.8</v>
      </c>
      <c r="H98" s="71" t="inlineStr">
        <is>
          <t>Consecutive 
Funds</t>
        </is>
      </c>
      <c r="I98" s="40" t="inlineStr">
        <is>
          <t>Solve on-the-spot employment for 250 people lifted out of poverty (including monitoring targets)</t>
        </is>
      </c>
      <c r="J98" s="71" t="n"/>
      <c r="K98" s="71" t="n">
        <v>61</v>
      </c>
      <c r="L98" s="71" t="n"/>
      <c r="M98" s="39">
        <f>N98+O98</f>
        <v/>
      </c>
      <c r="N98" s="71" t="n">
        <v>0.025</v>
      </c>
      <c r="O98" s="71" t="n"/>
      <c r="P98" s="39">
        <f>Q98+R98</f>
        <v/>
      </c>
      <c r="Q98" s="71" t="n">
        <v>0.025</v>
      </c>
      <c r="R98" s="71" t="n"/>
      <c r="S98" s="39" t="inlineStr">
        <is>
          <t>Human Resources and Social Security Bureau</t>
        </is>
      </c>
      <c r="T98" s="39" t="inlineStr">
        <is>
          <t>Human Resources and Social Security Bureau</t>
        </is>
      </c>
      <c r="U98" s="107" t="n">
        <v>2024.1</v>
      </c>
      <c r="V98" s="39" t="n"/>
    </row>
    <row r="99" ht="63.75" customFormat="1" customHeight="1" s="6">
      <c r="A99" s="39" t="n">
        <v>2</v>
      </c>
      <c r="B99" s="71" t="inlineStr">
        <is>
          <t>(Anti-Disability Volunteer) Public Welfare Post</t>
        </is>
      </c>
      <c r="C99" s="71" t="inlineStr">
        <is>
          <t>Newly built</t>
        </is>
      </c>
      <c r="D99" s="71" t="inlineStr">
        <is>
          <t>2025.1-2025.12</t>
        </is>
      </c>
      <c r="E99" s="71" t="inlineStr">
        <is>
          <t>7 townships 61 villages</t>
        </is>
      </c>
      <c r="F99" s="40" t="inlineStr">
        <is>
          <t>(Anti-Disability Helper) A total of 61 public welfare posts, with 500 yuan per person per month.</t>
        </is>
      </c>
      <c r="G99" s="71" t="n">
        <v>36.6</v>
      </c>
      <c r="H99" s="71" t="inlineStr">
        <is>
          <t>Consecutive 
Funds</t>
        </is>
      </c>
      <c r="I99" s="28" t="inlineStr">
        <is>
          <t>Solve the employment of disabled people and provide living security.</t>
        </is>
      </c>
      <c r="J99" s="71" t="n"/>
      <c r="K99" s="71" t="n">
        <v>61</v>
      </c>
      <c r="L99" s="71" t="n"/>
      <c r="M99" s="39" t="n">
        <v>0.0061</v>
      </c>
      <c r="N99" s="71" t="n">
        <v>0.0061</v>
      </c>
      <c r="O99" s="71" t="n"/>
      <c r="P99" s="39" t="n"/>
      <c r="Q99" s="71" t="n"/>
      <c r="R99" s="71" t="n"/>
      <c r="S99" s="63" t="inlineStr">
        <is>
          <t>CRA (China Rehabilitation Association)</t>
        </is>
      </c>
      <c r="T99" s="63" t="inlineStr">
        <is>
          <t>CRA (China Rehabilitation Association)</t>
        </is>
      </c>
      <c r="U99" s="107" t="n">
        <v>2024.1</v>
      </c>
      <c r="V99" s="39" t="n"/>
    </row>
    <row r="100" ht="67.5" customFormat="1" customHeight="1" s="6">
      <c r="A100" s="39" t="n">
        <v>3</v>
      </c>
      <c r="B100" s="71" t="inlineStr">
        <is>
          <t>Employment Assistance Workshop (Factory)</t>
        </is>
      </c>
      <c r="C100" s="71" t="inlineStr">
        <is>
          <t>Newly built</t>
        </is>
      </c>
      <c r="D100" s="71" t="inlineStr">
        <is>
          <t>2025.1-2025.12</t>
        </is>
      </c>
      <c r="E100" s="71" t="inlineStr">
        <is>
          <t>10 workshops</t>
        </is>
      </c>
      <c r="F100" s="40" t="inlineStr">
        <is>
          <t>Employment for 6 months, distributed at a standard of 0.3 ten thousand yuan per person, the employment absorption subsidy is expected to reward and compensate 70 people.</t>
        </is>
      </c>
      <c r="G100" s="39" t="n">
        <v>21</v>
      </c>
      <c r="H100" s="71" t="inlineStr">
        <is>
          <t>Consecutive 
Funds</t>
        </is>
      </c>
      <c r="I100" s="40" t="inlineStr">
        <is>
          <t>Solve the problem of employment subsidy difficulties</t>
        </is>
      </c>
      <c r="J100" s="39" t="n"/>
      <c r="K100" s="39" t="n">
        <v>10</v>
      </c>
      <c r="L100" s="39" t="n"/>
      <c r="M100" s="39">
        <f>N100+O100</f>
        <v/>
      </c>
      <c r="N100" s="71" t="n">
        <v>0.007</v>
      </c>
      <c r="O100" s="71" t="n"/>
      <c r="P100" s="39">
        <f>Q100+R100</f>
        <v/>
      </c>
      <c r="Q100" s="71" t="n">
        <v>0.007</v>
      </c>
      <c r="R100" s="71" t="n"/>
      <c r="S100" s="39" t="inlineStr">
        <is>
          <t>Human Resources and Social Security Bureau</t>
        </is>
      </c>
      <c r="T100" s="39" t="inlineStr">
        <is>
          <t>Human Resources and Social Security Bureau</t>
        </is>
      </c>
      <c r="U100" s="107" t="n">
        <v>2024.1</v>
      </c>
      <c r="V100" s="39" t="n"/>
    </row>
    <row r="101" ht="76.5" customFormat="1" customHeight="1" s="6">
      <c r="A101" s="39" t="n">
        <v>4</v>
      </c>
      <c r="B101" s="71" t="inlineStr">
        <is>
          <t>Wages and transportation subsidies</t>
        </is>
      </c>
      <c r="C101" s="71" t="inlineStr">
        <is>
          <t>Newly built</t>
        </is>
      </c>
      <c r="D101" s="71" t="inlineStr">
        <is>
          <t>2025.1-2025.12</t>
        </is>
      </c>
      <c r="E101" s="71" t="inlineStr">
        <is>
          <t>7 townships 61 villages</t>
        </is>
      </c>
      <c r="F101" s="40" t="inlineStr">
        <is>
          <t>According to the standard of 600 yuan for out-of-province employment and 300 yuan for in-province employment, the number of people receiving the fixed quota advance subsidy shall be no less than 1,167.</t>
        </is>
      </c>
      <c r="G101" s="71" t="n">
        <v>50</v>
      </c>
      <c r="H101" s="71" t="inlineStr">
        <is>
          <t>Consecutive 
Funds</t>
        </is>
      </c>
      <c r="I101" s="40" t="inlineStr">
        <is>
          <t>Solve the problem of employment subsidy difficulties</t>
        </is>
      </c>
      <c r="J101" s="39" t="n"/>
      <c r="K101" s="71" t="n">
        <v>61</v>
      </c>
      <c r="L101" s="39" t="n"/>
      <c r="M101" s="39">
        <f>N101+O101</f>
        <v/>
      </c>
      <c r="N101" s="39" t="n">
        <v>0.1167</v>
      </c>
      <c r="O101" s="39" t="n"/>
      <c r="P101" s="39">
        <f>Q101+R101</f>
        <v/>
      </c>
      <c r="Q101" s="39" t="n">
        <v>0.1167</v>
      </c>
      <c r="R101" s="39" t="n"/>
      <c r="S101" s="39" t="inlineStr">
        <is>
          <t>Human Resources and Social Security Bureau</t>
        </is>
      </c>
      <c r="T101" s="39" t="inlineStr">
        <is>
          <t>Human Resources and Social Security Bureau</t>
        </is>
      </c>
      <c r="U101" s="107" t="n">
        <v>2024.1</v>
      </c>
      <c r="V101" s="39" t="n"/>
    </row>
    <row r="102" ht="64.5" customHeight="1" s="97">
      <c r="A102" s="39" t="n">
        <v>5</v>
      </c>
      <c r="B102" s="71" t="inlineStr">
        <is>
          <t>"Rainbow Plan" Vocational Education</t>
        </is>
      </c>
      <c r="C102" s="71" t="inlineStr">
        <is>
          <t>Newly built</t>
        </is>
      </c>
      <c r="D102" s="71" t="inlineStr">
        <is>
          <t>2025.3-2025.12</t>
        </is>
      </c>
      <c r="E102" s="39" t="inlineStr">
        <is>
          <t>Each township</t>
        </is>
      </c>
      <c r="F102" s="72" t="inlineStr">
        <is>
          <t>The "Rainbow Plan" vocational education subsidy in 2025 will benefit 1,070 people, including 1,070 people in the spring of 2025 with a total of 1.605 million yuan; and 1,070 people in the autumn of 2025 with a total of 1.605 million yuan. (Each person will receive two subsidies per year, totaling 3,000 yuan.)</t>
        </is>
      </c>
      <c r="G102" s="73" t="n">
        <v>321</v>
      </c>
      <c r="H102" s="71" t="inlineStr">
        <is>
          <t>Consecutive 
Funds</t>
        </is>
      </c>
      <c r="I102" s="116" t="inlineStr">
        <is>
          <t>By implementing the Rainy Season Plan, ensure the consolidation of poverty alleviation achievements.</t>
        </is>
      </c>
      <c r="J102" s="113" t="n"/>
      <c r="K102" s="39" t="n">
        <v>15</v>
      </c>
      <c r="L102" s="39" t="n">
        <v>46</v>
      </c>
      <c r="M102" s="39" t="n">
        <v>0.11</v>
      </c>
      <c r="N102" s="71" t="n">
        <v>0.11</v>
      </c>
      <c r="O102" s="71" t="n"/>
      <c r="P102" s="71" t="n">
        <v>0.11</v>
      </c>
      <c r="Q102" s="71" t="n">
        <v>0.11</v>
      </c>
      <c r="R102" s="39" t="n"/>
      <c r="S102" s="71" t="inlineStr">
        <is>
          <t>Agriculture and Rural Affairs Bureau</t>
        </is>
      </c>
      <c r="T102" s="71" t="inlineStr">
        <is>
          <t>Agriculture and Rural Affairs Bureau</t>
        </is>
      </c>
      <c r="U102" s="107" t="n">
        <v>2024.1</v>
      </c>
      <c r="V102" s="39" t="n"/>
    </row>
    <row r="103" ht="39" customHeight="1" s="97">
      <c r="A103" s="41" t="inlineStr">
        <is>
          <t>Three</t>
        </is>
      </c>
      <c r="B103" s="70" t="inlineStr">
        <is>
          <t>Rural Construction
Action</t>
        </is>
      </c>
      <c r="C103" s="39" t="n"/>
      <c r="D103" s="39" t="n"/>
      <c r="E103" s="39" t="n"/>
      <c r="F103" s="44" t="n"/>
      <c r="G103" s="41">
        <f>G104+G165</f>
        <v/>
      </c>
      <c r="H103" s="71" t="n"/>
      <c r="I103" s="44" t="n">
        <v>3695.62</v>
      </c>
      <c r="J103" s="39" t="n"/>
      <c r="K103" s="39" t="n"/>
      <c r="L103" s="39" t="n"/>
      <c r="M103" s="39" t="n"/>
      <c r="N103" s="39" t="n"/>
      <c r="O103" s="39" t="n"/>
      <c r="P103" s="39" t="n"/>
      <c r="Q103" s="39" t="n"/>
      <c r="R103" s="39" t="n"/>
      <c r="S103" s="39" t="n"/>
      <c r="T103" s="39" t="n"/>
      <c r="U103" s="39" t="n"/>
      <c r="V103" s="39" t="n"/>
    </row>
    <row r="104" ht="39" customHeight="1" s="97">
      <c r="A104" s="41" t="inlineStr">
        <is>
          <t>㈠</t>
        </is>
      </c>
      <c r="B104" s="70" t="inlineStr">
        <is>
          <t>Rural Public Infrastructure Construction</t>
        </is>
      </c>
      <c r="C104" s="39" t="n"/>
      <c r="D104" s="39" t="n"/>
      <c r="E104" s="39" t="n"/>
      <c r="F104" s="44" t="n"/>
      <c r="G104" s="41">
        <f>G105+G124+G141+G151+G153</f>
        <v/>
      </c>
      <c r="H104" s="71" t="n"/>
      <c r="I104" s="44" t="n"/>
      <c r="J104" s="39" t="n"/>
      <c r="K104" s="39" t="n"/>
      <c r="L104" s="39" t="n"/>
      <c r="M104" s="39" t="n"/>
      <c r="N104" s="39" t="n"/>
      <c r="O104" s="39" t="n"/>
      <c r="P104" s="39" t="n"/>
      <c r="Q104" s="39" t="n"/>
      <c r="R104" s="39" t="n"/>
      <c r="S104" s="39" t="n"/>
      <c r="T104" s="39" t="n"/>
      <c r="U104" s="39" t="n"/>
      <c r="V104" s="39" t="n"/>
    </row>
    <row r="105" ht="39" customHeight="1" s="97">
      <c r="A105" s="41" t="inlineStr">
        <is>
          <t>⑴</t>
        </is>
      </c>
      <c r="B105" s="70" t="inlineStr">
        <is>
          <t>Road Construction</t>
        </is>
      </c>
      <c r="C105" s="39" t="n"/>
      <c r="D105" s="39" t="n"/>
      <c r="E105" s="39" t="n"/>
      <c r="F105" s="44" t="n"/>
      <c r="G105" s="41" t="n">
        <v>1437</v>
      </c>
      <c r="H105" s="71" t="n"/>
      <c r="I105" s="44" t="n"/>
      <c r="J105" s="39" t="n"/>
      <c r="K105" s="39" t="n"/>
      <c r="L105" s="39" t="n"/>
      <c r="M105" s="39" t="n"/>
      <c r="N105" s="39" t="n"/>
      <c r="O105" s="39" t="n"/>
      <c r="P105" s="39" t="n"/>
      <c r="Q105" s="39" t="n"/>
      <c r="R105" s="39" t="n"/>
      <c r="S105" s="39" t="n"/>
      <c r="T105" s="39" t="n"/>
      <c r="U105" s="39" t="n"/>
      <c r="V105" s="39" t="n"/>
    </row>
    <row r="106" ht="57" customHeight="1" s="97">
      <c r="A106" s="71" t="n">
        <v>1</v>
      </c>
      <c r="B106" s="71" t="inlineStr">
        <is>
          <t>Shuiquan Town Jiazhuang Village Road Paving Project</t>
        </is>
      </c>
      <c r="C106" s="71" t="inlineStr">
        <is>
          <t>Newly built</t>
        </is>
      </c>
      <c r="D106" s="71" t="inlineStr">
        <is>
          <t>2025.3-2025.10</t>
        </is>
      </c>
      <c r="E106" s="71" t="inlineStr">
        <is>
          <t>Jia Zhuang Village</t>
        </is>
      </c>
      <c r="F106" s="40" t="inlineStr">
        <is>
          <t>Asphalt road 3 km in length, 3.5 m in width, and 18 cm in thickness.</t>
        </is>
      </c>
      <c r="G106" s="39" t="n">
        <v>147</v>
      </c>
      <c r="H106" s="71" t="inlineStr">
        <is>
          <t>Consecutive 
Funds</t>
        </is>
      </c>
      <c r="I106" s="40" t="inlineStr">
        <is>
          <t>Improve the problems of people's travel and transportation of agricultural by-products.</t>
        </is>
      </c>
      <c r="J106" s="39" t="n"/>
      <c r="K106" s="39" t="n"/>
      <c r="L106" s="71" t="n">
        <v>1</v>
      </c>
      <c r="M106" s="71" t="n">
        <v>0.0138</v>
      </c>
      <c r="N106" s="71" t="n">
        <v>0.0017</v>
      </c>
      <c r="O106" s="71" t="n">
        <v>0.0121</v>
      </c>
      <c r="P106" s="71" t="n">
        <v>0.0654</v>
      </c>
      <c r="Q106" s="71" t="n">
        <v>0.0054</v>
      </c>
      <c r="R106" s="71" t="n">
        <v>0.06</v>
      </c>
      <c r="S106" s="71" t="inlineStr">
        <is>
          <t>Transportation Bureau</t>
        </is>
      </c>
      <c r="T106" s="71" t="inlineStr">
        <is>
          <t>Shuiquan Town</t>
        </is>
      </c>
      <c r="U106" s="107" t="n">
        <v>2024.1</v>
      </c>
      <c r="V106" s="39" t="n"/>
    </row>
    <row r="107" ht="57" customHeight="1" s="97">
      <c r="A107" s="71" t="n">
        <v>2</v>
      </c>
      <c r="B107" s="79" t="inlineStr">
        <is>
          <t>Shuiquan Town Shuiquan Village Road Paving Project</t>
        </is>
      </c>
      <c r="C107" s="79" t="inlineStr">
        <is>
          <t>Newly built</t>
        </is>
      </c>
      <c r="D107" s="79" t="inlineStr">
        <is>
          <t>2025.3-2025.10</t>
        </is>
      </c>
      <c r="E107" s="79" t="inlineStr">
        <is>
          <t>Shuiquan Village</t>
        </is>
      </c>
      <c r="F107" s="45" t="inlineStr">
        <is>
          <t>Hardening with a width of 3 meters, thickness of 18 centimeters, and length of 1,193 meters.</t>
        </is>
      </c>
      <c r="G107" s="64" t="n">
        <v>36</v>
      </c>
      <c r="H107" s="71" t="inlineStr">
        <is>
          <t>Consecutive 
Funds</t>
        </is>
      </c>
      <c r="I107" s="40" t="inlineStr">
        <is>
          <t>Improve the problems of people's travel and transportation of agricultural by-products.</t>
        </is>
      </c>
      <c r="J107" s="39" t="n"/>
      <c r="K107" s="39" t="n"/>
      <c r="L107" s="71" t="n">
        <v>1</v>
      </c>
      <c r="M107" s="71">
        <f>N107+O107</f>
        <v/>
      </c>
      <c r="N107" s="71" t="n">
        <v>0.0025</v>
      </c>
      <c r="O107" s="71" t="n">
        <v>0.0635</v>
      </c>
      <c r="P107" s="71">
        <f>Q107+R107</f>
        <v/>
      </c>
      <c r="Q107" s="71" t="n">
        <v>0.009900000000000001</v>
      </c>
      <c r="R107" s="71" t="n">
        <v>0.2042</v>
      </c>
      <c r="S107" s="71" t="inlineStr">
        <is>
          <t>Transportation Bureau</t>
        </is>
      </c>
      <c r="T107" s="71" t="inlineStr">
        <is>
          <t>Shuiquan Town</t>
        </is>
      </c>
      <c r="U107" s="107" t="n">
        <v>2024.1</v>
      </c>
      <c r="V107" s="39" t="n"/>
    </row>
    <row r="108" ht="63.75" customHeight="1" s="97">
      <c r="A108" s="71" t="n">
        <v>3</v>
      </c>
      <c r="B108" s="71" t="inlineStr">
        <is>
          <t>Shuiquan Town Dahuangwan Village Road Paving Project</t>
        </is>
      </c>
      <c r="C108" s="71" t="inlineStr">
        <is>
          <t>Newly built</t>
        </is>
      </c>
      <c r="D108" s="71" t="inlineStr">
        <is>
          <t>2025.3-2025.10</t>
        </is>
      </c>
      <c r="E108" s="71" t="inlineStr">
        <is>
          <t>Big Yellow Bay Village</t>
        </is>
      </c>
      <c r="F108" s="40" t="inlineStr">
        <is>
          <t>Paved road 2 km in length, 3.5 m in width, 18 cm in thickness.</t>
        </is>
      </c>
      <c r="G108" s="39" t="n">
        <v>90</v>
      </c>
      <c r="H108" s="71" t="inlineStr">
        <is>
          <t>Consecutive 
Funds</t>
        </is>
      </c>
      <c r="I108" s="40" t="inlineStr">
        <is>
          <t>Improve the problems of people's travel and transportation of agricultural by-products.</t>
        </is>
      </c>
      <c r="J108" s="39" t="n"/>
      <c r="K108" s="39" t="n"/>
      <c r="L108" s="39" t="n">
        <v>1</v>
      </c>
      <c r="M108" s="39" t="n">
        <v>0.0434</v>
      </c>
      <c r="N108" s="39" t="n">
        <v>0.0012</v>
      </c>
      <c r="O108" s="39" t="n">
        <v>0.0422</v>
      </c>
      <c r="P108" s="39" t="n">
        <v>0.1746</v>
      </c>
      <c r="Q108" s="39" t="n">
        <v>0.0042</v>
      </c>
      <c r="R108" s="39" t="n">
        <v>0.165</v>
      </c>
      <c r="S108" s="71" t="inlineStr">
        <is>
          <t>Transportation Bureau</t>
        </is>
      </c>
      <c r="T108" s="71" t="inlineStr">
        <is>
          <t>Shuiquan Town</t>
        </is>
      </c>
      <c r="U108" s="107" t="n">
        <v>2024.1</v>
      </c>
      <c r="V108" s="39" t="n"/>
    </row>
    <row r="109" ht="63.75" customHeight="1" s="97">
      <c r="A109" s="71" t="n">
        <v>4</v>
      </c>
      <c r="B109" s="47" t="inlineStr">
        <is>
          <t>Shuiquan Town Zayuan Rural Road Hardening Project</t>
        </is>
      </c>
      <c r="C109" s="47" t="inlineStr">
        <is>
          <t>Newly built</t>
        </is>
      </c>
      <c r="D109" s="47" t="inlineStr">
        <is>
          <t>2025.3-2025.10</t>
        </is>
      </c>
      <c r="E109" s="47" t="inlineStr">
        <is>
          <t>Zaoyuan Village</t>
        </is>
      </c>
      <c r="F109" s="110" t="inlineStr">
        <is>
          <t>Hardening with a width of 3 meters, thickness of 18 centimeters, and length of 2450 meters.</t>
        </is>
      </c>
      <c r="G109" s="47" t="n">
        <v>74</v>
      </c>
      <c r="H109" s="71" t="inlineStr">
        <is>
          <t>Consecutive 
Funds</t>
        </is>
      </c>
      <c r="I109" s="40" t="inlineStr">
        <is>
          <t>Improve the problems of people's travel and transportation of agricultural by-products.</t>
        </is>
      </c>
      <c r="J109" s="86" t="n"/>
      <c r="K109" s="86" t="n"/>
      <c r="L109" s="79" t="n">
        <v>1</v>
      </c>
      <c r="M109" s="39">
        <f>N109+O109</f>
        <v/>
      </c>
      <c r="N109" s="47" t="n">
        <v>0.0007</v>
      </c>
      <c r="O109" s="47" t="n">
        <v>0.0187</v>
      </c>
      <c r="P109" s="39">
        <f>Q109+R109</f>
        <v/>
      </c>
      <c r="Q109" s="47" t="n">
        <v>0.0031</v>
      </c>
      <c r="R109" s="47" t="n">
        <v>0.1056</v>
      </c>
      <c r="S109" s="71" t="inlineStr">
        <is>
          <t>Transportation Bureau</t>
        </is>
      </c>
      <c r="T109" s="71" t="inlineStr">
        <is>
          <t>Shuiquan Town</t>
        </is>
      </c>
      <c r="U109" s="107" t="n">
        <v>2024.1</v>
      </c>
      <c r="V109" s="39" t="n"/>
    </row>
    <row r="110" ht="46.5" customHeight="1" s="97">
      <c r="A110" s="71" t="n">
        <v>5</v>
      </c>
      <c r="B110" s="74" t="inlineStr">
        <is>
          <t>Baoji Town Fengyuan Village Road Paving Project</t>
        </is>
      </c>
      <c r="C110" s="74" t="inlineStr">
        <is>
          <t>Newly built</t>
        </is>
      </c>
      <c r="D110" s="47" t="inlineStr">
        <is>
          <t>2025.3-2025.10</t>
        </is>
      </c>
      <c r="E110" s="74" t="inlineStr">
        <is>
          <t>Fengyuan Village</t>
        </is>
      </c>
      <c r="F110" s="110" t="inlineStr">
        <is>
          <t>Hardening with a width of 3 meters, thickness of 18 centimeters, and length of 2913 meters.</t>
        </is>
      </c>
      <c r="G110" s="47" t="n">
        <v>87</v>
      </c>
      <c r="H110" s="71" t="inlineStr">
        <is>
          <t>Consecutive 
Funds</t>
        </is>
      </c>
      <c r="I110" s="82" t="inlineStr">
        <is>
          <t>Improve the problem of difficult travel for the people.</t>
        </is>
      </c>
      <c r="J110" s="83" t="n"/>
      <c r="K110" s="83" t="n"/>
      <c r="L110" s="83" t="n">
        <v>1</v>
      </c>
      <c r="M110" s="83" t="n">
        <v>0.0523</v>
      </c>
      <c r="N110" s="83" t="n">
        <v>0.039</v>
      </c>
      <c r="O110" s="83" t="n">
        <v>0.0484</v>
      </c>
      <c r="P110" s="83" t="n">
        <v>0.2208</v>
      </c>
      <c r="Q110" s="83" t="n">
        <v>0.0178</v>
      </c>
      <c r="R110" s="112" t="n">
        <v>0.203</v>
      </c>
      <c r="S110" s="71" t="inlineStr">
        <is>
          <t>Transportation Bureau</t>
        </is>
      </c>
      <c r="T110" s="71" t="inlineStr">
        <is>
          <t>Baoji Town</t>
        </is>
      </c>
      <c r="U110" s="107" t="n">
        <v>2024.1</v>
      </c>
      <c r="V110" s="39" t="n"/>
    </row>
    <row r="111" ht="48" customHeight="1" s="97">
      <c r="A111" s="71" t="n">
        <v>6</v>
      </c>
      <c r="B111" s="71" t="inlineStr">
        <is>
          <t>Baojji Town Jianshan Village Road Hardening Project</t>
        </is>
      </c>
      <c r="C111" s="71" t="inlineStr">
        <is>
          <t>Newly built</t>
        </is>
      </c>
      <c r="D111" s="71" t="inlineStr">
        <is>
          <t>2025.3-2025.10</t>
        </is>
      </c>
      <c r="E111" s="71" t="inlineStr">
        <is>
          <t>Jianshan Village</t>
        </is>
      </c>
      <c r="F111" s="40" t="inlineStr">
        <is>
          <t>Hardening 3 kilometers of village alleys, 3 meters wide.</t>
        </is>
      </c>
      <c r="G111" s="71" t="n">
        <v>93</v>
      </c>
      <c r="H111" s="71" t="inlineStr">
        <is>
          <t>Consecutive 
Funds</t>
        </is>
      </c>
      <c r="I111" s="40" t="inlineStr">
        <is>
          <t>Improve the problems of people's travel and transportation of agricultural by-products.</t>
        </is>
      </c>
      <c r="J111" s="71" t="n"/>
      <c r="K111" s="71" t="n"/>
      <c r="L111" s="71" t="n">
        <v>1</v>
      </c>
      <c r="M111" s="71" t="n">
        <v>0.0195</v>
      </c>
      <c r="N111" s="71" t="n">
        <v>0.0032</v>
      </c>
      <c r="O111" s="71" t="n">
        <v>0.0163</v>
      </c>
      <c r="P111" s="71" t="n">
        <v>0.0678</v>
      </c>
      <c r="Q111" s="71" t="n">
        <v>0.0137</v>
      </c>
      <c r="R111" s="71" t="n">
        <v>0.0541</v>
      </c>
      <c r="S111" s="71" t="inlineStr">
        <is>
          <t>Transportation Bureau</t>
        </is>
      </c>
      <c r="T111" s="71" t="inlineStr">
        <is>
          <t>Baoji Town</t>
        </is>
      </c>
      <c r="U111" s="107" t="n">
        <v>2024.1</v>
      </c>
      <c r="V111" s="39" t="n"/>
    </row>
    <row r="112" ht="48.75" customHeight="1" s="97">
      <c r="A112" s="71" t="n">
        <v>7</v>
      </c>
      <c r="B112" s="71" t="inlineStr">
        <is>
          <t>Baojī Town Dūndūn Tān Village Village Road Paving Project</t>
        </is>
      </c>
      <c r="C112" s="39" t="inlineStr">
        <is>
          <t>Newly built</t>
        </is>
      </c>
      <c r="D112" s="71" t="inlineStr">
        <is>
          <t>2025.3-2025.10</t>
        </is>
      </c>
      <c r="E112" s="71" t="inlineStr">
        <is>
          <t>Dunden Tanch Village</t>
        </is>
      </c>
      <c r="F112" s="40" t="inlineStr">
        <is>
          <t>Pavement of 2 km road with a width of 4 meters</t>
        </is>
      </c>
      <c r="G112" s="39" t="n">
        <v>96</v>
      </c>
      <c r="H112" s="71" t="inlineStr">
        <is>
          <t>Consecutive 
Funds</t>
        </is>
      </c>
      <c r="I112" s="40" t="inlineStr">
        <is>
          <t>Improve the problem of difficult travel for the people</t>
        </is>
      </c>
      <c r="J112" s="71" t="n"/>
      <c r="K112" s="71" t="n"/>
      <c r="L112" s="71" t="n">
        <v>1</v>
      </c>
      <c r="M112" s="71" t="n">
        <v>0.0201</v>
      </c>
      <c r="N112" s="71" t="n">
        <v>0.0015</v>
      </c>
      <c r="O112" s="71" t="n">
        <v>0.0186</v>
      </c>
      <c r="P112" s="71" t="n">
        <v>0.0801</v>
      </c>
      <c r="Q112" s="71" t="n">
        <v>0.0066</v>
      </c>
      <c r="R112" s="71" t="n">
        <v>0.0735</v>
      </c>
      <c r="S112" s="71" t="inlineStr">
        <is>
          <t>Transportation Bureau</t>
        </is>
      </c>
      <c r="T112" s="71" t="inlineStr">
        <is>
          <t>Baoji Town</t>
        </is>
      </c>
      <c r="U112" s="107" t="n">
        <v>2024.1</v>
      </c>
      <c r="V112" s="39" t="n"/>
    </row>
    <row r="113" ht="54.75" customHeight="1" s="97">
      <c r="A113" s="71" t="n">
        <v>8</v>
      </c>
      <c r="B113" s="71" t="inlineStr">
        <is>
          <t>Baoji Town Weidi Village Road Hardening Project</t>
        </is>
      </c>
      <c r="C113" s="71" t="inlineStr">
        <is>
          <t>Continuation construction</t>
        </is>
      </c>
      <c r="D113" s="71" t="inlineStr">
        <is>
          <t>2025.3-2025.10</t>
        </is>
      </c>
      <c r="E113" s="71" t="inlineStr">
        <is>
          <t>Wei's Family
Land Village</t>
        </is>
      </c>
      <c r="F113" s="40" t="inlineStr">
        <is>
          <t>Pave a road 1.5 kilometers long and 5 meters wide.</t>
        </is>
      </c>
      <c r="G113" s="71" t="n">
        <v>100</v>
      </c>
      <c r="H113" s="71" t="inlineStr">
        <is>
          <t>Consecutive 
Funds</t>
        </is>
      </c>
      <c r="I113" s="40" t="inlineStr">
        <is>
          <t>Improve the problems of people's travel and transportation of agricultural by-products.</t>
        </is>
      </c>
      <c r="J113" s="71" t="n"/>
      <c r="K113" s="71" t="n"/>
      <c r="L113" s="71" t="n">
        <v>1</v>
      </c>
      <c r="M113" s="71" t="n">
        <v>0.008999999999999999</v>
      </c>
      <c r="N113" s="71" t="n">
        <v>0.001</v>
      </c>
      <c r="O113" s="71" t="n">
        <v>0.008</v>
      </c>
      <c r="P113" s="71" t="n">
        <v>0.036</v>
      </c>
      <c r="Q113" s="71" t="n">
        <v>0.044</v>
      </c>
      <c r="R113" s="71" t="n">
        <v>0.0316</v>
      </c>
      <c r="S113" s="71" t="inlineStr">
        <is>
          <t>Transportation Bureau</t>
        </is>
      </c>
      <c r="T113" s="71" t="inlineStr">
        <is>
          <t>Baoji Town</t>
        </is>
      </c>
      <c r="U113" s="107" t="n">
        <v>2024.1</v>
      </c>
      <c r="V113" s="39" t="n"/>
    </row>
    <row r="114" ht="52.5" customHeight="1" s="97">
      <c r="A114" s="71" t="n">
        <v>9</v>
      </c>
      <c r="B114" s="71" t="inlineStr">
        <is>
          <t>Baohua Town Hejiachuan Village Road Hardening Construction Project</t>
        </is>
      </c>
      <c r="C114" s="71" t="inlineStr">
        <is>
          <t>Newly built</t>
        </is>
      </c>
      <c r="D114" s="71" t="inlineStr">
        <is>
          <t>2025.3-2025.10</t>
        </is>
      </c>
      <c r="E114" s="71" t="inlineStr">
        <is>
          <t>Hejia
Chuan Village</t>
        </is>
      </c>
      <c r="F114" s="40" t="inlineStr">
        <is>
          <t>Pavement of a 3-meter wide, 18-centimeter thick road for 2 kilometers.</t>
        </is>
      </c>
      <c r="G114" s="71" t="n">
        <v>65</v>
      </c>
      <c r="H114" s="71" t="inlineStr">
        <is>
          <t>Consecutive 
Funds</t>
        </is>
      </c>
      <c r="I114" s="40" t="inlineStr">
        <is>
          <t>Improve the problems of people's travel and transportation of agricultural by-products.</t>
        </is>
      </c>
      <c r="J114" s="67" t="n"/>
      <c r="K114" s="67" t="n"/>
      <c r="L114" s="71" t="n">
        <v>1</v>
      </c>
      <c r="M114" s="71" t="n">
        <v>0.0318</v>
      </c>
      <c r="N114" s="71" t="n">
        <v>0.003</v>
      </c>
      <c r="O114" s="71" t="n">
        <v>0.0288</v>
      </c>
      <c r="P114" s="71" t="n">
        <v>0.1218</v>
      </c>
      <c r="Q114" s="71" t="n">
        <v>0.0098</v>
      </c>
      <c r="R114" s="71" t="n">
        <v>0.112</v>
      </c>
      <c r="S114" s="71" t="inlineStr">
        <is>
          <t>Transportation Bureau</t>
        </is>
      </c>
      <c r="T114" s="71" t="inlineStr">
        <is>
          <t>Baoji Town</t>
        </is>
      </c>
      <c r="U114" s="107" t="n">
        <v>2024.1</v>
      </c>
      <c r="V114" s="39" t="n"/>
    </row>
    <row r="115" ht="63.75" customHeight="1" s="97">
      <c r="A115" s="71" t="n">
        <v>10</v>
      </c>
      <c r="B115" s="71" t="inlineStr">
        <is>
          <t>Gonghe Town Maobula Village Rural Revitalization Household Access Road Paving Project</t>
        </is>
      </c>
      <c r="C115" s="71" t="inlineStr">
        <is>
          <t>Newly built</t>
        </is>
      </c>
      <c r="D115" s="71" t="inlineStr">
        <is>
          <t>2025.3-2025.10</t>
        </is>
      </c>
      <c r="E115" s="71" t="inlineStr">
        <is>
          <t>Maobula Village</t>
        </is>
      </c>
      <c r="F115" s="40" t="inlineStr">
        <is>
          <t>Hardening of access roads for 3 kilometers, with a designed subgrade width of 2.5 meters and a 15 cm thick cement concrete surface layer.</t>
        </is>
      </c>
      <c r="G115" s="71" t="n">
        <v>90</v>
      </c>
      <c r="H115" s="71" t="inlineStr">
        <is>
          <t>Consecutive 
Funds</t>
        </is>
      </c>
      <c r="I115" s="40" t="inlineStr">
        <is>
          <t>Improve the problems of people's travel and transportation of agricultural by-products.</t>
        </is>
      </c>
      <c r="J115" s="71" t="n"/>
      <c r="K115" s="71" t="n"/>
      <c r="L115" s="71" t="n">
        <v>1</v>
      </c>
      <c r="M115" s="71" t="n">
        <v>0.08019999999999999</v>
      </c>
      <c r="N115" s="71" t="n">
        <v>0.0077</v>
      </c>
      <c r="O115" s="71" t="n">
        <v>0.0725</v>
      </c>
      <c r="P115" s="71" t="n">
        <v>0.3209</v>
      </c>
      <c r="Q115" s="71" t="n">
        <v>0.0346</v>
      </c>
      <c r="R115" s="71" t="n">
        <v>0.2863</v>
      </c>
      <c r="S115" s="71" t="inlineStr">
        <is>
          <t>Transportation Bureau</t>
        </is>
      </c>
      <c r="T115" s="39" t="inlineStr">
        <is>
          <t>Gonghe Town</t>
        </is>
      </c>
      <c r="U115" s="107" t="n">
        <v>2024.1</v>
      </c>
      <c r="V115" s="39" t="n"/>
    </row>
    <row r="116" ht="54.75" customHeight="1" s="97">
      <c r="A116" s="71" t="n">
        <v>11</v>
      </c>
      <c r="B116" s="71" t="inlineStr">
        <is>
          <t>The Red Gully Village Household Road Paving Project in Gonghe Town</t>
        </is>
      </c>
      <c r="C116" s="71" t="inlineStr">
        <is>
          <t>Newly built</t>
        </is>
      </c>
      <c r="D116" s="71" t="inlineStr">
        <is>
          <t>2025.3-2025.10</t>
        </is>
      </c>
      <c r="E116" s="71" t="inlineStr">
        <is>
          <t>Honggou Village</t>
        </is>
      </c>
      <c r="F116" s="40" t="inlineStr">
        <is>
          <t>Hardening of access roads for 3 kilometers, with a designed subgrade width of 2.5 meters and a 15 cm thick cement concrete surface layer.</t>
        </is>
      </c>
      <c r="G116" s="71" t="n">
        <v>90</v>
      </c>
      <c r="H116" s="71" t="inlineStr">
        <is>
          <t>Consecutive 
Funds</t>
        </is>
      </c>
      <c r="I116" s="40" t="inlineStr">
        <is>
          <t>Improve the problems of people's travel and transportation of agricultural by-products.</t>
        </is>
      </c>
      <c r="J116" s="71" t="n"/>
      <c r="K116" s="71" t="n"/>
      <c r="L116" s="71" t="n">
        <v>1</v>
      </c>
      <c r="M116" s="71" t="n">
        <v>0.0365</v>
      </c>
      <c r="N116" s="71" t="n">
        <v>0.0054</v>
      </c>
      <c r="O116" s="71" t="n">
        <v>0.0311</v>
      </c>
      <c r="P116" s="71" t="n">
        <v>0.1428</v>
      </c>
      <c r="Q116" s="71" t="n">
        <v>0.0227</v>
      </c>
      <c r="R116" s="71" t="n">
        <v>0.1201</v>
      </c>
      <c r="S116" s="71" t="inlineStr">
        <is>
          <t>Transportation Bureau</t>
        </is>
      </c>
      <c r="T116" s="39" t="inlineStr">
        <is>
          <t>Gonghe Town</t>
        </is>
      </c>
      <c r="U116" s="107" t="n">
        <v>2024.1</v>
      </c>
      <c r="V116" s="39" t="n"/>
    </row>
    <row r="117" ht="54.75" customHeight="1" s="97">
      <c r="A117" s="71" t="n">
        <v>12</v>
      </c>
      <c r="B117" s="71" t="inlineStr">
        <is>
          <t>Gonghe Town Zhonghe Village Road Paving Project</t>
        </is>
      </c>
      <c r="C117" s="71" t="inlineStr">
        <is>
          <t>Newly built</t>
        </is>
      </c>
      <c r="D117" s="71" t="inlineStr">
        <is>
          <t>2025.3-2025.10</t>
        </is>
      </c>
      <c r="E117" s="71" t="inlineStr">
        <is>
          <t>Zhonghe Village</t>
        </is>
      </c>
      <c r="F117" s="40" t="inlineStr">
        <is>
          <t>Hardened road 2 km long, 3 meters wide, with a surface layer of 15 cm thick cement concrete.</t>
        </is>
      </c>
      <c r="G117" s="71" t="n">
        <v>72</v>
      </c>
      <c r="H117" s="71" t="inlineStr">
        <is>
          <t>Consecutive 
Funds</t>
        </is>
      </c>
      <c r="I117" s="40" t="inlineStr">
        <is>
          <t>Improve the problems of people's travel and transportation of agricultural by-products.</t>
        </is>
      </c>
      <c r="J117" s="71" t="n"/>
      <c r="K117" s="71" t="n"/>
      <c r="L117" s="71" t="n">
        <v>1</v>
      </c>
      <c r="M117" s="71" t="n">
        <v>0.0735</v>
      </c>
      <c r="N117" s="71" t="n">
        <v>0.007</v>
      </c>
      <c r="O117" s="71" t="n">
        <v>0.0665</v>
      </c>
      <c r="P117" s="71" t="n">
        <v>0.2844</v>
      </c>
      <c r="Q117" s="71" t="n">
        <v>0.0293</v>
      </c>
      <c r="R117" s="71" t="n">
        <v>0.2551</v>
      </c>
      <c r="S117" s="71" t="inlineStr">
        <is>
          <t>Transportation Bureau</t>
        </is>
      </c>
      <c r="T117" s="39" t="inlineStr">
        <is>
          <t>Gonghe Town</t>
        </is>
      </c>
      <c r="U117" s="107" t="n">
        <v>2024.1</v>
      </c>
      <c r="V117" s="39" t="n"/>
    </row>
    <row r="118" ht="54.75" customHeight="1" s="97">
      <c r="A118" s="71" t="n">
        <v>13</v>
      </c>
      <c r="B118" s="79" t="inlineStr">
        <is>
          <t>The Gonghe Town Ge Xiong Cun Access Road Hardening Project</t>
        </is>
      </c>
      <c r="C118" s="79" t="inlineStr">
        <is>
          <t>Newly built</t>
        </is>
      </c>
      <c r="D118" s="79" t="inlineStr">
        <is>
          <t>2025.3-2025.10</t>
        </is>
      </c>
      <c r="E118" s="79" t="inlineStr">
        <is>
          <t>Brothers Village</t>
        </is>
      </c>
      <c r="F118" s="45" t="inlineStr">
        <is>
          <t>Hardened width 3 meters, thickness 18 centimeters, 599 meters.</t>
        </is>
      </c>
      <c r="G118" s="79" t="n">
        <v>20</v>
      </c>
      <c r="H118" s="71" t="inlineStr">
        <is>
          <t>Consecutive 
Funds</t>
        </is>
      </c>
      <c r="I118" s="40" t="inlineStr">
        <is>
          <t>Improve the problems of people's travel and transportation of agricultural by-products.</t>
        </is>
      </c>
      <c r="J118" s="71" t="n"/>
      <c r="K118" s="71" t="n"/>
      <c r="L118" s="47" t="n">
        <v>1</v>
      </c>
      <c r="M118" s="6">
        <f>N118+O118</f>
        <v/>
      </c>
      <c r="N118" s="47" t="n">
        <v>0.004</v>
      </c>
      <c r="O118" s="47" t="n">
        <v>0.038</v>
      </c>
      <c r="P118" s="6">
        <f>Q118+R118</f>
        <v/>
      </c>
      <c r="Q118" s="47" t="n">
        <v>0.0162</v>
      </c>
      <c r="R118" s="47" t="n">
        <v>0.1529</v>
      </c>
      <c r="S118" s="71" t="inlineStr">
        <is>
          <t>Transportation Bureau</t>
        </is>
      </c>
      <c r="T118" s="39" t="inlineStr">
        <is>
          <t>Gonghe Town</t>
        </is>
      </c>
      <c r="U118" s="107" t="n">
        <v>2024.1</v>
      </c>
      <c r="V118" s="39" t="n"/>
    </row>
    <row r="119" ht="54.75" customHeight="1" s="97">
      <c r="A119" s="71" t="n">
        <v>14</v>
      </c>
      <c r="B119" s="71" t="inlineStr">
        <is>
          <t>Xiaochuan Village, Zhongtian Township Village Road Paving Project</t>
        </is>
      </c>
      <c r="C119" s="71" t="inlineStr">
        <is>
          <t>Newly built</t>
        </is>
      </c>
      <c r="D119" s="71" t="inlineStr">
        <is>
          <t>2025.3-2025.10</t>
        </is>
      </c>
      <c r="E119" s="71" t="inlineStr">
        <is>
          <t>Xiaochuan Village</t>
        </is>
      </c>
      <c r="F119" s="40" t="inlineStr">
        <is>
          <t>Pavement of 3 meters wide and 4,000 meters long village road.</t>
        </is>
      </c>
      <c r="G119" s="71" t="n">
        <v>120</v>
      </c>
      <c r="H119" s="71" t="inlineStr">
        <is>
          <t>Consecutive 
Funds</t>
        </is>
      </c>
      <c r="I119" s="40" t="inlineStr">
        <is>
          <t>Improve the problems of people's travel and transportation of agricultural by-products.</t>
        </is>
      </c>
      <c r="J119" s="71" t="n"/>
      <c r="K119" s="71" t="n"/>
      <c r="L119" s="71" t="n">
        <v>1</v>
      </c>
      <c r="M119" s="71" t="n">
        <v>0.0195</v>
      </c>
      <c r="N119" s="71" t="n">
        <v>0.0065</v>
      </c>
      <c r="O119" s="71" t="n">
        <v>0.013</v>
      </c>
      <c r="P119" s="71" t="n">
        <v>0.083</v>
      </c>
      <c r="Q119" s="71" t="n">
        <v>0.0276</v>
      </c>
      <c r="R119" s="71" t="n">
        <v>0.0554</v>
      </c>
      <c r="S119" s="71" t="inlineStr">
        <is>
          <t>Transportation Bureau</t>
        </is>
      </c>
      <c r="T119" s="71" t="inlineStr">
        <is>
          <t>Zhangtian Township</t>
        </is>
      </c>
      <c r="U119" s="107" t="n">
        <v>2024.1</v>
      </c>
      <c r="V119" s="39" t="n"/>
    </row>
    <row r="120" ht="51.75" customHeight="1" s="97">
      <c r="A120" s="71" t="n">
        <v>15</v>
      </c>
      <c r="B120" s="71" t="inlineStr">
        <is>
          <t>Niubai Village Road Paving Project, Huangqiao Town</t>
        </is>
      </c>
      <c r="C120" s="71" t="inlineStr">
        <is>
          <t>Newly built</t>
        </is>
      </c>
      <c r="D120" s="71" t="inlineStr">
        <is>
          <t>2025.3-2025.10</t>
        </is>
      </c>
      <c r="E120" s="71" t="inlineStr">
        <is>
          <t>Niubai Village</t>
        </is>
      </c>
      <c r="F120" s="110" t="inlineStr">
        <is>
          <t>Pavement of a 3-meter wide and 18-centimeter thick road for 1,345 meters.</t>
        </is>
      </c>
      <c r="G120" s="79" t="n">
        <v>41</v>
      </c>
      <c r="H120" s="71" t="inlineStr">
        <is>
          <t>Consecutive 
Funds</t>
        </is>
      </c>
      <c r="I120" s="40" t="inlineStr">
        <is>
          <t>Improve the problems of people's travel and transportation of agricultural by-products.</t>
        </is>
      </c>
      <c r="J120" s="71" t="n"/>
      <c r="K120" s="71" t="n"/>
      <c r="L120" s="71" t="n">
        <v>1</v>
      </c>
      <c r="M120" s="71" t="n">
        <v>0.0375</v>
      </c>
      <c r="N120" s="71" t="n">
        <v>0.0105</v>
      </c>
      <c r="O120" s="71" t="n">
        <v>0.027</v>
      </c>
      <c r="P120" s="71">
        <f>Q120+R120</f>
        <v/>
      </c>
      <c r="Q120" s="71" t="n">
        <v>0.0441</v>
      </c>
      <c r="R120" s="71" t="n">
        <v>0.092</v>
      </c>
      <c r="S120" s="71" t="inlineStr">
        <is>
          <t>Agriculture and Rural Affairs Bureau</t>
        </is>
      </c>
      <c r="T120" s="71" t="inlineStr">
        <is>
          <t>Huangqiao Town</t>
        </is>
      </c>
      <c r="U120" s="107" t="n">
        <v>2024.1</v>
      </c>
      <c r="V120" s="39" t="n"/>
    </row>
    <row r="121" ht="138" customHeight="1" s="97">
      <c r="A121" s="71" t="n">
        <v>16</v>
      </c>
      <c r="B121" s="71" t="inlineStr">
        <is>
          <t>Huangqiao Town Jiaokou Village Road Hardening Project</t>
        </is>
      </c>
      <c r="C121" s="71" t="inlineStr">
        <is>
          <t>Newly built</t>
        </is>
      </c>
      <c r="D121" s="71" t="inlineStr">
        <is>
          <t>2025.3-2025.10</t>
        </is>
      </c>
      <c r="E121" s="71" t="inlineStr">
        <is>
          <t>Jiaokou Village</t>
        </is>
      </c>
      <c r="F121" s="40" t="inlineStr">
        <is>
          <t>A total of 1.85 kilometers of road was paved. The road is 3.5 meters wide and 18 centimeters thick.
1. Paved road in Jiuzhuangou Village for 1.0 kilometer (700 meters from Guo Shifa's house to Laofenwan; 300 meters from Wang Zhijun's house to Li Fen's house;
2. Paved road in Yangaoguai Village for 0.85 kilometers (200 meters from Yangaoguai Temple to Liu Shengren's house; 200 meters from Yang Min's house to Wei Qiqiang's house; 200 meters from Liu Shengzhi's house to Zhao Jinsun's house; 100 meters from Wei Gang's house to Liu Shengrong's house; 100 meters from Gao Sheng's house to Yang Xuewu's house; 50 meters from Jiao Weiguo's house to Jiao Deliang's house)</t>
        </is>
      </c>
      <c r="G121" s="71" t="n">
        <v>74</v>
      </c>
      <c r="H121" s="71" t="inlineStr">
        <is>
          <t>Consecutive 
Funds</t>
        </is>
      </c>
      <c r="I121" s="40" t="inlineStr">
        <is>
          <t>Improve the problems of people's travel and transportation of agricultural by-products.</t>
        </is>
      </c>
      <c r="J121" s="71" t="n"/>
      <c r="K121" s="71" t="n">
        <v>1</v>
      </c>
      <c r="L121" s="71" t="n"/>
      <c r="M121" s="71" t="n">
        <v>0.0092</v>
      </c>
      <c r="N121" s="71" t="n">
        <v>0.0026</v>
      </c>
      <c r="O121" s="71" t="n">
        <v>0.0066</v>
      </c>
      <c r="P121" s="71" t="n">
        <v>0.0368</v>
      </c>
      <c r="Q121" s="71" t="n">
        <v>0.0108</v>
      </c>
      <c r="R121" s="71" t="n">
        <v>0.026</v>
      </c>
      <c r="S121" s="71" t="inlineStr">
        <is>
          <t>Agriculture and Rural Affairs Bureau</t>
        </is>
      </c>
      <c r="T121" s="71" t="inlineStr">
        <is>
          <t>Huangqiao Town</t>
        </is>
      </c>
      <c r="U121" s="107" t="n">
        <v>2024.1</v>
      </c>
      <c r="V121" s="39" t="n"/>
    </row>
    <row r="122" ht="70.5" customHeight="1" s="97">
      <c r="A122" s="71" t="n">
        <v>17</v>
      </c>
      <c r="B122" s="71" t="inlineStr">
        <is>
          <t>Wangjia Mountain Town Jingercuan Village Household Road Hardening Project</t>
        </is>
      </c>
      <c r="C122" s="71" t="inlineStr">
        <is>
          <t>Newly built</t>
        </is>
      </c>
      <c r="D122" s="71" t="inlineStr">
        <is>
          <t>2025.3-2025.10</t>
        </is>
      </c>
      <c r="E122" s="113" t="inlineStr">
        <is>
          <t>Jingerchuan Village</t>
        </is>
      </c>
      <c r="F122" s="75" t="inlineStr">
        <is>
          <t>He Yawan to household road 3KM (Xi Yingxiao - Liu Kanghua - Bai Wei - Bai Da - Hardened road 1000M; Dou Jiamen Bai An - Bai Sen - Dou Shishun - Dou Shizhong 1400M; Yu Jianping - Yu Jiangang - Huang Kefu - Huang Kehai 600M)</t>
        </is>
      </c>
      <c r="G122" s="71" t="n">
        <v>65</v>
      </c>
      <c r="H122" s="71" t="inlineStr">
        <is>
          <t>Consecutive 
Funds</t>
        </is>
      </c>
      <c r="I122" s="40" t="inlineStr">
        <is>
          <t>Improve the problems of people's travel and transportation of agricultural by-products.</t>
        </is>
      </c>
      <c r="J122" s="71" t="n"/>
      <c r="K122" s="71" t="n">
        <v>1</v>
      </c>
      <c r="L122" s="71" t="n"/>
      <c r="M122" s="71" t="n">
        <v>0.0192</v>
      </c>
      <c r="N122" s="4" t="n">
        <v>0.0045</v>
      </c>
      <c r="O122" s="71" t="n">
        <v>0.0147</v>
      </c>
      <c r="P122" s="71" t="n">
        <v>0.0701</v>
      </c>
      <c r="Q122" s="71" t="n">
        <v>0.0194</v>
      </c>
      <c r="R122" s="71" t="n">
        <v>0.0507</v>
      </c>
      <c r="S122" s="71" t="inlineStr">
        <is>
          <t>Transportation Bureau</t>
        </is>
      </c>
      <c r="T122" s="113" t="inlineStr">
        <is>
          <t>Wangjia  
Shan Town</t>
        </is>
      </c>
      <c r="U122" s="107" t="n">
        <v>2024.1</v>
      </c>
      <c r="V122" s="39" t="n"/>
    </row>
    <row r="123" ht="70.5" customHeight="1" s="97">
      <c r="A123" s="71" t="n">
        <v>18</v>
      </c>
      <c r="B123" s="79" t="inlineStr">
        <is>
          <t>Wangjia Mountain Town Wanmiao Village Road Paving Project</t>
        </is>
      </c>
      <c r="C123" s="79" t="inlineStr">
        <is>
          <t>Newly built</t>
        </is>
      </c>
      <c r="D123" s="79" t="inlineStr">
        <is>
          <t>2025.3-2025.10</t>
        </is>
      </c>
      <c r="E123" s="79" t="inlineStr">
        <is>
          <t>Wanmiao Village</t>
        </is>
      </c>
      <c r="F123" s="45" t="inlineStr">
        <is>
          <t>Pavement of a 3.5-meter wide, 18-centimeter thick road for 1,874 meters.</t>
        </is>
      </c>
      <c r="G123" s="79" t="n">
        <v>77</v>
      </c>
      <c r="H123" s="71" t="inlineStr">
        <is>
          <t>Consecutive 
Funds</t>
        </is>
      </c>
      <c r="I123" s="40" t="inlineStr">
        <is>
          <t>Improve the problems of people's travel and transportation of agricultural by-products.</t>
        </is>
      </c>
      <c r="J123" s="71" t="n"/>
      <c r="K123" s="71" t="n"/>
      <c r="L123" s="71" t="n">
        <v>1</v>
      </c>
      <c r="M123" s="71" t="n">
        <v>0.0411</v>
      </c>
      <c r="N123" s="71" t="n">
        <v>0.0071</v>
      </c>
      <c r="O123" s="114" t="n">
        <v>0.034</v>
      </c>
      <c r="P123" s="114" t="n">
        <v>0.163</v>
      </c>
      <c r="Q123" s="114" t="n">
        <v>0.02</v>
      </c>
      <c r="R123" s="71" t="n">
        <v>0.143</v>
      </c>
      <c r="S123" s="71" t="inlineStr">
        <is>
          <t>Transportation Bureau</t>
        </is>
      </c>
      <c r="T123" s="113" t="inlineStr">
        <is>
          <t>Wangjia  
Shan Town</t>
        </is>
      </c>
      <c r="U123" s="107" t="n">
        <v>2024.1</v>
      </c>
      <c r="V123" s="39" t="n"/>
    </row>
    <row r="124" ht="39.75" customHeight="1" s="97">
      <c r="A124" s="39" t="inlineStr">
        <is>
          <t>⑵</t>
        </is>
      </c>
      <c r="B124" s="67" t="inlineStr">
        <is>
          <t>Consolidation and Improvement of Safe Drinking Water Security</t>
        </is>
      </c>
      <c r="C124" s="39" t="n"/>
      <c r="D124" s="39" t="n"/>
      <c r="E124" s="39" t="n"/>
      <c r="F124" s="44" t="n"/>
      <c r="G124" s="41" t="n">
        <v>803</v>
      </c>
      <c r="H124" s="71" t="n"/>
      <c r="I124" s="44" t="n"/>
      <c r="J124" s="39" t="n"/>
      <c r="K124" s="39" t="n"/>
      <c r="L124" s="39" t="n"/>
      <c r="M124" s="39" t="n"/>
      <c r="N124" s="39" t="n"/>
      <c r="O124" s="39" t="n"/>
      <c r="P124" s="39" t="n"/>
      <c r="Q124" s="39" t="n"/>
      <c r="R124" s="39" t="n"/>
      <c r="S124" s="39" t="n"/>
      <c r="T124" s="39" t="n"/>
      <c r="U124" s="39" t="n"/>
      <c r="V124" s="39" t="n"/>
    </row>
    <row r="125" ht="154.5" customFormat="1" customHeight="1" s="4">
      <c r="A125" s="71" t="n">
        <v>1</v>
      </c>
      <c r="B125" s="71" t="inlineStr">
        <is>
          <t>Pingchuan District Shuiquan Town Production and Life Water Conservancy Equipment Renewal Project</t>
        </is>
      </c>
      <c r="C125" s="71" t="inlineStr">
        <is>
          <t>Newly built</t>
        </is>
      </c>
      <c r="D125" s="71" t="inlineStr">
        <is>
          <t>2025.3-2025.10</t>
        </is>
      </c>
      <c r="E125" s="71" t="inlineStr">
        <is>
          <t>Yema Village  
Yagou  
Shui Village</t>
        </is>
      </c>
      <c r="F125" s="40" t="inlineStr">
        <is>
          <t>Yema Village: Replace two centrifugal pumps (IS150-125-250-18.5KW-4P) at Yema and Baiyanglin communities and one centrifugal pump (IS200-220-250-30KW-4P) at Kuxinglou community along with supporting facilities, install 6-inch steel water lifting pipes for 60 meters, 6-inch rubber hoses for 48 meters, 16 square waterproof cables for 530 meters, 50 square underground cables for 350 meters, and repair one irrigation pumping station in Yema community; replace one deep well pump (lifting capacity 100 meters, motor 7.5KW) for drinking water in Yema community.
Yagou Shui Village: Upgrade one SW250-M4-220KW-4P motor at the third pumping station of Yagou Shui Village, one 220/250KW frequency conversion cabinet, and 40 meters of 150 square cables.</t>
        </is>
      </c>
      <c r="G125" s="71" t="n">
        <v>30</v>
      </c>
      <c r="H125" s="71" t="inlineStr">
        <is>
          <t>Consecutive 
Funds</t>
        </is>
      </c>
      <c r="I125" s="40" t="inlineStr">
        <is>
          <t>Ensure farmland irrigation and safe drinking water.</t>
        </is>
      </c>
      <c r="J125" s="71" t="n"/>
      <c r="K125" s="71" t="n"/>
      <c r="L125" s="71" t="n">
        <v>1</v>
      </c>
      <c r="M125" s="71" t="n">
        <v>0.0292</v>
      </c>
      <c r="N125" s="71" t="n">
        <v>0.0092</v>
      </c>
      <c r="O125" s="71" t="n">
        <v>0.02</v>
      </c>
      <c r="P125" s="71" t="n">
        <v>0.098</v>
      </c>
      <c r="Q125" s="71" t="n">
        <v>0.036</v>
      </c>
      <c r="R125" s="71" t="n">
        <v>0.062</v>
      </c>
      <c r="S125" s="71" t="inlineStr">
        <is>
          <t>Water Resources Bureau</t>
        </is>
      </c>
      <c r="T125" s="71" t="inlineStr">
        <is>
          <t>Shuiquan Town</t>
        </is>
      </c>
      <c r="U125" s="107" t="n">
        <v>2024.1</v>
      </c>
      <c r="V125" s="71" t="n"/>
    </row>
    <row r="126" ht="52.5" customHeight="1" s="97">
      <c r="A126" s="71" t="n">
        <v>2</v>
      </c>
      <c r="B126" s="71" t="inlineStr">
        <is>
          <t>Baoji Town Xiaochuan Village Wheat Corn Industry Road Paving Project</t>
        </is>
      </c>
      <c r="C126" s="71" t="inlineStr">
        <is>
          <t>Newly built</t>
        </is>
      </c>
      <c r="D126" s="71" t="inlineStr">
        <is>
          <t>2025.3-2025.10</t>
        </is>
      </c>
      <c r="E126" s="71" t="inlineStr">
        <is>
          <t>Xiaochuan Village</t>
        </is>
      </c>
      <c r="F126" s="40" t="inlineStr">
        <is>
          <t>Pavement of 4-meter-wide industrial road for 1.2 kilometers</t>
        </is>
      </c>
      <c r="G126" s="71" t="n">
        <v>57</v>
      </c>
      <c r="H126" s="71" t="inlineStr">
        <is>
          <t>Consecutive 
Funds</t>
        </is>
      </c>
      <c r="I126" s="40" t="inlineStr">
        <is>
          <t>Improve the problems of people's travel and transportation of agricultural by-products.</t>
        </is>
      </c>
      <c r="J126" s="67" t="n"/>
      <c r="K126" s="42" t="n">
        <v>1</v>
      </c>
      <c r="L126" s="42" t="n"/>
      <c r="M126" s="71" t="n">
        <v>0.0241</v>
      </c>
      <c r="N126" s="71" t="n">
        <v>0.006</v>
      </c>
      <c r="O126" s="71" t="n">
        <v>0.0191</v>
      </c>
      <c r="P126" s="71" t="n">
        <v>0.0876</v>
      </c>
      <c r="Q126" s="71" t="n">
        <v>0.0241</v>
      </c>
      <c r="R126" s="71" t="n">
        <v>0.0618</v>
      </c>
      <c r="S126" s="71" t="inlineStr">
        <is>
          <t>Agriculture and Rural Affairs Bureau</t>
        </is>
      </c>
      <c r="T126" s="71" t="inlineStr">
        <is>
          <t>Baoji Town</t>
        </is>
      </c>
      <c r="U126" s="107" t="n">
        <v>2024.1</v>
      </c>
      <c r="V126" s="39" t="n"/>
    </row>
    <row r="127" ht="52.5" customHeight="1" s="97">
      <c r="A127" s="71" t="n">
        <v>3</v>
      </c>
      <c r="B127" s="74" t="inlineStr">
        <is>
          <t>Baoji Town Weidi Village, Pingchuan District, Water Supply Security Consolidation and Improvement Project</t>
        </is>
      </c>
      <c r="C127" s="79" t="inlineStr">
        <is>
          <t>Newly built</t>
        </is>
      </c>
      <c r="D127" s="79" t="inlineStr">
        <is>
          <t>2025.3-2025.10</t>
        </is>
      </c>
      <c r="E127" s="79" t="inlineStr">
        <is>
          <t>Weijiadidi Village</t>
        </is>
      </c>
      <c r="F127" s="115" t="inlineStr">
        <is>
          <t>Lay 2492 meters of 100-grade Ф90 PE pipe.</t>
        </is>
      </c>
      <c r="G127" s="79" t="n">
        <v>21</v>
      </c>
      <c r="H127" s="71" t="inlineStr">
        <is>
          <t>Consecutive 
Funds</t>
        </is>
      </c>
      <c r="I127" s="40" t="inlineStr">
        <is>
          <t>Solve the problem of residents' access to water.</t>
        </is>
      </c>
      <c r="J127" s="71" t="n"/>
      <c r="K127" s="71" t="n"/>
      <c r="L127" s="71" t="n">
        <v>1</v>
      </c>
      <c r="M127" s="71" t="n">
        <v>0.008999999999999999</v>
      </c>
      <c r="N127" s="71" t="n">
        <v>0.001</v>
      </c>
      <c r="O127" s="71" t="n">
        <v>0.008</v>
      </c>
      <c r="P127" s="71" t="n">
        <v>0.036</v>
      </c>
      <c r="Q127" s="71" t="n">
        <v>0.044</v>
      </c>
      <c r="R127" s="71" t="n">
        <v>0.0316</v>
      </c>
      <c r="S127" s="71" t="inlineStr">
        <is>
          <t>Water Resources Bureau</t>
        </is>
      </c>
      <c r="T127" s="71" t="inlineStr">
        <is>
          <t>Baoji Town</t>
        </is>
      </c>
      <c r="U127" s="107" t="n">
        <v>2024.1</v>
      </c>
      <c r="V127" s="39" t="n"/>
    </row>
    <row r="128" ht="57.75" customHeight="1" s="97">
      <c r="A128" s="71" t="n">
        <v>4</v>
      </c>
      <c r="B128" s="71" t="inlineStr">
        <is>
          <t>Baojī Town Guangyàngōu Village Tap Water Pipeline Upgrade and Renovation Project</t>
        </is>
      </c>
      <c r="C128" s="71" t="inlineStr">
        <is>
          <t>Update</t>
        </is>
      </c>
      <c r="D128" s="71" t="inlineStr">
        <is>
          <t>2025.3-2025.10</t>
        </is>
      </c>
      <c r="E128" s="71" t="inlineStr">
        <is>
          <t>Guangyan
Gou Village</t>
        </is>
      </c>
      <c r="F128" s="40" t="inlineStr">
        <is>
          <t>Need to update 2.1 km of water supply pipelines, 20 inspection wells, and 90 water meters.</t>
        </is>
      </c>
      <c r="G128" s="39" t="n">
        <v>90</v>
      </c>
      <c r="H128" s="71" t="inlineStr">
        <is>
          <t>Consecutive 
Funds</t>
        </is>
      </c>
      <c r="I128" s="40" t="inlineStr">
        <is>
          <t>Solve the problem of residents' access to water.</t>
        </is>
      </c>
      <c r="J128" s="39" t="n"/>
      <c r="K128" s="39" t="n"/>
      <c r="L128" s="39" t="n">
        <v>1</v>
      </c>
      <c r="M128" s="71" t="n">
        <v>0.0107</v>
      </c>
      <c r="N128" s="71" t="n">
        <v>0.0007</v>
      </c>
      <c r="O128" s="71" t="n">
        <v>0.01</v>
      </c>
      <c r="P128" s="71" t="n">
        <v>0.0433</v>
      </c>
      <c r="Q128" s="71" t="n">
        <v>0.0035</v>
      </c>
      <c r="R128" s="71" t="n">
        <v>0.0398</v>
      </c>
      <c r="S128" s="71" t="inlineStr">
        <is>
          <t>Water Resources Bureau</t>
        </is>
      </c>
      <c r="T128" s="71" t="inlineStr">
        <is>
          <t>Baoji Town</t>
        </is>
      </c>
      <c r="U128" s="107" t="n">
        <v>2024.1</v>
      </c>
      <c r="V128" s="39" t="n"/>
    </row>
    <row r="129" ht="54.75" customHeight="1" s="97">
      <c r="A129" s="71" t="n">
        <v>5</v>
      </c>
      <c r="B129" s="71" t="inlineStr">
        <is>
          <t>Baojī Town Dūndūn Tān Village Tap Water Pipeline Renovation Project</t>
        </is>
      </c>
      <c r="C129" s="39" t="inlineStr">
        <is>
          <t>Continuation construction</t>
        </is>
      </c>
      <c r="D129" s="71" t="inlineStr">
        <is>
          <t>2025.3-2025.10</t>
        </is>
      </c>
      <c r="E129" s="71" t="inlineStr">
        <is>
          <t>Dunden Tanch Village</t>
        </is>
      </c>
      <c r="F129" s="44" t="inlineStr">
        <is>
          <t>Replace 6 kilometers of tap water pipeline network</t>
        </is>
      </c>
      <c r="G129" s="39" t="n">
        <v>80</v>
      </c>
      <c r="H129" s="71" t="inlineStr">
        <is>
          <t>Consecutive 
Funds</t>
        </is>
      </c>
      <c r="I129" s="40" t="inlineStr">
        <is>
          <t>Solve the problem of residents' access to water.</t>
        </is>
      </c>
      <c r="J129" s="71" t="n"/>
      <c r="K129" s="71" t="n"/>
      <c r="L129" s="71" t="n">
        <v>1</v>
      </c>
      <c r="M129" s="71" t="n">
        <v>0.0201</v>
      </c>
      <c r="N129" s="71" t="n">
        <v>0.0015</v>
      </c>
      <c r="O129" s="71" t="n">
        <v>0.0186</v>
      </c>
      <c r="P129" s="71" t="n">
        <v>0.0801</v>
      </c>
      <c r="Q129" s="71" t="n">
        <v>0.0066</v>
      </c>
      <c r="R129" s="71" t="n">
        <v>0.0735</v>
      </c>
      <c r="S129" s="71" t="inlineStr">
        <is>
          <t>Water Resources Bureau</t>
        </is>
      </c>
      <c r="T129" s="71" t="inlineStr">
        <is>
          <t>Baoji Town</t>
        </is>
      </c>
      <c r="U129" s="107" t="n">
        <v>2024.1</v>
      </c>
      <c r="V129" s="39" t="n"/>
    </row>
    <row r="130" ht="63" customHeight="1" s="97">
      <c r="A130" s="71" t="n">
        <v>6</v>
      </c>
      <c r="B130" s="74" t="inlineStr">
        <is>
          <t>Red Water Supply Pipeline Upgrade Project in Honggou Village, Gonghe Town</t>
        </is>
      </c>
      <c r="C130" s="79" t="inlineStr">
        <is>
          <t>Newly built</t>
        </is>
      </c>
      <c r="D130" s="79" t="inlineStr">
        <is>
          <t>2025.3-2025.10</t>
        </is>
      </c>
      <c r="E130" s="79" t="inlineStr">
        <is>
          <t>Honggou Village</t>
        </is>
      </c>
      <c r="F130" s="115" t="inlineStr">
        <is>
          <t>906m of sensor wire, high-level water tank safely compacted.</t>
        </is>
      </c>
      <c r="G130" s="79" t="n">
        <v>5</v>
      </c>
      <c r="H130" s="71" t="inlineStr">
        <is>
          <t>Consecutive 
Funds</t>
        </is>
      </c>
      <c r="I130" s="40" t="inlineStr">
        <is>
          <t>Solve the problem of residents' access to water.</t>
        </is>
      </c>
      <c r="J130" s="71" t="n"/>
      <c r="K130" s="71" t="n"/>
      <c r="L130" s="71" t="n">
        <v>1</v>
      </c>
      <c r="M130" s="71" t="n">
        <v>0.0205</v>
      </c>
      <c r="N130" s="71" t="n">
        <v>0.0054</v>
      </c>
      <c r="O130" s="71" t="n">
        <v>0.0151</v>
      </c>
      <c r="P130" s="71" t="n">
        <v>0.1056</v>
      </c>
      <c r="Q130" s="71" t="n">
        <v>0.0227</v>
      </c>
      <c r="R130" s="71" t="n">
        <v>0.0829</v>
      </c>
      <c r="S130" s="71" t="inlineStr">
        <is>
          <t>Water Resources Bureau</t>
        </is>
      </c>
      <c r="T130" s="39" t="inlineStr">
        <is>
          <t>Gonghe Town</t>
        </is>
      </c>
      <c r="U130" s="107" t="n">
        <v>2024.1</v>
      </c>
      <c r="V130" s="39" t="n"/>
    </row>
    <row r="131" ht="111" customHeight="1" s="97">
      <c r="A131" s="71" t="n">
        <v>7</v>
      </c>
      <c r="B131" s="74" t="inlineStr">
        <is>
          <t>Gonghe Town Changya Village Safe Drinking Water Consolidation and Improvement Project</t>
        </is>
      </c>
      <c r="C131" s="79" t="inlineStr">
        <is>
          <t>Newly built</t>
        </is>
      </c>
      <c r="D131" s="79" t="inlineStr">
        <is>
          <t>2025.3-2025.10</t>
        </is>
      </c>
      <c r="E131" s="79" t="inlineStr">
        <is>
          <t>Changya Village</t>
        </is>
      </c>
      <c r="F131" s="118" t="inlineStr">
        <is>
          <t>New slope protection of 358m, and renovation of 1 set of water supply well pump facilities.</t>
        </is>
      </c>
      <c r="G131" s="79" t="n">
        <v>16</v>
      </c>
      <c r="H131" s="71" t="inlineStr">
        <is>
          <t>Consecutive 
Funds</t>
        </is>
      </c>
      <c r="I131" s="40" t="inlineStr">
        <is>
          <t>Solve the problem of residents' access to water.</t>
        </is>
      </c>
      <c r="J131" s="71" t="n"/>
      <c r="K131" s="71" t="n">
        <v>1</v>
      </c>
      <c r="L131" s="71" t="n"/>
      <c r="M131" s="71">
        <f>N131+O131</f>
        <v/>
      </c>
      <c r="N131" s="71" t="n">
        <v>0.009599999999999999</v>
      </c>
      <c r="O131" s="71" t="n">
        <v>0.0155</v>
      </c>
      <c r="P131" s="71">
        <f>Q131+R131</f>
        <v/>
      </c>
      <c r="Q131" s="71" t="n">
        <v>0.0414</v>
      </c>
      <c r="R131" s="71" t="n">
        <v>0.0615</v>
      </c>
      <c r="S131" s="71" t="inlineStr">
        <is>
          <t>Water Resources Bureau</t>
        </is>
      </c>
      <c r="T131" s="39" t="inlineStr">
        <is>
          <t>Gonghe Town</t>
        </is>
      </c>
      <c r="U131" s="107" t="n">
        <v>2024.1</v>
      </c>
      <c r="V131" s="39" t="n"/>
    </row>
    <row r="132" ht="63" customHeight="1" s="97">
      <c r="A132" s="71" t="n">
        <v>8</v>
      </c>
      <c r="B132" s="71" t="inlineStr">
        <is>
          <t>Fuxing Township Shali Village Safe Drinking Water Pipeline Consolidation and Improvement Project</t>
        </is>
      </c>
      <c r="C132" s="71" t="inlineStr">
        <is>
          <t>Newly built</t>
        </is>
      </c>
      <c r="D132" s="71" t="inlineStr">
        <is>
          <t>2025.3-2025.10</t>
        </is>
      </c>
      <c r="E132" s="71" t="inlineStr">
        <is>
          <t>Shanli Village</t>
        </is>
      </c>
      <c r="F132" s="40" t="inlineStr">
        <is>
          <t>Plan to update the main pipeline of 3 kilometers and branch pipelines of 7 kilometers for drinking water in Shangchuan Kou and Xiabang communities of Shali Village.</t>
        </is>
      </c>
      <c r="G132" s="71" t="n">
        <v>75</v>
      </c>
      <c r="H132" s="71" t="inlineStr">
        <is>
          <t>Consecutive 
Funds</t>
        </is>
      </c>
      <c r="I132" s="40" t="inlineStr">
        <is>
          <t>Solve the problem of residents' access to water.</t>
        </is>
      </c>
      <c r="J132" s="71" t="n"/>
      <c r="K132" s="71" t="n">
        <v>1</v>
      </c>
      <c r="L132" s="71" t="n"/>
      <c r="M132" s="71">
        <f>N132+O132</f>
        <v/>
      </c>
      <c r="N132" s="71" t="n">
        <v>0.0125</v>
      </c>
      <c r="O132" s="71" t="n">
        <v>0.0147</v>
      </c>
      <c r="P132" s="71">
        <f>Q132+R132</f>
        <v/>
      </c>
      <c r="Q132" s="71" t="n">
        <v>0.0506</v>
      </c>
      <c r="R132" s="71" t="n">
        <v>0.0439</v>
      </c>
      <c r="S132" s="71" t="inlineStr">
        <is>
          <t>Water Resources Bureau</t>
        </is>
      </c>
      <c r="T132" s="39" t="inlineStr">
        <is>
          <t>Fuxing Township</t>
        </is>
      </c>
      <c r="U132" s="107" t="n">
        <v>2024.1</v>
      </c>
      <c r="V132" s="39" t="n"/>
    </row>
    <row r="133" ht="54.75" customHeight="1" s="97">
      <c r="A133" s="71" t="n">
        <v>9</v>
      </c>
      <c r="B133" s="71" t="inlineStr">
        <is>
          <t>North Village Water Pipeline Renovation Project in Zhongtian Township</t>
        </is>
      </c>
      <c r="C133" s="71" t="inlineStr">
        <is>
          <t>Newly built</t>
        </is>
      </c>
      <c r="D133" s="71" t="inlineStr">
        <is>
          <t>2025.3-2025.10</t>
        </is>
      </c>
      <c r="E133" s="39" t="inlineStr">
        <is>
          <t>Beizhuang Village</t>
        </is>
      </c>
      <c r="F133" s="40" t="inlineStr">
        <is>
          <t>Replace 1500 meters of black water community water supply pipeline</t>
        </is>
      </c>
      <c r="G133" s="39" t="n">
        <v>30</v>
      </c>
      <c r="H133" s="71" t="inlineStr">
        <is>
          <t>Consecutive 
Funds</t>
        </is>
      </c>
      <c r="I133" s="116" t="inlineStr">
        <is>
          <t>Solve the problem of residents' access to water.</t>
        </is>
      </c>
      <c r="J133" s="39" t="n"/>
      <c r="K133" s="39" t="n"/>
      <c r="L133" s="39" t="n">
        <v>1</v>
      </c>
      <c r="M133" s="71" t="n">
        <v>0.007</v>
      </c>
      <c r="N133" s="71" t="n">
        <v>0.0018</v>
      </c>
      <c r="O133" s="71" t="n">
        <v>0.0052</v>
      </c>
      <c r="P133" s="71" t="n">
        <v>0.0296</v>
      </c>
      <c r="Q133" s="71" t="n">
        <v>0.008200000000000001</v>
      </c>
      <c r="R133" s="71" t="n">
        <v>0.0214</v>
      </c>
      <c r="S133" s="71" t="inlineStr">
        <is>
          <t>Water Resources Bureau</t>
        </is>
      </c>
      <c r="T133" s="71" t="inlineStr">
        <is>
          <t>Zhangtian Township</t>
        </is>
      </c>
      <c r="U133" s="107" t="n">
        <v>2024.1</v>
      </c>
      <c r="V133" s="39" t="n"/>
    </row>
    <row r="134" ht="90" customHeight="1" s="97">
      <c r="A134" s="71" t="n">
        <v>10</v>
      </c>
      <c r="B134" s="71" t="inlineStr">
        <is>
          <t>Huangqiao Town Shuangpu Village Fourth Society Human and Livestock Drinking Water Pipeline Renewal Project</t>
        </is>
      </c>
      <c r="C134" s="71" t="inlineStr">
        <is>
          <t>Newly built</t>
        </is>
      </c>
      <c r="D134" s="71" t="inlineStr">
        <is>
          <t>2025.3-2025.10</t>
        </is>
      </c>
      <c r="E134" s="71" t="inlineStr">
        <is>
          <t>Shuangpu Village</t>
        </is>
      </c>
      <c r="F134" s="40" t="inlineStr">
        <is>
          <t>Due to the pipeline rupture in the fourth group of Shuangpu Village, the situation of water supply for people and livestock in the fourth group has become tense. It is necessary to update the pipelines in the fourth group. The required materials include 1,000 meters of φ110 PE hot melt pipe, 2,000 meters of φ90 PE hot melt pipe, 100 meters of φ50 PE hot melt pipe, 20 φ90 three-way fittings, 3 φ110 to φ90 reducers, 20 φ90 to φ50 three-way fittings, and 1 pressure reducing valve. The total cost is 120,000 yuan.</t>
        </is>
      </c>
      <c r="G134" s="71" t="n">
        <v>12</v>
      </c>
      <c r="H134" s="71" t="inlineStr">
        <is>
          <t>Consecutive 
Funds</t>
        </is>
      </c>
      <c r="I134" s="40" t="inlineStr">
        <is>
          <t>It can solve the drinking water problems for more than 320 households of people and livestock in four communities, and improve the production and living conditions of the local residents.</t>
        </is>
      </c>
      <c r="J134" s="71" t="n"/>
      <c r="K134" s="71" t="n"/>
      <c r="L134" s="71" t="n">
        <v>1</v>
      </c>
      <c r="M134" s="71" t="n">
        <v>0.0086</v>
      </c>
      <c r="N134" s="71" t="n">
        <v>0.0019</v>
      </c>
      <c r="O134" s="71" t="n">
        <v>0.0067</v>
      </c>
      <c r="P134" s="71" t="n">
        <v>0.0327</v>
      </c>
      <c r="Q134" s="71" t="n">
        <v>0.0072</v>
      </c>
      <c r="R134" s="71" t="n">
        <v>0.0255</v>
      </c>
      <c r="S134" s="71" t="inlineStr">
        <is>
          <t>Water Resources Bureau</t>
        </is>
      </c>
      <c r="T134" s="71" t="inlineStr">
        <is>
          <t>Huangqiao Town</t>
        </is>
      </c>
      <c r="U134" s="107" t="n">
        <v>2024.1</v>
      </c>
      <c r="V134" s="39" t="n"/>
    </row>
    <row r="135" ht="99" customHeight="1" s="97">
      <c r="A135" s="71" t="n">
        <v>11</v>
      </c>
      <c r="B135" s="79" t="inlineStr">
        <is>
          <t>Huangqiao Town Ma Yin Water Relocation Drinking Water Project Maintenance Project</t>
        </is>
      </c>
      <c r="C135" s="79" t="inlineStr">
        <is>
          <t>Newly built</t>
        </is>
      </c>
      <c r="D135" s="79" t="inlineStr">
        <is>
          <t>2025.3-2025.10</t>
        </is>
      </c>
      <c r="E135" s="79" t="inlineStr">
        <is>
          <t>Maying Water Village</t>
        </is>
      </c>
      <c r="F135" s="110" t="inlineStr">
        <is>
          <t>Lay 447 meters of 100-grade PE pipe and construct 6 inspection wells.</t>
        </is>
      </c>
      <c r="G135" s="79" t="n">
        <v>16</v>
      </c>
      <c r="H135" s="71" t="inlineStr">
        <is>
          <t>Consecutive 
Funds</t>
        </is>
      </c>
      <c r="I135" s="45" t="inlineStr">
        <is>
          <t>Solve the problem of human and livestock water supply for the population at the relocation settlement sites.</t>
        </is>
      </c>
      <c r="J135" s="71" t="n"/>
      <c r="K135" s="71" t="n"/>
      <c r="L135" s="71" t="n">
        <v>1</v>
      </c>
      <c r="M135" s="71" t="n">
        <v>0.0097</v>
      </c>
      <c r="N135" s="71" t="n">
        <v>0.0019</v>
      </c>
      <c r="O135" s="71" t="n">
        <v>0.0078</v>
      </c>
      <c r="P135" s="71" t="n">
        <v>0.04</v>
      </c>
      <c r="Q135" s="71" t="n">
        <v>0.008399999999999999</v>
      </c>
      <c r="R135" s="71" t="n">
        <v>0.0316</v>
      </c>
      <c r="S135" s="71" t="inlineStr">
        <is>
          <t>Water Resources Bureau</t>
        </is>
      </c>
      <c r="T135" s="71" t="inlineStr">
        <is>
          <t>Huangqiao Town</t>
        </is>
      </c>
      <c r="U135" s="107" t="n">
        <v>2024.1</v>
      </c>
      <c r="V135" s="39" t="n"/>
    </row>
    <row r="136" ht="88.5" customHeight="1" s="97">
      <c r="A136" s="71" t="n">
        <v>12</v>
      </c>
      <c r="B136" s="71" t="inlineStr">
        <is>
          <t>Huangqiao Town, Ma Yinshui Village, First and Second Groups, Human and Livestock Drinking Water Longwo Renovation and Reconstruction Project</t>
        </is>
      </c>
      <c r="C136" s="71" t="inlineStr">
        <is>
          <t>Maintenance</t>
        </is>
      </c>
      <c r="D136" s="71" t="inlineStr">
        <is>
          <t>2025.3-2025.10</t>
        </is>
      </c>
      <c r="E136" s="71" t="inlineStr">
        <is>
          <t>Maying Water Village</t>
        </is>
      </c>
      <c r="F136" s="40" t="inlineStr">
        <is>
          <t>Repair two water interception walls and water collection wells at Longwo, 100 meters of 100-grade Ф90 PE pipe, and two outlet wells.</t>
        </is>
      </c>
      <c r="G136" s="71" t="n">
        <v>60</v>
      </c>
      <c r="H136" s="71" t="inlineStr">
        <is>
          <t>Consecutive 
Funds</t>
        </is>
      </c>
      <c r="I136" s="40" t="inlineStr">
        <is>
          <t>Solve the drinking water problem for the local people and livestock in the community, improve the production and living conditions of the people, and promote the development of village-level industries.</t>
        </is>
      </c>
      <c r="J136" s="71" t="n"/>
      <c r="K136" s="71" t="n"/>
      <c r="L136" s="71" t="n">
        <v>1</v>
      </c>
      <c r="M136" s="71" t="n">
        <v>0.0273</v>
      </c>
      <c r="N136" s="71" t="n">
        <v>0.0067</v>
      </c>
      <c r="O136" s="71" t="n">
        <v>0.0206</v>
      </c>
      <c r="P136" s="71" t="n">
        <v>0.1073</v>
      </c>
      <c r="Q136" s="71" t="n">
        <v>0.0287</v>
      </c>
      <c r="R136" s="71" t="n">
        <v>0.0786</v>
      </c>
      <c r="S136" s="71" t="inlineStr">
        <is>
          <t>Water Resources Bureau</t>
        </is>
      </c>
      <c r="T136" s="71" t="inlineStr">
        <is>
          <t>Huangqiao Town</t>
        </is>
      </c>
      <c r="U136" s="107" t="n">
        <v>2024.1</v>
      </c>
      <c r="V136" s="39" t="n"/>
    </row>
    <row r="137" ht="84" customHeight="1" s="97">
      <c r="A137" s="71" t="n">
        <v>13</v>
      </c>
      <c r="B137" s="71" t="inlineStr">
        <is>
          <t>Huangqiao Town Shenmoutou Village Relocation Poverty Alleviation Settlement Drinking Water Pipeline Upgrade and Renovation Project</t>
        </is>
      </c>
      <c r="C137" s="71" t="inlineStr">
        <is>
          <t>Newly built</t>
        </is>
      </c>
      <c r="D137" s="71" t="inlineStr">
        <is>
          <t>2025.3-2025.12</t>
        </is>
      </c>
      <c r="E137" s="71" t="inlineStr">
        <is>
          <t>Shenmu
Tou Village</t>
        </is>
      </c>
      <c r="F137" s="40" t="inlineStr">
        <is>
          <t>Upgrade and renovate 7 kilometers of water supply pipelines in Area B of the immigrant new village (main pipe: Ф90 high-density polyethylene PE pipe, pressure rating 1.6MPa; branch pipe: 100-level Ф32 high-density polyethylene PE pipe, pressure rating 1.6MPa), involving 30 inspection wells.</t>
        </is>
      </c>
      <c r="G137" s="119" t="n">
        <v>200</v>
      </c>
      <c r="H137" s="71" t="inlineStr">
        <is>
          <t>Consecutive 
Funds</t>
        </is>
      </c>
      <c r="I137" s="40" t="inlineStr">
        <is>
          <t>Ensure the domestic water supply for 113 households in the new immigrant village.</t>
        </is>
      </c>
      <c r="J137" s="71" t="n"/>
      <c r="K137" s="39" t="n"/>
      <c r="L137" s="39" t="n">
        <v>1</v>
      </c>
      <c r="M137" s="71" t="n">
        <v>0.0368</v>
      </c>
      <c r="N137" s="108" t="n">
        <v>0.0129</v>
      </c>
      <c r="O137" s="108" t="n">
        <v>0.0239</v>
      </c>
      <c r="P137" s="108" t="n">
        <v>0.1456</v>
      </c>
      <c r="Q137" s="108" t="n">
        <v>0.0537</v>
      </c>
      <c r="R137" s="108" t="n">
        <v>0.0919</v>
      </c>
      <c r="S137" s="71" t="inlineStr">
        <is>
          <t>Development and Reform Bureau</t>
        </is>
      </c>
      <c r="T137" s="71" t="inlineStr">
        <is>
          <t>Huangqiao Town</t>
        </is>
      </c>
      <c r="U137" s="107" t="n">
        <v>2024.1</v>
      </c>
      <c r="V137" s="39" t="n"/>
    </row>
    <row r="138" ht="99" customHeight="1" s="97">
      <c r="A138" s="71" t="n">
        <v>14</v>
      </c>
      <c r="B138" s="71" t="inlineStr">
        <is>
          <t>Huangqiao Town Shenmoutou Village Drinking Water Reservoir Construction Project</t>
        </is>
      </c>
      <c r="C138" s="71" t="inlineStr">
        <is>
          <t>Newly built</t>
        </is>
      </c>
      <c r="D138" s="71" t="inlineStr">
        <is>
          <t>2025.3-2025.10</t>
        </is>
      </c>
      <c r="E138" s="71" t="inlineStr">
        <is>
          <t>Shenmu
Tou Village</t>
        </is>
      </c>
      <c r="F138" s="40" t="inlineStr">
        <is>
          <t>Construct a 500 cubic meter water storage tank at the new Shenmoutou relocation poverty alleviation area (Shenmoutou Primary School), along with a 110# pipeline of 100 meters, two valves, and two inspection wells.</t>
        </is>
      </c>
      <c r="G138" s="71" t="n">
        <v>50</v>
      </c>
      <c r="H138" s="71" t="inlineStr">
        <is>
          <t>Consecutive 
Funds</t>
        </is>
      </c>
      <c r="I138" s="40" t="inlineStr">
        <is>
          <t>It can solve the problem of drinking water for people and livestock in the community, improve the production and living conditions of the people, and promote the development of village-level industries.</t>
        </is>
      </c>
      <c r="J138" s="71" t="n"/>
      <c r="K138" s="71" t="n">
        <v>1</v>
      </c>
      <c r="L138" s="71" t="n"/>
      <c r="M138" s="71" t="n">
        <v>0.0368</v>
      </c>
      <c r="N138" s="71" t="n">
        <v>0.0129</v>
      </c>
      <c r="O138" s="71" t="n">
        <v>0.0239</v>
      </c>
      <c r="P138" s="71" t="n">
        <v>0.1456</v>
      </c>
      <c r="Q138" s="71" t="n">
        <v>0.0537</v>
      </c>
      <c r="R138" s="71" t="n">
        <v>0.0919</v>
      </c>
      <c r="S138" s="71" t="inlineStr">
        <is>
          <t>Development and Reform Bureau</t>
        </is>
      </c>
      <c r="T138" s="71" t="inlineStr">
        <is>
          <t>Huangqiao Town</t>
        </is>
      </c>
      <c r="U138" s="107" t="n">
        <v>2024.1</v>
      </c>
      <c r="V138" s="39" t="n"/>
    </row>
    <row r="139" ht="79.5" customHeight="1" s="97">
      <c r="A139" s="71" t="n">
        <v>15</v>
      </c>
      <c r="B139" s="71" t="inlineStr">
        <is>
          <t>Huangqiao Town, Ma Yinshui Village, Relocation Drinking Water Spring Diversion Project</t>
        </is>
      </c>
      <c r="C139" s="71" t="inlineStr">
        <is>
          <t>Newly built</t>
        </is>
      </c>
      <c r="D139" s="71" t="inlineStr">
        <is>
          <t>2025.3-2025.10</t>
        </is>
      </c>
      <c r="E139" s="71" t="inlineStr">
        <is>
          <t>Maying Water Village</t>
        </is>
      </c>
      <c r="F139" s="40" t="inlineStr">
        <is>
          <t>Construct 2000 meters of water supply pipeline with 100 stages of Ф63 PE pipe and supporting facilities and equipment, and build 6 new inspection wells.</t>
        </is>
      </c>
      <c r="G139" s="71" t="n">
        <v>11</v>
      </c>
      <c r="H139" s="71" t="inlineStr">
        <is>
          <t>Consecutive 
Funds</t>
        </is>
      </c>
      <c r="I139" s="40" t="inlineStr">
        <is>
          <t>Solve the problem of human and livestock water supply for the population at the relocation settlement sites.</t>
        </is>
      </c>
      <c r="J139" s="71" t="n"/>
      <c r="K139" s="71" t="n"/>
      <c r="L139" s="71" t="n">
        <v>1</v>
      </c>
      <c r="M139" s="71" t="n">
        <v>0.006</v>
      </c>
      <c r="N139" s="71" t="n">
        <v>0.0027</v>
      </c>
      <c r="O139" s="71" t="n">
        <v>0.0033</v>
      </c>
      <c r="P139" s="71" t="n">
        <v>0.0251</v>
      </c>
      <c r="Q139" s="71" t="n">
        <v>0.0119</v>
      </c>
      <c r="R139" s="71" t="n">
        <v>0.0132</v>
      </c>
      <c r="S139" s="71" t="inlineStr">
        <is>
          <t>Development and Reform Bureau</t>
        </is>
      </c>
      <c r="T139" s="71" t="inlineStr">
        <is>
          <t>Huangqiao Town</t>
        </is>
      </c>
      <c r="U139" s="107" t="n">
        <v>2024.1</v>
      </c>
      <c r="V139" s="39" t="n"/>
    </row>
    <row r="140" ht="66" customHeight="1" s="97">
      <c r="A140" s="71" t="n">
        <v>16</v>
      </c>
      <c r="B140" s="71" t="inlineStr">
        <is>
          <t>Wangjia Mountain Town Yudachuan Village Construction of Water Supply Elevated Water Tank Project</t>
        </is>
      </c>
      <c r="C140" s="71" t="inlineStr">
        <is>
          <t>Newly built</t>
        </is>
      </c>
      <c r="D140" s="71" t="inlineStr">
        <is>
          <t>2025.3-2025.10</t>
        </is>
      </c>
      <c r="E140" s="71" t="inlineStr">
        <is>
          <t>Yu Da
Chuan Village</t>
        </is>
      </c>
      <c r="F140" s="40" t="inlineStr">
        <is>
          <t>Construct a 5,000 cubic meter elevated water tank in Yaoyao Village.</t>
        </is>
      </c>
      <c r="G140" s="71" t="n">
        <v>50</v>
      </c>
      <c r="H140" s="71" t="inlineStr">
        <is>
          <t>Consecutive 
Funds</t>
        </is>
      </c>
      <c r="I140" s="40" t="inlineStr">
        <is>
          <t>Address the shortage of tap water and maintain normal water use for farmers.</t>
        </is>
      </c>
      <c r="J140" s="71" t="n"/>
      <c r="K140" s="71" t="n">
        <v>1</v>
      </c>
      <c r="L140" s="71" t="n"/>
      <c r="M140" s="71" t="n">
        <v>0.0179</v>
      </c>
      <c r="N140" s="71" t="n">
        <v>0.0044</v>
      </c>
      <c r="O140" s="71" t="n">
        <v>0.0135</v>
      </c>
      <c r="P140" s="71" t="n">
        <v>0.0679</v>
      </c>
      <c r="Q140" s="71" t="n">
        <v>0.0194</v>
      </c>
      <c r="R140" s="71" t="n">
        <v>0.0485</v>
      </c>
      <c r="S140" s="71" t="inlineStr">
        <is>
          <t>Agriculture and Rural Affairs Bureau</t>
        </is>
      </c>
      <c r="T140" s="113" t="inlineStr">
        <is>
          <t>Wangjia  
Shan Town</t>
        </is>
      </c>
      <c r="U140" s="107" t="n">
        <v>2024.1</v>
      </c>
      <c r="V140" s="39" t="n"/>
    </row>
    <row r="141" ht="40.5" customHeight="1" s="97">
      <c r="A141" s="41" t="inlineStr">
        <is>
          <t>⑶</t>
        </is>
      </c>
      <c r="B141" s="67" t="inlineStr">
        <is>
          <t>Road Lighting</t>
        </is>
      </c>
      <c r="C141" s="39" t="n"/>
      <c r="D141" s="39" t="n"/>
      <c r="E141" s="39" t="n"/>
      <c r="F141" s="44" t="n"/>
      <c r="G141" s="41" t="n">
        <v>333</v>
      </c>
      <c r="H141" s="71" t="n"/>
      <c r="I141" s="44" t="n"/>
      <c r="J141" s="39" t="n"/>
      <c r="K141" s="39" t="n"/>
      <c r="L141" s="39" t="n"/>
      <c r="M141" s="39" t="n"/>
      <c r="N141" s="39" t="n"/>
      <c r="O141" s="39" t="n"/>
      <c r="P141" s="39" t="n"/>
      <c r="Q141" s="39" t="n"/>
      <c r="R141" s="39" t="n"/>
      <c r="S141" s="39" t="n"/>
      <c r="T141" s="39" t="n"/>
      <c r="U141" s="39" t="n"/>
      <c r="V141" s="39" t="n"/>
    </row>
    <row r="142" ht="48.75" customHeight="1" s="97">
      <c r="A142" s="39" t="n">
        <v>1</v>
      </c>
      <c r="B142" s="83" t="inlineStr">
        <is>
          <t>Baohua Town Fengyuan Village Village Interior Lighting Project</t>
        </is>
      </c>
      <c r="C142" s="86" t="inlineStr">
        <is>
          <t>Newly built</t>
        </is>
      </c>
      <c r="D142" s="83" t="inlineStr">
        <is>
          <t>2025.3-2025.10</t>
        </is>
      </c>
      <c r="E142" s="83" t="inlineStr">
        <is>
          <t>Fengyuan Village</t>
        </is>
      </c>
      <c r="F142" s="87" t="inlineStr">
        <is>
          <t>Purchase and install 280 street lights</t>
        </is>
      </c>
      <c r="G142" s="86" t="n">
        <v>80</v>
      </c>
      <c r="H142" s="71" t="inlineStr">
        <is>
          <t>Consecutive 
Funds</t>
        </is>
      </c>
      <c r="I142" s="82" t="inlineStr">
        <is>
          <t>Solve the safety issues of people's travel at night.</t>
        </is>
      </c>
      <c r="J142" s="86" t="n"/>
      <c r="K142" s="86" t="n"/>
      <c r="L142" s="83" t="n">
        <v>1</v>
      </c>
      <c r="M142" s="83" t="n">
        <v>0.0523</v>
      </c>
      <c r="N142" s="83" t="n">
        <v>0.039</v>
      </c>
      <c r="O142" s="83" t="n">
        <v>0.0484</v>
      </c>
      <c r="P142" s="83" t="n">
        <v>0.2208</v>
      </c>
      <c r="Q142" s="83" t="n">
        <v>0.0178</v>
      </c>
      <c r="R142" s="112" t="n">
        <v>0.203</v>
      </c>
      <c r="S142" s="83" t="inlineStr">
        <is>
          <t>Housing and Urban-Rural Development Bureau</t>
        </is>
      </c>
      <c r="T142" s="83" t="inlineStr">
        <is>
          <t>Baoji Town</t>
        </is>
      </c>
      <c r="U142" s="120" t="n">
        <v>2024.1</v>
      </c>
      <c r="V142" s="39" t="n"/>
    </row>
    <row r="143" ht="54.75" customHeight="1" s="97">
      <c r="A143" s="39" t="n">
        <v>2</v>
      </c>
      <c r="B143" s="71" t="inlineStr">
        <is>
          <t>Brightening Project of Village Roads in Heishui Village, Baoji Town</t>
        </is>
      </c>
      <c r="C143" s="71" t="inlineStr">
        <is>
          <t>Newly built</t>
        </is>
      </c>
      <c r="D143" s="71" t="inlineStr">
        <is>
          <t>2025.3-2025.10</t>
        </is>
      </c>
      <c r="E143" s="71" t="inlineStr">
        <is>
          <t>Heishui Village</t>
        </is>
      </c>
      <c r="F143" s="44" t="inlineStr">
        <is>
          <t>Replace and repair 90 streetlights, add 75 new streetlights.</t>
        </is>
      </c>
      <c r="G143" s="39" t="n">
        <v>50</v>
      </c>
      <c r="H143" s="71" t="inlineStr">
        <is>
          <t>Consecutive 
Funds</t>
        </is>
      </c>
      <c r="I143" s="40" t="inlineStr">
        <is>
          <t>Solve the safety issues of people's travel at night.</t>
        </is>
      </c>
      <c r="J143" s="39" t="n"/>
      <c r="K143" s="39" t="n"/>
      <c r="L143" s="39" t="n">
        <v>1</v>
      </c>
      <c r="M143" s="71" t="n">
        <v>0.0585</v>
      </c>
      <c r="N143" s="71" t="n">
        <v>0.009900000000000001</v>
      </c>
      <c r="O143" s="71" t="n">
        <v>0.0486</v>
      </c>
      <c r="P143" s="71" t="n">
        <v>0.2106</v>
      </c>
      <c r="Q143" s="71" t="n">
        <v>0.0493</v>
      </c>
      <c r="R143" s="71" t="n">
        <v>0.1613</v>
      </c>
      <c r="S143" s="83" t="inlineStr">
        <is>
          <t>Housing and Urban-Rural Development Bureau</t>
        </is>
      </c>
      <c r="T143" s="71" t="inlineStr">
        <is>
          <t>Baoji Town</t>
        </is>
      </c>
      <c r="U143" s="107" t="n">
        <v>2024.1</v>
      </c>
      <c r="V143" s="39" t="n"/>
    </row>
    <row r="144" ht="51" customHeight="1" s="97">
      <c r="A144" s="39" t="n">
        <v>3</v>
      </c>
      <c r="B144" s="71" t="inlineStr">
        <is>
          <t>Brightening Project of the Road in Diaogou Village, Baoji Town</t>
        </is>
      </c>
      <c r="C144" s="71" t="inlineStr">
        <is>
          <t>Newly built</t>
        </is>
      </c>
      <c r="D144" s="71" t="inlineStr">
        <is>
          <t>2025.3-2025.10</t>
        </is>
      </c>
      <c r="E144" s="71" t="inlineStr">
        <is>
          <t>Diao Gou Village</t>
        </is>
      </c>
      <c r="F144" s="40" t="inlineStr">
        <is>
          <t>Purchase and install 100 solar street lights 8 meters high</t>
        </is>
      </c>
      <c r="G144" s="71" t="n">
        <v>30</v>
      </c>
      <c r="H144" s="71" t="inlineStr">
        <is>
          <t>Consecutive 
Funds</t>
        </is>
      </c>
      <c r="I144" s="40" t="inlineStr">
        <is>
          <t>Solve the safety issues of people's travel at night.</t>
        </is>
      </c>
      <c r="J144" s="71" t="n"/>
      <c r="K144" s="71" t="n"/>
      <c r="L144" s="71" t="n">
        <v>1</v>
      </c>
      <c r="M144" s="71" t="n">
        <v>0.0355</v>
      </c>
      <c r="N144" s="71" t="n">
        <v>0.001</v>
      </c>
      <c r="O144" s="71" t="n">
        <v>0.0345</v>
      </c>
      <c r="P144" s="71" t="n">
        <v>0.1347</v>
      </c>
      <c r="Q144" s="71" t="n">
        <v>0.0037</v>
      </c>
      <c r="R144" s="71" t="n">
        <v>0.131</v>
      </c>
      <c r="S144" s="83" t="inlineStr">
        <is>
          <t>Housing and Urban-Rural Development Bureau</t>
        </is>
      </c>
      <c r="T144" s="71" t="inlineStr">
        <is>
          <t>Baoji Town</t>
        </is>
      </c>
      <c r="U144" s="107" t="n">
        <v>2024.1</v>
      </c>
      <c r="V144" s="39" t="n"/>
    </row>
    <row r="145" ht="54" customHeight="1" s="97">
      <c r="A145" s="39" t="n">
        <v>4</v>
      </c>
      <c r="B145" s="71" t="inlineStr">
        <is>
          <t>Brightening Project in Dunden Tan Village, Baoji Town</t>
        </is>
      </c>
      <c r="C145" s="39" t="inlineStr">
        <is>
          <t>Newly built</t>
        </is>
      </c>
      <c r="D145" s="71" t="inlineStr">
        <is>
          <t>2025.3-2025.10</t>
        </is>
      </c>
      <c r="E145" s="71" t="inlineStr">
        <is>
          <t>Dunden Tanch Village</t>
        </is>
      </c>
      <c r="F145" s="40" t="inlineStr">
        <is>
          <t>Purchase and install 100 8-meter-high street lights</t>
        </is>
      </c>
      <c r="G145" s="39" t="n">
        <v>30</v>
      </c>
      <c r="H145" s="71" t="inlineStr">
        <is>
          <t>Consecutive 
Funds</t>
        </is>
      </c>
      <c r="I145" s="40" t="inlineStr">
        <is>
          <t>Solve the safety issues of people's travel at night.</t>
        </is>
      </c>
      <c r="J145" s="71" t="n"/>
      <c r="K145" s="71" t="n"/>
      <c r="L145" s="71" t="n">
        <v>1</v>
      </c>
      <c r="M145" s="71" t="n">
        <v>0.0201</v>
      </c>
      <c r="N145" s="71" t="n">
        <v>0.0015</v>
      </c>
      <c r="O145" s="71" t="n">
        <v>0.0186</v>
      </c>
      <c r="P145" s="71" t="n">
        <v>0.0801</v>
      </c>
      <c r="Q145" s="71" t="n">
        <v>0.0066</v>
      </c>
      <c r="R145" s="71" t="n">
        <v>0.0735</v>
      </c>
      <c r="S145" s="83" t="inlineStr">
        <is>
          <t>Housing and Urban-Rural Development Bureau</t>
        </is>
      </c>
      <c r="T145" s="71" t="inlineStr">
        <is>
          <t>Baoji Town</t>
        </is>
      </c>
      <c r="U145" s="107" t="n">
        <v>2024.1</v>
      </c>
      <c r="V145" s="39" t="n"/>
    </row>
    <row r="146" ht="48" customFormat="1" customHeight="1" s="4">
      <c r="A146" s="39" t="n">
        <v>5</v>
      </c>
      <c r="B146" s="71" t="inlineStr">
        <is>
          <t>Brightening Project within Xiaochuan Village, Baoji Town</t>
        </is>
      </c>
      <c r="C146" s="71" t="inlineStr">
        <is>
          <t>Newly built</t>
        </is>
      </c>
      <c r="D146" s="71" t="inlineStr">
        <is>
          <t>2025.3-2025.10</t>
        </is>
      </c>
      <c r="E146" s="71" t="inlineStr">
        <is>
          <t>Xiaochuan Village</t>
        </is>
      </c>
      <c r="F146" s="40" t="inlineStr">
        <is>
          <t>Repair 60 solar street lights, purchase and install 30 6-meter-high street lights.</t>
        </is>
      </c>
      <c r="G146" s="71" t="n">
        <v>15</v>
      </c>
      <c r="H146" s="71" t="inlineStr">
        <is>
          <t>Consecutive 
Funds</t>
        </is>
      </c>
      <c r="I146" s="40" t="inlineStr">
        <is>
          <t>Solve the safety issues of people's travel at night.</t>
        </is>
      </c>
      <c r="J146" s="71" t="n"/>
      <c r="K146" s="71" t="n">
        <v>1</v>
      </c>
      <c r="L146" s="71" t="n"/>
      <c r="M146" s="71" t="n">
        <v>0.0241</v>
      </c>
      <c r="N146" s="71" t="n">
        <v>0.006</v>
      </c>
      <c r="O146" s="71" t="n">
        <v>0.0191</v>
      </c>
      <c r="P146" s="71" t="n">
        <v>0.0876</v>
      </c>
      <c r="Q146" s="71" t="n">
        <v>0.0241</v>
      </c>
      <c r="R146" s="71" t="n">
        <v>0.0618</v>
      </c>
      <c r="S146" s="83" t="inlineStr">
        <is>
          <t>Housing and Urban-Rural Development Bureau</t>
        </is>
      </c>
      <c r="T146" s="71" t="inlineStr">
        <is>
          <t>Baoji Town</t>
        </is>
      </c>
      <c r="U146" s="107" t="n">
        <v>2024.1</v>
      </c>
      <c r="V146" s="71" t="n"/>
    </row>
    <row r="147" ht="55.5" customHeight="1" s="97">
      <c r="A147" s="39" t="n">
        <v>6</v>
      </c>
      <c r="B147" s="71" t="inlineStr">
        <is>
          <t>The Gonghe Town Ge Xiong Cun Access Road Hardening Project</t>
        </is>
      </c>
      <c r="C147" s="71" t="inlineStr">
        <is>
          <t>Newly built</t>
        </is>
      </c>
      <c r="D147" s="71" t="inlineStr">
        <is>
          <t>2025.3-2025.10</t>
        </is>
      </c>
      <c r="E147" s="71" t="inlineStr">
        <is>
          <t>Brothers Village</t>
        </is>
      </c>
      <c r="F147" s="40" t="inlineStr">
        <is>
          <t>Hardening the last meter in front of villagers' doors and at alley entrances. Total of 5,250 square meters, with a 15 cm thick cement concrete surface layer.</t>
        </is>
      </c>
      <c r="G147" s="71" t="n">
        <v>63</v>
      </c>
      <c r="H147" s="71" t="inlineStr">
        <is>
          <t>Consecutive 
Funds</t>
        </is>
      </c>
      <c r="I147" s="40" t="inlineStr">
        <is>
          <t>Solve the safety issues of people's travel at night.</t>
        </is>
      </c>
      <c r="J147" s="71" t="n"/>
      <c r="K147" s="71" t="n"/>
      <c r="L147" s="71" t="n">
        <v>1</v>
      </c>
      <c r="M147" s="71" t="n">
        <v>0.042</v>
      </c>
      <c r="N147" s="71" t="n">
        <v>0.004</v>
      </c>
      <c r="O147" s="71" t="n">
        <v>0.038</v>
      </c>
      <c r="P147" s="71" t="n">
        <v>0.1691</v>
      </c>
      <c r="Q147" s="71" t="n">
        <v>0.0162</v>
      </c>
      <c r="R147" s="71" t="n">
        <v>0.1529</v>
      </c>
      <c r="S147" s="39" t="inlineStr">
        <is>
          <t>Housing and Urban-Rural Development Bureau</t>
        </is>
      </c>
      <c r="T147" s="39" t="inlineStr">
        <is>
          <t>Gonghe Town</t>
        </is>
      </c>
      <c r="U147" s="107" t="n">
        <v>2024.1</v>
      </c>
      <c r="V147" s="39" t="n"/>
    </row>
    <row r="148" ht="48.75" customHeight="1" s="97">
      <c r="A148" s="39" t="n">
        <v>7</v>
      </c>
      <c r="B148" s="71" t="inlineStr">
        <is>
          <t>Brightening Project of the Road in Beizhuang Village, Zhongtian Town</t>
        </is>
      </c>
      <c r="C148" s="71" t="inlineStr">
        <is>
          <t>Newly built</t>
        </is>
      </c>
      <c r="D148" s="71" t="inlineStr">
        <is>
          <t>2025.3-2025.10</t>
        </is>
      </c>
      <c r="E148" s="71" t="inlineStr">
        <is>
          <t>Beizhuang Village</t>
        </is>
      </c>
      <c r="F148" s="40" t="inlineStr">
        <is>
          <t>Install 120 solar street lights with a height of 6 meters</t>
        </is>
      </c>
      <c r="G148" s="71" t="n">
        <v>20</v>
      </c>
      <c r="H148" s="71" t="inlineStr">
        <is>
          <t>Consecutive 
Funds</t>
        </is>
      </c>
      <c r="I148" s="116" t="inlineStr">
        <is>
          <t>Solve the problem of people's travel at night</t>
        </is>
      </c>
      <c r="J148" s="71" t="n"/>
      <c r="K148" s="71" t="n"/>
      <c r="L148" s="71" t="n">
        <v>1</v>
      </c>
      <c r="M148" s="71" t="n">
        <v>0.0275</v>
      </c>
      <c r="N148" s="71" t="n">
        <v>0.0055</v>
      </c>
      <c r="O148" s="71" t="n">
        <v>0.022</v>
      </c>
      <c r="P148" s="114" t="n">
        <v>0.1088</v>
      </c>
      <c r="Q148" s="114" t="n">
        <v>0.021</v>
      </c>
      <c r="R148" s="71" t="n">
        <v>0.0878</v>
      </c>
      <c r="S148" s="71" t="inlineStr">
        <is>
          <t>Housing and Urban-Rural Development Bureau</t>
        </is>
      </c>
      <c r="T148" s="71" t="inlineStr">
        <is>
          <t>Zhangtian Township</t>
        </is>
      </c>
      <c r="U148" s="107" t="n">
        <v>2024.1</v>
      </c>
      <c r="V148" s="39" t="n"/>
    </row>
    <row r="149" ht="46.5" customHeight="1" s="97">
      <c r="A149" s="39" t="n">
        <v>8</v>
      </c>
      <c r="B149" s="47" t="inlineStr">
        <is>
          <t>Wangjia Mountain Town Dayingshui Village Lighting Project</t>
        </is>
      </c>
      <c r="C149" s="117" t="inlineStr">
        <is>
          <t>Newly built</t>
        </is>
      </c>
      <c r="D149" s="47" t="inlineStr">
        <is>
          <t>2025.3-2025.10</t>
        </is>
      </c>
      <c r="E149" s="47" t="inlineStr">
        <is>
          <t>Daying  
Shuicun</t>
        </is>
      </c>
      <c r="F149" s="111" t="inlineStr">
        <is>
          <t>Install 60 6-meter-high street lights, including 30 in Dongxi She, 20 in Huangmao Gou, and 10 in Shibei Zi.</t>
        </is>
      </c>
      <c r="G149" s="47" t="n">
        <v>17</v>
      </c>
      <c r="H149" s="71" t="inlineStr">
        <is>
          <t>Consecutive 
Funds</t>
        </is>
      </c>
      <c r="I149" s="116" t="inlineStr">
        <is>
          <t>Solve the problem of people's travel</t>
        </is>
      </c>
      <c r="J149" s="113" t="n"/>
      <c r="K149" s="113" t="n"/>
      <c r="L149" s="39" t="n">
        <v>1</v>
      </c>
      <c r="M149" s="71" t="n">
        <v>0.0514</v>
      </c>
      <c r="N149" s="114" t="n">
        <v>0.01</v>
      </c>
      <c r="O149" s="71" t="n">
        <v>0.0414</v>
      </c>
      <c r="P149" s="71" t="n">
        <v>0.1847</v>
      </c>
      <c r="Q149" s="114" t="n">
        <v>0.039</v>
      </c>
      <c r="R149" s="71" t="n">
        <v>0.1457</v>
      </c>
      <c r="S149" s="71" t="inlineStr">
        <is>
          <t>Agriculture and Rural Affairs Bureau</t>
        </is>
      </c>
      <c r="T149" s="113" t="inlineStr">
        <is>
          <t>Wangjia  
Shan Town</t>
        </is>
      </c>
      <c r="U149" s="107" t="n">
        <v>2024.1</v>
      </c>
      <c r="V149" s="39" t="n"/>
    </row>
    <row r="150" ht="39.75" customHeight="1" s="97">
      <c r="A150" s="39" t="n">
        <v>9</v>
      </c>
      <c r="B150" s="71" t="inlineStr">
        <is>
          <t>Shuiquan Town Yangling Village Lighting Project</t>
        </is>
      </c>
      <c r="C150" s="113" t="inlineStr">
        <is>
          <t>Newly built</t>
        </is>
      </c>
      <c r="D150" s="71" t="inlineStr">
        <is>
          <t>2025.3-2025.10</t>
        </is>
      </c>
      <c r="E150" s="71" t="inlineStr">
        <is>
          <t>Yangling Village</t>
        </is>
      </c>
      <c r="F150" s="40" t="inlineStr">
        <is>
          <t>Install 110 solar street lights with a height of 6 meters</t>
        </is>
      </c>
      <c r="G150" s="71" t="n">
        <v>31</v>
      </c>
      <c r="H150" s="71" t="inlineStr">
        <is>
          <t>Consecutive 
Funds</t>
        </is>
      </c>
      <c r="I150" s="116" t="inlineStr">
        <is>
          <t>Solve the problem of people's travel</t>
        </is>
      </c>
      <c r="J150" s="113" t="n"/>
      <c r="K150" s="113" t="n"/>
      <c r="L150" s="71" t="n">
        <v>1</v>
      </c>
      <c r="M150" s="71" t="n">
        <v>0.08</v>
      </c>
      <c r="N150" s="71" t="n">
        <v>0.004</v>
      </c>
      <c r="O150" s="71" t="n">
        <v>0.076</v>
      </c>
      <c r="P150" s="71" t="n">
        <v>0.246</v>
      </c>
      <c r="Q150" s="71" t="n">
        <v>0.012</v>
      </c>
      <c r="R150" s="71" t="n">
        <v>0.234</v>
      </c>
      <c r="S150" s="71" t="inlineStr">
        <is>
          <t>Agriculture and Rural Affairs Bureau</t>
        </is>
      </c>
      <c r="T150" s="71" t="inlineStr">
        <is>
          <t>Shuiquan Town</t>
        </is>
      </c>
      <c r="U150" s="71" t="n">
        <v>2024.9</v>
      </c>
      <c r="V150" s="39" t="n"/>
    </row>
    <row r="151" ht="39.75" customHeight="1" s="97">
      <c r="A151" s="41" t="inlineStr">
        <is>
          <t>⑷</t>
        </is>
      </c>
      <c r="B151" s="67" t="inlineStr">
        <is>
          <t>Workfare</t>
        </is>
      </c>
      <c r="C151" s="113" t="n"/>
      <c r="D151" s="71" t="n"/>
      <c r="E151" s="71" t="n"/>
      <c r="F151" s="40" t="n"/>
      <c r="G151" s="67" t="n">
        <v>432.44</v>
      </c>
      <c r="H151" s="71" t="n"/>
      <c r="I151" s="116" t="n"/>
      <c r="J151" s="113" t="n"/>
      <c r="K151" s="113" t="n"/>
      <c r="L151" s="39" t="n"/>
      <c r="M151" s="71" t="n"/>
      <c r="N151" s="114" t="n"/>
      <c r="O151" s="71" t="n"/>
      <c r="P151" s="71" t="n"/>
      <c r="Q151" s="114" t="n"/>
      <c r="R151" s="71" t="n"/>
      <c r="S151" s="71" t="n"/>
      <c r="T151" s="113" t="n"/>
      <c r="U151" s="107" t="n"/>
      <c r="V151" s="39" t="n"/>
    </row>
    <row r="152" ht="100.5" customHeight="1" s="97">
      <c r="A152" s="39" t="n">
        <v>1</v>
      </c>
      <c r="B152" s="71" t="inlineStr">
        <is>
          <t>The Subsequent Industrial Development and Farmland Water Conservancy Infrastructure Construction Project for the Relocation Poverty Alleviation Settlement in Huangqiao Town, Pingchuan District, Baiyin City</t>
        </is>
      </c>
      <c r="C152" s="113" t="inlineStr">
        <is>
          <t>Newly built</t>
        </is>
      </c>
      <c r="D152" s="71" t="inlineStr">
        <is>
          <t>2025.3-2025.10</t>
        </is>
      </c>
      <c r="E152" s="71" t="inlineStr">
        <is>
          <t>Yuwan Village</t>
        </is>
      </c>
      <c r="F152" s="40" t="inlineStr">
        <is>
          <t>Construct 1 new water storage pool with a capacity of 30,000 cubic meters, lay 1.93 kilometers of DN300PE pipe and 0.8 kilometers of DN90PE pipe for field pipelines, and construct 5 kilometers of field gravel roads.</t>
        </is>
      </c>
      <c r="G152" s="71" t="n">
        <v>432.84</v>
      </c>
      <c r="H152" s="71" t="inlineStr">
        <is>
          <t>Consecutive 
Funds</t>
        </is>
      </c>
      <c r="I152" s="116" t="inlineStr">
        <is>
          <t>After the project is completed, it will effectively enhance the enthusiasm of the local population for crop cultivation and significantly increase their satisfaction.</t>
        </is>
      </c>
      <c r="J152" s="113" t="n"/>
      <c r="K152" s="113" t="n"/>
      <c r="L152" s="39" t="n">
        <v>2</v>
      </c>
      <c r="M152" s="71" t="n">
        <v>0.0513</v>
      </c>
      <c r="N152" s="114" t="n">
        <v>0.0121</v>
      </c>
      <c r="O152" s="71" t="n">
        <v>0.0392</v>
      </c>
      <c r="P152" s="71" t="n">
        <v>1.0853</v>
      </c>
      <c r="Q152" s="114" t="n">
        <v>0.1787</v>
      </c>
      <c r="R152" s="71" t="n">
        <v>0.9066</v>
      </c>
      <c r="S152" s="71" t="inlineStr">
        <is>
          <t>Development and Reform Bureau</t>
        </is>
      </c>
      <c r="T152" s="113" t="inlineStr">
        <is>
          <t>Huangqiao Town</t>
        </is>
      </c>
      <c r="U152" s="107" t="n">
        <v>2024.1</v>
      </c>
      <c r="V152" s="39" t="n"/>
    </row>
    <row r="153" ht="36" customHeight="1" s="97">
      <c r="A153" s="41" t="inlineStr">
        <is>
          <t>⑸</t>
        </is>
      </c>
      <c r="B153" s="67" t="inlineStr">
        <is>
          <t>Other</t>
        </is>
      </c>
      <c r="C153" s="39" t="n"/>
      <c r="D153" s="39" t="n"/>
      <c r="E153" s="39" t="n"/>
      <c r="F153" s="44" t="n"/>
      <c r="G153" s="41" t="n">
        <v>740</v>
      </c>
      <c r="H153" s="71" t="n"/>
      <c r="I153" s="44" t="n"/>
      <c r="J153" s="39" t="n"/>
      <c r="K153" s="39" t="n"/>
      <c r="L153" s="39" t="n"/>
      <c r="M153" s="39" t="n"/>
      <c r="N153" s="39" t="n"/>
      <c r="O153" s="39" t="n"/>
      <c r="P153" s="39" t="n"/>
      <c r="Q153" s="39" t="n"/>
      <c r="R153" s="39" t="n"/>
      <c r="S153" s="39" t="n"/>
      <c r="T153" s="39" t="n"/>
      <c r="U153" s="39" t="n"/>
      <c r="V153" s="39" t="n"/>
    </row>
    <row r="154" ht="79.5" customHeight="1" s="97">
      <c r="A154" s="86" t="n">
        <v>1</v>
      </c>
      <c r="B154" s="71" t="inlineStr">
        <is>
          <t>Fuxing Township Ganlao Village Drainage Channel Construction Project</t>
        </is>
      </c>
      <c r="C154" s="113" t="inlineStr">
        <is>
          <t>Newly built</t>
        </is>
      </c>
      <c r="D154" s="71" t="inlineStr">
        <is>
          <t>2025.3-2025.10</t>
        </is>
      </c>
      <c r="E154" s="86" t="inlineStr">
        <is>
          <t>Ganlao Village</t>
        </is>
      </c>
      <c r="F154" s="40" t="inlineStr">
        <is>
          <t>The lined channel is 1 kilometer long, 5 meters wide at the top, 3 meters wide at the bottom, and 1.2 meters in height.</t>
        </is>
      </c>
      <c r="G154" s="86" t="n">
        <v>65</v>
      </c>
      <c r="H154" s="71" t="inlineStr">
        <is>
          <t>Consecutive 
Funds</t>
        </is>
      </c>
      <c r="I154" s="40" t="inlineStr">
        <is>
          <t>Ensure food production security for the local population and prevent 2000 mu of farmland in Linqu from damage and disaster caused by mountain floods.</t>
        </is>
      </c>
      <c r="J154" s="86" t="n"/>
      <c r="K154" s="86" t="n">
        <v>2</v>
      </c>
      <c r="L154" s="86" t="n"/>
      <c r="M154" s="6">
        <f>N154+O154</f>
        <v/>
      </c>
      <c r="N154" s="71" t="n">
        <v>0.00083</v>
      </c>
      <c r="O154" s="71" t="n">
        <v>0.00051</v>
      </c>
      <c r="P154" s="6">
        <f>Q154+R154</f>
        <v/>
      </c>
      <c r="Q154" s="71" t="n">
        <v>0.00031</v>
      </c>
      <c r="R154" s="71" t="n">
        <v>0.00042</v>
      </c>
      <c r="S154" s="86" t="inlineStr">
        <is>
          <t>Water Resources Bureau</t>
        </is>
      </c>
      <c r="T154" s="86" t="inlineStr">
        <is>
          <t>Fuxing Township</t>
        </is>
      </c>
      <c r="U154" s="107" t="n">
        <v>2024.1</v>
      </c>
      <c r="V154" s="39" t="n"/>
    </row>
    <row r="155" ht="55.5" customHeight="1" s="97">
      <c r="A155" s="86" t="n">
        <v>2</v>
      </c>
      <c r="B155" s="71" t="inlineStr">
        <is>
          <t>Shuiquan Town Hanpingchuan Village Farmers' Market Construction Project</t>
        </is>
      </c>
      <c r="C155" s="71" t="inlineStr">
        <is>
          <t>Newly built</t>
        </is>
      </c>
      <c r="D155" s="71" t="inlineStr">
        <is>
          <t>2025.3-2025.10</t>
        </is>
      </c>
      <c r="E155" s="71" t="inlineStr">
        <is>
          <t>Hanshan Village</t>
        </is>
      </c>
      <c r="F155" s="40" t="inlineStr">
        <is>
          <t>Hardened area of 4,000 m², steel structure color steel shed</t>
        </is>
      </c>
      <c r="G155" s="39" t="n">
        <v>140</v>
      </c>
      <c r="H155" s="71" t="inlineStr">
        <is>
          <t>Consecutive 
Funds</t>
        </is>
      </c>
      <c r="I155" s="40" t="inlineStr">
        <is>
          <t>Increase village collective economic income</t>
        </is>
      </c>
      <c r="J155" s="39" t="n"/>
      <c r="K155" s="39" t="n"/>
      <c r="L155" s="71" t="n">
        <v>1</v>
      </c>
      <c r="M155" s="71" t="n">
        <v>0.0518</v>
      </c>
      <c r="N155" s="71" t="n">
        <v>0.0018</v>
      </c>
      <c r="O155" s="71" t="n">
        <v>0.05</v>
      </c>
      <c r="P155" s="71" t="n">
        <v>0.1878</v>
      </c>
      <c r="Q155" s="71" t="n">
        <v>0.0078</v>
      </c>
      <c r="R155" s="71" t="n">
        <v>0.18</v>
      </c>
      <c r="S155" s="71" t="inlineStr">
        <is>
          <t>Agriculture and Rural Affairs Bureau</t>
        </is>
      </c>
      <c r="T155" s="71" t="inlineStr">
        <is>
          <t>Shuiquan Town</t>
        </is>
      </c>
      <c r="U155" s="107" t="n">
        <v>2024.1</v>
      </c>
      <c r="V155" s="39" t="n"/>
    </row>
    <row r="156" ht="55.5" customHeight="1" s="97">
      <c r="A156" s="86" t="n">
        <v>3</v>
      </c>
      <c r="B156" s="71" t="inlineStr">
        <is>
          <t>Baohui Town Heishui Village Jina Yao Small Watershed Management Project</t>
        </is>
      </c>
      <c r="C156" s="71" t="inlineStr">
        <is>
          <t>Newly built</t>
        </is>
      </c>
      <c r="D156" s="71" t="inlineStr">
        <is>
          <t>2025.3-2025.10</t>
        </is>
      </c>
      <c r="E156" s="71" t="inlineStr">
        <is>
          <t>Heishui Village</t>
        </is>
      </c>
      <c r="F156" s="40" t="inlineStr">
        <is>
          <t>Construct a retaining slope with an upper width of 1 meter, lower width of 2 meters, height of 2 meters, and length of 0.2 kilometers.</t>
        </is>
      </c>
      <c r="G156" s="39" t="n">
        <v>100</v>
      </c>
      <c r="H156" s="71" t="inlineStr">
        <is>
          <t>Consecutive 
Funds</t>
        </is>
      </c>
      <c r="I156" s="40" t="inlineStr">
        <is>
          <t>Protect the lives and property of the people.</t>
        </is>
      </c>
      <c r="J156" s="39" t="n"/>
      <c r="K156" s="39" t="n"/>
      <c r="L156" s="39" t="n">
        <v>1</v>
      </c>
      <c r="M156" s="71" t="n">
        <v>0.0055</v>
      </c>
      <c r="N156" s="71" t="n">
        <v>0.001</v>
      </c>
      <c r="O156" s="71" t="n">
        <v>0.004</v>
      </c>
      <c r="P156" s="71" t="n">
        <v>0.0183</v>
      </c>
      <c r="Q156" s="71" t="n">
        <v>0.0019</v>
      </c>
      <c r="R156" s="71" t="n">
        <v>0.0164</v>
      </c>
      <c r="S156" s="71" t="inlineStr">
        <is>
          <t>Water Resources Bureau</t>
        </is>
      </c>
      <c r="T156" s="71" t="inlineStr">
        <is>
          <t>Baoji Town</t>
        </is>
      </c>
      <c r="U156" s="107" t="n">
        <v>2024.1</v>
      </c>
      <c r="V156" s="39" t="n"/>
    </row>
    <row r="157" ht="52.5" customHeight="1" s="97">
      <c r="A157" s="86" t="n">
        <v>4</v>
      </c>
      <c r="B157" s="71" t="inlineStr">
        <is>
          <t>Baoji Town Weidi Village Slope Protection Construction Project</t>
        </is>
      </c>
      <c r="C157" s="71" t="inlineStr">
        <is>
          <t>Newly built</t>
        </is>
      </c>
      <c r="D157" s="71" t="inlineStr">
        <is>
          <t>2025.3-2025.10</t>
        </is>
      </c>
      <c r="E157" s="71" t="inlineStr">
        <is>
          <t>Wei's Family
Land Village</t>
        </is>
      </c>
      <c r="F157" s="40" t="inlineStr">
        <is>
          <t>Build a stone wall slope protection with a length of 150 meters, height of 1.5 meters, and width of 2 meters.</t>
        </is>
      </c>
      <c r="G157" s="71" t="n">
        <v>40</v>
      </c>
      <c r="H157" s="71" t="inlineStr">
        <is>
          <t>Consecutive 
Funds</t>
        </is>
      </c>
      <c r="I157" s="40" t="inlineStr">
        <is>
          <t>Protect the lives and property of the people.</t>
        </is>
      </c>
      <c r="J157" s="71" t="n"/>
      <c r="K157" s="71" t="n"/>
      <c r="L157" s="71" t="n">
        <v>1</v>
      </c>
      <c r="M157" s="71" t="n">
        <v>0.008999999999999999</v>
      </c>
      <c r="N157" s="71" t="n">
        <v>0.001</v>
      </c>
      <c r="O157" s="71" t="n">
        <v>0.008</v>
      </c>
      <c r="P157" s="71" t="n">
        <v>0.036</v>
      </c>
      <c r="Q157" s="71" t="n">
        <v>0.044</v>
      </c>
      <c r="R157" s="71" t="n">
        <v>0.0316</v>
      </c>
      <c r="S157" s="71" t="inlineStr">
        <is>
          <t>Water Resources Bureau</t>
        </is>
      </c>
      <c r="T157" s="71" t="inlineStr">
        <is>
          <t>Baoji Town</t>
        </is>
      </c>
      <c r="U157" s="107" t="n">
        <v>2024.1</v>
      </c>
      <c r="V157" s="39" t="n"/>
    </row>
    <row r="158" ht="52.5" customHeight="1" s="97">
      <c r="A158" s="86" t="n">
        <v>5</v>
      </c>
      <c r="B158" s="71" t="inlineStr">
        <is>
          <t>Municipal Beautiful and Harmonious Countryside Reward and Subsidy Project</t>
        </is>
      </c>
      <c r="C158" s="71" t="inlineStr">
        <is>
          <t>Newly built</t>
        </is>
      </c>
      <c r="D158" s="71" t="inlineStr">
        <is>
          <t>2025.3-2025.10</t>
        </is>
      </c>
      <c r="E158" s="71" t="inlineStr">
        <is>
          <t>Dawan Village</t>
        </is>
      </c>
      <c r="F158" s="40" t="inlineStr">
        <is>
          <t>Baohua Town Dayan Village Beautiful Village Reward and Subsidy Project.</t>
        </is>
      </c>
      <c r="G158" s="71" t="n">
        <v>10</v>
      </c>
      <c r="H158" s="71" t="inlineStr">
        <is>
          <t>Consecutive 
Funds</t>
        </is>
      </c>
      <c r="I158" s="40" t="inlineStr">
        <is>
          <t>Build beautiful and harmonious countryside and improve the production and living conditions of the people.</t>
        </is>
      </c>
      <c r="J158" s="71" t="n"/>
      <c r="K158" s="71" t="n"/>
      <c r="L158" s="71" t="n">
        <v>1</v>
      </c>
      <c r="M158" s="71">
        <f>N158+O158</f>
        <v/>
      </c>
      <c r="N158" s="71" t="n">
        <v>0.0002</v>
      </c>
      <c r="O158" s="71" t="n">
        <v>0.165</v>
      </c>
      <c r="P158" s="71">
        <f>Q158+R158</f>
        <v/>
      </c>
      <c r="Q158" s="71" t="n">
        <v>0.001</v>
      </c>
      <c r="R158" s="71" t="n">
        <v>0.0548</v>
      </c>
      <c r="S158" s="71" t="inlineStr">
        <is>
          <t>Agriculture and Rural Affairs Bureau</t>
        </is>
      </c>
      <c r="T158" s="71" t="inlineStr">
        <is>
          <t>Baoji Town</t>
        </is>
      </c>
      <c r="U158" s="107" t="n">
        <v>2024.1</v>
      </c>
      <c r="V158" s="39" t="n"/>
    </row>
    <row r="159" ht="109.5" customHeight="1" s="97">
      <c r="A159" s="86" t="n">
        <v>6</v>
      </c>
      <c r="B159" s="71" t="inlineStr">
        <is>
          <t>Gonghe Town Changya Village Riverbank Slope Protection and Management Project</t>
        </is>
      </c>
      <c r="C159" s="71" t="inlineStr">
        <is>
          <t>Newly built</t>
        </is>
      </c>
      <c r="D159" s="71" t="inlineStr">
        <is>
          <t>2025.3-2025.10</t>
        </is>
      </c>
      <c r="E159" s="71" t="inlineStr">
        <is>
          <t>Changya Village</t>
        </is>
      </c>
      <c r="F159" s="40" t="inlineStr">
        <is>
          <t>Construct a 1.0 km slope protection with a height of 2.5 meters, lower base 1.0 meter, and upper base 0.40 meter.</t>
        </is>
      </c>
      <c r="G159" s="71" t="n">
        <v>120</v>
      </c>
      <c r="H159" s="71" t="inlineStr">
        <is>
          <t>Consecutive 
Funds</t>
        </is>
      </c>
      <c r="I159" s="40" t="inlineStr">
        <is>
          <t>The implementation of the project is conducive to protecting nearly 600 mu of basic farmland, involving irrigation land for the entire village, and ensuring stable agricultural income for farmers.</t>
        </is>
      </c>
      <c r="J159" s="71" t="n"/>
      <c r="K159" s="71" t="n">
        <v>1</v>
      </c>
      <c r="L159" s="71" t="n"/>
      <c r="M159" s="71" t="n">
        <v>0.0245</v>
      </c>
      <c r="N159" s="71" t="n">
        <v>0.009599999999999999</v>
      </c>
      <c r="O159" s="71" t="n">
        <v>0.0149</v>
      </c>
      <c r="P159" s="71" t="n">
        <v>0.0998</v>
      </c>
      <c r="Q159" s="114" t="n">
        <v>0.041</v>
      </c>
      <c r="R159" s="71" t="n">
        <v>0.0588</v>
      </c>
      <c r="S159" s="39" t="inlineStr">
        <is>
          <t>Water Resources Bureau</t>
        </is>
      </c>
      <c r="T159" s="39" t="inlineStr">
        <is>
          <t>Gonghe Town</t>
        </is>
      </c>
      <c r="U159" s="107" t="n">
        <v>2024.1</v>
      </c>
      <c r="V159" s="39" t="n"/>
    </row>
    <row r="160" ht="69" customHeight="1" s="97">
      <c r="A160" s="86" t="n">
        <v>7</v>
      </c>
      <c r="B160" s="71" t="inlineStr">
        <is>
          <t>Gonghe Town Maobula Village Rural Revitalization Drying Yard Construction Project</t>
        </is>
      </c>
      <c r="C160" s="71" t="inlineStr">
        <is>
          <t>Newly built</t>
        </is>
      </c>
      <c r="D160" s="71" t="inlineStr">
        <is>
          <t>2025.3-2025.10</t>
        </is>
      </c>
      <c r="E160" s="71" t="inlineStr">
        <is>
          <t>Maobula</t>
        </is>
      </c>
      <c r="F160" s="40" t="inlineStr">
        <is>
          <t>Construct 5 drying yards, each with an area of 2,000 square meters, site hardening with 15 cm thick cement concrete surface layer.</t>
        </is>
      </c>
      <c r="G160" s="71" t="n">
        <v>120</v>
      </c>
      <c r="H160" s="71" t="inlineStr">
        <is>
          <t>Consecutive 
Funds</t>
        </is>
      </c>
      <c r="I160" s="40" t="inlineStr">
        <is>
          <t>Solve the villagers' grain drying problem, avoid dampness, and reduce losses.</t>
        </is>
      </c>
      <c r="J160" s="71" t="n"/>
      <c r="K160" s="71" t="n"/>
      <c r="L160" s="71" t="n">
        <v>1</v>
      </c>
      <c r="M160" s="71" t="n">
        <v>0.08019999999999999</v>
      </c>
      <c r="N160" s="71" t="n">
        <v>0.0077</v>
      </c>
      <c r="O160" s="71" t="n">
        <v>0.0725</v>
      </c>
      <c r="P160" s="71" t="n">
        <v>0.3209</v>
      </c>
      <c r="Q160" s="71" t="n">
        <v>0.0346</v>
      </c>
      <c r="R160" s="71" t="n">
        <v>0.2863</v>
      </c>
      <c r="S160" s="71" t="inlineStr">
        <is>
          <t>Agriculture and Rural Affairs Bureau</t>
        </is>
      </c>
      <c r="T160" s="39" t="inlineStr">
        <is>
          <t>Gonghe Town</t>
        </is>
      </c>
      <c r="U160" s="107" t="n">
        <v>2024.1</v>
      </c>
      <c r="V160" s="39" t="n"/>
    </row>
    <row r="161" ht="111" customHeight="1" s="97">
      <c r="A161" s="86" t="n">
        <v>8</v>
      </c>
      <c r="B161" s="71" t="inlineStr">
        <is>
          <t>Gonghe Town Xiaoshui Village Farmers' Market Construction Project</t>
        </is>
      </c>
      <c r="C161" s="71" t="inlineStr">
        <is>
          <t>Newly built</t>
        </is>
      </c>
      <c r="D161" s="71" t="inlineStr">
        <is>
          <t>2025.3-2025.10</t>
        </is>
      </c>
      <c r="E161" s="71" t="inlineStr">
        <is>
          <t>Xiaoshui Village</t>
        </is>
      </c>
      <c r="F161" s="118" t="inlineStr">
        <is>
          <t>Hardened site area of 1,863 m², management building of 60 m², color steel greenhouse of 630 m².</t>
        </is>
      </c>
      <c r="G161" s="79" t="n">
        <v>94</v>
      </c>
      <c r="H161" s="71" t="inlineStr">
        <is>
          <t>Consecutive 
Funds</t>
        </is>
      </c>
      <c r="I161" s="40" t="inlineStr">
        <is>
          <t>Building a farmers' market enables agricultural products to quickly flow from producers to consumers, reduces intermediate steps, lowers circulation costs, and increases farmers' income.</t>
        </is>
      </c>
      <c r="J161" s="71" t="n"/>
      <c r="K161" s="71" t="n"/>
      <c r="L161" s="71" t="n">
        <v>1</v>
      </c>
      <c r="M161" s="71" t="n">
        <v>0.0557</v>
      </c>
      <c r="N161" s="71" t="n">
        <v>0.006</v>
      </c>
      <c r="O161" s="71" t="n">
        <v>0.0497</v>
      </c>
      <c r="P161" s="71" t="n">
        <v>0.1561</v>
      </c>
      <c r="Q161" s="71" t="n">
        <v>0.032</v>
      </c>
      <c r="R161" s="71" t="n">
        <v>0.1241</v>
      </c>
      <c r="S161" s="71" t="inlineStr">
        <is>
          <t>Agriculture and Rural Affairs Bureau</t>
        </is>
      </c>
      <c r="T161" s="39" t="inlineStr">
        <is>
          <t>Gonghe Town</t>
        </is>
      </c>
      <c r="U161" s="107" t="n">
        <v>2024.1</v>
      </c>
      <c r="V161" s="39" t="n"/>
    </row>
    <row r="162" ht="54" customHeight="1" s="97">
      <c r="A162" s="86" t="n">
        <v>9</v>
      </c>
      <c r="B162" s="71" t="inlineStr">
        <is>
          <t>Zhangtian Township, Zhangtian Village Flood Drainage Channel Hardening Project</t>
        </is>
      </c>
      <c r="C162" s="71" t="inlineStr">
        <is>
          <t>Newly built</t>
        </is>
      </c>
      <c r="D162" s="71" t="inlineStr">
        <is>
          <t>2025.3-2025.10</t>
        </is>
      </c>
      <c r="E162" s="71" t="inlineStr">
        <is>
          <t>Zhen Tianshan Village</t>
        </is>
      </c>
      <c r="F162" s="111" t="inlineStr">
        <is>
          <t>Drainage ditch 73.6m, sand barrier 15m, slope protection restoration 15.6m, water retention dam and drop structure restoration 2 units, water crossing road 284m, new slope protection 358m</t>
        </is>
      </c>
      <c r="G162" s="79" t="n">
        <v>70</v>
      </c>
      <c r="H162" s="71" t="inlineStr">
        <is>
          <t>Consecutive 
Funds</t>
        </is>
      </c>
      <c r="I162" s="116" t="inlineStr">
        <is>
          <t>Ensure the safety of people's lives and property.</t>
        </is>
      </c>
      <c r="J162" s="71" t="n"/>
      <c r="K162" s="71" t="n"/>
      <c r="L162" s="71" t="n">
        <v>1</v>
      </c>
      <c r="M162" s="71" t="n">
        <v>0.0128</v>
      </c>
      <c r="N162" s="71" t="n">
        <v>0.0058</v>
      </c>
      <c r="O162" s="71" t="n">
        <v>0.007</v>
      </c>
      <c r="P162" s="71" t="n">
        <v>0.0537</v>
      </c>
      <c r="Q162" s="71" t="n">
        <v>0.0242</v>
      </c>
      <c r="R162" s="71" t="n">
        <v>0.0295</v>
      </c>
      <c r="S162" s="71" t="inlineStr">
        <is>
          <t>Water Resources Bureau</t>
        </is>
      </c>
      <c r="T162" s="71" t="inlineStr">
        <is>
          <t>Zhangtian Township</t>
        </is>
      </c>
      <c r="U162" s="107" t="n">
        <v>2024.1</v>
      </c>
      <c r="V162" s="39" t="n"/>
    </row>
    <row r="163" ht="61.5" customHeight="1" s="97">
      <c r="A163" s="86" t="n">
        <v>10</v>
      </c>
      <c r="B163" s="71" t="inlineStr">
        <is>
          <t>Farming Township, Xiaochuan Village Flood Drainage Channel Management Project</t>
        </is>
      </c>
      <c r="C163" s="71" t="inlineStr">
        <is>
          <t>Newly built</t>
        </is>
      </c>
      <c r="D163" s="71" t="inlineStr">
        <is>
          <t>2025.3-2025.10</t>
        </is>
      </c>
      <c r="E163" s="71" t="inlineStr">
        <is>
          <t>Xiaochuan Village</t>
        </is>
      </c>
      <c r="F163" s="40" t="inlineStr">
        <is>
          <t>Sediment removal and management of the flood discharge channel in Xiaochuan Village for 3,300 meters</t>
        </is>
      </c>
      <c r="G163" s="71" t="n">
        <v>35</v>
      </c>
      <c r="H163" s="71" t="inlineStr">
        <is>
          <t>Consecutive 
Funds</t>
        </is>
      </c>
      <c r="I163" s="116" t="inlineStr">
        <is>
          <t>Ensure the safety of people's lives and property.</t>
        </is>
      </c>
      <c r="J163" s="71" t="n"/>
      <c r="K163" s="71" t="n"/>
      <c r="L163" s="71" t="n">
        <v>1</v>
      </c>
      <c r="M163" s="71" t="n">
        <v>0.0195</v>
      </c>
      <c r="N163" s="71" t="n">
        <v>0.0065</v>
      </c>
      <c r="O163" s="71" t="n">
        <v>0.013</v>
      </c>
      <c r="P163" s="71" t="n">
        <v>0.083</v>
      </c>
      <c r="Q163" s="71" t="n">
        <v>0.0276</v>
      </c>
      <c r="R163" s="71" t="n">
        <v>0.0554</v>
      </c>
      <c r="S163" s="71" t="inlineStr">
        <is>
          <t>Water Resources Bureau</t>
        </is>
      </c>
      <c r="T163" s="71" t="inlineStr">
        <is>
          <t>Zhangtian Township</t>
        </is>
      </c>
      <c r="U163" s="107" t="n">
        <v>2024.1</v>
      </c>
      <c r="V163" s="39" t="n"/>
    </row>
    <row r="164" ht="78" customHeight="1" s="97">
      <c r="A164" s="86" t="n">
        <v>11</v>
      </c>
      <c r="B164" s="71" t="inlineStr">
        <is>
          <t>Luzi Water Gully Safety Fence Maintenance and Renovation Project in Lapai Village, Zhongtian Township</t>
        </is>
      </c>
      <c r="C164" s="71" t="inlineStr">
        <is>
          <t>Newly built</t>
        </is>
      </c>
      <c r="D164" s="71" t="inlineStr">
        <is>
          <t>2025.3-2025.10</t>
        </is>
      </c>
      <c r="E164" s="39" t="inlineStr">
        <is>
          <t>Lapai Village</t>
        </is>
      </c>
      <c r="F164" s="40" t="inlineStr">
        <is>
          <t>Install and repair 1000 meters of protective netting on the Luzi Shuigou dam.</t>
        </is>
      </c>
      <c r="G164" s="39" t="n">
        <v>20</v>
      </c>
      <c r="H164" s="71" t="inlineStr">
        <is>
          <t>Consecutive 
Funds</t>
        </is>
      </c>
      <c r="I164" s="40" t="inlineStr">
        <is>
          <t>Strengthen the safety protection measures of ditches and dams to ensure the safety of people's property and lives.</t>
        </is>
      </c>
      <c r="J164" s="39" t="n"/>
      <c r="K164" s="39" t="n">
        <v>1</v>
      </c>
      <c r="L164" s="39" t="n"/>
      <c r="M164" s="71" t="n">
        <v>0.0176</v>
      </c>
      <c r="N164" s="71" t="n">
        <v>0.0056</v>
      </c>
      <c r="O164" s="71" t="n">
        <v>0.012</v>
      </c>
      <c r="P164" s="71" t="n">
        <v>0.0696</v>
      </c>
      <c r="Q164" s="71" t="n">
        <v>0.0242</v>
      </c>
      <c r="R164" s="71" t="n">
        <v>0.0454</v>
      </c>
      <c r="S164" s="71" t="inlineStr">
        <is>
          <t>Water Resources Bureau</t>
        </is>
      </c>
      <c r="T164" s="71" t="inlineStr">
        <is>
          <t>Zhangtian Township</t>
        </is>
      </c>
      <c r="U164" s="107" t="n">
        <v>2024.1</v>
      </c>
      <c r="V164" s="39" t="n"/>
    </row>
    <row r="165" ht="39.75" customHeight="1" s="97">
      <c r="A165" s="41" t="inlineStr">
        <is>
          <t>㈡</t>
        </is>
      </c>
      <c r="B165" s="88" t="inlineStr">
        <is>
          <t>Human Settlement Environment Improvement</t>
        </is>
      </c>
      <c r="C165" s="39" t="n"/>
      <c r="D165" s="39" t="n"/>
      <c r="E165" s="39" t="n"/>
      <c r="F165" s="44" t="n"/>
      <c r="G165" s="41" t="n">
        <v>741.3200000000001</v>
      </c>
      <c r="H165" s="71" t="n"/>
      <c r="I165" s="44" t="n"/>
      <c r="J165" s="39" t="n"/>
      <c r="K165" s="39" t="n"/>
      <c r="L165" s="39" t="n"/>
      <c r="M165" s="39" t="n"/>
      <c r="N165" s="39" t="n"/>
      <c r="O165" s="39" t="n"/>
      <c r="P165" s="39" t="n"/>
      <c r="Q165" s="39" t="n"/>
      <c r="R165" s="39" t="n"/>
      <c r="S165" s="39" t="n"/>
      <c r="T165" s="39" t="n"/>
      <c r="U165" s="39" t="n"/>
      <c r="V165" s="39" t="n"/>
    </row>
    <row r="166" ht="267.75" customFormat="1" customHeight="1" s="6">
      <c r="A166" s="71" t="n">
        <v>1</v>
      </c>
      <c r="B166" s="71" t="inlineStr">
        <is>
          <t>Waste collection and transportation costs and cleaner salaries</t>
        </is>
      </c>
      <c r="C166" s="71" t="inlineStr">
        <is>
          <t>Newly built</t>
        </is>
      </c>
      <c r="D166" s="71" t="inlineStr">
        <is>
          <t>2025.3-2025.10</t>
        </is>
      </c>
      <c r="E166" s="71" t="inlineStr">
        <is>
          <t>Each township</t>
        </is>
      </c>
      <c r="F166" s="116" t="inlineStr">
        <is>
          <t>1. Shuiquan Town 160.56: of which 864,000 yuan for renting collection vehicles and 741,600 yuan for sanitation workers' wages; 2. Fuxing Township 430,200 yuan: of which 108,000 yuan for renting collection vehicles, 18,000 yuan for loading and unloading fees, 45,000 yuan for transportation fees, and 259,200 yuan for sanitation workers' wages; 3. Zhongtian Township 408,600 yuan; of which 108,000 yuan for renting collection vehicles, 18,000 yuan for loading and unloading fees, 45,000 yuan for transportation fees, and 237,600 yuan for sanitation workers' wages; 4. Huangqiao Town 667,200 yuan: of which 216,000 yuan for renting collection vehicles, 72,000 yuan for loading and unloading fees, 120,000 yuan for transportation fees, and 259,200 yuan for sanitation workers' wages; 5. Gonghe Town 847,200 yuan: of which 324,000 yuan for renting collection vehicles, 72,000 yuan for loading and unloading fees, 120,000 yuan for garbage transportation fees, and 331,200 yuan for sanitation workers' wages; 6. Wangjia Mountain Town 602,400 yuan: of which 216,000 yuan for renting collection vehicles, 72,000 yuan for loading and unloading fees, 120,000 yuan for transportation fees, and 194,400 yuan for sanitation workers' wages; 7. Baoji Town 792,000 yuan: of which 540,000 yuan for renting collection vehicles and 252,000 yuan for sanitation workers' wages.  
2. Provide subsidies for the transportation costs of pesticide packaging waste collected from 61 villages and 35 pesticide retailers in the entire district.</t>
        </is>
      </c>
      <c r="G166" s="121" t="n">
        <v>540.3200000000001</v>
      </c>
      <c r="H166" s="71" t="inlineStr">
        <is>
          <t>Consecutive 
Funds</t>
        </is>
      </c>
      <c r="I166" s="116" t="inlineStr">
        <is>
          <t>Solve garbage transportation problems and make the village's human settlement environment beautiful and tidy.</t>
        </is>
      </c>
      <c r="J166" s="113" t="n"/>
      <c r="K166" s="71" t="n">
        <v>15</v>
      </c>
      <c r="L166" s="71" t="n">
        <v>46</v>
      </c>
      <c r="M166" s="114" t="n">
        <v>3.5789</v>
      </c>
      <c r="N166" s="114" t="n">
        <v>1.1084</v>
      </c>
      <c r="O166" s="114" t="n">
        <v>2.4705</v>
      </c>
      <c r="P166" s="114" t="n">
        <v>9.831099999999999</v>
      </c>
      <c r="Q166" s="114" t="n">
        <v>1.8885</v>
      </c>
      <c r="R166" s="114" t="n">
        <v>7.9426</v>
      </c>
      <c r="S166" s="71" t="inlineStr">
        <is>
          <t>Housing and Urban-Rural Development Bureau</t>
        </is>
      </c>
      <c r="T166" s="71" t="inlineStr">
        <is>
          <t>Each township</t>
        </is>
      </c>
      <c r="U166" s="107" t="n">
        <v>2024.1</v>
      </c>
      <c r="V166" s="39" t="n"/>
    </row>
    <row r="167" ht="60.75" customFormat="1" customHeight="1" s="6">
      <c r="A167" s="71" t="n">
        <v>2</v>
      </c>
      <c r="B167" s="71" t="inlineStr">
        <is>
          <t>Shuiquan Town Houguatong Self-Loading and Unloading Garbage Truck Purchase Project</t>
        </is>
      </c>
      <c r="C167" s="71" t="inlineStr">
        <is>
          <t>Newly built</t>
        </is>
      </c>
      <c r="D167" s="71" t="inlineStr">
        <is>
          <t>2025.3-2025.10</t>
        </is>
      </c>
      <c r="E167" s="71" t="inlineStr">
        <is>
          <t>Shuiquan Town</t>
        </is>
      </c>
      <c r="F167" s="40" t="inlineStr">
        <is>
          <t>4 rear-loading automatic garbage trucks with 14 cubic meters capacity</t>
        </is>
      </c>
      <c r="G167" s="71" t="n">
        <v>140</v>
      </c>
      <c r="H167" s="71" t="inlineStr">
        <is>
          <t>Consecutive 
Funds</t>
        </is>
      </c>
      <c r="I167" s="40" t="inlineStr">
        <is>
          <t>Improve the living environment</t>
        </is>
      </c>
      <c r="J167" s="71" t="n"/>
      <c r="K167" s="71" t="n"/>
      <c r="L167" s="71" t="n">
        <v>1</v>
      </c>
      <c r="M167" s="71" t="n">
        <v>0.0367</v>
      </c>
      <c r="N167" s="71" t="n">
        <v>0.0119</v>
      </c>
      <c r="O167" s="71" t="n">
        <v>0.0248</v>
      </c>
      <c r="P167" s="71" t="n">
        <v>0.1361</v>
      </c>
      <c r="Q167" s="71" t="n">
        <v>0.0498</v>
      </c>
      <c r="R167" s="71" t="n">
        <v>0.0863</v>
      </c>
      <c r="S167" s="71" t="inlineStr">
        <is>
          <t>Housing and Urban-Rural Development Bureau</t>
        </is>
      </c>
      <c r="T167" s="71" t="inlineStr">
        <is>
          <t>Shuiquan Town</t>
        </is>
      </c>
      <c r="U167" s="107" t="n">
        <v>2024.1</v>
      </c>
      <c r="V167" s="39" t="n"/>
    </row>
    <row r="168" ht="72" customHeight="1" s="97">
      <c r="A168" s="71" t="n">
        <v>3</v>
      </c>
      <c r="B168" s="47" t="inlineStr">
        <is>
          <t>Zhangtian Township Garbage Storage and Transfer Project</t>
        </is>
      </c>
      <c r="C168" s="79" t="inlineStr">
        <is>
          <t>Newly built</t>
        </is>
      </c>
      <c r="D168" s="65" t="inlineStr">
        <is>
          <t>2025.3-2025.10</t>
        </is>
      </c>
      <c r="E168" s="79" t="inlineStr">
        <is>
          <t>Wuxing Village</t>
        </is>
      </c>
      <c r="F168" s="111" t="inlineStr">
        <is>
          <t>Hardening of garbage disposal site 800 m², transfer station 240 m², one compactor truck</t>
        </is>
      </c>
      <c r="G168" s="64" t="n">
        <v>63</v>
      </c>
      <c r="H168" s="71" t="inlineStr">
        <is>
          <t>Consecutive 
Funds</t>
        </is>
      </c>
      <c r="I168" s="40" t="inlineStr">
        <is>
          <t>Improve the township's waste management capacity and enhance the living conditions of the people.</t>
        </is>
      </c>
      <c r="J168" s="39" t="n"/>
      <c r="K168" s="39" t="n">
        <v>1</v>
      </c>
      <c r="L168" s="39" t="n">
        <v>5</v>
      </c>
      <c r="M168" s="71" t="n">
        <v>0.1613</v>
      </c>
      <c r="N168" s="71" t="n">
        <v>0.0378</v>
      </c>
      <c r="O168" s="71" t="n">
        <v>0.1235</v>
      </c>
      <c r="P168" s="71" t="n">
        <v>0.7161</v>
      </c>
      <c r="Q168" s="71" t="n">
        <v>0.1721</v>
      </c>
      <c r="R168" s="71" t="n">
        <v>0.544</v>
      </c>
      <c r="S168" s="71" t="inlineStr">
        <is>
          <t>Housing and Urban-Rural Development Bureau</t>
        </is>
      </c>
      <c r="T168" s="71" t="inlineStr">
        <is>
          <t>Zhangtian Township</t>
        </is>
      </c>
      <c r="U168" s="107" t="n">
        <v>2024.1</v>
      </c>
      <c r="V168" s="39" t="n"/>
    </row>
    <row r="169" ht="37.5" customHeight="1" s="97">
      <c r="A169" s="41" t="inlineStr">
        <is>
          <t>Four</t>
        </is>
      </c>
      <c r="B169" s="67" t="inlineStr">
        <is>
          <t>Continued support after relocation</t>
        </is>
      </c>
      <c r="C169" s="39" t="n"/>
      <c r="D169" s="39" t="n"/>
      <c r="E169" s="39" t="n"/>
      <c r="F169" s="44" t="n"/>
      <c r="G169" s="41" t="n">
        <v>700</v>
      </c>
      <c r="H169" s="71" t="n"/>
      <c r="I169" s="44" t="n"/>
      <c r="J169" s="39" t="n"/>
      <c r="K169" s="39" t="n"/>
      <c r="L169" s="39" t="n"/>
      <c r="M169" s="39" t="n"/>
      <c r="N169" s="39" t="n"/>
      <c r="O169" s="39" t="n"/>
      <c r="P169" s="39" t="n"/>
      <c r="Q169" s="39" t="n"/>
      <c r="R169" s="39" t="n"/>
      <c r="S169" s="39" t="n"/>
      <c r="T169" s="39" t="n"/>
      <c r="U169" s="39" t="n"/>
      <c r="V169" s="39" t="n"/>
    </row>
    <row r="170" ht="57.75" customHeight="1" s="97">
      <c r="A170" s="39" t="n">
        <v>1</v>
      </c>
      <c r="B170" s="71" t="inlineStr">
        <is>
          <t>Interest subsidy for relocation poverty alleviation loans</t>
        </is>
      </c>
      <c r="C170" s="71" t="inlineStr">
        <is>
          <t>Newly built</t>
        </is>
      </c>
      <c r="D170" s="71" t="inlineStr">
        <is>
          <t>2025.3-2025.12</t>
        </is>
      </c>
      <c r="E170" s="71" t="inlineStr">
        <is>
          <t>Agriculture and Rural Affairs Bureau</t>
        </is>
      </c>
      <c r="F170" s="44" t="inlineStr">
        <is>
          <t>Interest subsidy for relocation poverty alleviation loans.</t>
        </is>
      </c>
      <c r="G170" s="119" t="n">
        <v>200</v>
      </c>
      <c r="H170" s="71" t="inlineStr">
        <is>
          <t>Consecutive 
Funds</t>
        </is>
      </c>
      <c r="I170" s="40" t="inlineStr">
        <is>
          <t>Improve the living conditions of the poor population and enhance their quality of life.</t>
        </is>
      </c>
      <c r="J170" s="71" t="n"/>
      <c r="K170" s="39" t="n">
        <v>1</v>
      </c>
      <c r="L170" s="39" t="n">
        <v>3</v>
      </c>
      <c r="M170" s="71">
        <f>N170+O170</f>
        <v/>
      </c>
      <c r="N170" s="108" t="n">
        <v>0.0619</v>
      </c>
      <c r="O170" s="108" t="n"/>
      <c r="P170" s="108" t="n"/>
      <c r="Q170" s="108" t="n">
        <v>0.27</v>
      </c>
      <c r="R170" s="108" t="n"/>
      <c r="S170" s="71" t="inlineStr">
        <is>
          <t>Agriculture and Rural Affairs Bureau</t>
        </is>
      </c>
      <c r="T170" s="71" t="inlineStr">
        <is>
          <t>Agriculture and Rural Affairs Bureau</t>
        </is>
      </c>
      <c r="U170" s="107" t="n">
        <v>2024.1</v>
      </c>
      <c r="V170" s="39" t="n"/>
    </row>
    <row r="171" ht="93.75" customHeight="1" s="97">
      <c r="A171" s="39" t="n">
        <v>2</v>
      </c>
      <c r="B171" s="47" t="inlineStr">
        <is>
          <t>Fuxing Township Hankou Village Standardized Meat Sheep Breeding Farm Construction Project</t>
        </is>
      </c>
      <c r="C171" s="47" t="inlineStr">
        <is>
          <t>Newly built</t>
        </is>
      </c>
      <c r="D171" s="65" t="inlineStr">
        <is>
          <t>2025.3-2025.10</t>
        </is>
      </c>
      <c r="E171" s="47" t="inlineStr">
        <is>
          <t>Fuxing Township</t>
        </is>
      </c>
      <c r="F171" s="28" t="inlineStr">
        <is>
          <t>Build a new centralized breeding community covering 30 mu (approx. 0.49 acres), planning to construct 8 pens, each 60 meters long and 20 meters wide, divided into 120 breeding areas of 80 square meters each. Supporting facilities such as forage sheds and water storage pools will also be built. After the project is completed, it will be allocated to farmers in the relocation community to develop breeding, meeting the breeding needs of the local population and increasing their income after relocation.</t>
        </is>
      </c>
      <c r="G171" s="47" t="n">
        <v>188</v>
      </c>
      <c r="H171" s="71" t="inlineStr">
        <is>
          <t>Consecutive 
Funds</t>
        </is>
      </c>
      <c r="I171" s="40" t="inlineStr">
        <is>
          <t>After the completion of the project construction, the subsequent industrial development at the relocation site was improved, guiding the local population to increase their income through breeding.</t>
        </is>
      </c>
      <c r="J171" s="40" t="inlineStr">
        <is>
          <t>It is expected to create employment for more than 10 people and increase the monthly income of the local population by over 1,500 yuan. At the same time, village collective income will be increased through venue rentals.</t>
        </is>
      </c>
      <c r="K171" s="71" t="n">
        <v>5</v>
      </c>
      <c r="L171" s="71" t="n">
        <v>2</v>
      </c>
      <c r="M171" s="71">
        <f>N171+O171</f>
        <v/>
      </c>
      <c r="N171" s="71" t="n">
        <v>0.0045</v>
      </c>
      <c r="O171" s="71" t="n">
        <v>0.009599999999999999</v>
      </c>
      <c r="P171" s="71">
        <f>Q171+R171</f>
        <v/>
      </c>
      <c r="Q171" s="71" t="n">
        <v>0.0157</v>
      </c>
      <c r="R171" s="71" t="n">
        <v>0.0336</v>
      </c>
      <c r="S171" s="71" t="inlineStr">
        <is>
          <t>Agriculture and Rural Affairs Bureau</t>
        </is>
      </c>
      <c r="T171" s="71" t="inlineStr">
        <is>
          <t>Fuxing Township</t>
        </is>
      </c>
      <c r="U171" s="107" t="n">
        <v>2024.1</v>
      </c>
      <c r="V171" s="39" t="inlineStr">
        <is>
          <t>Consolidate a batch</t>
        </is>
      </c>
    </row>
    <row r="172" ht="79.5" customFormat="1" customHeight="1" s="4">
      <c r="A172" s="39" t="n">
        <v>3</v>
      </c>
      <c r="B172" s="71" t="inlineStr">
        <is>
          <t>Revitalization Township Geological Disaster Relocation Settlement Site Human Settlement Environment Improvement Vehicle Procurement Project</t>
        </is>
      </c>
      <c r="C172" s="71" t="inlineStr">
        <is>
          <t>Newly built</t>
        </is>
      </c>
      <c r="D172" s="71" t="inlineStr">
        <is>
          <t>2025.3-2025.10</t>
        </is>
      </c>
      <c r="E172" s="71" t="inlineStr">
        <is>
          <t>Hankou Village</t>
        </is>
      </c>
      <c r="F172" s="40" t="inlineStr">
        <is>
          <t>Configure 1 loader, 1 tricycle, and 1 garbage collection truck within Fuxing Community.</t>
        </is>
      </c>
      <c r="G172" s="71" t="n">
        <v>40</v>
      </c>
      <c r="H172" s="71" t="inlineStr">
        <is>
          <t>Consecutive 
Funds</t>
        </is>
      </c>
      <c r="I172" s="40" t="inlineStr">
        <is>
          <t>Improve the supporting facilities for environmental sanitation at the relocation sites and enhance the living standards of the residents.</t>
        </is>
      </c>
      <c r="J172" s="71" t="n"/>
      <c r="K172" s="71" t="n">
        <v>5</v>
      </c>
      <c r="L172" s="71" t="n">
        <v>2</v>
      </c>
      <c r="M172" s="71">
        <f>N172+O172</f>
        <v/>
      </c>
      <c r="N172" s="71" t="n">
        <v>0.0114</v>
      </c>
      <c r="O172" s="71" t="n">
        <v>0.009599999999999999</v>
      </c>
      <c r="P172" s="4">
        <f>Q172+R172</f>
        <v/>
      </c>
      <c r="Q172" s="71" t="n">
        <v>0.0357</v>
      </c>
      <c r="R172" s="71" t="n">
        <v>0.0042</v>
      </c>
      <c r="S172" s="71" t="inlineStr">
        <is>
          <t>Development and Reform Bureau, Environmental Protection Bureau</t>
        </is>
      </c>
      <c r="T172" s="71" t="inlineStr">
        <is>
          <t>Fuxing Township</t>
        </is>
      </c>
      <c r="U172" s="107" t="n">
        <v>2024.1</v>
      </c>
      <c r="V172" s="71" t="n"/>
    </row>
    <row r="173" ht="133.5" customFormat="1" customHeight="1" s="4">
      <c r="A173" s="39" t="n">
        <v>4</v>
      </c>
      <c r="B173" s="47" t="inlineStr">
        <is>
          <t>Fuxing Community Flood Drainage Channel Construction Project</t>
        </is>
      </c>
      <c r="C173" s="47" t="inlineStr">
        <is>
          <t>Newly built</t>
        </is>
      </c>
      <c r="D173" s="47" t="inlineStr">
        <is>
          <t>2025.3-2025.10</t>
        </is>
      </c>
      <c r="E173" s="47" t="inlineStr">
        <is>
          <t>Hankou Village</t>
        </is>
      </c>
      <c r="F173" s="90" t="inlineStr">
        <is>
          <t>Lining of 704 meters of canal.</t>
        </is>
      </c>
      <c r="G173" s="47" t="n">
        <v>12</v>
      </c>
      <c r="H173" s="71" t="inlineStr">
        <is>
          <t>Consecutive 
Funds</t>
        </is>
      </c>
      <c r="I173" s="40" t="inlineStr">
        <is>
          <t>Effectively address the risk of the southern road surface and alkali river slope of the community being washed away due to rainfall, and enhance the sense of security in the relocation community.</t>
        </is>
      </c>
      <c r="J173" s="71" t="n"/>
      <c r="K173" s="71" t="n">
        <v>2</v>
      </c>
      <c r="L173" s="71" t="n"/>
      <c r="M173" s="71">
        <f>N173+O173</f>
        <v/>
      </c>
      <c r="N173" s="71" t="n">
        <v>0.00114</v>
      </c>
      <c r="O173" s="71" t="n">
        <v>0.00096</v>
      </c>
      <c r="P173" s="4">
        <f>Q173+R173</f>
        <v/>
      </c>
      <c r="Q173" s="71" t="n">
        <v>0.00357</v>
      </c>
      <c r="R173" s="71" t="n">
        <v>0.0042</v>
      </c>
      <c r="S173" s="71" t="inlineStr">
        <is>
          <t>Development and Reform Bureau</t>
        </is>
      </c>
      <c r="T173" s="71" t="inlineStr">
        <is>
          <t>Fuxing Township</t>
        </is>
      </c>
      <c r="U173" s="107" t="n">
        <v>2024.1</v>
      </c>
      <c r="V173" s="71" t="n"/>
    </row>
    <row r="174" ht="37.5" customHeight="1" s="97">
      <c r="A174" s="41" t="inlineStr">
        <is>
          <t>Five</t>
        </is>
      </c>
      <c r="B174" s="67" t="inlineStr">
        <is>
          <t>Other</t>
        </is>
      </c>
      <c r="C174" s="39" t="n"/>
      <c r="D174" s="39" t="n"/>
      <c r="E174" s="39" t="n"/>
      <c r="F174" s="44" t="n"/>
      <c r="G174" s="41" t="n">
        <v>225.2</v>
      </c>
      <c r="H174" s="71" t="n"/>
      <c r="I174" s="44" t="n"/>
      <c r="J174" s="39" t="n"/>
      <c r="K174" s="39" t="n"/>
      <c r="L174" s="39" t="n"/>
      <c r="M174" s="39" t="n"/>
      <c r="N174" s="39" t="n"/>
      <c r="O174" s="39" t="n"/>
      <c r="P174" s="39" t="n"/>
      <c r="Q174" s="39" t="n"/>
      <c r="R174" s="39" t="n"/>
      <c r="S174" s="39" t="n"/>
      <c r="T174" s="39" t="n"/>
      <c r="U174" s="39" t="n"/>
      <c r="V174" s="39" t="n"/>
    </row>
    <row r="175" ht="61.5" customFormat="1" customHeight="1" s="6">
      <c r="A175" s="39" t="n">
        <v>1</v>
      </c>
      <c r="B175" s="71" t="inlineStr">
        <is>
          <t>Project Management Fee</t>
        </is>
      </c>
      <c r="C175" s="113" t="inlineStr">
        <is>
          <t>Newly built</t>
        </is>
      </c>
      <c r="D175" s="71" t="inlineStr">
        <is>
          <t>2025.3-2025.12</t>
        </is>
      </c>
      <c r="E175" s="71" t="inlineStr">
        <is>
          <t>Agriculture and Rural Affairs Bureau</t>
        </is>
      </c>
      <c r="F175" s="69" t="inlineStr">
        <is>
          <t>Mainly used for project investigation, argumentation, evaluation, supervision, acceptance, achievement promotion, document printing, archive organization, and other expenditures related to project management.</t>
        </is>
      </c>
      <c r="G175" s="71" t="n">
        <v>130</v>
      </c>
      <c r="H175" s="71" t="inlineStr">
        <is>
          <t>Consecutive 
Funds</t>
        </is>
      </c>
      <c r="I175" s="69" t="inlineStr">
        <is>
          <t>Improve project management level.</t>
        </is>
      </c>
      <c r="J175" s="71" t="n"/>
      <c r="K175" s="71" t="n"/>
      <c r="L175" s="39" t="n"/>
      <c r="M175" s="71" t="n"/>
      <c r="N175" s="71" t="n"/>
      <c r="O175" s="39" t="n"/>
      <c r="P175" s="71" t="n"/>
      <c r="Q175" s="39" t="n"/>
      <c r="R175" s="71" t="n"/>
      <c r="S175" s="71" t="inlineStr">
        <is>
          <t>Agriculture and Rural Affairs Bureau</t>
        </is>
      </c>
      <c r="T175" s="71" t="inlineStr">
        <is>
          <t>Agriculture and Rural Affairs Bureau</t>
        </is>
      </c>
      <c r="U175" s="107" t="n">
        <v>2024.1</v>
      </c>
      <c r="V175" s="39" t="n"/>
    </row>
    <row r="176" ht="61.5" customFormat="1" customHeight="1" s="5">
      <c r="A176" s="91" t="n">
        <v>2</v>
      </c>
      <c r="B176" s="71" t="inlineStr">
        <is>
          <t>Subsidies and Insurance for Resident Work Teams</t>
        </is>
      </c>
      <c r="C176" s="71" t="inlineStr">
        <is>
          <t>Newly built</t>
        </is>
      </c>
      <c r="D176" s="71" t="inlineStr">
        <is>
          <t>2025.3-2025.12</t>
        </is>
      </c>
      <c r="E176" s="71" t="inlineStr">
        <is>
          <t>Agriculture and Rural Affairs Bureau</t>
        </is>
      </c>
      <c r="F176" s="69" t="inlineStr">
        <is>
          <t>Subsidies for staff members of the stationed assistance work teams dispatched to 15 poverty-alleviation villages and 1 relocation settlement point, as well as the purchase of accidental injury insurance for the 43 stationed work team members dispatched by district-level units.</t>
        </is>
      </c>
      <c r="G176" s="71" t="n">
        <v>64</v>
      </c>
      <c r="H176" s="71" t="inlineStr">
        <is>
          <t>Consecutive 
Funds</t>
        </is>
      </c>
      <c r="I176" s="116" t="inlineStr">
        <is>
          <t>Solve the problem of difficulty in providing subsidies to resident village team members.</t>
        </is>
      </c>
      <c r="J176" s="113" t="n"/>
      <c r="K176" s="39" t="n"/>
      <c r="L176" s="39" t="n"/>
      <c r="M176" s="39" t="n"/>
      <c r="N176" s="71" t="n"/>
      <c r="O176" s="71" t="n"/>
      <c r="P176" s="71" t="n"/>
      <c r="Q176" s="71" t="n"/>
      <c r="R176" s="39" t="n"/>
      <c r="S176" s="71" t="inlineStr">
        <is>
          <t>Agriculture and Rural Affairs Bureau</t>
        </is>
      </c>
      <c r="T176" s="71" t="inlineStr">
        <is>
          <t>Agriculture and Rural Affairs Bureau</t>
        </is>
      </c>
      <c r="U176" s="107" t="n">
        <v>2024.1</v>
      </c>
      <c r="V176" s="43" t="n"/>
    </row>
    <row r="177" ht="61.5" customFormat="1" customHeight="1" s="5">
      <c r="A177" s="91" t="n">
        <v>3</v>
      </c>
      <c r="B177" s="71" t="inlineStr">
        <is>
          <t>Quanqu Relocation and Rural Revitalization Cadre Capacity Enhancement Training</t>
        </is>
      </c>
      <c r="C177" s="71" t="inlineStr">
        <is>
          <t>Newly built</t>
        </is>
      </c>
      <c r="D177" s="71" t="inlineStr">
        <is>
          <t>2025.3-2025.12</t>
        </is>
      </c>
      <c r="E177" s="71" t="inlineStr">
        <is>
          <t>Agriculture and Rural Affairs Bureau</t>
        </is>
      </c>
      <c r="F177" s="69" t="inlineStr">
        <is>
          <t>Provide training for the leaders in charge of township affairs, staff members, secretaries of the village Party organizations in 61 villages, and 23 village-based work teams.</t>
        </is>
      </c>
      <c r="G177" s="71" t="n">
        <v>16</v>
      </c>
      <c r="H177" s="71" t="inlineStr">
        <is>
          <t>Consecutive 
Funds</t>
        </is>
      </c>
      <c r="I177" s="116" t="inlineStr">
        <is>
          <t>Through training, enhance the participants' capacity for rural revitalization and consolidate the achievements of poverty alleviation.</t>
        </is>
      </c>
      <c r="J177" s="113" t="n"/>
      <c r="K177" s="39" t="n"/>
      <c r="L177" s="39" t="n"/>
      <c r="M177" s="39" t="n"/>
      <c r="N177" s="71" t="n"/>
      <c r="O177" s="71" t="n"/>
      <c r="P177" s="71" t="n"/>
      <c r="Q177" s="71" t="n"/>
      <c r="R177" s="39" t="n"/>
      <c r="S177" s="71" t="inlineStr">
        <is>
          <t>Agriculture and Rural Affairs Bureau</t>
        </is>
      </c>
      <c r="T177" s="71" t="inlineStr">
        <is>
          <t>Agriculture and Rural Affairs Bureau</t>
        </is>
      </c>
      <c r="U177" s="107" t="n">
        <v>2024.1</v>
      </c>
      <c r="V177" s="43" t="n"/>
    </row>
    <row r="178" ht="61.5" customFormat="1" customHeight="1" s="5">
      <c r="A178" s="91" t="n">
        <v>4</v>
      </c>
      <c r="B178" s="71" t="inlineStr">
        <is>
          <t>"Prevent Return Guarantee" Insurance</t>
        </is>
      </c>
      <c r="C178" s="71" t="inlineStr">
        <is>
          <t>Newly built</t>
        </is>
      </c>
      <c r="D178" s="71" t="inlineStr">
        <is>
          <t>2025.3-2025.12</t>
        </is>
      </c>
      <c r="E178" s="71" t="inlineStr">
        <is>
          <t>Agriculture and Rural Affairs Bureau</t>
        </is>
      </c>
      <c r="F178" s="69" t="inlineStr">
        <is>
          <t>Purchase "Preventive Guarantee" insurance fees for the third category of monitored households.</t>
        </is>
      </c>
      <c r="G178" s="71" t="n">
        <v>12</v>
      </c>
      <c r="H178" s="71" t="inlineStr">
        <is>
          <t>Consecutive 
Funds</t>
        </is>
      </c>
      <c r="I178" s="116" t="inlineStr">
        <is>
          <t>Prevent relapse into poverty and consolidate the achievements of poverty alleviation.</t>
        </is>
      </c>
      <c r="J178" s="113" t="n"/>
      <c r="K178" s="39" t="n"/>
      <c r="L178" s="39" t="n">
        <v>15</v>
      </c>
      <c r="M178" s="39" t="n">
        <v>46</v>
      </c>
      <c r="N178" s="71" t="n">
        <v>0.024</v>
      </c>
      <c r="O178" s="71" t="n">
        <v>0.024</v>
      </c>
      <c r="P178" s="71" t="n"/>
      <c r="Q178" s="71" t="n">
        <v>0.024</v>
      </c>
      <c r="R178" s="39" t="n">
        <v>0.024</v>
      </c>
      <c r="S178" s="71" t="inlineStr">
        <is>
          <t>Agriculture and Rural Affairs Bureau</t>
        </is>
      </c>
      <c r="T178" s="71" t="inlineStr">
        <is>
          <t>Agriculture and Rural Affairs Bureau</t>
        </is>
      </c>
      <c r="U178" s="107" t="n">
        <v>2024.1</v>
      </c>
      <c r="V178" s="43" t="n"/>
    </row>
    <row r="179" ht="61.5" customFormat="1" customHeight="1" s="5">
      <c r="A179" s="91" t="n">
        <v>5</v>
      </c>
      <c r="B179" s="71" t="inlineStr">
        <is>
          <t>Funds for the驻村 assistance work team</t>
        </is>
      </c>
      <c r="C179" s="71" t="inlineStr">
        <is>
          <t>Newly built</t>
        </is>
      </c>
      <c r="D179" s="71" t="inlineStr">
        <is>
          <t>2025.3-2025.12</t>
        </is>
      </c>
      <c r="E179" s="71" t="inlineStr">
        <is>
          <t>Agriculture and Rural Affairs Bureau</t>
        </is>
      </c>
      <c r="F179" s="69" t="inlineStr">
        <is>
          <t>A subsidy of 2,000 yuan each for the stationed work teams in 15 poverty-alleviation villages and one immigrant resettlement site.</t>
        </is>
      </c>
      <c r="G179" s="71" t="n">
        <v>3.2</v>
      </c>
      <c r="H179" s="71" t="inlineStr">
        <is>
          <t>Consecutive 
Funds</t>
        </is>
      </c>
      <c r="I179" s="116" t="inlineStr">
        <is>
          <t>Solve the problem of insufficient working funds for the resident village work team.</t>
        </is>
      </c>
      <c r="J179" s="113" t="n"/>
      <c r="K179" s="39" t="n"/>
      <c r="L179" s="39" t="n"/>
      <c r="M179" s="39" t="n"/>
      <c r="N179" s="71" t="n"/>
      <c r="O179" s="71" t="n"/>
      <c r="P179" s="71" t="n"/>
      <c r="Q179" s="71" t="n"/>
      <c r="R179" s="39" t="n"/>
      <c r="S179" s="71" t="inlineStr">
        <is>
          <t>Agriculture and Rural Affairs Bureau</t>
        </is>
      </c>
      <c r="T179" s="71" t="inlineStr">
        <is>
          <t>Agriculture and Rural Affairs Bureau</t>
        </is>
      </c>
      <c r="U179" s="107" t="n">
        <v>2024.1</v>
      </c>
      <c r="V179" s="43" t="n"/>
    </row>
  </sheetData>
  <autoFilter ref="A8:AH179"/>
  <mergeCells count="29">
    <mergeCell ref="P5:R6"/>
    <mergeCell ref="I4:R4"/>
    <mergeCell ref="R7:R8"/>
    <mergeCell ref="A4:A8"/>
    <mergeCell ref="G4:G8"/>
    <mergeCell ref="A1:B1"/>
    <mergeCell ref="M7:M8"/>
    <mergeCell ref="A3:U3"/>
    <mergeCell ref="D4:D8"/>
    <mergeCell ref="A2:U2"/>
    <mergeCell ref="B4:B8"/>
    <mergeCell ref="U4:U8"/>
    <mergeCell ref="M5:O6"/>
    <mergeCell ref="P7:P8"/>
    <mergeCell ref="S4:S8"/>
    <mergeCell ref="I5:I8"/>
    <mergeCell ref="F4:F8"/>
    <mergeCell ref="H4:H8"/>
    <mergeCell ref="C4:C8"/>
    <mergeCell ref="E4:E8"/>
    <mergeCell ref="K7:K8"/>
    <mergeCell ref="V4:V8"/>
    <mergeCell ref="K5:L6"/>
    <mergeCell ref="O7:O8"/>
    <mergeCell ref="Q7:Q8"/>
    <mergeCell ref="T4:T8"/>
    <mergeCell ref="L7:L8"/>
    <mergeCell ref="N7:N8"/>
    <mergeCell ref="J5:J8"/>
  </mergeCells>
  <pageMargins left="0.66875" right="0.550694444444444" top="1" bottom="1" header="0.5" footer="0.5"/>
  <pageSetup orientation="landscape" paperSize="8" scale="75" horizontalDpi="600" verticalDpi="600"/>
  <headerFooter alignWithMargins="0">
    <oddHeader/>
    <oddFooter>&amp;C第 &amp;P 页</oddFooter>
    <evenHeader/>
    <evenFooter/>
    <firstHeader/>
    <firstFooter/>
  </headerFooter>
  <rowBreaks count="1" manualBreakCount="1">
    <brk id="24"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lvpeng</dc:creator>
  <dcterms:created xsi:type="dcterms:W3CDTF">2024-09-06T05:43:00Z</dcterms:created>
  <dcterms:modified xsi:type="dcterms:W3CDTF">2025-07-09T02:41:07Z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2052-12.1.0.20305</vt:lpwstr>
  </property>
  <property name="ICV" fmtid="{D5CDD505-2E9C-101B-9397-08002B2CF9AE}" pid="3">
    <vt:lpwstr>899C923A14C940278E41E461C69D8832_13</vt:lpwstr>
  </property>
  <property name="KSOReadingLayout" fmtid="{D5CDD505-2E9C-101B-9397-08002B2CF9AE}" pid="4">
    <vt:bool>1</vt:bool>
  </property>
</Properties>
</file>