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￥&quot;#,##0.00;&quot;￥&quot;\-#,##0.00"/>
    <numFmt numFmtId="165" formatCode="yyyy/m/d;@"/>
    <numFmt numFmtId="166" formatCode="0&quot;个&quot;&quot;月&quot;"/>
  </numFmts>
  <fonts count="27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22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宋体"/>
      <family val="2"/>
      <b val="1"/>
      <color theme="0"/>
      <sz val="12"/>
    </font>
    <font>
      <name val="宋体"/>
      <family val="2"/>
      <sz val="10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宋体"/>
      <family val="2"/>
      <sz val="12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79B"/>
        <bgColor indexed="64"/>
      </patternFill>
    </fill>
    <fill>
      <patternFill patternType="solid">
        <fgColor rgb="FFE6E6EF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 tint="-0.04998999834060669"/>
      </left>
      <right style="thin">
        <color theme="0" tint="-0.04998999834060669"/>
      </right>
      <top style="thin">
        <color theme="0" tint="-0.04998999834060669"/>
      </top>
      <bottom style="thin">
        <color theme="0" tint="-0.04998999834060669"/>
      </bottom>
    </border>
    <border>
      <left style="thin">
        <color theme="0" tint="-0.04998999834060669"/>
      </left>
      <right style="thin">
        <color theme="0" tint="-0.04998999834060669"/>
      </right>
      <top style="thin">
        <color theme="0" tint="-0.04998999834060669"/>
      </top>
      <bottom/>
    </border>
    <border>
      <left style="thin">
        <color theme="0" tint="-0.1499900072813034"/>
      </left>
      <right style="thin">
        <color theme="0" tint="-0.1499900072813034"/>
      </right>
      <top style="thin">
        <color theme="0" tint="-0.1499900072813034"/>
      </top>
      <bottom style="thin">
        <color theme="0" tint="-0.1499900072813034"/>
      </bottom>
    </border>
    <border>
      <left/>
      <right/>
      <top style="thin">
        <color theme="0" tint="-0.04998999834060669"/>
      </top>
      <bottom/>
      <diagonal/>
    </border>
    <border>
      <left/>
      <right style="thin">
        <color theme="0" tint="-0.04998999834060669"/>
      </right>
      <top style="thin">
        <color theme="0" tint="-0.04998999834060669"/>
      </top>
      <bottom/>
      <diagonal/>
    </border>
    <border>
      <left/>
      <right/>
      <top style="thin">
        <color theme="0" tint="-0.04998999834060669"/>
      </top>
      <bottom style="thin">
        <color theme="0" tint="-0.04998999834060669"/>
      </bottom>
      <diagonal/>
    </border>
    <border>
      <left/>
      <right style="thin">
        <color theme="0" tint="-0.04998999834060669"/>
      </right>
      <top style="thin">
        <color theme="0" tint="-0.04998999834060669"/>
      </top>
      <bottom style="thin">
        <color theme="0" tint="-0.04998999834060669"/>
      </bottom>
      <diagonal/>
    </border>
    <border>
      <left style="thin">
        <color theme="0" tint="-0.04998999834060669"/>
      </left>
      <right/>
      <top/>
      <bottom/>
      <diagonal/>
    </border>
    <border>
      <left style="thin">
        <color theme="0" tint="-0.04998999834060669"/>
      </left>
      <right style="thin">
        <color theme="0" tint="-0.04998999834060669"/>
      </right>
      <top/>
      <bottom/>
      <diagonal/>
    </border>
    <border>
      <left style="thin">
        <color theme="0" tint="-0.04998999834060669"/>
      </left>
      <right style="thin">
        <color theme="0" tint="-0.04998999834060669"/>
      </right>
      <top/>
      <bottom style="thin">
        <color theme="0" tint="-0.04998999834060669"/>
      </bottom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/>
    <xf numFmtId="0" fontId="10" fillId="0" borderId="0"/>
    <xf numFmtId="0" fontId="0" fillId="2" borderId="1"/>
    <xf numFmtId="0" fontId="11" fillId="0" borderId="0"/>
    <xf numFmtId="0" fontId="12" fillId="0" borderId="0"/>
    <xf numFmtId="0" fontId="13" fillId="0" borderId="0"/>
    <xf numFmtId="0" fontId="14" fillId="0" borderId="2"/>
    <xf numFmtId="0" fontId="15" fillId="0" borderId="2"/>
    <xf numFmtId="0" fontId="16" fillId="0" borderId="3"/>
    <xf numFmtId="0" fontId="16" fillId="0" borderId="0"/>
    <xf numFmtId="0" fontId="17" fillId="3" borderId="4"/>
    <xf numFmtId="0" fontId="18" fillId="4" borderId="5"/>
    <xf numFmtId="0" fontId="19" fillId="4" borderId="4"/>
    <xf numFmtId="0" fontId="20" fillId="5" borderId="6"/>
    <xf numFmtId="0" fontId="21" fillId="0" borderId="7"/>
    <xf numFmtId="0" fontId="6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0" fillId="10" borderId="0"/>
    <xf numFmtId="0" fontId="0" fillId="11" borderId="0"/>
    <xf numFmtId="0" fontId="25" fillId="12" borderId="0"/>
    <xf numFmtId="0" fontId="25" fillId="13" borderId="0"/>
    <xf numFmtId="0" fontId="0" fillId="14" borderId="0"/>
    <xf numFmtId="0" fontId="0" fillId="15" borderId="0"/>
    <xf numFmtId="0" fontId="25" fillId="16" borderId="0"/>
    <xf numFmtId="0" fontId="25" fillId="17" borderId="0"/>
    <xf numFmtId="0" fontId="0" fillId="18" borderId="0"/>
    <xf numFmtId="0" fontId="0" fillId="19" borderId="0"/>
    <xf numFmtId="0" fontId="25" fillId="20" borderId="0"/>
    <xf numFmtId="0" fontId="25" fillId="21" borderId="0"/>
    <xf numFmtId="0" fontId="0" fillId="22" borderId="0"/>
    <xf numFmtId="0" fontId="0" fillId="23" borderId="0"/>
    <xf numFmtId="0" fontId="25" fillId="24" borderId="0"/>
    <xf numFmtId="0" fontId="25" fillId="25" borderId="0"/>
    <xf numFmtId="0" fontId="0" fillId="26" borderId="0"/>
    <xf numFmtId="0" fontId="0" fillId="27" borderId="0"/>
    <xf numFmtId="0" fontId="25" fillId="28" borderId="0"/>
    <xf numFmtId="0" fontId="25" fillId="29" borderId="0"/>
    <xf numFmtId="0" fontId="0" fillId="30" borderId="0"/>
    <xf numFmtId="0" fontId="0" fillId="31" borderId="0"/>
    <xf numFmtId="0" fontId="25" fillId="32" borderId="0"/>
    <xf numFmtId="0" fontId="26" fillId="0" borderId="0"/>
    <xf numFmtId="0" fontId="9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164" fontId="2" fillId="34" borderId="0" applyAlignment="1" pivotButton="0" quotePrefix="0" xfId="0">
      <alignment horizontal="center" vertical="center"/>
    </xf>
    <xf numFmtId="165" fontId="2" fillId="34" borderId="0" applyAlignment="1" pivotButton="0" quotePrefix="0" xfId="0">
      <alignment horizontal="center" vertical="center"/>
    </xf>
    <xf numFmtId="166" fontId="2" fillId="34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164" fontId="3" fillId="33" borderId="0" applyAlignment="1" pivotButton="0" quotePrefix="0" xfId="0">
      <alignment horizontal="center" vertical="center"/>
    </xf>
    <xf numFmtId="165" fontId="3" fillId="33" borderId="0" applyAlignment="1" pivotButton="0" quotePrefix="0" xfId="0">
      <alignment horizontal="center" vertical="center"/>
    </xf>
    <xf numFmtId="166" fontId="3" fillId="33" borderId="0" applyAlignment="1" pivotButton="0" quotePrefix="0" xfId="0">
      <alignment horizontal="center" vertical="center"/>
    </xf>
    <xf numFmtId="0" fontId="4" fillId="34" borderId="0" applyAlignment="1" pivotButton="0" quotePrefix="0" xfId="0">
      <alignment horizontal="center" vertical="center"/>
    </xf>
    <xf numFmtId="164" fontId="5" fillId="33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7" fillId="34" borderId="9" applyAlignment="1" pivotButton="0" quotePrefix="0" xfId="68">
      <alignment horizontal="center" vertical="center" wrapText="1"/>
    </xf>
    <xf numFmtId="164" fontId="7" fillId="34" borderId="9" applyAlignment="1" applyProtection="1" pivotButton="0" quotePrefix="0" xfId="68">
      <alignment horizontal="center" vertical="center"/>
      <protection locked="0" hidden="0"/>
    </xf>
    <xf numFmtId="165" fontId="7" fillId="34" borderId="9" applyAlignment="1" applyProtection="1" pivotButton="0" quotePrefix="0" xfId="68">
      <alignment horizontal="center" vertical="center"/>
      <protection locked="0" hidden="0"/>
    </xf>
    <xf numFmtId="166" fontId="7" fillId="34" borderId="9" applyAlignment="1" applyProtection="1" pivotButton="0" quotePrefix="0" xfId="68">
      <alignment horizontal="center" vertical="center"/>
      <protection locked="0" hidden="0"/>
    </xf>
    <xf numFmtId="0" fontId="7" fillId="34" borderId="9" applyAlignment="1" applyProtection="1" pivotButton="0" quotePrefix="0" xfId="68">
      <alignment horizontal="center" vertical="center"/>
      <protection locked="0" hidden="0"/>
    </xf>
    <xf numFmtId="0" fontId="7" fillId="34" borderId="10" applyAlignment="1" pivotButton="0" quotePrefix="0" xfId="68">
      <alignment horizontal="center" vertical="center" wrapText="1"/>
    </xf>
    <xf numFmtId="164" fontId="7" fillId="34" borderId="10" applyAlignment="1" pivotButton="0" quotePrefix="0" xfId="68">
      <alignment horizontal="center" vertical="center" wrapText="1"/>
    </xf>
    <xf numFmtId="165" fontId="7" fillId="34" borderId="10" applyAlignment="1" pivotButton="0" quotePrefix="0" xfId="68">
      <alignment horizontal="center" vertical="center" wrapText="1"/>
    </xf>
    <xf numFmtId="166" fontId="7" fillId="34" borderId="10" applyAlignment="1" pivotButton="0" quotePrefix="0" xfId="68">
      <alignment horizontal="center" vertical="center" wrapText="1"/>
    </xf>
    <xf numFmtId="0" fontId="8" fillId="0" borderId="11" applyAlignment="1" applyProtection="1" pivotButton="0" quotePrefix="0" xfId="68">
      <alignment horizontal="center" vertical="center"/>
      <protection locked="0" hidden="0"/>
    </xf>
    <xf numFmtId="0" fontId="0" fillId="0" borderId="11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9" fontId="0" fillId="0" borderId="11" applyAlignment="1" pivotButton="0" quotePrefix="0" xfId="0">
      <alignment horizontal="center" vertical="center"/>
    </xf>
    <xf numFmtId="0" fontId="8" fillId="35" borderId="11" applyAlignment="1" applyProtection="1" pivotButton="0" quotePrefix="0" xfId="68">
      <alignment horizontal="center" vertical="center"/>
      <protection locked="0" hidden="0"/>
    </xf>
    <xf numFmtId="0" fontId="0" fillId="35" borderId="11" applyAlignment="1" pivotButton="0" quotePrefix="0" xfId="0">
      <alignment horizontal="center" vertical="center"/>
    </xf>
    <xf numFmtId="164" fontId="0" fillId="35" borderId="11" applyAlignment="1" pivotButton="0" quotePrefix="0" xfId="0">
      <alignment horizontal="center" vertical="center"/>
    </xf>
    <xf numFmtId="165" fontId="0" fillId="35" borderId="11" applyAlignment="1" pivotButton="0" quotePrefix="0" xfId="0">
      <alignment horizontal="center" vertical="center"/>
    </xf>
    <xf numFmtId="166" fontId="0" fillId="35" borderId="11" applyAlignment="1" pivotButton="0" quotePrefix="0" xfId="0">
      <alignment horizontal="center" vertical="center"/>
    </xf>
    <xf numFmtId="9" fontId="0" fillId="35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69">
      <alignment vertical="center"/>
    </xf>
    <xf numFmtId="0" fontId="9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3" fillId="33" borderId="0" applyAlignment="1" pivotButton="0" quotePrefix="0" xfId="0">
      <alignment horizontal="center" vertical="center"/>
    </xf>
    <xf numFmtId="165" fontId="3" fillId="33" borderId="0" applyAlignment="1" pivotButton="0" quotePrefix="0" xfId="0">
      <alignment horizontal="center" vertical="center"/>
    </xf>
    <xf numFmtId="166" fontId="3" fillId="33" borderId="0" applyAlignment="1" pivotButton="0" quotePrefix="0" xfId="0">
      <alignment horizontal="center" vertical="center"/>
    </xf>
    <xf numFmtId="164" fontId="5" fillId="33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4" fontId="7" fillId="34" borderId="9" applyAlignment="1" applyProtection="1" pivotButton="0" quotePrefix="0" xfId="68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8" pivotButton="0" quotePrefix="0" xfId="0"/>
    <xf numFmtId="164" fontId="7" fillId="34" borderId="10" applyAlignment="1" pivotButton="0" quotePrefix="0" xfId="68">
      <alignment horizontal="center" vertical="center" wrapText="1"/>
    </xf>
    <xf numFmtId="165" fontId="7" fillId="34" borderId="10" applyAlignment="1" pivotButton="0" quotePrefix="0" xfId="68">
      <alignment horizontal="center" vertical="center" wrapText="1"/>
    </xf>
    <xf numFmtId="166" fontId="7" fillId="34" borderId="10" applyAlignment="1" pivotButton="0" quotePrefix="0" xfId="68">
      <alignment horizontal="center" vertical="center" wrapText="1"/>
    </xf>
    <xf numFmtId="164" fontId="0" fillId="0" borderId="11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4" fontId="0" fillId="35" borderId="11" applyAlignment="1" pivotButton="0" quotePrefix="0" xfId="0">
      <alignment horizontal="center" vertical="center"/>
    </xf>
    <xf numFmtId="165" fontId="0" fillId="35" borderId="11" applyAlignment="1" pivotButton="0" quotePrefix="0" xfId="0">
      <alignment horizontal="center" vertical="center"/>
    </xf>
    <xf numFmtId="166" fontId="0" fillId="35" borderId="11" applyAlignment="1" pivotButton="0" quotePrefix="0" xfId="0">
      <alignment horizontal="center" vertical="center"/>
    </xf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 119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topLeftCell="A1" workbookViewId="0">
      <selection activeCell="L28" sqref="L28"/>
    </sheetView>
  </sheetViews>
  <sheetFormatPr baseColWidth="8" defaultColWidth="9.00390625" defaultRowHeight="15"/>
  <cols>
    <col width="1.1484375" customWidth="1" style="2" min="1" max="1"/>
    <col width="12.421875" customWidth="1" style="7" min="2" max="2"/>
    <col width="10.28125" customWidth="1" style="7" min="3" max="3"/>
    <col width="11.00390625" customWidth="1" style="7" min="4" max="4"/>
    <col width="15.00390625" customWidth="1" style="49" min="5" max="5"/>
    <col width="11.7109375" customWidth="1" style="50" min="6" max="6"/>
    <col width="11.00390625" customWidth="1" style="51" min="7" max="7"/>
    <col width="6.7109375" customWidth="1" style="7" min="8" max="8"/>
    <col width="14.57421875" customWidth="1" style="7" min="9" max="9"/>
    <col width="15.7109375" customWidth="1" style="7" min="10" max="10"/>
    <col width="10.57421875" customWidth="1" style="7" min="11" max="11"/>
    <col width="10.00390625" customWidth="1" style="7" min="12" max="12"/>
    <col width="9.57421875" customWidth="1" style="7" min="13" max="13"/>
    <col width="12.8515625" customWidth="1" style="7" min="14" max="14"/>
    <col width="1.57421875" customWidth="1" style="2" min="15" max="15"/>
    <col width="9.00390625" customWidth="1" style="2" min="16" max="16381"/>
  </cols>
  <sheetData>
    <row r="1" ht="6.75" customHeight="1" s="52">
      <c r="B1" s="7" t="n"/>
      <c r="C1" s="7" t="n"/>
      <c r="D1" s="7" t="n"/>
      <c r="E1" s="49" t="n"/>
      <c r="F1" s="50" t="n"/>
      <c r="G1" s="51" t="n"/>
      <c r="H1" s="7" t="n"/>
      <c r="I1" s="7" t="n"/>
      <c r="J1" s="7" t="n"/>
      <c r="K1" s="7" t="n"/>
      <c r="L1" s="7" t="n"/>
      <c r="M1" s="7" t="n"/>
      <c r="N1" s="7" t="n"/>
    </row>
    <row r="2" ht="37.5" customHeight="1" s="52">
      <c r="B2" s="11" t="inlineStr">
        <is>
          <t>Loan Details Registration Form</t>
        </is>
      </c>
    </row>
    <row r="3" ht="4.5" customFormat="1" customHeight="1" s="1">
      <c r="A3" s="1" t="n"/>
      <c r="B3" s="15" t="n"/>
      <c r="C3" s="15" t="n"/>
      <c r="D3" s="15" t="n"/>
      <c r="E3" s="53" t="n"/>
      <c r="F3" s="54" t="n"/>
      <c r="G3" s="55" t="n"/>
      <c r="H3" s="15" t="n"/>
      <c r="I3" s="15" t="n"/>
      <c r="J3" s="15" t="n"/>
      <c r="K3" s="15" t="n"/>
      <c r="L3" s="15" t="n"/>
      <c r="M3" s="15" t="n"/>
      <c r="N3" s="15" t="n"/>
    </row>
    <row r="4" ht="27" customHeight="1" s="52">
      <c r="B4" s="19" t="inlineStr">
        <is>
          <t>Lu Zheng</t>
        </is>
      </c>
      <c r="C4" s="56">
        <f>SUMIFS(J8:J9980,B8:B9980,B4)</f>
        <v/>
      </c>
      <c r="E4" s="21" t="n"/>
      <c r="F4" s="19" t="inlineStr">
        <is>
          <t>Phoenix</t>
        </is>
      </c>
      <c r="G4" s="56">
        <f>SUMIFS(J8:J9980,B8:B9980,F4)</f>
        <v/>
      </c>
      <c r="I4" s="21" t="n"/>
      <c r="J4" s="19" t="inlineStr">
        <is>
          <t>Bell Eco-friendly</t>
        </is>
      </c>
      <c r="K4" s="56">
        <f>SUMIFS(J8:J9980,B8:B9980,J4)</f>
        <v/>
      </c>
      <c r="M4" s="7" t="n"/>
      <c r="N4" s="7" t="n"/>
    </row>
    <row r="5" ht="6.75" customHeight="1" s="52">
      <c r="B5" s="7" t="n"/>
      <c r="C5" s="7" t="n"/>
      <c r="D5" s="22" t="n"/>
      <c r="E5" s="57" t="n"/>
      <c r="F5" s="22" t="n"/>
      <c r="G5" s="58" t="n"/>
      <c r="H5" s="7" t="n"/>
      <c r="I5" s="22" t="n"/>
      <c r="J5" s="22" t="n"/>
      <c r="K5" s="22" t="n"/>
      <c r="L5" s="7" t="n"/>
      <c r="M5" s="7" t="n"/>
      <c r="N5" s="7" t="n"/>
    </row>
    <row r="6" ht="25.5" customHeight="1" s="52">
      <c r="B6" s="25" t="inlineStr">
        <is>
          <t>Customer Name</t>
        </is>
      </c>
      <c r="C6" s="25" t="inlineStr">
        <is>
          <t>Contact Person</t>
        </is>
      </c>
      <c r="D6" s="25" t="inlineStr">
        <is>
          <t>Industry Category</t>
        </is>
      </c>
      <c r="E6" s="59" t="inlineStr">
        <is>
          <t>Loan Item</t>
        </is>
      </c>
      <c r="F6" s="60" t="n"/>
      <c r="G6" s="60" t="n"/>
      <c r="H6" s="60" t="n"/>
      <c r="I6" s="60" t="n"/>
      <c r="J6" s="60" t="n"/>
      <c r="K6" s="60" t="n"/>
      <c r="L6" s="61" t="n"/>
      <c r="M6" s="25" t="inlineStr">
        <is>
          <t>Loan Classification Level</t>
        </is>
      </c>
      <c r="N6" s="25" t="inlineStr">
        <is>
          <t>Notes</t>
        </is>
      </c>
    </row>
    <row r="7" ht="27.75" customHeight="1" s="52">
      <c r="B7" s="62" t="n"/>
      <c r="C7" s="62" t="n"/>
      <c r="D7" s="62" t="n"/>
      <c r="E7" s="63" t="inlineStr">
        <is>
          <t>Loan Amount</t>
        </is>
      </c>
      <c r="F7" s="64" t="inlineStr">
        <is>
          <t>Loan Date</t>
        </is>
      </c>
      <c r="G7" s="65" t="inlineStr">
        <is>
          <t>Loan Period</t>
        </is>
      </c>
      <c r="H7" s="30" t="inlineStr">
        <is>
          <t>Monthly interest rate</t>
        </is>
      </c>
      <c r="I7" s="30" t="inlineStr">
        <is>
          <t>Interest</t>
        </is>
      </c>
      <c r="J7" s="30" t="inlineStr">
        <is>
          <t>Total Amount</t>
        </is>
      </c>
      <c r="K7" s="30" t="inlineStr">
        <is>
          <t>Guarantor</t>
        </is>
      </c>
      <c r="L7" s="30" t="inlineStr">
        <is>
          <t>Reason for Loan</t>
        </is>
      </c>
      <c r="M7" s="62" t="n"/>
      <c r="N7" s="62" t="n"/>
    </row>
    <row r="8" ht="19.5" customHeight="1" s="52">
      <c r="B8" s="34" t="inlineStr">
        <is>
          <t>Bell Eco-friendly</t>
        </is>
      </c>
      <c r="C8" s="35" t="inlineStr">
        <is>
          <t>Contact Person 1</t>
        </is>
      </c>
      <c r="D8" s="35" t="inlineStr">
        <is>
          <t>Original Ecology</t>
        </is>
      </c>
      <c r="E8" s="66" t="n">
        <v>9900</v>
      </c>
      <c r="F8" s="67" t="n">
        <v>43556</v>
      </c>
      <c r="G8" s="68" t="n">
        <v>12</v>
      </c>
      <c r="H8" s="39" t="n">
        <v>0.01</v>
      </c>
      <c r="I8" s="66">
        <f>E8*H8*G8</f>
        <v/>
      </c>
      <c r="J8" s="66">
        <f>E8+I8</f>
        <v/>
      </c>
      <c r="K8" s="35" t="inlineStr">
        <is>
          <t>Wang Lili</t>
        </is>
      </c>
      <c r="L8" s="35" t="n"/>
      <c r="M8" s="35" t="inlineStr">
        <is>
          <t>A-level</t>
        </is>
      </c>
      <c r="N8" s="35" t="n"/>
    </row>
    <row r="9" ht="19.5" customHeight="1" s="52">
      <c r="B9" s="40" t="inlineStr">
        <is>
          <t>Lu Zheng</t>
        </is>
      </c>
      <c r="C9" s="41" t="inlineStr">
        <is>
          <t>Contact Person 2</t>
        </is>
      </c>
      <c r="D9" s="41" t="inlineStr">
        <is>
          <t>Industry</t>
        </is>
      </c>
      <c r="E9" s="69" t="n">
        <v>8641</v>
      </c>
      <c r="F9" s="70" t="n">
        <v>43557</v>
      </c>
      <c r="G9" s="71" t="n">
        <v>12</v>
      </c>
      <c r="H9" s="45" t="n">
        <v>0.01</v>
      </c>
      <c r="I9" s="69">
        <f>E9*H9*G9</f>
        <v/>
      </c>
      <c r="J9" s="69">
        <f>E9+I9</f>
        <v/>
      </c>
      <c r="K9" s="41" t="inlineStr">
        <is>
          <t>Wang Lili</t>
        </is>
      </c>
      <c r="L9" s="41" t="n"/>
      <c r="M9" s="41" t="inlineStr">
        <is>
          <t>A-level</t>
        </is>
      </c>
      <c r="N9" s="41" t="n"/>
    </row>
    <row r="10" ht="19.5" customHeight="1" s="52">
      <c r="B10" s="34" t="inlineStr">
        <is>
          <t>Phoenix</t>
        </is>
      </c>
      <c r="C10" s="35" t="inlineStr">
        <is>
          <t>Contact Person 3</t>
        </is>
      </c>
      <c r="D10" s="35" t="inlineStr">
        <is>
          <t>Direct Sales</t>
        </is>
      </c>
      <c r="E10" s="66" t="n">
        <v>2314</v>
      </c>
      <c r="F10" s="67" t="n">
        <v>43558</v>
      </c>
      <c r="G10" s="68" t="n">
        <v>12</v>
      </c>
      <c r="H10" s="39" t="n">
        <v>0.01</v>
      </c>
      <c r="I10" s="66">
        <f>E10*H10*G10</f>
        <v/>
      </c>
      <c r="J10" s="66">
        <f>E10+I10</f>
        <v/>
      </c>
      <c r="K10" s="35" t="inlineStr">
        <is>
          <t>Wang Lili</t>
        </is>
      </c>
      <c r="L10" s="35" t="n"/>
      <c r="M10" s="35" t="inlineStr">
        <is>
          <t>A-level</t>
        </is>
      </c>
      <c r="N10" s="35" t="n"/>
    </row>
    <row r="11" ht="19.5" customHeight="1" s="52">
      <c r="B11" s="40" t="inlineStr">
        <is>
          <t>Gannan Special Sales</t>
        </is>
      </c>
      <c r="C11" s="41" t="inlineStr">
        <is>
          <t>Contact Person 4</t>
        </is>
      </c>
      <c r="D11" s="41" t="inlineStr">
        <is>
          <t>Online</t>
        </is>
      </c>
      <c r="E11" s="69" t="n">
        <v>4521</v>
      </c>
      <c r="F11" s="70" t="n">
        <v>43559</v>
      </c>
      <c r="G11" s="71" t="n">
        <v>12</v>
      </c>
      <c r="H11" s="45" t="n">
        <v>0.01</v>
      </c>
      <c r="I11" s="69">
        <f>E11*H11*G11</f>
        <v/>
      </c>
      <c r="J11" s="69">
        <f>E11+I11</f>
        <v/>
      </c>
      <c r="K11" s="41" t="inlineStr">
        <is>
          <t>Wang Lili</t>
        </is>
      </c>
      <c r="L11" s="41" t="n"/>
      <c r="M11" s="41" t="inlineStr">
        <is>
          <t>A-level</t>
        </is>
      </c>
      <c r="N11" s="41" t="n"/>
    </row>
    <row r="12" ht="19.5" customHeight="1" s="52">
      <c r="B12" s="34" t="inlineStr">
        <is>
          <t>Bell Eco-friendly</t>
        </is>
      </c>
      <c r="C12" s="35" t="inlineStr">
        <is>
          <t>Contact Person 5</t>
        </is>
      </c>
      <c r="D12" s="35" t="inlineStr">
        <is>
          <t>Original Ecology</t>
        </is>
      </c>
      <c r="E12" s="66" t="n">
        <v>8541</v>
      </c>
      <c r="F12" s="67" t="n">
        <v>43560</v>
      </c>
      <c r="G12" s="68" t="n">
        <v>12</v>
      </c>
      <c r="H12" s="39" t="n">
        <v>0.01</v>
      </c>
      <c r="I12" s="66">
        <f>E12*H12*G12</f>
        <v/>
      </c>
      <c r="J12" s="66">
        <f>E12+I12</f>
        <v/>
      </c>
      <c r="K12" s="35" t="inlineStr">
        <is>
          <t>Wang Lili</t>
        </is>
      </c>
      <c r="L12" s="35" t="n"/>
      <c r="M12" s="35" t="inlineStr">
        <is>
          <t>A-level</t>
        </is>
      </c>
      <c r="N12" s="35" t="n"/>
    </row>
    <row r="13" ht="19.5" customHeight="1" s="52">
      <c r="B13" s="40" t="inlineStr">
        <is>
          <t>Lu Zheng</t>
        </is>
      </c>
      <c r="C13" s="41" t="inlineStr">
        <is>
          <t>Contact Person 6</t>
        </is>
      </c>
      <c r="D13" s="41" t="inlineStr">
        <is>
          <t>Industry</t>
        </is>
      </c>
      <c r="E13" s="69" t="n">
        <v>5341</v>
      </c>
      <c r="F13" s="70" t="n">
        <v>43561</v>
      </c>
      <c r="G13" s="71" t="n">
        <v>12</v>
      </c>
      <c r="H13" s="45" t="n">
        <v>0.01</v>
      </c>
      <c r="I13" s="69">
        <f>E13*H13*G13</f>
        <v/>
      </c>
      <c r="J13" s="69">
        <f>E13+I13</f>
        <v/>
      </c>
      <c r="K13" s="41" t="inlineStr">
        <is>
          <t>Wang Lili</t>
        </is>
      </c>
      <c r="L13" s="41" t="n"/>
      <c r="M13" s="41" t="inlineStr">
        <is>
          <t>A-level</t>
        </is>
      </c>
      <c r="N13" s="41" t="n"/>
    </row>
    <row r="14" ht="19.5" customHeight="1" s="52">
      <c r="B14" s="34" t="inlineStr">
        <is>
          <t>Phoenix</t>
        </is>
      </c>
      <c r="C14" s="35" t="inlineStr">
        <is>
          <t>Contact Person 7</t>
        </is>
      </c>
      <c r="D14" s="35" t="inlineStr">
        <is>
          <t>Direct Sales</t>
        </is>
      </c>
      <c r="E14" s="66" t="n">
        <v>8541</v>
      </c>
      <c r="F14" s="67" t="n">
        <v>43562</v>
      </c>
      <c r="G14" s="68" t="n">
        <v>12</v>
      </c>
      <c r="H14" s="39" t="n">
        <v>0.01</v>
      </c>
      <c r="I14" s="66">
        <f>E14*H14*G14</f>
        <v/>
      </c>
      <c r="J14" s="66">
        <f>E14+I14</f>
        <v/>
      </c>
      <c r="K14" s="35" t="inlineStr">
        <is>
          <t>Wang Lili</t>
        </is>
      </c>
      <c r="L14" s="35" t="n"/>
      <c r="M14" s="35" t="inlineStr">
        <is>
          <t>A-level</t>
        </is>
      </c>
      <c r="N14" s="35" t="n"/>
    </row>
  </sheetData>
  <mergeCells count="10">
    <mergeCell ref="G4:H4"/>
    <mergeCell ref="E6:L6"/>
    <mergeCell ref="M6:M7"/>
    <mergeCell ref="N6:N7"/>
    <mergeCell ref="C6:C7"/>
    <mergeCell ref="K4:L4"/>
    <mergeCell ref="D6:D7"/>
    <mergeCell ref="B6:B7"/>
    <mergeCell ref="B2:N2"/>
    <mergeCell ref="C4:D4"/>
  </mergeCells>
  <conditionalFormatting sqref="C4:D4">
    <cfRule type="dataBar" priority="3">
      <dataBar minLength="0" maxLength="100">
        <cfvo type="min"/>
        <cfvo type="max"/>
        <color rgb="FFFFB487"/>
      </dataBar>
    </cfRule>
  </conditionalFormatting>
  <conditionalFormatting sqref="G4:H4">
    <cfRule type="dataBar" priority="2">
      <dataBar minLength="0" maxLength="100">
        <cfvo type="min"/>
        <cfvo type="max"/>
        <color rgb="FFFFB487"/>
      </dataBar>
    </cfRule>
  </conditionalFormatting>
  <conditionalFormatting sqref="K4:L4">
    <cfRule type="dataBar" priority="1">
      <dataBar minLength="0" maxLength="100">
        <cfvo type="min"/>
        <cfvo type="max"/>
        <color rgb="FFFFB487"/>
      </dataBar>
    </cfRule>
  </conditionalFormatting>
  <conditionalFormatting sqref="J8:J14">
    <cfRule type="dataBar" priority="4">
      <dataBar minLength="0" maxLength="100">
        <cfvo type="min"/>
        <cfvo type="max"/>
        <color rgb="FFFFB487"/>
      </dataBar>
    </cfRule>
  </conditionalFormatting>
  <pageMargins left="0.314583333333333" right="0.236111111111111" top="1" bottom="1" header="0.511805555555556" footer="0.511805555555556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2020-06-20T03:52:00Z</dcterms:created>
  <dcterms:modified xsi:type="dcterms:W3CDTF">2025-07-09T01:44:09Z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99319B7CB60F4D3380EABF6C7DFC864D_11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v1.0_mb_2UeWWT3XTJKTrBGtOwZLgQ==</vt:lpwstr>
  </property>
</Properties>
</file>