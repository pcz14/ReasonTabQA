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￥&quot;#,##0;&quot;￥&quot;\-#,##0"/>
  </numFmts>
  <fonts count="25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b val="1"/>
      <color theme="1"/>
      <sz val="12"/>
      <scheme val="minor"/>
    </font>
    <font>
      <name val="宋体"/>
      <family val="2"/>
      <color rgb="FFC00000"/>
      <sz val="11"/>
      <scheme val="minor"/>
    </font>
    <font>
      <name val="宋体"/>
      <family val="2"/>
      <b val="1"/>
      <color theme="2" tint="-0.7499899864196777"/>
      <sz val="28"/>
      <scheme val="minor"/>
    </font>
    <font>
      <name val="宋体"/>
      <family val="2"/>
      <b val="1"/>
      <color theme="1"/>
      <sz val="14"/>
      <scheme val="minor"/>
    </font>
    <font>
      <name val="宋体"/>
      <family val="2"/>
      <color theme="1"/>
      <sz val="12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000000238418579"/>
        <bgColor indexed="64"/>
      </patternFill>
    </fill>
    <fill>
      <patternFill patternType="solid">
        <fgColor theme="8" tint="0.7999799847602844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</border>
    <border>
      <left style="thin">
        <color theme="8"/>
      </left>
      <right style="thin">
        <color theme="8"/>
      </right>
      <top style="medium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/>
      <top style="thin">
        <color theme="8"/>
      </top>
      <bottom style="thin">
        <color theme="8"/>
      </bottom>
    </border>
    <border>
      <left/>
      <right style="thin">
        <color theme="8"/>
      </right>
      <top style="thin">
        <color theme="8"/>
      </top>
      <bottom style="thin">
        <color theme="8"/>
      </bottom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7" fillId="0" borderId="0"/>
    <xf numFmtId="0" fontId="8" fillId="0" borderId="0"/>
    <xf numFmtId="0" fontId="0" fillId="2" borderId="1"/>
    <xf numFmtId="0" fontId="9" fillId="0" borderId="0"/>
    <xf numFmtId="0" fontId="10" fillId="0" borderId="0"/>
    <xf numFmtId="0" fontId="11" fillId="0" borderId="0"/>
    <xf numFmtId="0" fontId="12" fillId="0" borderId="2"/>
    <xf numFmtId="0" fontId="13" fillId="0" borderId="2"/>
    <xf numFmtId="0" fontId="14" fillId="0" borderId="3"/>
    <xf numFmtId="0" fontId="14" fillId="0" borderId="0"/>
    <xf numFmtId="0" fontId="15" fillId="3" borderId="4"/>
    <xf numFmtId="0" fontId="16" fillId="4" borderId="5"/>
    <xf numFmtId="0" fontId="17" fillId="4" borderId="4"/>
    <xf numFmtId="0" fontId="18" fillId="5" borderId="6"/>
    <xf numFmtId="0" fontId="19" fillId="0" borderId="7"/>
    <xf numFmtId="0" fontId="20" fillId="0" borderId="8"/>
    <xf numFmtId="0" fontId="21" fillId="6" borderId="0"/>
    <xf numFmtId="0" fontId="22" fillId="7" borderId="0"/>
    <xf numFmtId="0" fontId="23" fillId="8" borderId="0"/>
    <xf numFmtId="0" fontId="24" fillId="9" borderId="0"/>
    <xf numFmtId="0" fontId="0" fillId="10" borderId="0"/>
    <xf numFmtId="0" fontId="0" fillId="11" borderId="0"/>
    <xf numFmtId="0" fontId="24" fillId="12" borderId="0"/>
    <xf numFmtId="0" fontId="24" fillId="13" borderId="0"/>
    <xf numFmtId="0" fontId="0" fillId="14" borderId="0"/>
    <xf numFmtId="0" fontId="0" fillId="15" borderId="0"/>
    <xf numFmtId="0" fontId="24" fillId="16" borderId="0"/>
    <xf numFmtId="0" fontId="24" fillId="17" borderId="0"/>
    <xf numFmtId="0" fontId="0" fillId="18" borderId="0"/>
    <xf numFmtId="0" fontId="0" fillId="19" borderId="0"/>
    <xf numFmtId="0" fontId="24" fillId="20" borderId="0"/>
    <xf numFmtId="0" fontId="24" fillId="21" borderId="0"/>
    <xf numFmtId="0" fontId="0" fillId="22" borderId="0"/>
    <xf numFmtId="0" fontId="0" fillId="23" borderId="0"/>
    <xf numFmtId="0" fontId="24" fillId="24" borderId="0"/>
    <xf numFmtId="0" fontId="24" fillId="25" borderId="0"/>
    <xf numFmtId="0" fontId="0" fillId="35" borderId="0"/>
    <xf numFmtId="0" fontId="0" fillId="27" borderId="0"/>
    <xf numFmtId="0" fontId="24" fillId="28" borderId="0"/>
    <xf numFmtId="0" fontId="24" fillId="29" borderId="0"/>
    <xf numFmtId="0" fontId="0" fillId="30" borderId="0"/>
    <xf numFmtId="0" fontId="0" fillId="31" borderId="0"/>
    <xf numFmtId="0" fontId="24" fillId="32" borderId="0"/>
    <xf numFmtId="0" fontId="7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2" fillId="33" borderId="0" applyAlignment="1" pivotButton="0" quotePrefix="0" xfId="0">
      <alignment vertical="center"/>
    </xf>
    <xf numFmtId="0" fontId="0" fillId="33" borderId="0" applyAlignment="1" pivotButton="0" quotePrefix="0" xfId="0">
      <alignment vertical="center"/>
    </xf>
    <xf numFmtId="0" fontId="0" fillId="33" borderId="0" applyAlignment="1" pivotButton="0" quotePrefix="0" xfId="0">
      <alignment horizontal="center" vertical="center"/>
    </xf>
    <xf numFmtId="0" fontId="3" fillId="33" borderId="0" applyAlignment="1" pivotButton="0" quotePrefix="0" xfId="0">
      <alignment horizontal="center" vertical="center"/>
    </xf>
    <xf numFmtId="0" fontId="4" fillId="33" borderId="0" applyAlignment="1" pivotButton="0" quotePrefix="0" xfId="0">
      <alignment horizontal="center" vertical="center"/>
    </xf>
    <xf numFmtId="49" fontId="5" fillId="34" borderId="9" applyAlignment="1" pivotButton="0" quotePrefix="0" xfId="0">
      <alignment horizontal="center" vertical="center"/>
    </xf>
    <xf numFmtId="0" fontId="5" fillId="34" borderId="9" applyAlignment="1" pivotButton="0" quotePrefix="0" xfId="0">
      <alignment horizontal="center" vertical="center"/>
    </xf>
    <xf numFmtId="49" fontId="6" fillId="35" borderId="10" applyAlignment="1" pivotButton="0" quotePrefix="0" xfId="0">
      <alignment horizontal="center" vertical="center"/>
    </xf>
    <xf numFmtId="0" fontId="6" fillId="35" borderId="10" applyAlignment="1" pivotButton="0" quotePrefix="0" xfId="0">
      <alignment horizontal="center" vertical="center"/>
    </xf>
    <xf numFmtId="164" fontId="6" fillId="35" borderId="10" applyAlignment="1" pivotButton="0" quotePrefix="0" xfId="0">
      <alignment horizontal="center" vertical="center"/>
    </xf>
    <xf numFmtId="49" fontId="6" fillId="0" borderId="1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1" applyAlignment="1" pivotButton="0" quotePrefix="0" xfId="0">
      <alignment horizontal="center" vertical="center"/>
    </xf>
    <xf numFmtId="49" fontId="6" fillId="35" borderId="11" applyAlignment="1" pivotButton="0" quotePrefix="0" xfId="0">
      <alignment horizontal="center" vertical="center"/>
    </xf>
    <xf numFmtId="0" fontId="6" fillId="35" borderId="11" applyAlignment="1" pivotButton="0" quotePrefix="0" xfId="0">
      <alignment horizontal="center" vertical="center"/>
    </xf>
    <xf numFmtId="164" fontId="6" fillId="35" borderId="11" applyAlignment="1" pivotButton="0" quotePrefix="0" xfId="0">
      <alignment horizontal="center" vertical="center"/>
    </xf>
    <xf numFmtId="49" fontId="2" fillId="0" borderId="12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64" fontId="2" fillId="0" borderId="11" applyAlignment="1" pivotButton="0" quotePrefix="0" xfId="0">
      <alignment horizontal="center" vertical="center"/>
    </xf>
    <xf numFmtId="49" fontId="2" fillId="0" borderId="11" applyAlignment="1" pivotButton="0" quotePrefix="0" xfId="0">
      <alignment horizontal="center" vertical="center"/>
    </xf>
    <xf numFmtId="0" fontId="2" fillId="33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7" fillId="0" borderId="0" applyAlignment="1" pivotButton="0" quotePrefix="0" xfId="68">
      <alignment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164" fontId="6" fillId="35" borderId="10" applyAlignment="1" pivotButton="0" quotePrefix="0" xfId="0">
      <alignment horizontal="center" vertical="center"/>
    </xf>
    <xf numFmtId="164" fontId="6" fillId="0" borderId="11" applyAlignment="1" pivotButton="0" quotePrefix="0" xfId="0">
      <alignment horizontal="center" vertical="center"/>
    </xf>
    <xf numFmtId="164" fontId="6" fillId="35" borderId="11" applyAlignment="1" pivotButton="0" quotePrefix="0" xfId="0">
      <alignment horizontal="center" vertical="center"/>
    </xf>
    <xf numFmtId="0" fontId="0" fillId="0" borderId="16" pivotButton="0" quotePrefix="0" xfId="0"/>
    <xf numFmtId="164" fontId="2" fillId="0" borderId="11" applyAlignment="1" pivotButton="0" quotePrefix="0" xfId="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13"/>
  <sheetViews>
    <sheetView topLeftCell="A1" workbookViewId="0">
      <selection activeCell="I21" sqref="I21"/>
    </sheetView>
  </sheetViews>
  <sheetFormatPr baseColWidth="8" defaultColWidth="9.00390625" defaultRowHeight="13.5"/>
  <cols>
    <col width="9.00390625" customWidth="1" style="2" min="1" max="1"/>
    <col width="15.625" customWidth="1" style="3" min="2" max="2"/>
    <col width="19.00390625" customWidth="1" style="3" min="3" max="3"/>
    <col width="11.625" customWidth="1" style="3" min="4" max="4"/>
    <col width="11.25390625" customWidth="1" style="3" min="5" max="5"/>
    <col width="12.625" customWidth="1" style="4" min="6" max="6"/>
    <col width="10.625" customWidth="1" style="3" min="7" max="7"/>
    <col width="9.25390625" customWidth="1" style="3" min="8" max="8"/>
    <col width="11.00390625" customWidth="1" style="3" min="9" max="9"/>
    <col width="10.25390625" customWidth="1" style="3" min="10" max="10"/>
    <col width="11.50390625" customWidth="1" style="3" min="11" max="11"/>
    <col width="12.625" customWidth="1" style="3" min="12" max="13"/>
    <col width="12.625" customWidth="1" style="4" min="14" max="14"/>
    <col width="8.625" customWidth="1" style="3" min="15" max="16"/>
    <col width="9.00390625" customWidth="1" style="2" min="17" max="16384"/>
  </cols>
  <sheetData>
    <row r="1" ht="13.5" customHeight="1" s="26"/>
    <row r="2" ht="49.5" customHeight="1" s="26">
      <c r="B2" s="5" t="inlineStr">
        <is>
          <t>E-commerce Product Inventory Detail Analysis Table</t>
        </is>
      </c>
    </row>
    <row r="3" ht="13.5" customHeight="1" s="26"/>
    <row r="4" ht="48" customHeight="1" s="26">
      <c r="B4" s="6" t="inlineStr">
        <is>
          <t>Item Number</t>
        </is>
      </c>
      <c r="C4" s="6" t="inlineStr">
        <is>
          <t>Item Name</t>
        </is>
      </c>
      <c r="D4" s="7" t="inlineStr">
        <is>
          <t>Stock Quantity</t>
        </is>
      </c>
      <c r="E4" s="7" t="inlineStr">
        <is>
          <t>Cost Price</t>
        </is>
      </c>
      <c r="F4" s="7" t="inlineStr">
        <is>
          <t>Inventory amount</t>
        </is>
      </c>
      <c r="G4" s="6" t="inlineStr">
        <is>
          <t>Specification</t>
        </is>
      </c>
      <c r="H4" s="7" t="inlineStr">
        <is>
          <t>Unit</t>
        </is>
      </c>
      <c r="I4" s="7" t="inlineStr">
        <is>
          <t>Pending shipment quantity</t>
        </is>
      </c>
      <c r="J4" s="7" t="inlineStr">
        <is>
          <t>Available for shipment</t>
        </is>
      </c>
      <c r="K4" s="7" t="inlineStr">
        <is>
          <t>Total Sales Volume</t>
        </is>
      </c>
      <c r="L4" s="7" t="inlineStr">
        <is>
          <t>Supplier</t>
        </is>
      </c>
      <c r="M4" s="7" t="inlineStr">
        <is>
          <t>Today's sales volume</t>
        </is>
      </c>
      <c r="N4" s="7" t="inlineStr">
        <is>
          <t>Support Days</t>
        </is>
      </c>
    </row>
    <row r="5" ht="25.5" customHeight="1" s="26">
      <c r="B5" s="8" t="inlineStr">
        <is>
          <t>88155 Men's Blue XXL</t>
        </is>
      </c>
      <c r="C5" s="8" t="inlineStr">
        <is>
          <t>Men's Blue Turn-down Collar Lined Jacket</t>
        </is>
      </c>
      <c r="D5" s="9" t="n">
        <v>20</v>
      </c>
      <c r="E5" s="27" t="n">
        <v>80</v>
      </c>
      <c r="F5" s="27">
        <f>D5*E5</f>
        <v/>
      </c>
      <c r="G5" s="8" t="inlineStr">
        <is>
          <t>interlining cotton</t>
        </is>
      </c>
      <c r="H5" s="9" t="inlineStr">
        <is>
          <t>piece</t>
        </is>
      </c>
      <c r="I5" s="9" t="n">
        <v>10</v>
      </c>
      <c r="J5" s="9" t="n">
        <v>0</v>
      </c>
      <c r="K5" s="9" t="n">
        <v>196</v>
      </c>
      <c r="L5" s="9" t="inlineStr">
        <is>
          <t>***</t>
        </is>
      </c>
      <c r="M5" s="9" t="n">
        <v>10</v>
      </c>
      <c r="N5" s="9" t="n">
        <v>2</v>
      </c>
    </row>
    <row r="6" ht="25.5" customHeight="1" s="26">
      <c r="B6" s="11" t="inlineStr">
        <is>
          <t>88155 Men's Blue XL</t>
        </is>
      </c>
      <c r="C6" s="11" t="inlineStr">
        <is>
          <t>Men's Blue Turn-down Collar Lined Jacket</t>
        </is>
      </c>
      <c r="D6" s="12" t="n">
        <v>20</v>
      </c>
      <c r="E6" s="28" t="n">
        <v>80</v>
      </c>
      <c r="F6" s="28">
        <f>D6*E6</f>
        <v/>
      </c>
      <c r="G6" s="11" t="inlineStr">
        <is>
          <t>interlining cotton</t>
        </is>
      </c>
      <c r="H6" s="12" t="inlineStr">
        <is>
          <t>set</t>
        </is>
      </c>
      <c r="I6" s="12" t="n">
        <v>0</v>
      </c>
      <c r="J6" s="12" t="n">
        <v>0</v>
      </c>
      <c r="K6" s="12" t="n">
        <v>325</v>
      </c>
      <c r="L6" s="12" t="inlineStr">
        <is>
          <t>***</t>
        </is>
      </c>
      <c r="M6" s="12" t="n">
        <v>3</v>
      </c>
      <c r="N6" s="12" t="n">
        <v>3</v>
      </c>
    </row>
    <row r="7" ht="25.5" customHeight="1" s="26">
      <c r="B7" s="14" t="inlineStr">
        <is>
          <t>88155 Men Blue L</t>
        </is>
      </c>
      <c r="C7" s="14" t="inlineStr">
        <is>
          <t>Men's Blue Turn-down Collar Lined Jacket</t>
        </is>
      </c>
      <c r="D7" s="15" t="n">
        <v>30</v>
      </c>
      <c r="E7" s="29" t="n">
        <v>80</v>
      </c>
      <c r="F7" s="29">
        <f>D7*E7</f>
        <v/>
      </c>
      <c r="G7" s="14" t="inlineStr">
        <is>
          <t>interlining cotton</t>
        </is>
      </c>
      <c r="H7" s="15" t="inlineStr">
        <is>
          <t>piece</t>
        </is>
      </c>
      <c r="I7" s="15" t="n">
        <v>0</v>
      </c>
      <c r="J7" s="15" t="n">
        <v>0</v>
      </c>
      <c r="K7" s="15" t="n">
        <v>195</v>
      </c>
      <c r="L7" s="15" t="inlineStr">
        <is>
          <t>***</t>
        </is>
      </c>
      <c r="M7" s="15" t="n">
        <v>2</v>
      </c>
      <c r="N7" s="15" t="n">
        <v>3</v>
      </c>
    </row>
    <row r="8" ht="25.5" customHeight="1" s="26">
      <c r="B8" s="11" t="inlineStr">
        <is>
          <t>76711-1 Women XXL</t>
        </is>
      </c>
      <c r="C8" s="11" t="inlineStr">
        <is>
          <t>Women's Pink Turn-down Collar Lined Jacket</t>
        </is>
      </c>
      <c r="D8" s="12" t="n">
        <v>30</v>
      </c>
      <c r="E8" s="28" t="n">
        <v>83</v>
      </c>
      <c r="F8" s="28">
        <f>D8*E8</f>
        <v/>
      </c>
      <c r="G8" s="11" t="inlineStr">
        <is>
          <t>interlining cotton</t>
        </is>
      </c>
      <c r="H8" s="12" t="inlineStr">
        <is>
          <t>set</t>
        </is>
      </c>
      <c r="I8" s="12" t="n">
        <v>0</v>
      </c>
      <c r="J8" s="12" t="n">
        <v>12</v>
      </c>
      <c r="K8" s="12" t="n">
        <v>95</v>
      </c>
      <c r="L8" s="12" t="inlineStr">
        <is>
          <t>***</t>
        </is>
      </c>
      <c r="M8" s="12" t="n">
        <v>25</v>
      </c>
      <c r="N8" s="12" t="n">
        <v>0</v>
      </c>
    </row>
    <row r="9" ht="25.5" customHeight="1" s="26">
      <c r="B9" s="14" t="inlineStr">
        <is>
          <t>76711-1 Women's XL</t>
        </is>
      </c>
      <c r="C9" s="14" t="inlineStr">
        <is>
          <t>Women's Pink Turn-down Collar Lined Jacket</t>
        </is>
      </c>
      <c r="D9" s="15" t="n">
        <v>40</v>
      </c>
      <c r="E9" s="29" t="n">
        <v>83</v>
      </c>
      <c r="F9" s="29">
        <f>D9*E9</f>
        <v/>
      </c>
      <c r="G9" s="14" t="inlineStr">
        <is>
          <t>interlining cotton</t>
        </is>
      </c>
      <c r="H9" s="15" t="inlineStr">
        <is>
          <t>piece</t>
        </is>
      </c>
      <c r="I9" s="15" t="n">
        <v>3</v>
      </c>
      <c r="J9" s="15" t="n">
        <v>8</v>
      </c>
      <c r="K9" s="15" t="n">
        <v>766</v>
      </c>
      <c r="L9" s="15" t="inlineStr">
        <is>
          <t>***</t>
        </is>
      </c>
      <c r="M9" s="15" t="n">
        <v>25</v>
      </c>
      <c r="N9" s="15" t="n">
        <v>0</v>
      </c>
    </row>
    <row r="10" ht="25.5" customHeight="1" s="26">
      <c r="B10" s="11" t="inlineStr">
        <is>
          <t>76711-1 Women's L</t>
        </is>
      </c>
      <c r="C10" s="11" t="inlineStr">
        <is>
          <t>Women's Pink Turn-down Collar Lined Jacket</t>
        </is>
      </c>
      <c r="D10" s="12" t="n">
        <v>20</v>
      </c>
      <c r="E10" s="28" t="n">
        <v>83</v>
      </c>
      <c r="F10" s="28">
        <f>D10*E10</f>
        <v/>
      </c>
      <c r="G10" s="11" t="inlineStr">
        <is>
          <t>interlining cotton</t>
        </is>
      </c>
      <c r="H10" s="12" t="inlineStr">
        <is>
          <t>set</t>
        </is>
      </c>
      <c r="I10" s="12" t="n">
        <v>7</v>
      </c>
      <c r="J10" s="12" t="n">
        <v>0</v>
      </c>
      <c r="K10" s="12" t="n">
        <v>1825</v>
      </c>
      <c r="L10" s="12" t="inlineStr">
        <is>
          <t>***</t>
        </is>
      </c>
      <c r="M10" s="12" t="n">
        <v>5</v>
      </c>
      <c r="N10" s="12" t="n">
        <v>1</v>
      </c>
    </row>
    <row r="11" ht="25.5" customHeight="1" s="26">
      <c r="B11" s="14" t="inlineStr">
        <is>
          <t>76711-1 Women's M</t>
        </is>
      </c>
      <c r="C11" s="14" t="inlineStr">
        <is>
          <t>Women's Pink Turn-down Collar Lined Jacket</t>
        </is>
      </c>
      <c r="D11" s="15" t="n">
        <v>20</v>
      </c>
      <c r="E11" s="29" t="n">
        <v>83</v>
      </c>
      <c r="F11" s="29">
        <f>D11*E11</f>
        <v/>
      </c>
      <c r="G11" s="14" t="inlineStr">
        <is>
          <t>interlining cotton</t>
        </is>
      </c>
      <c r="H11" s="15" t="inlineStr">
        <is>
          <t>piece</t>
        </is>
      </c>
      <c r="I11" s="15" t="n">
        <v>2</v>
      </c>
      <c r="J11" s="15" t="n">
        <v>10</v>
      </c>
      <c r="K11" s="15" t="n">
        <v>1619</v>
      </c>
      <c r="L11" s="15" t="inlineStr">
        <is>
          <t>***</t>
        </is>
      </c>
      <c r="M11" s="15" t="n">
        <v>3</v>
      </c>
      <c r="N11" s="15" t="n">
        <v>2</v>
      </c>
    </row>
    <row r="12" ht="25.5" customHeight="1" s="26">
      <c r="B12" s="11" t="inlineStr">
        <is>
          <t>76711-1 Women's M</t>
        </is>
      </c>
      <c r="C12" s="11" t="inlineStr">
        <is>
          <t>Women's Pink Turn-down Collar Lined Jacket</t>
        </is>
      </c>
      <c r="D12" s="12" t="n">
        <v>10</v>
      </c>
      <c r="E12" s="28" t="n">
        <v>86</v>
      </c>
      <c r="F12" s="28">
        <f>D12*E12</f>
        <v/>
      </c>
      <c r="G12" s="11" t="inlineStr">
        <is>
          <t>interlining cotton</t>
        </is>
      </c>
      <c r="H12" s="12" t="inlineStr">
        <is>
          <t>set</t>
        </is>
      </c>
      <c r="I12" s="12" t="n">
        <v>0</v>
      </c>
      <c r="J12" s="12" t="n">
        <v>0</v>
      </c>
      <c r="K12" s="12" t="n">
        <v>84</v>
      </c>
      <c r="L12" s="12" t="inlineStr">
        <is>
          <t>***</t>
        </is>
      </c>
      <c r="M12" s="12" t="n">
        <v>7</v>
      </c>
      <c r="N12" s="12" t="n">
        <v>0</v>
      </c>
    </row>
    <row r="13" ht="25.5" customFormat="1" customHeight="1" s="1">
      <c r="A13" s="1" t="n"/>
      <c r="B13" s="21" t="inlineStr">
        <is>
          <t>Total</t>
        </is>
      </c>
      <c r="C13" s="30" t="n"/>
      <c r="D13" s="19">
        <f>SUM(D5:D12)</f>
        <v/>
      </c>
      <c r="E13" s="31" t="n"/>
      <c r="F13" s="31">
        <f>SUM(F5:F12)</f>
        <v/>
      </c>
      <c r="G13" s="21" t="n"/>
      <c r="H13" s="19" t="n"/>
      <c r="I13" s="19">
        <f>SUM(I5:I12)</f>
        <v/>
      </c>
      <c r="J13" s="19">
        <f>SUM(J5:J12)</f>
        <v/>
      </c>
      <c r="K13" s="19">
        <f>SUM(K5:K12)</f>
        <v/>
      </c>
      <c r="L13" s="19" t="n"/>
      <c r="M13" s="19" t="n"/>
      <c r="N13" s="19" t="n"/>
      <c r="O13" s="22" t="n"/>
      <c r="P13" s="22" t="n"/>
    </row>
  </sheetData>
  <mergeCells count="2">
    <mergeCell ref="B13:C13"/>
    <mergeCell ref="B2:N2"/>
  </mergeCells>
  <conditionalFormatting sqref="D5:D12">
    <cfRule type="dataBar" priority="1">
      <dataBar minLength="0" maxLength="100">
        <cfvo type="min"/>
        <cfvo type="max"/>
        <color rgb="FFC00000"/>
      </dataBar>
    </cfRule>
  </conditionalFormatting>
  <conditionalFormatting sqref="N5:N12">
    <cfRule type="dataBar" priority="6">
      <dataBar minLength="0" maxLength="100">
        <cfvo type="min"/>
        <cfvo type="max"/>
        <color rgb="FF638EC6"/>
      </dataBar>
    </cfRule>
  </conditionalFormatting>
  <conditionalFormatting sqref="N5:N13">
    <cfRule type="dataBar" priority="3">
      <dataBar minLength="0" maxLength="100">
        <cfvo type="min"/>
        <cfvo type="max"/>
        <color rgb="FFC00000"/>
      </dataBar>
    </cfRule>
  </conditionalFormatting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2020-10-27T08:11:00Z</dcterms:created>
  <dcterms:modified xsi:type="dcterms:W3CDTF">2025-07-08T10:00:12Z</dcterms:modified>
  <cp:lastModifiedBy>UMBRA~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5790EA77D99E45C0BD1855C95857BD34_11</vt:lpwstr>
  </property>
  <property name="KSOProductBuildVer" fmtid="{D5CDD505-2E9C-101B-9397-08002B2CF9AE}" pid="3">
    <vt:lpwstr>2052-12.1.0.16388</vt:lpwstr>
  </property>
  <property name="KSOTemplateUUID" fmtid="{D5CDD505-2E9C-101B-9397-08002B2CF9AE}" pid="4">
    <vt:lpwstr>v1.0_mb_m/DgKsM0uAFAuXd8EavPGQ==</vt:lpwstr>
  </property>
</Properties>
</file>