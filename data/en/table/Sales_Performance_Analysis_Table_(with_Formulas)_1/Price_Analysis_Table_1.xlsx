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20" windowWidth="28800" windowHeight="12375" tabRatio="600" firstSheet="1" autoFilterDateGrouping="1"/>
  </bookViews>
  <sheets>
    <sheet name="Main_Table" sheetId="1" state="visible" r:id="rId1"/>
  </sheets>
  <externalReferences>
    <externalReference r:id="rId2"/>
    <externalReference r:id="rId3"/>
  </externalReferences>
  <definedNames>
    <definedName name="外购入库序时簿">'[2]外购入库序时簿'!$C$1:$W$675</definedName>
    <definedName name="委外加工入库序时簿">'[2]委外加工入库序时簿'!$B$1:$S$206</definedName>
    <definedName name="委外加工出库单序时簿">'[1]委外加工出库单序时簿'!$A$1:$S$507</definedName>
    <definedName name="_xlnm.Print_Area" localSheetId="0">'Main_Table'!$B$1:$R$15</definedName>
  </definedNames>
  <calcPr calcId="191029" fullCalcOnLoad="1"/>
</workbook>
</file>

<file path=xl/styles.xml><?xml version="1.0" encoding="utf-8"?>
<styleSheet xmlns="http://schemas.openxmlformats.org/spreadsheetml/2006/main">
  <numFmts count="2">
    <numFmt numFmtId="164" formatCode="General&quot;月&quot;"/>
    <numFmt numFmtId="165" formatCode="#,##0.00_ "/>
  </numFmts>
  <fonts count="25">
    <font>
      <name val="宋体"/>
      <family val="2"/>
      <color theme="1"/>
      <sz val="11"/>
      <scheme val="minor"/>
    </font>
    <font>
      <name val="Arial"/>
      <family val="2"/>
      <sz val="10"/>
    </font>
    <font>
      <name val="汉仪铁线黑-65简"/>
      <family val="2"/>
      <sz val="13"/>
    </font>
    <font>
      <name val="汉仪铁线黑-65简"/>
      <family val="2"/>
      <color theme="1"/>
      <sz val="11"/>
    </font>
    <font>
      <name val="汉仪铁线黑-65简"/>
      <family val="2"/>
      <sz val="11"/>
    </font>
    <font>
      <name val="汉仪铁线黑-65简"/>
      <family val="2"/>
      <sz val="28"/>
    </font>
    <font>
      <name val="汉仪铁线黑-65简"/>
      <family val="2"/>
      <color theme="0"/>
      <sz val="13"/>
    </font>
    <font>
      <name val="宋体"/>
      <family val="2"/>
      <color rgb="FF0000FF"/>
      <sz val="11"/>
      <u val="single"/>
      <scheme val="minor"/>
    </font>
    <font>
      <name val="宋体"/>
      <family val="2"/>
      <color rgb="FF800080"/>
      <sz val="11"/>
      <u val="single"/>
      <scheme val="minor"/>
    </font>
    <font>
      <name val="宋体"/>
      <family val="2"/>
      <color rgb="FFFF0000"/>
      <sz val="11"/>
      <scheme val="minor"/>
    </font>
    <font>
      <name val="宋体"/>
      <family val="2"/>
      <b val="1"/>
      <color theme="3"/>
      <sz val="18"/>
      <scheme val="minor"/>
    </font>
    <font>
      <name val="宋体"/>
      <family val="2"/>
      <i val="1"/>
      <color rgb="FF7F7F7F"/>
      <sz val="11"/>
      <scheme val="minor"/>
    </font>
    <font>
      <name val="宋体"/>
      <family val="2"/>
      <b val="1"/>
      <color theme="3"/>
      <sz val="15"/>
      <scheme val="minor"/>
    </font>
    <font>
      <name val="宋体"/>
      <family val="2"/>
      <b val="1"/>
      <color theme="3"/>
      <sz val="13"/>
      <scheme val="minor"/>
    </font>
    <font>
      <name val="宋体"/>
      <family val="2"/>
      <b val="1"/>
      <color theme="3"/>
      <sz val="11"/>
      <scheme val="minor"/>
    </font>
    <font>
      <name val="宋体"/>
      <family val="2"/>
      <color rgb="FF3F3F76"/>
      <sz val="11"/>
      <scheme val="minor"/>
    </font>
    <font>
      <name val="宋体"/>
      <family val="2"/>
      <b val="1"/>
      <color rgb="FF3F3F3F"/>
      <sz val="11"/>
      <scheme val="minor"/>
    </font>
    <font>
      <name val="宋体"/>
      <family val="2"/>
      <b val="1"/>
      <color rgb="FFFA7D00"/>
      <sz val="11"/>
      <scheme val="minor"/>
    </font>
    <font>
      <name val="宋体"/>
      <family val="2"/>
      <b val="1"/>
      <color rgb="FFFFFFFF"/>
      <sz val="11"/>
      <scheme val="minor"/>
    </font>
    <font>
      <name val="宋体"/>
      <family val="2"/>
      <color rgb="FFFA7D00"/>
      <sz val="11"/>
      <scheme val="minor"/>
    </font>
    <font>
      <name val="宋体"/>
      <family val="2"/>
      <b val="1"/>
      <color theme="1"/>
      <sz val="11"/>
      <scheme val="minor"/>
    </font>
    <font>
      <name val="宋体"/>
      <family val="2"/>
      <color rgb="FF006100"/>
      <sz val="11"/>
      <scheme val="minor"/>
    </font>
    <font>
      <name val="宋体"/>
      <family val="2"/>
      <color rgb="FF9C0006"/>
      <sz val="11"/>
      <scheme val="minor"/>
    </font>
    <font>
      <name val="宋体"/>
      <family val="2"/>
      <color rgb="FF9C6500"/>
      <sz val="11"/>
      <scheme val="minor"/>
    </font>
    <font>
      <name val="宋体"/>
      <family val="2"/>
      <color theme="0"/>
      <sz val="11"/>
      <scheme val="minor"/>
    </font>
  </fonts>
  <fills count="34">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799847602844"/>
        <bgColor indexed="64"/>
      </patternFill>
    </fill>
    <fill>
      <patternFill patternType="solid">
        <fgColor theme="4" tint="0.5999900102615356"/>
        <bgColor indexed="64"/>
      </patternFill>
    </fill>
    <fill>
      <patternFill patternType="solid">
        <fgColor theme="4" tint="0.3999800086021423"/>
        <bgColor indexed="64"/>
      </patternFill>
    </fill>
    <fill>
      <patternFill patternType="solid">
        <fgColor theme="5"/>
        <bgColor indexed="64"/>
      </patternFill>
    </fill>
    <fill>
      <patternFill patternType="solid">
        <fgColor theme="5" tint="0.7999799847602844"/>
        <bgColor indexed="64"/>
      </patternFill>
    </fill>
    <fill>
      <patternFill patternType="solid">
        <fgColor theme="5" tint="0.5999900102615356"/>
        <bgColor indexed="64"/>
      </patternFill>
    </fill>
    <fill>
      <patternFill patternType="solid">
        <fgColor theme="5" tint="0.3999800086021423"/>
        <bgColor indexed="64"/>
      </patternFill>
    </fill>
    <fill>
      <patternFill patternType="solid">
        <fgColor theme="6"/>
        <bgColor indexed="64"/>
      </patternFill>
    </fill>
    <fill>
      <patternFill patternType="solid">
        <fgColor theme="6" tint="0.7999799847602844"/>
        <bgColor indexed="64"/>
      </patternFill>
    </fill>
    <fill>
      <patternFill patternType="solid">
        <fgColor theme="6" tint="0.5999900102615356"/>
        <bgColor indexed="64"/>
      </patternFill>
    </fill>
    <fill>
      <patternFill patternType="solid">
        <fgColor theme="6" tint="0.3999800086021423"/>
        <bgColor indexed="64"/>
      </patternFill>
    </fill>
    <fill>
      <patternFill patternType="solid">
        <fgColor theme="7"/>
        <bgColor indexed="64"/>
      </patternFill>
    </fill>
    <fill>
      <patternFill patternType="solid">
        <fgColor theme="7" tint="0.7999799847602844"/>
        <bgColor indexed="64"/>
      </patternFill>
    </fill>
    <fill>
      <patternFill patternType="solid">
        <fgColor theme="7" tint="0.5999900102615356"/>
        <bgColor indexed="64"/>
      </patternFill>
    </fill>
    <fill>
      <patternFill patternType="solid">
        <fgColor theme="7" tint="0.3999800086021423"/>
        <bgColor indexed="64"/>
      </patternFill>
    </fill>
    <fill>
      <patternFill patternType="solid">
        <fgColor theme="8"/>
        <bgColor indexed="64"/>
      </patternFill>
    </fill>
    <fill>
      <patternFill patternType="solid">
        <fgColor theme="8" tint="0.7999799847602844"/>
        <bgColor indexed="64"/>
      </patternFill>
    </fill>
    <fill>
      <patternFill patternType="solid">
        <fgColor theme="8" tint="0.5999900102615356"/>
        <bgColor indexed="64"/>
      </patternFill>
    </fill>
    <fill>
      <patternFill patternType="solid">
        <fgColor theme="8" tint="0.3999800086021423"/>
        <bgColor indexed="64"/>
      </patternFill>
    </fill>
    <fill>
      <patternFill patternType="solid">
        <fgColor theme="9"/>
        <bgColor indexed="64"/>
      </patternFill>
    </fill>
    <fill>
      <patternFill patternType="solid">
        <fgColor theme="9" tint="0.7999799847602844"/>
        <bgColor indexed="64"/>
      </patternFill>
    </fill>
    <fill>
      <patternFill patternType="solid">
        <fgColor theme="9" tint="0.5999900102615356"/>
        <bgColor indexed="64"/>
      </patternFill>
    </fill>
    <fill>
      <patternFill patternType="solid">
        <fgColor theme="9" tint="0.3999800086021423"/>
        <bgColor indexed="64"/>
      </patternFill>
    </fill>
    <fill>
      <patternFill patternType="solid">
        <fgColor rgb="FF16A19C"/>
        <bgColor indexed="64"/>
      </patternFill>
    </fill>
  </fills>
  <borders count="23">
    <border>
      <left/>
      <right/>
      <top/>
      <bottom/>
      <diagonal/>
    </border>
    <border>
      <left style="thin">
        <color rgb="FFB2B2B2"/>
      </left>
      <right style="thin">
        <color rgb="FFB2B2B2"/>
      </right>
      <top style="thin">
        <color rgb="FFB2B2B2"/>
      </top>
      <bottom style="thin">
        <color rgb="FFB2B2B2"/>
      </bottom>
    </border>
    <border>
      <left/>
      <right/>
      <top/>
      <bottom style="medium">
        <color theme="4"/>
      </bottom>
    </border>
    <border>
      <left/>
      <right/>
      <top/>
      <bottom style="medium">
        <color theme="4" tint="0.4999800026416779"/>
      </bottom>
    </border>
    <border>
      <left style="thin">
        <color rgb="FF7F7F7F"/>
      </left>
      <right style="thin">
        <color rgb="FF7F7F7F"/>
      </right>
      <top style="thin">
        <color rgb="FF7F7F7F"/>
      </top>
      <bottom style="thin">
        <color rgb="FF7F7F7F"/>
      </bottom>
    </border>
    <border>
      <left style="thin">
        <color rgb="FF3F3F3F"/>
      </left>
      <right style="thin">
        <color rgb="FF3F3F3F"/>
      </right>
      <top style="thin">
        <color rgb="FF3F3F3F"/>
      </top>
      <bottom style="thin">
        <color rgb="FF3F3F3F"/>
      </bottom>
    </border>
    <border>
      <left style="double">
        <color rgb="FF3F3F3F"/>
      </left>
      <right style="double">
        <color rgb="FF3F3F3F"/>
      </right>
      <top style="double">
        <color rgb="FF3F3F3F"/>
      </top>
      <bottom style="double">
        <color rgb="FF3F3F3F"/>
      </bottom>
    </border>
    <border>
      <left/>
      <right/>
      <top/>
      <bottom style="double">
        <color rgb="FFFF8001"/>
      </bottom>
    </border>
    <border>
      <left/>
      <right/>
      <top style="thin">
        <color theme="4"/>
      </top>
      <bottom style="double">
        <color theme="4"/>
      </bottom>
    </border>
    <border>
      <left style="medium">
        <color theme="0"/>
      </left>
      <right style="thin">
        <color theme="0"/>
      </right>
      <top style="medium">
        <color theme="0"/>
      </top>
      <bottom style="thin">
        <color rgb="FF16A19C"/>
      </bottom>
    </border>
    <border>
      <left style="thin">
        <color theme="0"/>
      </left>
      <right style="thin">
        <color theme="0"/>
      </right>
      <top style="medium">
        <color theme="0"/>
      </top>
      <bottom style="thin">
        <color rgb="FF16A19C"/>
      </bottom>
    </border>
    <border>
      <left/>
      <right style="thin">
        <color rgb="FF16A19C"/>
      </right>
      <top style="thin">
        <color rgb="FF16A19C"/>
      </top>
      <bottom style="thin">
        <color rgb="FF16A19C"/>
      </bottom>
    </border>
    <border>
      <left style="thin">
        <color rgb="FF16A19C"/>
      </left>
      <right style="thin">
        <color rgb="FF16A19C"/>
      </right>
      <top style="thin">
        <color rgb="FF16A19C"/>
      </top>
      <bottom style="thin">
        <color rgb="FF16A19C"/>
      </bottom>
    </border>
    <border>
      <left style="thin">
        <color theme="0"/>
      </left>
      <right style="medium">
        <color theme="0"/>
      </right>
      <top style="medium">
        <color theme="0"/>
      </top>
      <bottom style="thin">
        <color rgb="FF16A19C"/>
      </bottom>
    </border>
    <border>
      <left style="thin">
        <color rgb="FF16A19C"/>
      </left>
      <right/>
      <top style="thin">
        <color rgb="FF16A19C"/>
      </top>
      <bottom style="thin">
        <color rgb="FF16A19C"/>
      </bottom>
    </border>
    <border>
      <left/>
      <right/>
      <top style="medium">
        <color theme="0"/>
      </top>
      <bottom/>
      <diagonal/>
    </border>
    <border>
      <left/>
      <right style="thin">
        <color theme="0"/>
      </right>
      <top style="medium">
        <color theme="0"/>
      </top>
      <bottom/>
      <diagonal/>
    </border>
    <border>
      <left/>
      <right style="thin">
        <color theme="0"/>
      </right>
      <top style="medium">
        <color theme="0"/>
      </top>
      <bottom style="thin">
        <color rgb="FF16A19C"/>
      </bottom>
      <diagonal/>
    </border>
    <border>
      <left/>
      <right style="thin">
        <color rgb="FF16A19C"/>
      </right>
      <top/>
      <bottom/>
      <diagonal/>
    </border>
    <border>
      <left/>
      <right style="thin">
        <color rgb="FF16A19C"/>
      </right>
      <top/>
      <bottom style="thin">
        <color rgb="FF16A19C"/>
      </bottom>
      <diagonal/>
    </border>
    <border>
      <left style="thin">
        <color rgb="FF16A19C"/>
      </left>
      <right/>
      <top/>
      <bottom/>
      <diagonal/>
    </border>
    <border>
      <left style="thin">
        <color rgb="FF16A19C"/>
      </left>
      <right style="thin">
        <color rgb="FF16A19C"/>
      </right>
      <top/>
      <bottom/>
      <diagonal/>
    </border>
    <border>
      <left style="thin">
        <color rgb="FF16A19C"/>
      </left>
      <right style="thin">
        <color rgb="FF16A19C"/>
      </right>
      <top/>
      <bottom style="thin">
        <color rgb="FF16A19C"/>
      </bottom>
      <diagonal/>
    </border>
  </borders>
  <cellStyleXfs count="55">
    <xf numFmtId="0" fontId="0" fillId="0" borderId="0" applyAlignment="1">
      <alignment vertical="center"/>
    </xf>
    <xf numFmtId="9" fontId="1" fillId="0" borderId="0"/>
    <xf numFmtId="44" fontId="1" fillId="0" borderId="0"/>
    <xf numFmtId="42" fontId="1" fillId="0" borderId="0"/>
    <xf numFmtId="43" fontId="1" fillId="0" borderId="0"/>
    <xf numFmtId="41" fontId="1" fillId="0" borderId="0"/>
    <xf numFmtId="43" fontId="0" fillId="0" borderId="0"/>
    <xf numFmtId="44" fontId="0" fillId="0" borderId="0"/>
    <xf numFmtId="9" fontId="0" fillId="0" borderId="0"/>
    <xf numFmtId="41" fontId="0" fillId="0" borderId="0"/>
    <xf numFmtId="42" fontId="0" fillId="0" borderId="0"/>
    <xf numFmtId="0" fontId="7" fillId="0" borderId="0"/>
    <xf numFmtId="0" fontId="8" fillId="0" borderId="0"/>
    <xf numFmtId="0" fontId="0" fillId="2" borderId="1"/>
    <xf numFmtId="0" fontId="9" fillId="0" borderId="0"/>
    <xf numFmtId="0" fontId="10" fillId="0" borderId="0"/>
    <xf numFmtId="0" fontId="11" fillId="0" borderId="0"/>
    <xf numFmtId="0" fontId="12" fillId="0" borderId="2"/>
    <xf numFmtId="0" fontId="13" fillId="0" borderId="2"/>
    <xf numFmtId="0" fontId="14" fillId="0" borderId="3"/>
    <xf numFmtId="0" fontId="14" fillId="0" borderId="0"/>
    <xf numFmtId="0" fontId="15" fillId="3" borderId="4"/>
    <xf numFmtId="0" fontId="16" fillId="4" borderId="5"/>
    <xf numFmtId="0" fontId="17" fillId="4" borderId="4"/>
    <xf numFmtId="0" fontId="18" fillId="5" borderId="6"/>
    <xf numFmtId="0" fontId="19" fillId="0" borderId="7"/>
    <xf numFmtId="0" fontId="20" fillId="0" borderId="8"/>
    <xf numFmtId="0" fontId="21" fillId="6" borderId="0"/>
    <xf numFmtId="0" fontId="22" fillId="7" borderId="0"/>
    <xf numFmtId="0" fontId="23" fillId="8" borderId="0"/>
    <xf numFmtId="0" fontId="24" fillId="9" borderId="0"/>
    <xf numFmtId="0" fontId="0" fillId="10" borderId="0"/>
    <xf numFmtId="0" fontId="0" fillId="11" borderId="0"/>
    <xf numFmtId="0" fontId="24" fillId="12" borderId="0"/>
    <xf numFmtId="0" fontId="24" fillId="13" borderId="0"/>
    <xf numFmtId="0" fontId="0" fillId="14" borderId="0"/>
    <xf numFmtId="0" fontId="0" fillId="15" borderId="0"/>
    <xf numFmtId="0" fontId="24" fillId="16" borderId="0"/>
    <xf numFmtId="0" fontId="24" fillId="17" borderId="0"/>
    <xf numFmtId="0" fontId="0" fillId="18" borderId="0"/>
    <xf numFmtId="0" fontId="0" fillId="19" borderId="0"/>
    <xf numFmtId="0" fontId="24" fillId="20" borderId="0"/>
    <xf numFmtId="0" fontId="24" fillId="21" borderId="0"/>
    <xf numFmtId="0" fontId="0" fillId="22" borderId="0"/>
    <xf numFmtId="0" fontId="0" fillId="23" borderId="0"/>
    <xf numFmtId="0" fontId="24" fillId="24" borderId="0"/>
    <xf numFmtId="0" fontId="24" fillId="25" borderId="0"/>
    <xf numFmtId="0" fontId="0" fillId="26" borderId="0"/>
    <xf numFmtId="0" fontId="0" fillId="27" borderId="0"/>
    <xf numFmtId="0" fontId="24" fillId="28" borderId="0"/>
    <xf numFmtId="0" fontId="24" fillId="29" borderId="0"/>
    <xf numFmtId="0" fontId="0" fillId="30" borderId="0"/>
    <xf numFmtId="0" fontId="0" fillId="31" borderId="0"/>
    <xf numFmtId="0" fontId="24" fillId="32" borderId="0"/>
    <xf numFmtId="0" fontId="7" fillId="0" borderId="0" applyAlignment="1">
      <alignment vertical="center"/>
    </xf>
  </cellStyleXfs>
  <cellXfs count="30">
    <xf numFmtId="0" fontId="0" fillId="0"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horizontal="center" vertical="center"/>
    </xf>
    <xf numFmtId="0" fontId="3" fillId="0" borderId="0" applyAlignment="1" pivotButton="0" quotePrefix="0" xfId="0">
      <alignment vertical="center"/>
    </xf>
    <xf numFmtId="0" fontId="4" fillId="0" borderId="0" applyAlignment="1" pivotButton="0" quotePrefix="0" xfId="0">
      <alignment vertical="center"/>
    </xf>
    <xf numFmtId="0" fontId="2" fillId="0" borderId="0" applyAlignment="1" pivotButton="0" quotePrefix="0" xfId="0">
      <alignment horizontal="center" vertical="center"/>
    </xf>
    <xf numFmtId="0" fontId="5" fillId="0" borderId="0" applyAlignment="1" pivotButton="0" quotePrefix="0" xfId="0">
      <alignment horizontal="center" vertical="center"/>
    </xf>
    <xf numFmtId="0" fontId="2" fillId="33" borderId="0" applyAlignment="1" pivotButton="0" quotePrefix="0" xfId="0">
      <alignment horizontal="center" vertical="center"/>
    </xf>
    <xf numFmtId="0" fontId="6" fillId="33" borderId="9" applyAlignment="1" pivotButton="0" quotePrefix="0" xfId="0">
      <alignment horizontal="center" vertical="center" wrapText="1"/>
    </xf>
    <xf numFmtId="0" fontId="6" fillId="33" borderId="10" applyAlignment="1" pivotButton="0" quotePrefix="0" xfId="0">
      <alignment horizontal="center" vertical="center" wrapText="1"/>
    </xf>
    <xf numFmtId="164" fontId="6" fillId="33" borderId="10" applyAlignment="1" pivotButton="0" quotePrefix="0" xfId="0">
      <alignment horizontal="center" vertical="center"/>
    </xf>
    <xf numFmtId="0" fontId="2" fillId="0" borderId="11" applyAlignment="1" pivotButton="0" quotePrefix="0" xfId="0">
      <alignment horizontal="center" vertical="center"/>
    </xf>
    <xf numFmtId="0" fontId="2" fillId="0" borderId="12" applyAlignment="1" pivotButton="0" quotePrefix="0" xfId="0">
      <alignment horizontal="center" vertical="center"/>
    </xf>
    <xf numFmtId="165" fontId="2" fillId="0" borderId="12" applyAlignment="1" pivotButton="0" quotePrefix="0" xfId="0">
      <alignment horizontal="center" vertical="center"/>
    </xf>
    <xf numFmtId="10" fontId="2" fillId="0" borderId="12" applyAlignment="1" pivotButton="0" quotePrefix="0" xfId="0">
      <alignment horizontal="center" vertical="center"/>
    </xf>
    <xf numFmtId="0" fontId="6" fillId="33" borderId="13" applyAlignment="1" pivotButton="0" quotePrefix="0" xfId="0">
      <alignment horizontal="center" vertical="center" wrapText="1"/>
    </xf>
    <xf numFmtId="165" fontId="2" fillId="0" borderId="14" applyAlignment="1" pivotButton="0" quotePrefix="0" xfId="0">
      <alignment horizontal="center" vertical="center"/>
    </xf>
    <xf numFmtId="10" fontId="2" fillId="0" borderId="14" applyAlignment="1" pivotButton="0" quotePrefix="0" xfId="0">
      <alignment horizontal="center" vertical="center"/>
    </xf>
    <xf numFmtId="0" fontId="20" fillId="0" borderId="0" applyAlignment="1" pivotButton="0" quotePrefix="0" xfId="0">
      <alignment vertical="center"/>
    </xf>
    <xf numFmtId="0" fontId="7" fillId="0" borderId="0" applyAlignment="1" pivotButton="0" quotePrefix="0" xfId="68">
      <alignment vertical="center"/>
    </xf>
    <xf numFmtId="0" fontId="7" fillId="0" borderId="0" applyAlignment="1" pivotButton="0" quotePrefix="0" xfId="0">
      <alignment vertical="center"/>
    </xf>
    <xf numFmtId="0" fontId="0" fillId="0" borderId="17" pivotButton="0" quotePrefix="0" xfId="0"/>
    <xf numFmtId="164" fontId="6" fillId="33" borderId="10" applyAlignment="1" pivotButton="0" quotePrefix="0" xfId="0">
      <alignment horizontal="center" vertical="center"/>
    </xf>
    <xf numFmtId="0" fontId="0" fillId="0" borderId="0" pivotButton="0" quotePrefix="0" xfId="0"/>
    <xf numFmtId="165" fontId="2" fillId="0" borderId="12" applyAlignment="1" pivotButton="0" quotePrefix="0" xfId="0">
      <alignment horizontal="center" vertical="center"/>
    </xf>
    <xf numFmtId="165" fontId="2" fillId="0" borderId="14" applyAlignment="1" pivotButton="0" quotePrefix="0" xfId="0">
      <alignment horizontal="center" vertical="center"/>
    </xf>
    <xf numFmtId="0" fontId="0" fillId="0" borderId="18" pivotButton="0" quotePrefix="0" xfId="0"/>
    <xf numFmtId="0" fontId="0" fillId="0" borderId="21" pivotButton="0" quotePrefix="0" xfId="0"/>
    <xf numFmtId="0" fontId="0" fillId="0" borderId="19" pivotButton="0" quotePrefix="0" xfId="0"/>
    <xf numFmtId="0" fontId="0" fillId="0" borderId="22" pivotButton="0" quotePrefix="0" xfId="0"/>
  </cellXfs>
  <cellStyles count="55">
    <cellStyle name="Normal" xfId="0"/>
    <cellStyle name="Percent" xfId="1"/>
    <cellStyle name="Currency" xfId="2"/>
    <cellStyle name="Currency [0]" xfId="3"/>
    <cellStyle name="Comma" xfId="4"/>
    <cellStyle name="Comma [0]" xfId="5"/>
    <cellStyle name="千位分隔" xfId="6"/>
    <cellStyle name="货币" xfId="7"/>
    <cellStyle name="百分比" xfId="8"/>
    <cellStyle name="千位分隔[0]" xfId="9"/>
    <cellStyle name="货币[0]" xfId="10"/>
    <cellStyle name="超链接" xfId="11"/>
    <cellStyle name="已访问的超链接" xfId="12"/>
    <cellStyle name="注释" xfId="13"/>
    <cellStyle name="警告文本" xfId="14"/>
    <cellStyle name="标题" xfId="15"/>
    <cellStyle name="解释性文本" xfId="16"/>
    <cellStyle name="标题 1" xfId="17"/>
    <cellStyle name="标题 2" xfId="18"/>
    <cellStyle name="标题 3" xfId="19"/>
    <cellStyle name="标题 4" xfId="20"/>
    <cellStyle name="输入" xfId="21"/>
    <cellStyle name="输出" xfId="22"/>
    <cellStyle name="计算" xfId="23"/>
    <cellStyle name="检查单元格" xfId="24"/>
    <cellStyle name="链接单元格" xfId="25"/>
    <cellStyle name="汇总" xfId="26"/>
    <cellStyle name="好" xfId="27"/>
    <cellStyle name="差" xfId="28"/>
    <cellStyle name="适中" xfId="29"/>
    <cellStyle name="强调文字颜色 1" xfId="30"/>
    <cellStyle name="20% - 强调文字颜色 1" xfId="31"/>
    <cellStyle name="40% - 强调文字颜色 1" xfId="32"/>
    <cellStyle name="60% - 强调文字颜色 1" xfId="33"/>
    <cellStyle name="强调文字颜色 2" xfId="34"/>
    <cellStyle name="20% - 强调文字颜色 2" xfId="35"/>
    <cellStyle name="40% - 强调文字颜色 2" xfId="36"/>
    <cellStyle name="60% - 强调文字颜色 2" xfId="37"/>
    <cellStyle name="强调文字颜色 3" xfId="38"/>
    <cellStyle name="20% - 强调文字颜色 3" xfId="39"/>
    <cellStyle name="40% - 强调文字颜色 3" xfId="40"/>
    <cellStyle name="60% - 强调文字颜色 3" xfId="41"/>
    <cellStyle name="强调文字颜色 4" xfId="42"/>
    <cellStyle name="20% - 强调文字颜色 4" xfId="43"/>
    <cellStyle name="40% - 强调文字颜色 4" xfId="44"/>
    <cellStyle name="60% - 强调文字颜色 4" xfId="45"/>
    <cellStyle name="强调文字颜色 5" xfId="46"/>
    <cellStyle name="20% - 强调文字颜色 5" xfId="47"/>
    <cellStyle name="40% - 强调文字颜色 5" xfId="48"/>
    <cellStyle name="60% - 强调文字颜色 5" xfId="49"/>
    <cellStyle name="强调文字颜色 6" xfId="50"/>
    <cellStyle name="20% - 强调文字颜色 6" xfId="51"/>
    <cellStyle name="40% - 强调文字颜色 6" xfId="52"/>
    <cellStyle name="60% - 强调文字颜色 6" xfId="53"/>
    <cellStyle name="Hyperlink" xfId="54"/>
  </cellStyles>
  <dxfs count="2">
    <dxf>
      <font>
        <color rgb="FF00B050"/>
      </font>
      <border/>
    </dxf>
    <dxf>
      <font>
        <color rgb="FFFF0000"/>
      </font>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externalLink" Target="/xl/externalLinks/externalLink1.xml" Id="rId2" /><Relationship Type="http://schemas.openxmlformats.org/officeDocument/2006/relationships/externalLink" Target="/xl/externalLinks/externalLink2.xml" Id="rId3" /><Relationship Type="http://schemas.openxmlformats.org/officeDocument/2006/relationships/styles" Target="styles.xml" Id="rId4" /><Relationship Type="http://schemas.openxmlformats.org/officeDocument/2006/relationships/theme" Target="theme/theme1.xml" Id="rId5" /></Relationships>
</file>

<file path=xl/externalLinks/_rels/externalLink1.xml.rels><Relationships xmlns="http://schemas.openxmlformats.org/package/2006/relationships"><Relationship Type="http://schemas.openxmlformats.org/officeDocument/2006/relationships/externalLinkPath" Target="file://\\www\&#24212;&#20184;\NBC\2020&#24180;&#24212;&#20184;\202012\&#24212;&#20184;&#26126;&#32454;12.xls" TargetMode="External" Id="rId1" /></Relationships>
</file>

<file path=xl/externalLinks/_rels/externalLink2.xml.rels><Relationships xmlns="http://schemas.openxmlformats.org/package/2006/relationships"><Relationship Type="http://schemas.openxmlformats.org/officeDocument/2006/relationships/externalLinkPath" Target="file://\\www\anencw$\&#36130;&#21153;&#25253;&#34920;\&#24212;&#20184;&#36134;&#27454;\2021\2021&#24180;&#24212;&#20184;&#26126;&#32454;01-09%20-%20&#26368;&#26032;.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外购入库序时簿"/>
      <sheetName val="委外加工入库序时簿"/>
      <sheetName val="委外加工出库单序时簿"/>
      <sheetName val="委外结存数"/>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采购分析-供应商"/>
      <sheetName val="采购分析-物料汇总"/>
      <sheetName val="加工费-供应商分析"/>
      <sheetName val="加工费-产品分析"/>
      <sheetName val="委外加工入库序时簿"/>
      <sheetName val="采购入库物料"/>
      <sheetName val="外购入库序时簿"/>
      <sheetName val="委外加工出库单序时簿"/>
      <sheetName val="委外结存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R15"/>
  <sheetViews>
    <sheetView showGridLines="0" topLeftCell="A1" workbookViewId="0">
      <selection activeCell="U8" sqref="U8"/>
    </sheetView>
  </sheetViews>
  <sheetFormatPr baseColWidth="8" defaultColWidth="12.25390625" defaultRowHeight="27" customHeight="1"/>
  <cols>
    <col width="2.125" customWidth="1" style="5" min="1" max="1"/>
    <col width="1.625" customWidth="1" style="5" min="2" max="2"/>
    <col width="11.00390625" customWidth="1" style="5" min="3" max="17"/>
    <col width="1.625" customWidth="1" style="5" min="18" max="18"/>
    <col width="12.25390625" customWidth="1" style="5" min="19" max="16384"/>
  </cols>
  <sheetData>
    <row r="1" ht="12" customFormat="1" customHeight="1" s="1">
      <c r="A1" s="1" t="n"/>
      <c r="B1" s="1" t="n"/>
      <c r="C1" s="5" t="n"/>
      <c r="D1" s="5" t="n"/>
      <c r="E1" s="1" t="n"/>
      <c r="F1" s="1" t="n"/>
      <c r="G1" s="1" t="n"/>
      <c r="H1" s="1" t="n"/>
      <c r="I1" s="1" t="n"/>
      <c r="J1" s="1" t="n"/>
      <c r="K1" s="1" t="n"/>
      <c r="L1" s="1" t="n"/>
      <c r="M1" s="1" t="n"/>
      <c r="N1" s="1" t="n"/>
      <c r="O1" s="1" t="n"/>
      <c r="P1" s="1" t="n"/>
      <c r="Q1" s="5" t="n"/>
      <c r="R1" s="1" t="n"/>
    </row>
    <row r="2" ht="33.75" customFormat="1" customHeight="1" s="1">
      <c r="A2" s="1" t="n"/>
      <c r="B2" s="6" t="inlineStr">
        <is>
          <t>Price Analysis Table</t>
        </is>
      </c>
    </row>
    <row r="3" ht="12" customFormat="1" customHeight="1" s="1">
      <c r="A3" s="1" t="n"/>
      <c r="B3" s="1" t="n"/>
      <c r="C3" s="5" t="n"/>
      <c r="D3" s="5" t="n"/>
      <c r="E3" s="1" t="n"/>
      <c r="F3" s="1" t="n"/>
      <c r="G3" s="1" t="n"/>
      <c r="H3" s="1" t="n"/>
      <c r="I3" s="1" t="n"/>
      <c r="J3" s="1" t="n"/>
      <c r="K3" s="1" t="n"/>
      <c r="L3" s="1" t="n"/>
      <c r="M3" s="1" t="n"/>
      <c r="N3" s="1" t="n"/>
      <c r="O3" s="1" t="n"/>
      <c r="P3" s="1" t="n"/>
      <c r="Q3" s="5" t="n"/>
      <c r="R3" s="1" t="n"/>
    </row>
    <row r="4" ht="12.75" customFormat="1" customHeight="1" s="1">
      <c r="A4" s="5" t="n"/>
      <c r="B4" s="7" t="n"/>
      <c r="C4" s="7" t="n"/>
      <c r="R4" s="7" t="n"/>
    </row>
    <row r="5" ht="28.5" customFormat="1" customHeight="1" s="5">
      <c r="A5" s="5" t="n"/>
      <c r="C5" s="8" t="inlineStr">
        <is>
          <t>Name</t>
        </is>
      </c>
      <c r="D5" s="21" t="n"/>
      <c r="E5" s="22" t="n">
        <v>1</v>
      </c>
      <c r="F5" s="22" t="n">
        <v>2</v>
      </c>
      <c r="G5" s="22" t="n">
        <v>3</v>
      </c>
      <c r="H5" s="22" t="n">
        <v>4</v>
      </c>
      <c r="I5" s="22" t="n">
        <v>5</v>
      </c>
      <c r="J5" s="22" t="n">
        <v>6</v>
      </c>
      <c r="K5" s="22" t="n">
        <v>7</v>
      </c>
      <c r="L5" s="22" t="n">
        <v>8</v>
      </c>
      <c r="M5" s="22" t="n">
        <v>9</v>
      </c>
      <c r="N5" s="22" t="n">
        <v>10</v>
      </c>
      <c r="O5" s="22" t="n">
        <v>11</v>
      </c>
      <c r="P5" s="22" t="n">
        <v>12</v>
      </c>
      <c r="Q5" s="15" t="inlineStr">
        <is>
          <t>Annual Average</t>
        </is>
      </c>
    </row>
    <row r="6" ht="28.5" customHeight="1" s="23">
      <c r="C6" s="11" t="inlineStr">
        <is>
          <t>Material 1</t>
        </is>
      </c>
      <c r="D6" s="12" t="inlineStr">
        <is>
          <t>Procurement Unit Price</t>
        </is>
      </c>
      <c r="E6" s="24" t="n">
        <v>1.25</v>
      </c>
      <c r="F6" s="24" t="n">
        <v>1.1</v>
      </c>
      <c r="G6" s="24" t="n">
        <v>1.35</v>
      </c>
      <c r="H6" s="24" t="n">
        <v>1.38</v>
      </c>
      <c r="I6" s="24" t="n">
        <v>1.35</v>
      </c>
      <c r="J6" s="24" t="n">
        <v>1.26</v>
      </c>
      <c r="K6" s="24" t="n">
        <v>1.34</v>
      </c>
      <c r="L6" s="24" t="n">
        <v>1.34</v>
      </c>
      <c r="M6" s="24" t="n">
        <v>1.34</v>
      </c>
      <c r="N6" s="24" t="n">
        <v>1.34</v>
      </c>
      <c r="O6" s="24" t="n">
        <v>1.34</v>
      </c>
      <c r="P6" s="24" t="n">
        <v>1.3</v>
      </c>
      <c r="Q6" s="25">
        <f>_xlfn.IFERROR(SUM(E6:P6)/COUNTA(E6:P6),"")</f>
        <v/>
      </c>
    </row>
    <row r="7" ht="28.5" customFormat="1" customHeight="1" s="3">
      <c r="A7" s="3" t="n"/>
      <c r="C7" s="26" t="n"/>
      <c r="D7" s="12" t="inlineStr">
        <is>
          <t>Rise/Fall Amount</t>
        </is>
      </c>
      <c r="E7" s="27" t="n"/>
      <c r="F7" s="24">
        <f>IF(F6="","",F6-E6)</f>
        <v/>
      </c>
      <c r="G7" s="24">
        <f>IF(G6="","",G6-F6)</f>
        <v/>
      </c>
      <c r="H7" s="24">
        <f>IF(H6="","",H6-G6)</f>
        <v/>
      </c>
      <c r="I7" s="24">
        <f>IF(I6="","",I6-H6)</f>
        <v/>
      </c>
      <c r="J7" s="24">
        <f>IF(J6="","",J6-I6)</f>
        <v/>
      </c>
      <c r="K7" s="24">
        <f>IF(K6="","",K6-J6)</f>
        <v/>
      </c>
      <c r="L7" s="24">
        <f>IF(L6="","",L6-K6)</f>
        <v/>
      </c>
      <c r="M7" s="24">
        <f>IF(M6="","",M6-L6)</f>
        <v/>
      </c>
      <c r="N7" s="24">
        <f>IF(N6="","",N6-M6)</f>
        <v/>
      </c>
      <c r="O7" s="24">
        <f>IF(O6="","",O6-N6)</f>
        <v/>
      </c>
      <c r="P7" s="24">
        <f>IF(P6="","",P6-O6)</f>
        <v/>
      </c>
      <c r="Q7" s="25">
        <f>_xlfn.IFERROR(IF(Q6="","",Q6-E6),"")</f>
        <v/>
      </c>
    </row>
    <row r="8" ht="28.5" customFormat="1" customHeight="1" s="3">
      <c r="A8" s="3" t="n"/>
      <c r="C8" s="28" t="n"/>
      <c r="D8" s="12" t="inlineStr">
        <is>
          <t>Rise/Fall</t>
        </is>
      </c>
      <c r="E8" s="29" t="n"/>
      <c r="F8" s="14">
        <f>IF(F6="","",(F6-E6)/E6)</f>
        <v/>
      </c>
      <c r="G8" s="14">
        <f>IF(G6="","",(G6-F6)/F6)</f>
        <v/>
      </c>
      <c r="H8" s="14">
        <f>IF(H6="","",(H6-G6)/G6)</f>
        <v/>
      </c>
      <c r="I8" s="14">
        <f>IF(I6="","",(I6-H6)/H6)</f>
        <v/>
      </c>
      <c r="J8" s="14">
        <f>IF(J6="","",(J6-I6)/I6)</f>
        <v/>
      </c>
      <c r="K8" s="14">
        <f>IF(K6="","",(K6-J6)/J6)</f>
        <v/>
      </c>
      <c r="L8" s="14">
        <f>IF(L6="","",(L6-K6)/K6)</f>
        <v/>
      </c>
      <c r="M8" s="14">
        <f>IF(M6="","",(M6-L6)/L6)</f>
        <v/>
      </c>
      <c r="N8" s="14">
        <f>IF(N6="","",(N6-M6)/M6)</f>
        <v/>
      </c>
      <c r="O8" s="14">
        <f>IF(O6="","",(O6-N6)/N6)</f>
        <v/>
      </c>
      <c r="P8" s="14">
        <f>IF(P6="","",(P6-O6)/O6)</f>
        <v/>
      </c>
      <c r="Q8" s="17">
        <f>_xlfn.IFERROR(IF(Q6="","",(Q6-E6)/E6),"")</f>
        <v/>
      </c>
    </row>
    <row r="9" ht="28.5" customFormat="1" customHeight="1" s="4">
      <c r="A9" s="4" t="n"/>
      <c r="C9" s="11" t="inlineStr">
        <is>
          <t>Material 2</t>
        </is>
      </c>
      <c r="D9" s="12" t="inlineStr">
        <is>
          <t>Procurement Unit Price</t>
        </is>
      </c>
      <c r="E9" s="24" t="n">
        <v>2.5</v>
      </c>
      <c r="F9" s="24" t="n">
        <v>2.5</v>
      </c>
      <c r="G9" s="24" t="n">
        <v>2.5</v>
      </c>
      <c r="H9" s="24" t="n">
        <v>2.5</v>
      </c>
      <c r="I9" s="24" t="n">
        <v>2.5</v>
      </c>
      <c r="J9" s="24" t="n">
        <v>2.66</v>
      </c>
      <c r="K9" s="24" t="n">
        <v>2.66</v>
      </c>
      <c r="L9" s="24" t="n">
        <v>2.56</v>
      </c>
      <c r="M9" s="24" t="n">
        <v>2.56</v>
      </c>
      <c r="N9" s="24" t="n">
        <v>2.56</v>
      </c>
      <c r="O9" s="24" t="n">
        <v>2.66</v>
      </c>
      <c r="P9" s="24" t="n">
        <v>2.66</v>
      </c>
      <c r="Q9" s="25">
        <f>_xlfn.IFERROR(SUM(E9:P9)/COUNTA(E9:P9),"")</f>
        <v/>
      </c>
    </row>
    <row r="10" ht="28.5" customFormat="1" customHeight="1" s="4">
      <c r="A10" s="4" t="n"/>
      <c r="C10" s="26" t="n"/>
      <c r="D10" s="12" t="inlineStr">
        <is>
          <t>Rise/Fall Amount</t>
        </is>
      </c>
      <c r="E10" s="27" t="n"/>
      <c r="F10" s="24">
        <f>IF(F9="","",F9-E9)</f>
        <v/>
      </c>
      <c r="G10" s="24">
        <f>IF(G9="","",G9-F9)</f>
        <v/>
      </c>
      <c r="H10" s="24">
        <f>IF(H9="","",H9-G9)</f>
        <v/>
      </c>
      <c r="I10" s="24">
        <f>IF(I9="","",I9-H9)</f>
        <v/>
      </c>
      <c r="J10" s="24">
        <f>IF(J9="","",J9-I9)</f>
        <v/>
      </c>
      <c r="K10" s="24">
        <f>IF(K9="","",K9-J9)</f>
        <v/>
      </c>
      <c r="L10" s="24">
        <f>IF(L9="","",L9-K9)</f>
        <v/>
      </c>
      <c r="M10" s="24">
        <f>IF(M9="","",M9-L9)</f>
        <v/>
      </c>
      <c r="N10" s="24">
        <f>IF(N9="","",N9-M9)</f>
        <v/>
      </c>
      <c r="O10" s="24">
        <f>IF(O9="","",O9-N9)</f>
        <v/>
      </c>
      <c r="P10" s="24">
        <f>IF(P9="","",P9-O9)</f>
        <v/>
      </c>
      <c r="Q10" s="25">
        <f>_xlfn.IFERROR(IF(Q9="","",Q9-E9),"")</f>
        <v/>
      </c>
    </row>
    <row r="11" ht="28.5" customFormat="1" customHeight="1" s="4">
      <c r="A11" s="4" t="n"/>
      <c r="C11" s="28" t="n"/>
      <c r="D11" s="12" t="inlineStr">
        <is>
          <t>Rise/Fall</t>
        </is>
      </c>
      <c r="E11" s="29" t="n"/>
      <c r="F11" s="14">
        <f>IF(F9="","",(F9-E9)/E9)</f>
        <v/>
      </c>
      <c r="G11" s="14">
        <f>IF(G9="","",(G9-F9)/F9)</f>
        <v/>
      </c>
      <c r="H11" s="14">
        <f>IF(H9="","",(H9-G9)/G9)</f>
        <v/>
      </c>
      <c r="I11" s="14">
        <f>IF(I9="","",(I9-H9)/H9)</f>
        <v/>
      </c>
      <c r="J11" s="14">
        <f>IF(J9="","",(J9-I9)/I9)</f>
        <v/>
      </c>
      <c r="K11" s="14">
        <f>IF(K9="","",(K9-J9)/J9)</f>
        <v/>
      </c>
      <c r="L11" s="14">
        <f>IF(L9="","",(L9-K9)/K9)</f>
        <v/>
      </c>
      <c r="M11" s="14">
        <f>IF(M9="","",(M9-L9)/L9)</f>
        <v/>
      </c>
      <c r="N11" s="14">
        <f>IF(N9="","",(N9-M9)/M9)</f>
        <v/>
      </c>
      <c r="O11" s="14">
        <f>IF(O9="","",(O9-N9)/N9)</f>
        <v/>
      </c>
      <c r="P11" s="14">
        <f>IF(P9="","",(P9-O9)/O9)</f>
        <v/>
      </c>
      <c r="Q11" s="17">
        <f>_xlfn.IFERROR(IF(Q9="","",(Q9-E9)/E9),"")</f>
        <v/>
      </c>
    </row>
    <row r="12" ht="28.5" customHeight="1" s="23">
      <c r="C12" s="11" t="inlineStr">
        <is>
          <t>Material 3</t>
        </is>
      </c>
      <c r="D12" s="12" t="inlineStr">
        <is>
          <t>Procurement Unit Price</t>
        </is>
      </c>
      <c r="E12" s="24" t="n">
        <v>1.38</v>
      </c>
      <c r="F12" s="24" t="n">
        <v>1.36</v>
      </c>
      <c r="G12" s="24" t="n">
        <v>1.42</v>
      </c>
      <c r="H12" s="24" t="n">
        <v>1.42</v>
      </c>
      <c r="I12" s="24" t="n">
        <v>1.52</v>
      </c>
      <c r="J12" s="24" t="n">
        <v>2.56</v>
      </c>
      <c r="K12" s="24" t="n">
        <v>2.56</v>
      </c>
      <c r="L12" s="24" t="n">
        <v>2.66</v>
      </c>
      <c r="M12" s="24" t="n">
        <v>2.66</v>
      </c>
      <c r="N12" s="24" t="n">
        <v>2.66</v>
      </c>
      <c r="O12" s="24" t="n">
        <v>2.56</v>
      </c>
      <c r="P12" s="24" t="n">
        <v>2.56</v>
      </c>
      <c r="Q12" s="25">
        <f>_xlfn.IFERROR(SUM(E12:P12)/COUNTA(E12:P12),"")</f>
        <v/>
      </c>
    </row>
    <row r="13" ht="28.5" customHeight="1" s="23">
      <c r="C13" s="26" t="n"/>
      <c r="D13" s="12" t="inlineStr">
        <is>
          <t>Rise/Fall Amount</t>
        </is>
      </c>
      <c r="E13" s="27" t="n"/>
      <c r="F13" s="24">
        <f>IF(F12="","",F12-E12)</f>
        <v/>
      </c>
      <c r="G13" s="24">
        <f>IF(G12="","",G12-F12)</f>
        <v/>
      </c>
      <c r="H13" s="24">
        <f>IF(H12="","",H12-G12)</f>
        <v/>
      </c>
      <c r="I13" s="24">
        <f>IF(I12="","",I12-H12)</f>
        <v/>
      </c>
      <c r="J13" s="24">
        <f>IF(J12="","",J12-I12)</f>
        <v/>
      </c>
      <c r="K13" s="24">
        <f>IF(K12="","",K12-J12)</f>
        <v/>
      </c>
      <c r="L13" s="24">
        <f>IF(L12="","",L12-K12)</f>
        <v/>
      </c>
      <c r="M13" s="24">
        <f>IF(M12="","",M12-L12)</f>
        <v/>
      </c>
      <c r="N13" s="24">
        <f>IF(N12="","",N12-M12)</f>
        <v/>
      </c>
      <c r="O13" s="24">
        <f>IF(O12="","",O12-N12)</f>
        <v/>
      </c>
      <c r="P13" s="24">
        <f>IF(P12="","",P12-O12)</f>
        <v/>
      </c>
      <c r="Q13" s="25">
        <f>_xlfn.IFERROR(IF(Q12="","",Q12-E12),"")</f>
        <v/>
      </c>
    </row>
    <row r="14" ht="28.5" customHeight="1" s="23">
      <c r="C14" s="28" t="n"/>
      <c r="D14" s="12" t="inlineStr">
        <is>
          <t>Rise/Fall</t>
        </is>
      </c>
      <c r="E14" s="29" t="n"/>
      <c r="F14" s="14">
        <f>IF(F12="","",(F12-E12)/E12)</f>
        <v/>
      </c>
      <c r="G14" s="14">
        <f>IF(G12="","",(G12-F12)/F12)</f>
        <v/>
      </c>
      <c r="H14" s="14">
        <f>IF(H12="","",(H12-G12)/G12)</f>
        <v/>
      </c>
      <c r="I14" s="14">
        <f>IF(I12="","",(I12-H12)/H12)</f>
        <v/>
      </c>
      <c r="J14" s="14">
        <f>IF(J12="","",(J12-I12)/I12)</f>
        <v/>
      </c>
      <c r="K14" s="14">
        <f>IF(K12="","",(K12-J12)/J12)</f>
        <v/>
      </c>
      <c r="L14" s="14">
        <f>IF(L12="","",(L12-K12)/K12)</f>
        <v/>
      </c>
      <c r="M14" s="14">
        <f>IF(M12="","",(M12-L12)/L12)</f>
        <v/>
      </c>
      <c r="N14" s="14">
        <f>IF(N12="","",(N12-M12)/M12)</f>
        <v/>
      </c>
      <c r="O14" s="14">
        <f>IF(O12="","",(O12-N12)/N12)</f>
        <v/>
      </c>
      <c r="P14" s="14">
        <f>IF(P12="","",(P12-O12)/O12)</f>
        <v/>
      </c>
      <c r="Q14" s="17">
        <f>_xlfn.IFERROR(IF(Q12="","",(Q12-E12)/E12),"")</f>
        <v/>
      </c>
    </row>
    <row r="15" ht="12.75" customHeight="1" s="23">
      <c r="C15" s="7" t="n"/>
    </row>
  </sheetData>
  <mergeCells count="12">
    <mergeCell ref="R4:R15"/>
    <mergeCell ref="C15:Q15"/>
    <mergeCell ref="C12:C14"/>
    <mergeCell ref="E6:E8"/>
    <mergeCell ref="E12:E14"/>
    <mergeCell ref="C5:D5"/>
    <mergeCell ref="B2:R2"/>
    <mergeCell ref="B4:B15"/>
    <mergeCell ref="C6:C8"/>
    <mergeCell ref="C4:Q4"/>
    <mergeCell ref="C9:C11"/>
    <mergeCell ref="E9:E11"/>
  </mergeCells>
  <conditionalFormatting sqref="Q10:Q11">
    <cfRule type="cellIs" priority="10" operator="lessThan" dxfId="0">
      <formula>0</formula>
    </cfRule>
    <cfRule type="cellIs" priority="9" operator="greaterThan" dxfId="1">
      <formula>0</formula>
    </cfRule>
  </conditionalFormatting>
  <conditionalFormatting sqref="Q13:Q14">
    <cfRule type="cellIs" priority="8" operator="lessThan" dxfId="0">
      <formula>0</formula>
    </cfRule>
    <cfRule type="cellIs" priority="7" operator="greaterThan" dxfId="1">
      <formula>0</formula>
    </cfRule>
  </conditionalFormatting>
  <conditionalFormatting sqref="E6:P6 E9:P9 E12:P12 F7:Q8 F10:P11 F13:P14">
    <cfRule type="cellIs" priority="17" operator="lessThan" dxfId="0">
      <formula>0</formula>
    </cfRule>
  </conditionalFormatting>
  <conditionalFormatting sqref="F7:Q8 F10:P11 F13:P14">
    <cfRule type="cellIs" priority="13" operator="greaterThan" dxfId="1">
      <formula>0</formula>
    </cfRule>
  </conditionalFormatting>
  <dataValidations count="2">
    <dataValidation sqref="A4 A5 A6 A7 A8 A9 A10 A11 A12 A13 A14 B4 B5 B6 B7 B8 B9 B10 B11 B12 B13 B14 C4 C5 C8 C9 C10 C11 C12 C13 C14 D4 D5 D8 D11 D14 E4 E5:H5 E6:J6 E7 E8 E9:F9 E10 E11 E12:G12 E13 E14 F4 F7:O7 F8:O8 F10:P10 F11:P11 F13:P13 F14:P14 G4 G9:I9 H4 H12 I4 I5:L5 I12:M12 J4 J9 K4 K6:O6 K9 L4 L9 M4 M5:P5 M9:N9 N4 N12 O4 O9 O12 P4 P6 P7:Q7 P8:Q8 P9 P12 Q4 Q5 Q6 Q9 Q10 Q11 Q12 Q13 R4 R5 R6 R7 R8 R9 R10 R11 R12 R13" showDropDown="0" showInputMessage="1" showErrorMessage="1" allowBlank="1"/>
    <dataValidation sqref="A15 B15 C6:D7 C15 D9:D10 D12:D13 D15 E15 F15 G15 H15 I15 J15 K15 L15 M15 N15 O15 P15 Q14 Q15 R14 R15" showDropDown="0" showInputMessage="1" showErrorMessage="1" allowBlank="1"/>
  </dataValidations>
  <pageMargins left="0.236111111111111" right="0" top="0.314583333333333" bottom="0" header="0.5" footer="0.393055555555556"/>
  <pageSetup orientation="landscape" paperSize="9" scale="87" horizontalDpi="600" verticalDpi="6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nbc-cwb01</dc:creator>
  <dcterms:created xsi:type="dcterms:W3CDTF">2020-11-04T03:33:00Z</dcterms:created>
  <dcterms:modified xsi:type="dcterms:W3CDTF">2025-07-08T09:59:17Z</dcterms:modified>
  <cp:lastModifiedBy>UMBRA~</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FB2F48E63CAF4C7A99981CDBE7A356A2_11</vt:lpwstr>
  </property>
  <property name="KSOProductBuildVer" fmtid="{D5CDD505-2E9C-101B-9397-08002B2CF9AE}" pid="3">
    <vt:lpwstr>2052-12.1.0.16388</vt:lpwstr>
  </property>
  <property name="KSOTemplateUUID" fmtid="{D5CDD505-2E9C-101B-9397-08002B2CF9AE}" pid="4">
    <vt:lpwstr>v1.0_mb_FABZOc4hma0cnrvgDz7EHA==</vt:lpwstr>
  </property>
</Properties>
</file>