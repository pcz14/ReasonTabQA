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40" yWindow="120" windowWidth="16050" windowHeight="12375" tabRatio="600" firstSheet="1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_ "/>
  </numFmts>
  <fonts count="22">
    <font>
      <name val="宋体"/>
      <family val="2"/>
      <color theme="1"/>
      <sz val="11"/>
      <scheme val="minor"/>
    </font>
    <font>
      <name val="Arial"/>
      <family val="2"/>
      <sz val="10"/>
    </font>
    <font>
      <name val="思源黑体 CN Medium"/>
      <family val="2"/>
      <color theme="1"/>
      <sz val="14"/>
    </font>
    <font>
      <name val="思源黑体 CN Medium"/>
      <family val="2"/>
      <color theme="1"/>
      <sz val="11"/>
    </font>
    <font>
      <name val="宋体"/>
      <family val="2"/>
      <color rgb="FF0000FF"/>
      <sz val="11"/>
      <u val="single"/>
      <scheme val="minor"/>
    </font>
    <font>
      <name val="宋体"/>
      <family val="2"/>
      <color rgb="FF800080"/>
      <sz val="11"/>
      <u val="single"/>
      <scheme val="minor"/>
    </font>
    <font>
      <name val="宋体"/>
      <family val="2"/>
      <color rgb="FFFF0000"/>
      <sz val="11"/>
      <scheme val="minor"/>
    </font>
    <font>
      <name val="宋体"/>
      <family val="2"/>
      <b val="1"/>
      <color theme="3"/>
      <sz val="18"/>
      <scheme val="minor"/>
    </font>
    <font>
      <name val="宋体"/>
      <family val="2"/>
      <i val="1"/>
      <color rgb="FF7F7F7F"/>
      <sz val="11"/>
      <scheme val="minor"/>
    </font>
    <font>
      <name val="宋体"/>
      <family val="2"/>
      <b val="1"/>
      <color theme="3"/>
      <sz val="15"/>
      <scheme val="minor"/>
    </font>
    <font>
      <name val="宋体"/>
      <family val="2"/>
      <b val="1"/>
      <color theme="3"/>
      <sz val="13"/>
      <scheme val="minor"/>
    </font>
    <font>
      <name val="宋体"/>
      <family val="2"/>
      <b val="1"/>
      <color theme="3"/>
      <sz val="11"/>
      <scheme val="minor"/>
    </font>
    <font>
      <name val="宋体"/>
      <family val="2"/>
      <color rgb="FF3F3F76"/>
      <sz val="11"/>
      <scheme val="minor"/>
    </font>
    <font>
      <name val="宋体"/>
      <family val="2"/>
      <b val="1"/>
      <color rgb="FF3F3F3F"/>
      <sz val="11"/>
      <scheme val="minor"/>
    </font>
    <font>
      <name val="宋体"/>
      <family val="2"/>
      <b val="1"/>
      <color rgb="FFFA7D00"/>
      <sz val="11"/>
      <scheme val="minor"/>
    </font>
    <font>
      <name val="宋体"/>
      <family val="2"/>
      <b val="1"/>
      <color rgb="FFFFFFFF"/>
      <sz val="11"/>
      <scheme val="minor"/>
    </font>
    <font>
      <name val="宋体"/>
      <family val="2"/>
      <color rgb="FFFA7D00"/>
      <sz val="11"/>
      <scheme val="minor"/>
    </font>
    <font>
      <name val="宋体"/>
      <family val="2"/>
      <b val="1"/>
      <color theme="1"/>
      <sz val="11"/>
      <scheme val="minor"/>
    </font>
    <font>
      <name val="宋体"/>
      <family val="2"/>
      <color rgb="FF006100"/>
      <sz val="11"/>
      <scheme val="minor"/>
    </font>
    <font>
      <name val="宋体"/>
      <family val="2"/>
      <color rgb="FF9C0006"/>
      <sz val="11"/>
      <scheme val="minor"/>
    </font>
    <font>
      <name val="宋体"/>
      <family val="2"/>
      <color rgb="FF9C6500"/>
      <sz val="11"/>
      <scheme val="minor"/>
    </font>
    <font>
      <name val="宋体"/>
      <family val="2"/>
      <color theme="0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4" tint="0.399980008602142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theme="5" tint="0.399980008602142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6" tint="0.399980008602142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7" tint="0.39998000860214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8" tint="0.399980008602142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9" tint="0.39998000860214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6000000238418579"/>
        <bgColor indexed="64"/>
      </patternFill>
    </fill>
  </fills>
  <borders count="1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79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</border>
  </borders>
  <cellStyleXfs count="55">
    <xf numFmtId="0" fontId="0" fillId="0" borderId="0" applyAlignment="1">
      <alignment vertical="center"/>
    </xf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43" fontId="0" fillId="0" borderId="0"/>
    <xf numFmtId="44" fontId="0" fillId="0" borderId="0"/>
    <xf numFmtId="9" fontId="0" fillId="0" borderId="0"/>
    <xf numFmtId="41" fontId="0" fillId="0" borderId="0"/>
    <xf numFmtId="42" fontId="0" fillId="0" borderId="0"/>
    <xf numFmtId="0" fontId="4" fillId="0" borderId="0"/>
    <xf numFmtId="0" fontId="5" fillId="0" borderId="0"/>
    <xf numFmtId="0" fontId="0" fillId="2" borderId="1"/>
    <xf numFmtId="0" fontId="6" fillId="0" borderId="0"/>
    <xf numFmtId="0" fontId="7" fillId="0" borderId="0"/>
    <xf numFmtId="0" fontId="8" fillId="0" borderId="0"/>
    <xf numFmtId="0" fontId="9" fillId="0" borderId="2"/>
    <xf numFmtId="0" fontId="10" fillId="0" borderId="2"/>
    <xf numFmtId="0" fontId="11" fillId="0" borderId="3"/>
    <xf numFmtId="0" fontId="11" fillId="0" borderId="0"/>
    <xf numFmtId="0" fontId="12" fillId="3" borderId="4"/>
    <xf numFmtId="0" fontId="13" fillId="4" borderId="5"/>
    <xf numFmtId="0" fontId="14" fillId="4" borderId="4"/>
    <xf numFmtId="0" fontId="15" fillId="5" borderId="6"/>
    <xf numFmtId="0" fontId="16" fillId="0" borderId="7"/>
    <xf numFmtId="0" fontId="17" fillId="0" borderId="8"/>
    <xf numFmtId="0" fontId="18" fillId="6" borderId="0"/>
    <xf numFmtId="0" fontId="19" fillId="7" borderId="0"/>
    <xf numFmtId="0" fontId="20" fillId="8" borderId="0"/>
    <xf numFmtId="0" fontId="21" fillId="9" borderId="0"/>
    <xf numFmtId="0" fontId="0" fillId="10" borderId="0"/>
    <xf numFmtId="0" fontId="0" fillId="11" borderId="0"/>
    <xf numFmtId="0" fontId="21" fillId="12" borderId="0"/>
    <xf numFmtId="0" fontId="21" fillId="13" borderId="0"/>
    <xf numFmtId="0" fontId="0" fillId="14" borderId="0"/>
    <xf numFmtId="0" fontId="0" fillId="15" borderId="0"/>
    <xf numFmtId="0" fontId="21" fillId="16" borderId="0"/>
    <xf numFmtId="0" fontId="21" fillId="17" borderId="0"/>
    <xf numFmtId="0" fontId="0" fillId="18" borderId="0"/>
    <xf numFmtId="0" fontId="0" fillId="19" borderId="0"/>
    <xf numFmtId="0" fontId="21" fillId="20" borderId="0"/>
    <xf numFmtId="0" fontId="21" fillId="21" borderId="0"/>
    <xf numFmtId="0" fontId="0" fillId="22" borderId="0"/>
    <xf numFmtId="0" fontId="0" fillId="23" borderId="0"/>
    <xf numFmtId="0" fontId="21" fillId="24" borderId="0"/>
    <xf numFmtId="0" fontId="21" fillId="25" borderId="0"/>
    <xf numFmtId="0" fontId="0" fillId="26" borderId="0"/>
    <xf numFmtId="0" fontId="0" fillId="27" borderId="0"/>
    <xf numFmtId="0" fontId="21" fillId="28" borderId="0"/>
    <xf numFmtId="0" fontId="21" fillId="29" borderId="0"/>
    <xf numFmtId="0" fontId="0" fillId="30" borderId="0"/>
    <xf numFmtId="0" fontId="0" fillId="31" borderId="0"/>
    <xf numFmtId="0" fontId="21" fillId="32" borderId="0"/>
    <xf numFmtId="0" fontId="4" fillId="0" borderId="0" applyAlignment="1">
      <alignment vertical="center"/>
    </xf>
  </cellStyleXfs>
  <cellXfs count="19">
    <xf numFmtId="0" fontId="0" fillId="0" borderId="0" applyAlignment="1" pivotButton="0" quotePrefix="0" xfId="0">
      <alignment vertical="center"/>
    </xf>
    <xf numFmtId="0" fontId="2" fillId="33" borderId="0" applyAlignment="1" pivotButton="0" quotePrefix="0" xfId="0">
      <alignment horizontal="center" vertical="center"/>
    </xf>
    <xf numFmtId="0" fontId="3" fillId="33" borderId="0" applyAlignment="1" pivotButton="0" quotePrefix="0" xfId="0">
      <alignment horizontal="center" vertical="center"/>
    </xf>
    <xf numFmtId="0" fontId="2" fillId="34" borderId="9" applyAlignment="1" pivotButton="0" quotePrefix="0" xfId="0">
      <alignment horizontal="center" vertical="center" wrapText="1"/>
    </xf>
    <xf numFmtId="0" fontId="2" fillId="34" borderId="10" applyAlignment="1" pivotButton="0" quotePrefix="0" xfId="0">
      <alignment horizontal="center" vertical="center" wrapText="1"/>
    </xf>
    <xf numFmtId="164" fontId="2" fillId="34" borderId="10" applyAlignment="1" pivotButton="0" quotePrefix="0" xfId="0">
      <alignment horizontal="center" vertical="center" wrapText="1"/>
    </xf>
    <xf numFmtId="0" fontId="2" fillId="33" borderId="11" applyAlignment="1" pivotButton="0" quotePrefix="0" xfId="0">
      <alignment horizontal="center" vertical="center" wrapText="1"/>
    </xf>
    <xf numFmtId="0" fontId="2" fillId="33" borderId="12" applyAlignment="1" pivotButton="0" quotePrefix="0" xfId="0">
      <alignment horizontal="center" vertical="center" wrapText="1"/>
    </xf>
    <xf numFmtId="164" fontId="2" fillId="33" borderId="12" applyAlignment="1" pivotButton="0" quotePrefix="0" xfId="0">
      <alignment horizontal="center" vertical="center" wrapText="1"/>
    </xf>
    <xf numFmtId="10" fontId="2" fillId="34" borderId="10" applyAlignment="1" pivotButton="0" quotePrefix="0" xfId="0">
      <alignment horizontal="center" vertical="center" wrapText="1"/>
    </xf>
    <xf numFmtId="10" fontId="2" fillId="33" borderId="12" applyAlignment="1" pivotButton="0" quotePrefix="0" xfId="0">
      <alignment horizontal="center" vertical="center" wrapText="1"/>
    </xf>
    <xf numFmtId="0" fontId="2" fillId="34" borderId="13" applyAlignment="1" pivotButton="0" quotePrefix="0" xfId="0">
      <alignment horizontal="center" vertical="center" wrapText="1"/>
    </xf>
    <xf numFmtId="0" fontId="2" fillId="33" borderId="14" applyAlignment="1" pivotButton="0" quotePrefix="0" xfId="0">
      <alignment horizontal="center" vertical="center" wrapText="1"/>
    </xf>
    <xf numFmtId="0" fontId="17" fillId="0" borderId="0" applyAlignment="1" pivotButton="0" quotePrefix="0" xfId="0">
      <alignment vertical="center"/>
    </xf>
    <xf numFmtId="0" fontId="4" fillId="0" borderId="0" applyAlignment="1" pivotButton="0" quotePrefix="0" xfId="68">
      <alignment vertical="center"/>
    </xf>
    <xf numFmtId="0" fontId="4" fillId="0" borderId="0" applyAlignment="1" pivotButton="0" quotePrefix="0" xfId="0">
      <alignment vertical="center"/>
    </xf>
    <xf numFmtId="0" fontId="0" fillId="0" borderId="0" pivotButton="0" quotePrefix="0" xfId="0"/>
    <xf numFmtId="164" fontId="2" fillId="34" borderId="10" applyAlignment="1" pivotButton="0" quotePrefix="0" xfId="0">
      <alignment horizontal="center" vertical="center" wrapText="1"/>
    </xf>
    <xf numFmtId="164" fontId="2" fillId="33" borderId="12" applyAlignment="1" pivotButton="0" quotePrefix="0" xfId="0">
      <alignment horizontal="center" vertical="center" wrapText="1"/>
    </xf>
  </cellXfs>
  <cellStyles count="55">
    <cellStyle name="Normal" xfId="0"/>
    <cellStyle name="Percent" xfId="1"/>
    <cellStyle name="Currency" xfId="2"/>
    <cellStyle name="Currency [0]" xfId="3"/>
    <cellStyle name="Comma" xfId="4"/>
    <cellStyle name="Comma [0]" xfId="5"/>
    <cellStyle name="千位分隔" xfId="6"/>
    <cellStyle name="货币" xfId="7"/>
    <cellStyle name="百分比" xfId="8"/>
    <cellStyle name="千位分隔[0]" xfId="9"/>
    <cellStyle name="货币[0]" xfId="10"/>
    <cellStyle name="超链接" xfId="11"/>
    <cellStyle name="已访问的超链接" xfId="12"/>
    <cellStyle name="注释" xfId="13"/>
    <cellStyle name="警告文本" xfId="14"/>
    <cellStyle name="标题" xfId="15"/>
    <cellStyle name="解释性文本" xfId="16"/>
    <cellStyle name="标题 1" xfId="17"/>
    <cellStyle name="标题 2" xfId="18"/>
    <cellStyle name="标题 3" xfId="19"/>
    <cellStyle name="标题 4" xfId="20"/>
    <cellStyle name="输入" xfId="21"/>
    <cellStyle name="输出" xfId="22"/>
    <cellStyle name="计算" xfId="23"/>
    <cellStyle name="检查单元格" xfId="24"/>
    <cellStyle name="链接单元格" xfId="25"/>
    <cellStyle name="汇总" xfId="26"/>
    <cellStyle name="好" xfId="27"/>
    <cellStyle name="差" xfId="28"/>
    <cellStyle name="适中" xfId="29"/>
    <cellStyle name="强调文字颜色 1" xfId="30"/>
    <cellStyle name="20% - 强调文字颜色 1" xfId="31"/>
    <cellStyle name="40% - 强调文字颜色 1" xfId="32"/>
    <cellStyle name="60% - 强调文字颜色 1" xfId="33"/>
    <cellStyle name="强调文字颜色 2" xfId="34"/>
    <cellStyle name="20% - 强调文字颜色 2" xfId="35"/>
    <cellStyle name="40% - 强调文字颜色 2" xfId="36"/>
    <cellStyle name="60% - 强调文字颜色 2" xfId="37"/>
    <cellStyle name="强调文字颜色 3" xfId="38"/>
    <cellStyle name="20% - 强调文字颜色 3" xfId="39"/>
    <cellStyle name="40% - 强调文字颜色 3" xfId="40"/>
    <cellStyle name="60% - 强调文字颜色 3" xfId="41"/>
    <cellStyle name="强调文字颜色 4" xfId="42"/>
    <cellStyle name="20% - 强调文字颜色 4" xfId="43"/>
    <cellStyle name="40% - 强调文字颜色 4" xfId="44"/>
    <cellStyle name="60% - 强调文字颜色 4" xfId="45"/>
    <cellStyle name="强调文字颜色 5" xfId="46"/>
    <cellStyle name="20% - 强调文字颜色 5" xfId="47"/>
    <cellStyle name="40% - 强调文字颜色 5" xfId="48"/>
    <cellStyle name="60% - 强调文字颜色 5" xfId="49"/>
    <cellStyle name="强调文字颜色 6" xfId="50"/>
    <cellStyle name="20% - 强调文字颜色 6" xfId="51"/>
    <cellStyle name="40% - 强调文字颜色 6" xfId="52"/>
    <cellStyle name="60% - 强调文字颜色 6" xfId="53"/>
    <cellStyle name="Hyperlink" xfId="5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topLeftCell="G1" workbookViewId="0">
      <selection activeCell="E8" sqref="E8"/>
    </sheetView>
  </sheetViews>
  <sheetFormatPr baseColWidth="8" defaultColWidth="16.25390625" defaultRowHeight="39.75" customHeight="1" outlineLevelRow="4"/>
  <cols>
    <col width="19.875" customWidth="1" style="1" min="1" max="1"/>
    <col width="13.875" customWidth="1" style="1" min="2" max="2"/>
    <col width="7.75390625" customWidth="1" style="1" min="3" max="3"/>
    <col width="8.50390625" customWidth="1" style="1" min="4" max="4"/>
    <col width="9.50390625" customWidth="1" style="1" min="5" max="5"/>
    <col width="7.875" customWidth="1" style="1" min="6" max="6"/>
    <col width="13.75390625" customWidth="1" style="1" min="7" max="7"/>
    <col width="9.375" customWidth="1" style="1" min="8" max="8"/>
    <col width="6.375" customWidth="1" style="1" min="9" max="9"/>
    <col width="10.375" customWidth="1" style="1" min="10" max="10"/>
    <col width="11.00390625" customWidth="1" style="1" min="11" max="11"/>
    <col width="19.125" customWidth="1" style="1" min="12" max="12"/>
    <col width="7.75390625" customWidth="1" style="1" min="13" max="13"/>
    <col width="8.75390625" customWidth="1" style="1" min="14" max="14"/>
    <col width="10.50390625" customWidth="1" style="1" min="15" max="15"/>
    <col width="11.00390625" customWidth="1" style="1" min="16" max="16"/>
    <col width="6.625" customWidth="1" style="1" min="17" max="17"/>
    <col width="7.375" customWidth="1" style="1" min="18" max="18"/>
    <col width="16.25390625" customWidth="1" style="2" min="19" max="16384"/>
  </cols>
  <sheetData>
    <row r="1" ht="39.75" customHeight="1" s="16">
      <c r="A1" s="3" t="inlineStr">
        <is>
          <t>Item Number</t>
        </is>
      </c>
      <c r="B1" s="4" t="inlineStr">
        <is>
          <t>Style Number</t>
        </is>
      </c>
      <c r="C1" s="4" t="inlineStr">
        <is>
          <t>Season</t>
        </is>
      </c>
      <c r="D1" s="4" t="inlineStr">
        <is>
          <t>Suggested Price</t>
        </is>
      </c>
      <c r="E1" s="4" t="inlineStr">
        <is>
          <t>Main or Secondary Promotion</t>
        </is>
      </c>
      <c r="F1" s="4" t="inlineStr">
        <is>
          <t>Cost</t>
        </is>
      </c>
      <c r="G1" s="17" t="inlineStr">
        <is>
          <t>Activity Price Multiple</t>
        </is>
      </c>
      <c r="H1" s="4" t="inlineStr">
        <is>
          <t>Promotional Price</t>
        </is>
      </c>
      <c r="I1" s="4" t="inlineStr">
        <is>
          <t>Profit</t>
        </is>
      </c>
      <c r="J1" s="9" t="inlineStr">
        <is>
          <t>Gross profit</t>
        </is>
      </c>
      <c r="K1" s="4" t="inlineStr">
        <is>
          <t>All inventory</t>
        </is>
      </c>
      <c r="L1" s="4" t="inlineStr">
        <is>
          <t>Sub-category</t>
        </is>
      </c>
      <c r="M1" s="4" t="inlineStr">
        <is>
          <t>Fabric</t>
        </is>
      </c>
      <c r="N1" s="4" t="inlineStr">
        <is>
          <t>Market Price</t>
        </is>
      </c>
      <c r="O1" s="17" t="inlineStr">
        <is>
          <t>Hanger Tag Discount</t>
        </is>
      </c>
      <c r="P1" s="17" t="inlineStr">
        <is>
          <t>Activity Discount</t>
        </is>
      </c>
      <c r="Q1" s="4" t="inlineStr">
        <is>
          <t>Remarks</t>
        </is>
      </c>
      <c r="R1" s="11" t="inlineStr">
        <is>
          <t>Freight</t>
        </is>
      </c>
    </row>
    <row r="2" ht="39.75" customHeight="1" s="16">
      <c r="A2" s="6" t="inlineStr">
        <is>
          <t>M983512062071</t>
        </is>
      </c>
      <c r="B2" s="7" t="inlineStr">
        <is>
          <t>M98351206</t>
        </is>
      </c>
      <c r="C2" s="7" t="inlineStr">
        <is>
          <t>Winter</t>
        </is>
      </c>
      <c r="D2" s="7" t="n">
        <v>399</v>
      </c>
      <c r="E2" s="7" t="inlineStr">
        <is>
          <t>Main promotion</t>
        </is>
      </c>
      <c r="F2" s="7" t="n">
        <v>146</v>
      </c>
      <c r="G2" s="18">
        <f>_xlfn.IFERROR((H2/F2),"")</f>
        <v/>
      </c>
      <c r="H2" s="7">
        <f>_xlfn.IFERROR(INT((F2+R2)/(1-J2)),"")</f>
        <v/>
      </c>
      <c r="I2" s="7">
        <f>_xlfn.IFERROR(INT((H2-F2-R2)),"")</f>
        <v/>
      </c>
      <c r="J2" s="10" t="n">
        <v>0.38</v>
      </c>
      <c r="K2" s="7" t="n">
        <v>605</v>
      </c>
      <c r="L2" s="7" t="inlineStr">
        <is>
          <t>Men's pajamas/home wear</t>
        </is>
      </c>
      <c r="M2" s="7" t="inlineStr">
        <is>
          <t>Fleece-lined</t>
        </is>
      </c>
      <c r="N2" s="7" t="n">
        <v>1299</v>
      </c>
      <c r="O2" s="18">
        <f>_xlfn.IFERROR((H2/N2),"")</f>
        <v/>
      </c>
      <c r="P2" s="18">
        <f>_xlfn.IFERROR((H2/N2),"")</f>
        <v/>
      </c>
      <c r="Q2" s="7" t="n">
        <v>0</v>
      </c>
      <c r="R2" s="12" t="n">
        <v>15</v>
      </c>
    </row>
    <row r="3" ht="39.75" customHeight="1" s="16">
      <c r="A3" s="6" t="inlineStr">
        <is>
          <t>X983512000073</t>
        </is>
      </c>
      <c r="B3" s="7" t="inlineStr">
        <is>
          <t>X98351200</t>
        </is>
      </c>
      <c r="C3" s="7" t="inlineStr">
        <is>
          <t>Winter</t>
        </is>
      </c>
      <c r="D3" s="7" t="n">
        <v>389</v>
      </c>
      <c r="E3" s="7" t="inlineStr">
        <is>
          <t>Main promotion</t>
        </is>
      </c>
      <c r="F3" s="7" t="n">
        <v>144</v>
      </c>
      <c r="G3" s="18">
        <f>_xlfn.IFERROR((H3/F3),"")</f>
        <v/>
      </c>
      <c r="H3" s="7">
        <f>_xlfn.IFERROR(INT((F3+R3)/(1-J3)),"")</f>
        <v/>
      </c>
      <c r="I3" s="7">
        <f>_xlfn.IFERROR(INT((H3-F3-R3)),"")</f>
        <v/>
      </c>
      <c r="J3" s="10" t="n">
        <v>0.38</v>
      </c>
      <c r="K3" s="7" t="n">
        <v>600</v>
      </c>
      <c r="L3" s="7" t="inlineStr">
        <is>
          <t>Women's pajamas / loungewear</t>
        </is>
      </c>
      <c r="M3" s="7" t="inlineStr">
        <is>
          <t>Fleece-lined</t>
        </is>
      </c>
      <c r="N3" s="7" t="n">
        <v>1269</v>
      </c>
      <c r="O3" s="18">
        <f>_xlfn.IFERROR((H3/N3),"")</f>
        <v/>
      </c>
      <c r="P3" s="18">
        <f>_xlfn.IFERROR((H3/N3),"")</f>
        <v/>
      </c>
      <c r="Q3" s="7" t="n">
        <v>0</v>
      </c>
      <c r="R3" s="12" t="n">
        <v>15</v>
      </c>
    </row>
    <row r="4" ht="39.75" customHeight="1" s="16">
      <c r="A4" s="6" t="inlineStr">
        <is>
          <t>X983512002137</t>
        </is>
      </c>
      <c r="B4" s="7" t="inlineStr">
        <is>
          <t>X98351200</t>
        </is>
      </c>
      <c r="C4" s="7" t="inlineStr">
        <is>
          <t>Winter</t>
        </is>
      </c>
      <c r="D4" s="7" t="n">
        <v>389</v>
      </c>
      <c r="E4" s="7" t="inlineStr">
        <is>
          <t>Main promotion</t>
        </is>
      </c>
      <c r="F4" s="7" t="n">
        <v>144</v>
      </c>
      <c r="G4" s="18">
        <f>_xlfn.IFERROR((H4/F4),"")</f>
        <v/>
      </c>
      <c r="H4" s="7">
        <f>_xlfn.IFERROR(INT((F4+R4)/(1-J4)),"")</f>
        <v/>
      </c>
      <c r="I4" s="7">
        <f>_xlfn.IFERROR(INT((H4-F4-R4)),"")</f>
        <v/>
      </c>
      <c r="J4" s="10" t="n">
        <v>0.38</v>
      </c>
      <c r="K4" s="7" t="n">
        <v>600</v>
      </c>
      <c r="L4" s="7" t="inlineStr">
        <is>
          <t>Women's pajamas / loungewear</t>
        </is>
      </c>
      <c r="M4" s="7" t="inlineStr">
        <is>
          <t>Fleece-lined</t>
        </is>
      </c>
      <c r="N4" s="7" t="n">
        <v>1269</v>
      </c>
      <c r="O4" s="18">
        <f>_xlfn.IFERROR((H4/N4),"")</f>
        <v/>
      </c>
      <c r="P4" s="18">
        <f>_xlfn.IFERROR((H4/N4),"")</f>
        <v/>
      </c>
      <c r="Q4" s="7" t="n">
        <v>0</v>
      </c>
      <c r="R4" s="12" t="n">
        <v>15</v>
      </c>
    </row>
    <row r="5" ht="39.75" customHeight="1" s="16">
      <c r="A5" s="6" t="inlineStr">
        <is>
          <t>J983512574933</t>
        </is>
      </c>
      <c r="B5" s="7" t="inlineStr">
        <is>
          <t>J98351257</t>
        </is>
      </c>
      <c r="C5" s="7" t="inlineStr">
        <is>
          <t>Winter</t>
        </is>
      </c>
      <c r="D5" s="7" t="n">
        <v>389</v>
      </c>
      <c r="E5" s="7" t="inlineStr">
        <is>
          <t>Secondary promotion</t>
        </is>
      </c>
      <c r="F5" s="7" t="n">
        <v>142</v>
      </c>
      <c r="G5" s="18">
        <f>_xlfn.IFERROR((H5/F5),"")</f>
        <v/>
      </c>
      <c r="H5" s="7">
        <f>_xlfn.IFERROR(INT((F5+R5)/(1-J5)),"")</f>
        <v/>
      </c>
      <c r="I5" s="7">
        <f>_xlfn.IFERROR(INT((H5-F5-R5)),"")</f>
        <v/>
      </c>
      <c r="J5" s="10" t="n">
        <v>0.38</v>
      </c>
      <c r="K5" s="7" t="n">
        <v>400</v>
      </c>
      <c r="L5" s="7" t="inlineStr">
        <is>
          <t>Women's pajamas / loungewear</t>
        </is>
      </c>
      <c r="M5" s="7" t="inlineStr">
        <is>
          <t>Fleece-lined</t>
        </is>
      </c>
      <c r="N5" s="7" t="n">
        <v>1269</v>
      </c>
      <c r="O5" s="18">
        <f>_xlfn.IFERROR((H5/N5),"")</f>
        <v/>
      </c>
      <c r="P5" s="18">
        <f>_xlfn.IFERROR((H5/N5),"")</f>
        <v/>
      </c>
      <c r="Q5" s="7" t="n">
        <v>0</v>
      </c>
      <c r="R5" s="12" t="n">
        <v>15</v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2022-10-31T08:51:00Z</dcterms:created>
  <dcterms:modified xsi:type="dcterms:W3CDTF">2025-07-08T02:52:59Z</dcterms:modified>
  <cp:lastModifiedBy>清律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606D3D08386D41F5A32DCDAC18D0C936_11</vt:lpwstr>
  </property>
  <property name="KSOProductBuildVer" fmtid="{D5CDD505-2E9C-101B-9397-08002B2CF9AE}" pid="3">
    <vt:lpwstr>2052-12.1.0.16250</vt:lpwstr>
  </property>
  <property name="KSOTemplateUUID" fmtid="{D5CDD505-2E9C-101B-9397-08002B2CF9AE}" pid="4">
    <vt:lpwstr>v1.0_mb_i8U3a4f25Mg6HflUaOCYZQ==</vt:lpwstr>
  </property>
</Properties>
</file>