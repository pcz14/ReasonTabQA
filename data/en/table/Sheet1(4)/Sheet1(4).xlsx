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20" windowWidth="16080" windowHeight="12375" tabRatio="600" firstSheet="1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_ "/>
    <numFmt numFmtId="165" formatCode="0.00000_);[Red]\(0.00000\)"/>
    <numFmt numFmtId="166" formatCode="0.00000_);\(0.00000\)"/>
    <numFmt numFmtId="167" formatCode="0.00;[Red]0.00"/>
  </numFmts>
  <fonts count="24">
    <font>
      <name val="宋体"/>
      <family val="2"/>
      <sz val="12"/>
    </font>
    <font>
      <name val="Arial"/>
      <family val="2"/>
      <sz val="10"/>
    </font>
    <font>
      <name val="宋体"/>
      <family val="2"/>
      <sz val="11"/>
    </font>
    <font>
      <name val="宋体"/>
      <family val="2"/>
      <color theme="1"/>
      <sz val="11"/>
      <scheme val="minor"/>
    </font>
    <font>
      <name val="宋体"/>
      <family val="2"/>
      <color rgb="FF0000FF"/>
      <sz val="11"/>
      <u val="single"/>
      <scheme val="minor"/>
    </font>
    <font>
      <name val="宋体"/>
      <family val="2"/>
      <color rgb="FF800080"/>
      <sz val="11"/>
      <u val="single"/>
      <scheme val="minor"/>
    </font>
    <font>
      <name val="宋体"/>
      <family val="2"/>
      <color rgb="FFFF0000"/>
      <sz val="11"/>
      <scheme val="minor"/>
    </font>
    <font>
      <name val="宋体"/>
      <family val="2"/>
      <b val="1"/>
      <color theme="3"/>
      <sz val="18"/>
      <scheme val="minor"/>
    </font>
    <font>
      <name val="宋体"/>
      <family val="2"/>
      <i val="1"/>
      <color rgb="FF7F7F7F"/>
      <sz val="11"/>
      <scheme val="minor"/>
    </font>
    <font>
      <name val="宋体"/>
      <family val="2"/>
      <b val="1"/>
      <color theme="3"/>
      <sz val="15"/>
      <scheme val="minor"/>
    </font>
    <font>
      <name val="宋体"/>
      <family val="2"/>
      <b val="1"/>
      <color theme="3"/>
      <sz val="13"/>
      <scheme val="minor"/>
    </font>
    <font>
      <name val="宋体"/>
      <family val="2"/>
      <b val="1"/>
      <color theme="3"/>
      <sz val="11"/>
      <scheme val="minor"/>
    </font>
    <font>
      <name val="宋体"/>
      <family val="2"/>
      <color rgb="FF3F3F76"/>
      <sz val="11"/>
      <scheme val="minor"/>
    </font>
    <font>
      <name val="宋体"/>
      <family val="2"/>
      <b val="1"/>
      <color rgb="FF3F3F3F"/>
      <sz val="11"/>
      <scheme val="minor"/>
    </font>
    <font>
      <name val="宋体"/>
      <family val="2"/>
      <b val="1"/>
      <color rgb="FFFA7D00"/>
      <sz val="11"/>
      <scheme val="minor"/>
    </font>
    <font>
      <name val="宋体"/>
      <family val="2"/>
      <b val="1"/>
      <color rgb="FFFFFFFF"/>
      <sz val="11"/>
      <scheme val="minor"/>
    </font>
    <font>
      <name val="宋体"/>
      <family val="2"/>
      <color rgb="FFFA7D00"/>
      <sz val="11"/>
      <scheme val="minor"/>
    </font>
    <font>
      <name val="宋体"/>
      <family val="2"/>
      <b val="1"/>
      <color theme="1"/>
      <sz val="11"/>
      <scheme val="minor"/>
    </font>
    <font>
      <name val="宋体"/>
      <family val="2"/>
      <color rgb="FF006100"/>
      <sz val="11"/>
      <scheme val="minor"/>
    </font>
    <font>
      <name val="宋体"/>
      <family val="2"/>
      <color rgb="FF9C0006"/>
      <sz val="11"/>
      <scheme val="minor"/>
    </font>
    <font>
      <name val="宋体"/>
      <family val="2"/>
      <color rgb="FF9C6500"/>
      <sz val="11"/>
      <scheme val="minor"/>
    </font>
    <font>
      <name val="宋体"/>
      <family val="2"/>
      <color theme="0"/>
      <sz val="11"/>
      <scheme val="minor"/>
    </font>
    <font>
      <name val="宋体"/>
      <family val="2"/>
      <b val="1"/>
      <sz val="12"/>
    </font>
    <font>
      <name val="宋体"/>
      <family val="2"/>
      <color rgb="FF0000FF"/>
      <sz val="12"/>
      <u val="single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799847602844"/>
        <bgColor indexed="64"/>
      </patternFill>
    </fill>
    <fill>
      <patternFill patternType="solid">
        <fgColor theme="4" tint="0.5999900102615356"/>
        <bgColor indexed="64"/>
      </patternFill>
    </fill>
    <fill>
      <patternFill patternType="solid">
        <fgColor theme="4" tint="0.399980008602142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799847602844"/>
        <bgColor indexed="64"/>
      </patternFill>
    </fill>
    <fill>
      <patternFill patternType="solid">
        <fgColor theme="5" tint="0.5999900102615356"/>
        <bgColor indexed="64"/>
      </patternFill>
    </fill>
    <fill>
      <patternFill patternType="solid">
        <fgColor theme="5" tint="0.399980008602142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799847602844"/>
        <bgColor indexed="64"/>
      </patternFill>
    </fill>
    <fill>
      <patternFill patternType="solid">
        <fgColor theme="6" tint="0.5999900102615356"/>
        <bgColor indexed="64"/>
      </patternFill>
    </fill>
    <fill>
      <patternFill patternType="solid">
        <fgColor theme="6" tint="0.399980008602142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799847602844"/>
        <bgColor indexed="64"/>
      </patternFill>
    </fill>
    <fill>
      <patternFill patternType="solid">
        <fgColor theme="7" tint="0.5999900102615356"/>
        <bgColor indexed="64"/>
      </patternFill>
    </fill>
    <fill>
      <patternFill patternType="solid">
        <fgColor theme="7" tint="0.399980008602142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799847602844"/>
        <bgColor indexed="64"/>
      </patternFill>
    </fill>
    <fill>
      <patternFill patternType="solid">
        <fgColor theme="8" tint="0.5999900102615356"/>
        <bgColor indexed="64"/>
      </patternFill>
    </fill>
    <fill>
      <patternFill patternType="solid">
        <fgColor theme="8" tint="0.399980008602142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799847602844"/>
        <bgColor indexed="64"/>
      </patternFill>
    </fill>
    <fill>
      <patternFill patternType="solid">
        <fgColor theme="9" tint="0.5999900102615356"/>
        <bgColor indexed="64"/>
      </patternFill>
    </fill>
    <fill>
      <patternFill patternType="solid">
        <fgColor theme="9" tint="0.3999800086021423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/>
      <right/>
      <top/>
      <bottom style="medium">
        <color theme="4"/>
      </bottom>
    </border>
    <border>
      <left/>
      <right/>
      <top/>
      <bottom style="medium">
        <color theme="4" tint="0.4999800026416779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double">
        <color rgb="FFFF8001"/>
      </bottom>
    </border>
    <border>
      <left/>
      <right/>
      <top style="thin">
        <color theme="4"/>
      </top>
      <bottom style="double">
        <color theme="4"/>
      </bottom>
    </border>
    <border>
      <left style="thin"/>
      <right style="thin"/>
      <top style="thin"/>
      <bottom style="thin"/>
    </border>
  </borders>
  <cellStyleXfs count="55">
    <xf numFmtId="0" fontId="0" fillId="0" borderId="0"/>
    <xf numFmtId="9" fontId="1" fillId="0" borderId="0"/>
    <xf numFmtId="44" fontId="1" fillId="0" borderId="0"/>
    <xf numFmtId="42" fontId="1" fillId="0" borderId="0"/>
    <xf numFmtId="43" fontId="1" fillId="0" borderId="0"/>
    <xf numFmtId="41" fontId="1" fillId="0" borderId="0"/>
    <xf numFmtId="43" fontId="3" fillId="0" borderId="0"/>
    <xf numFmtId="44" fontId="3" fillId="0" borderId="0"/>
    <xf numFmtId="9" fontId="3" fillId="0" borderId="0"/>
    <xf numFmtId="41" fontId="3" fillId="0" borderId="0"/>
    <xf numFmtId="42" fontId="3" fillId="0" borderId="0"/>
    <xf numFmtId="0" fontId="4" fillId="0" borderId="0"/>
    <xf numFmtId="0" fontId="5" fillId="0" borderId="0"/>
    <xf numFmtId="0" fontId="3" fillId="2" borderId="1"/>
    <xf numFmtId="0" fontId="6" fillId="0" borderId="0"/>
    <xf numFmtId="0" fontId="7" fillId="0" borderId="0"/>
    <xf numFmtId="0" fontId="8" fillId="0" borderId="0"/>
    <xf numFmtId="0" fontId="9" fillId="0" borderId="2"/>
    <xf numFmtId="0" fontId="10" fillId="0" borderId="2"/>
    <xf numFmtId="0" fontId="11" fillId="0" borderId="3"/>
    <xf numFmtId="0" fontId="11" fillId="0" borderId="0"/>
    <xf numFmtId="0" fontId="12" fillId="3" borderId="4"/>
    <xf numFmtId="0" fontId="13" fillId="4" borderId="5"/>
    <xf numFmtId="0" fontId="14" fillId="4" borderId="4"/>
    <xf numFmtId="0" fontId="15" fillId="5" borderId="6"/>
    <xf numFmtId="0" fontId="16" fillId="0" borderId="7"/>
    <xf numFmtId="0" fontId="17" fillId="0" borderId="8"/>
    <xf numFmtId="0" fontId="18" fillId="6" borderId="0"/>
    <xf numFmtId="0" fontId="19" fillId="7" borderId="0"/>
    <xf numFmtId="0" fontId="20" fillId="8" borderId="0"/>
    <xf numFmtId="0" fontId="21" fillId="9" borderId="0"/>
    <xf numFmtId="0" fontId="3" fillId="10" borderId="0"/>
    <xf numFmtId="0" fontId="3" fillId="11" borderId="0"/>
    <xf numFmtId="0" fontId="21" fillId="12" borderId="0"/>
    <xf numFmtId="0" fontId="21" fillId="13" borderId="0"/>
    <xf numFmtId="0" fontId="3" fillId="14" borderId="0"/>
    <xf numFmtId="0" fontId="3" fillId="15" borderId="0"/>
    <xf numFmtId="0" fontId="21" fillId="16" borderId="0"/>
    <xf numFmtId="0" fontId="21" fillId="17" borderId="0"/>
    <xf numFmtId="0" fontId="3" fillId="18" borderId="0"/>
    <xf numFmtId="0" fontId="3" fillId="19" borderId="0"/>
    <xf numFmtId="0" fontId="21" fillId="20" borderId="0"/>
    <xf numFmtId="0" fontId="21" fillId="21" borderId="0"/>
    <xf numFmtId="0" fontId="3" fillId="22" borderId="0"/>
    <xf numFmtId="0" fontId="3" fillId="23" borderId="0"/>
    <xf numFmtId="0" fontId="21" fillId="24" borderId="0"/>
    <xf numFmtId="0" fontId="21" fillId="25" borderId="0"/>
    <xf numFmtId="0" fontId="3" fillId="26" borderId="0"/>
    <xf numFmtId="0" fontId="3" fillId="27" borderId="0"/>
    <xf numFmtId="0" fontId="21" fillId="28" borderId="0"/>
    <xf numFmtId="0" fontId="21" fillId="29" borderId="0"/>
    <xf numFmtId="0" fontId="3" fillId="30" borderId="0"/>
    <xf numFmtId="0" fontId="3" fillId="31" borderId="0"/>
    <xf numFmtId="0" fontId="21" fillId="32" borderId="0"/>
    <xf numFmtId="0" fontId="23" fillId="0" borderId="0"/>
  </cellStyleXfs>
  <cellXfs count="20">
    <xf numFmtId="0" fontId="0" fillId="0" borderId="0" pivotButton="0" quotePrefix="0" xfId="0"/>
    <xf numFmtId="0" fontId="0" fillId="0" borderId="9" applyAlignment="1" pivotButton="0" quotePrefix="0" xfId="0">
      <alignment horizontal="center"/>
    </xf>
    <xf numFmtId="0" fontId="0" fillId="0" borderId="9" applyAlignment="1" pivotButton="0" quotePrefix="0" xfId="0">
      <alignment wrapText="1"/>
    </xf>
    <xf numFmtId="0" fontId="0" fillId="0" borderId="9" pivotButton="0" quotePrefix="0" xfId="0"/>
    <xf numFmtId="164" fontId="0" fillId="0" borderId="9" pivotButton="0" quotePrefix="0" xfId="0"/>
    <xf numFmtId="165" fontId="0" fillId="0" borderId="9" applyAlignment="1" pivotButton="0" quotePrefix="0" xfId="0">
      <alignment horizontal="center"/>
    </xf>
    <xf numFmtId="166" fontId="0" fillId="0" borderId="9" pivotButton="0" quotePrefix="0" xfId="0"/>
    <xf numFmtId="167" fontId="0" fillId="0" borderId="9" pivotButton="0" quotePrefix="0" xfId="0"/>
    <xf numFmtId="164" fontId="0" fillId="0" borderId="0" pivotButton="0" quotePrefix="0" xfId="0"/>
    <xf numFmtId="0" fontId="2" fillId="0" borderId="9" applyAlignment="1" pivotButton="0" quotePrefix="0" xfId="0">
      <alignment wrapText="1"/>
    </xf>
    <xf numFmtId="167" fontId="0" fillId="0" borderId="0" pivotButton="0" quotePrefix="0" xfId="0"/>
    <xf numFmtId="0" fontId="22" fillId="0" borderId="0" pivotButton="0" quotePrefix="0" xfId="0"/>
    <xf numFmtId="0" fontId="23" fillId="0" borderId="0" pivotButton="0" quotePrefix="0" xfId="68"/>
    <xf numFmtId="0" fontId="23" fillId="0" borderId="0" pivotButton="0" quotePrefix="0" xfId="0"/>
    <xf numFmtId="164" fontId="0" fillId="0" borderId="9" pivotButton="0" quotePrefix="0" xfId="0"/>
    <xf numFmtId="165" fontId="0" fillId="0" borderId="9" applyAlignment="1" pivotButton="0" quotePrefix="0" xfId="0">
      <alignment horizontal="center"/>
    </xf>
    <xf numFmtId="166" fontId="0" fillId="0" borderId="9" pivotButton="0" quotePrefix="0" xfId="0"/>
    <xf numFmtId="167" fontId="0" fillId="0" borderId="9" pivotButton="0" quotePrefix="0" xfId="0"/>
    <xf numFmtId="167" fontId="0" fillId="0" borderId="0" pivotButton="0" quotePrefix="0" xfId="0"/>
    <xf numFmtId="164" fontId="0" fillId="0" borderId="0" pivotButton="0" quotePrefix="0" xfId="0"/>
  </cellXfs>
  <cellStyles count="55">
    <cellStyle name="Normal" xfId="0"/>
    <cellStyle name="Percent" xfId="1"/>
    <cellStyle name="Currency" xfId="2"/>
    <cellStyle name="Currency [0]" xfId="3"/>
    <cellStyle name="Comma" xfId="4"/>
    <cellStyle name="Comma [0]" xfId="5"/>
    <cellStyle name="千位分隔" xfId="6"/>
    <cellStyle name="货币" xfId="7"/>
    <cellStyle name="百分比" xfId="8"/>
    <cellStyle name="千位分隔[0]" xfId="9"/>
    <cellStyle name="货币[0]" xfId="10"/>
    <cellStyle name="超链接" xfId="11"/>
    <cellStyle name="已访问的超链接" xfId="12"/>
    <cellStyle name="注释" xfId="13"/>
    <cellStyle name="警告文本" xfId="14"/>
    <cellStyle name="标题" xfId="15"/>
    <cellStyle name="解释性文本" xfId="16"/>
    <cellStyle name="标题 1" xfId="17"/>
    <cellStyle name="标题 2" xfId="18"/>
    <cellStyle name="标题 3" xfId="19"/>
    <cellStyle name="标题 4" xfId="20"/>
    <cellStyle name="输入" xfId="21"/>
    <cellStyle name="输出" xfId="22"/>
    <cellStyle name="计算" xfId="23"/>
    <cellStyle name="检查单元格" xfId="24"/>
    <cellStyle name="链接单元格" xfId="25"/>
    <cellStyle name="汇总" xfId="26"/>
    <cellStyle name="好" xfId="27"/>
    <cellStyle name="差" xfId="28"/>
    <cellStyle name="适中" xfId="29"/>
    <cellStyle name="强调文字颜色 1" xfId="30"/>
    <cellStyle name="20% - 强调文字颜色 1" xfId="31"/>
    <cellStyle name="40% - 强调文字颜色 1" xfId="32"/>
    <cellStyle name="60% - 强调文字颜色 1" xfId="33"/>
    <cellStyle name="强调文字颜色 2" xfId="34"/>
    <cellStyle name="20% - 强调文字颜色 2" xfId="35"/>
    <cellStyle name="40% - 强调文字颜色 2" xfId="36"/>
    <cellStyle name="60% - 强调文字颜色 2" xfId="37"/>
    <cellStyle name="强调文字颜色 3" xfId="38"/>
    <cellStyle name="20% - 强调文字颜色 3" xfId="39"/>
    <cellStyle name="40% - 强调文字颜色 3" xfId="40"/>
    <cellStyle name="60% - 强调文字颜色 3" xfId="41"/>
    <cellStyle name="强调文字颜色 4" xfId="42"/>
    <cellStyle name="20% - 强调文字颜色 4" xfId="43"/>
    <cellStyle name="40% - 强调文字颜色 4" xfId="44"/>
    <cellStyle name="60% - 强调文字颜色 4" xfId="45"/>
    <cellStyle name="强调文字颜色 5" xfId="46"/>
    <cellStyle name="20% - 强调文字颜色 5" xfId="47"/>
    <cellStyle name="40% - 强调文字颜色 5" xfId="48"/>
    <cellStyle name="60% - 强调文字颜色 5" xfId="49"/>
    <cellStyle name="强调文字颜色 6" xfId="50"/>
    <cellStyle name="20% - 强调文字颜色 6" xfId="51"/>
    <cellStyle name="40% - 强调文字颜色 6" xfId="52"/>
    <cellStyle name="60% - 强调文字颜色 6" xfId="53"/>
    <cellStyle name="Hyperlink" xfId="54"/>
  </cellStyles>
  <dxfs count="17">
    <dxf>
      <fill>
        <patternFill patternType="solid">
          <fgColor theme="4" tint="0.7999799847602844"/>
          <bgColor theme="4" tint="0.7999799847602844"/>
        </patternFill>
      </fill>
    </dxf>
    <dxf>
      <fill>
        <patternFill patternType="solid">
          <fgColor theme="4" tint="0.7999799847602844"/>
          <bgColor theme="4" tint="0.799979984760284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800086021423"/>
        </horizontal>
      </border>
    </dxf>
    <dxf>
      <fill>
        <patternFill patternType="solid">
          <fgColor theme="4" tint="0.7999799847602844"/>
          <bgColor theme="4" tint="0.7999799847602844"/>
        </patternFill>
      </fill>
      <border>
        <bottom style="thin">
          <color theme="4" tint="0.3999800086021423"/>
        </bottom>
      </border>
    </dxf>
    <dxf>
      <font>
        <b val="1"/>
      </font>
      <fill>
        <patternFill patternType="solid">
          <fgColor theme="4" tint="0.7999799847602844"/>
          <bgColor theme="4" tint="0.7999799847602844"/>
        </patternFill>
      </fill>
      <border>
        <bottom style="thin">
          <color theme="4" tint="0.3999800086021423"/>
        </bottom>
      </border>
    </dxf>
    <dxf>
      <font>
        <color theme="1"/>
      </font>
    </dxf>
    <dxf>
      <font>
        <color theme="1"/>
      </font>
      <border>
        <bottom style="thin">
          <color theme="4" tint="0.3999800086021423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799847602844"/>
          <bgColor theme="4" tint="0.7999799847602844"/>
        </patternFill>
      </fill>
    </dxf>
    <dxf>
      <fill>
        <patternFill patternType="solid">
          <fgColor theme="4" tint="0.7999799847602844"/>
          <bgColor theme="4" tint="0.7999799847602844"/>
        </patternFill>
      </fill>
    </dxf>
    <dxf>
      <font>
        <b val="1"/>
        <color theme="1"/>
      </font>
      <fill>
        <patternFill patternType="solid">
          <fgColor theme="4" tint="0.7999799847602844"/>
          <bgColor theme="4" tint="0.7999799847602844"/>
        </patternFill>
      </fill>
      <border>
        <top style="thin">
          <color theme="4" tint="0.3999800086021423"/>
        </top>
        <bottom style="thin">
          <color theme="4" tint="0.3999800086021423"/>
        </bottom>
      </border>
    </dxf>
    <dxf>
      <font>
        <b val="1"/>
        <color theme="1"/>
      </font>
      <fill>
        <patternFill patternType="solid">
          <fgColor theme="4" tint="0.7999799847602844"/>
          <bgColor theme="4" tint="0.7999799847602844"/>
        </patternFill>
      </fill>
      <border>
        <bottom style="thin">
          <color theme="4" tint="0.3999800086021423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1"/>
  <sheetViews>
    <sheetView topLeftCell="A1" workbookViewId="0">
      <selection activeCell="B4" sqref="B4"/>
    </sheetView>
  </sheetViews>
  <sheetFormatPr baseColWidth="8" defaultColWidth="8.75390625" defaultRowHeight="14.25"/>
  <cols>
    <col width="15.625" customWidth="1" min="2" max="2"/>
    <col width="17.875" customWidth="1" min="3" max="3"/>
    <col hidden="1" width="17.875" customWidth="1" min="4" max="4"/>
    <col width="9.875" customWidth="1" min="5" max="5"/>
    <col width="7.00390625" customWidth="1" min="6" max="6"/>
    <col width="12.125" customWidth="1" min="7" max="7"/>
    <col width="12.50390625" customWidth="1" min="8" max="8"/>
    <col width="6.75390625" customWidth="1" min="11" max="11"/>
  </cols>
  <sheetData>
    <row r="1" ht="39.75" customHeight="1">
      <c r="A1" s="1" t="inlineStr">
        <is>
          <t>Pier Number</t>
        </is>
      </c>
      <c r="B1" s="2" t="inlineStr">
        <is>
          <t>Distance from mid-span (mm) Positive in the direction of large mileage</t>
        </is>
      </c>
      <c r="C1" s="2" t="inlineStr">
        <is>
          <t>Taking Pier 50 as the zero point, the positive direction of large mileage (mm)</t>
        </is>
      </c>
      <c r="D1" s="2" t="inlineStr">
        <is>
          <t>Beam Self-weight and Pre-stress Load Deformation (mm)</t>
        </is>
      </c>
      <c r="E1" s="2" t="inlineStr">
        <is>
          <t>Scaffolding elastic deformation (mm)</t>
        </is>
      </c>
      <c r="F1" s="2" t="inlineStr">
        <is>
          <t>Reserved amount (mm)</t>
        </is>
      </c>
      <c r="G1" s="2" t="inlineStr">
        <is>
          <t>Preliminary beam bottom elevation (m)</t>
        </is>
      </c>
      <c r="H1" s="2" t="inlineStr">
        <is>
          <t>Actual Beam Bottom Elevation (m)</t>
        </is>
      </c>
      <c r="I1" s="9" t="inlineStr">
        <is>
          <t>Scaffolding Elastic Deformation + Allowance</t>
        </is>
      </c>
    </row>
    <row r="2" ht="14.25" customHeight="1">
      <c r="A2" s="1" t="n">
        <v>50</v>
      </c>
      <c r="B2" s="3" t="n">
        <v>16325</v>
      </c>
      <c r="C2" s="3" t="n">
        <v>0</v>
      </c>
      <c r="D2" s="14" t="n"/>
      <c r="E2" s="3" t="n">
        <v>0</v>
      </c>
      <c r="F2" s="3" t="n">
        <v>5</v>
      </c>
      <c r="G2" s="15" t="n">
        <v>350.444</v>
      </c>
      <c r="H2" s="16">
        <f>D2*0.001+E2*0.001+F2*0.001+G2</f>
        <v/>
      </c>
      <c r="I2" s="3" t="n">
        <v>5</v>
      </c>
    </row>
    <row r="3" ht="14.25" customHeight="1">
      <c r="A3" s="1" t="n"/>
      <c r="B3" s="3" t="n">
        <v>16000</v>
      </c>
      <c r="C3" s="3" t="n">
        <v>-325</v>
      </c>
      <c r="D3" s="14" t="n"/>
      <c r="E3" s="17">
        <f>-K3*K3*9.61*0.000000001+3.14*0.0001*K3+1.96</f>
        <v/>
      </c>
      <c r="F3" s="3" t="n">
        <v>10</v>
      </c>
      <c r="G3" s="15">
        <f>G2+(-C3*0.1*0.0010107)*0.01</f>
        <v/>
      </c>
      <c r="H3" s="16">
        <f>D3*0.001+E3*0.001+F3*0.001+G3</f>
        <v/>
      </c>
      <c r="I3" s="14">
        <f>F3+E3+D3</f>
        <v/>
      </c>
      <c r="J3" s="18">
        <f>-K3*K3*9.61*0.000000001+3.14*0.0001*K3+1.96</f>
        <v/>
      </c>
      <c r="K3">
        <f>-C3</f>
        <v/>
      </c>
    </row>
    <row r="4" ht="14.25" customHeight="1">
      <c r="A4" s="1" t="n"/>
      <c r="B4" s="3" t="n">
        <v>14000</v>
      </c>
      <c r="C4" s="3" t="n">
        <v>-2325</v>
      </c>
      <c r="D4" s="14" t="n"/>
      <c r="E4" s="17">
        <f>-K4*K4*9.61*0.000000001+3.14*0.0001*K4+1.96</f>
        <v/>
      </c>
      <c r="F4" s="3" t="n">
        <v>10</v>
      </c>
      <c r="G4" s="15">
        <f>G2+(-C4*0.1*0.0010107)*0.01</f>
        <v/>
      </c>
      <c r="H4" s="16">
        <f>D4*0.001+E4*0.001+F4*0.001+G4</f>
        <v/>
      </c>
      <c r="I4" s="14">
        <f>F4+E4+D4</f>
        <v/>
      </c>
      <c r="J4" s="18">
        <f>-K4*K4*9.61*0.000000001+3.14*0.0001*K4+1.96</f>
        <v/>
      </c>
      <c r="K4">
        <f>-C4</f>
        <v/>
      </c>
    </row>
    <row r="5" ht="14.25" customHeight="1">
      <c r="A5" s="1" t="n"/>
      <c r="B5" s="3" t="n">
        <v>12000</v>
      </c>
      <c r="C5" s="3" t="n">
        <v>-4325</v>
      </c>
      <c r="D5" s="14" t="n"/>
      <c r="E5" s="17">
        <f>-K5*K5*9.61*0.000000001+3.14*0.0001*K5+1.96</f>
        <v/>
      </c>
      <c r="F5" s="3" t="n">
        <v>10</v>
      </c>
      <c r="G5" s="15">
        <f>G2+(-C5*0.1*0.0010107)*0.01</f>
        <v/>
      </c>
      <c r="H5" s="16">
        <f>D5*0.001+E5*0.001+F5*0.001+G5</f>
        <v/>
      </c>
      <c r="I5" s="14">
        <f>F5+E5+D5</f>
        <v/>
      </c>
      <c r="J5" s="18">
        <f>-K5*K5*9.61*0.000000001+3.14*0.0001*K5+1.96</f>
        <v/>
      </c>
      <c r="K5">
        <f>-C5</f>
        <v/>
      </c>
    </row>
    <row r="6" ht="14.25" customHeight="1">
      <c r="A6" s="1" t="n"/>
      <c r="B6" s="3" t="n">
        <v>10000</v>
      </c>
      <c r="C6" s="3" t="n">
        <v>-6325</v>
      </c>
      <c r="D6" s="14" t="n"/>
      <c r="E6" s="17">
        <f>-K6*K6*9.61*0.000000001+3.14*0.0001*K6+1.96</f>
        <v/>
      </c>
      <c r="F6" s="3" t="n">
        <v>10</v>
      </c>
      <c r="G6" s="15">
        <f>G2+(-C6*0.1*0.0010107)*0.01</f>
        <v/>
      </c>
      <c r="H6" s="16">
        <f>D6*0.001+E6*0.001+F6*0.001+G6</f>
        <v/>
      </c>
      <c r="I6" s="14">
        <f>F6+E6+D6</f>
        <v/>
      </c>
      <c r="J6" s="18">
        <f>-K6*K6*9.61*0.000000001+3.14*0.0001*K6+1.96</f>
        <v/>
      </c>
      <c r="K6">
        <f>-C6</f>
        <v/>
      </c>
    </row>
    <row r="7" ht="14.25" customHeight="1">
      <c r="A7" s="1" t="n"/>
      <c r="B7" s="3" t="n">
        <v>8000</v>
      </c>
      <c r="C7" s="3" t="n">
        <v>-8325</v>
      </c>
      <c r="D7" s="14" t="n"/>
      <c r="E7" s="17">
        <f>-K7*K7*9.61*0.000000001+3.14*0.0001*K7+1.96</f>
        <v/>
      </c>
      <c r="F7" s="3" t="n">
        <v>10</v>
      </c>
      <c r="G7" s="15">
        <f>G2+(-C7*0.1*0.0010107)*0.01</f>
        <v/>
      </c>
      <c r="H7" s="16">
        <f>D7*0.001+E7*0.001+F7*0.001+G7</f>
        <v/>
      </c>
      <c r="I7" s="14">
        <f>F7+E7+D7</f>
        <v/>
      </c>
      <c r="J7" s="18">
        <f>-K7*K7*9.61*0.000000001+3.14*0.0001*K7+1.96</f>
        <v/>
      </c>
      <c r="K7">
        <f>-C7</f>
        <v/>
      </c>
    </row>
    <row r="8" ht="14.25" customHeight="1">
      <c r="A8" s="1" t="n"/>
      <c r="B8" s="3" t="n">
        <v>6000</v>
      </c>
      <c r="C8" s="3" t="n">
        <v>-1325</v>
      </c>
      <c r="D8" s="14" t="n"/>
      <c r="E8" s="17">
        <f>-K8*K8*9.61*0.000000001+3.14*0.0001*K8+1.96</f>
        <v/>
      </c>
      <c r="F8" s="3" t="n">
        <v>10</v>
      </c>
      <c r="G8" s="15">
        <f>G2+(-C8*0.1*0.0010107)*0.01</f>
        <v/>
      </c>
      <c r="H8" s="16">
        <f>D8*0.001+E8*0.001+F8*0.001+G8</f>
        <v/>
      </c>
      <c r="I8" s="14">
        <f>F8+E8+D8</f>
        <v/>
      </c>
      <c r="J8" s="18">
        <f>-K8*K8*9.61*0.000000001+3.14*0.0001*K8+1.96</f>
        <v/>
      </c>
      <c r="K8">
        <f>-C8</f>
        <v/>
      </c>
    </row>
    <row r="9" ht="14.25" customHeight="1">
      <c r="A9" s="1" t="n"/>
      <c r="B9" s="3" t="n">
        <v>4000</v>
      </c>
      <c r="C9" s="3" t="n">
        <v>-12325</v>
      </c>
      <c r="D9" s="14" t="n"/>
      <c r="E9" s="17">
        <f>-K9*K9*9.61*0.000000001+3.14*0.0001*K9+1.96</f>
        <v/>
      </c>
      <c r="F9" s="3" t="n">
        <v>10</v>
      </c>
      <c r="G9" s="15">
        <f>G2+(-C9*0.1*0.0010107)*0.01</f>
        <v/>
      </c>
      <c r="H9" s="16">
        <f>D9*0.001+E9*0.001+F9*0.001+G9</f>
        <v/>
      </c>
      <c r="I9" s="14">
        <f>F9+E9+D9</f>
        <v/>
      </c>
      <c r="J9" s="18">
        <f>-K9*K9*9.61*0.000000001+3.14*0.0001*K9+1.96</f>
        <v/>
      </c>
      <c r="K9">
        <f>-C9</f>
        <v/>
      </c>
    </row>
    <row r="10" ht="14.25" customHeight="1">
      <c r="A10" s="1" t="n"/>
      <c r="B10" s="3" t="n">
        <v>2000</v>
      </c>
      <c r="C10" s="3" t="n">
        <v>-14325</v>
      </c>
      <c r="D10" s="14" t="n"/>
      <c r="E10" s="17">
        <f>-K10*K10*9.61*0.000000001+3.14*0.0001*K10+1.96</f>
        <v/>
      </c>
      <c r="F10" s="3" t="n">
        <v>10</v>
      </c>
      <c r="G10" s="15">
        <f>G2+(-C10*0.1*0.0010107)*0.01</f>
        <v/>
      </c>
      <c r="H10" s="16">
        <f>D10*0.001+E10*0.001+F10*0.001+G10</f>
        <v/>
      </c>
      <c r="I10" s="14">
        <f>F10+E10+D10</f>
        <v/>
      </c>
      <c r="J10" s="18">
        <f>-K10*K10*9.61*0.000000001+3.14*0.0001*K10+1.96</f>
        <v/>
      </c>
      <c r="K10">
        <f>-C10</f>
        <v/>
      </c>
    </row>
    <row r="11" ht="14.25" customHeight="1">
      <c r="A11" s="1" t="inlineStr">
        <is>
          <t>mid-span</t>
        </is>
      </c>
      <c r="B11" s="3" t="n">
        <v>0</v>
      </c>
      <c r="C11" s="3" t="n">
        <v>-16325</v>
      </c>
      <c r="D11" s="14" t="n"/>
      <c r="E11" s="17">
        <f>-K11*K11*9.61*0.000000001+3.14*0.0001*K11+1.96</f>
        <v/>
      </c>
      <c r="F11" s="3" t="n">
        <v>10</v>
      </c>
      <c r="G11" s="15">
        <f>G2+(-C11*0.1*0.0010107)*0.01</f>
        <v/>
      </c>
      <c r="H11" s="16">
        <f>D11*0.001+E11*0.001+F11*0.001+G11</f>
        <v/>
      </c>
      <c r="I11" s="14">
        <f>F11+E11+D11</f>
        <v/>
      </c>
      <c r="J11" s="18">
        <f>-K11*K11*9.61*0.000000001+3.14*0.0001*K11+1.96</f>
        <v/>
      </c>
      <c r="K11">
        <f>-C11</f>
        <v/>
      </c>
    </row>
    <row r="12" ht="14.25" customHeight="1">
      <c r="A12" s="1" t="n"/>
      <c r="B12" s="3" t="n">
        <v>-2000</v>
      </c>
      <c r="C12" s="3">
        <f>C11-2000</f>
        <v/>
      </c>
      <c r="D12" s="14" t="n"/>
      <c r="E12" s="17">
        <f>-K12*K12*9.61*0.000000001+3.14*0.0001*K12+1.96</f>
        <v/>
      </c>
      <c r="F12" s="3" t="n">
        <v>10</v>
      </c>
      <c r="G12" s="15">
        <f>G2+(-C12*0.1*0.0010107)*0.01</f>
        <v/>
      </c>
      <c r="H12" s="16">
        <f>D12*0.001+E12*0.001+F12*0.001+G12</f>
        <v/>
      </c>
      <c r="I12" s="14">
        <f>F12+E12+D12</f>
        <v/>
      </c>
      <c r="J12" s="18">
        <f>-K12*K12*9.61*0.000000001+3.14*0.0001*K12+1.96</f>
        <v/>
      </c>
      <c r="K12">
        <f>-C12</f>
        <v/>
      </c>
    </row>
    <row r="13" ht="14.25" customHeight="1">
      <c r="A13" s="1" t="n"/>
      <c r="B13" s="3" t="n">
        <v>-4000</v>
      </c>
      <c r="C13" s="3">
        <f>C12-2000</f>
        <v/>
      </c>
      <c r="D13" s="14" t="n"/>
      <c r="E13" s="17">
        <f>-K13*K13*9.61*0.000000001+3.14*0.0001*K13+1.96</f>
        <v/>
      </c>
      <c r="F13" s="3" t="n">
        <v>10</v>
      </c>
      <c r="G13" s="15">
        <f>G2+(-C13*0.1*0.0010107)*0.01</f>
        <v/>
      </c>
      <c r="H13" s="16">
        <f>D13*0.001+E13*0.001+F13*0.001+G13</f>
        <v/>
      </c>
      <c r="I13" s="14">
        <f>F13+E13+D13</f>
        <v/>
      </c>
      <c r="J13" s="18">
        <f>-K13*K13*9.61*0.000000001+3.14*0.0001*K13+1.96</f>
        <v/>
      </c>
      <c r="K13">
        <f>-C13</f>
        <v/>
      </c>
    </row>
    <row r="14" ht="14.25" customHeight="1">
      <c r="A14" s="1" t="n"/>
      <c r="B14" s="3" t="n">
        <v>-6000</v>
      </c>
      <c r="C14" s="3">
        <f>C13-2000</f>
        <v/>
      </c>
      <c r="D14" s="14" t="n"/>
      <c r="E14" s="17">
        <f>-K14*K14*9.61*0.000000001+3.14*0.0001*K14+1.96</f>
        <v/>
      </c>
      <c r="F14" s="3" t="n">
        <v>10</v>
      </c>
      <c r="G14" s="15">
        <f>G2+(-C14*0.1*0.0010107)*0.01</f>
        <v/>
      </c>
      <c r="H14" s="16">
        <f>D14*0.001+E14*0.001+F14*0.001+G14</f>
        <v/>
      </c>
      <c r="I14" s="14">
        <f>F14+E14+D14</f>
        <v/>
      </c>
      <c r="J14" s="18">
        <f>-K14*K14*9.61*0.000000001+3.14*0.0001*K14+1.96</f>
        <v/>
      </c>
      <c r="K14">
        <f>-C14</f>
        <v/>
      </c>
    </row>
    <row r="15" ht="14.25" customHeight="1">
      <c r="A15" s="1" t="n"/>
      <c r="B15" s="3" t="n">
        <v>-8000</v>
      </c>
      <c r="C15" s="3">
        <f>C14-2000</f>
        <v/>
      </c>
      <c r="D15" s="14" t="n"/>
      <c r="E15" s="17">
        <f>-K15*K15*9.61*0.000000001+3.14*0.0001*K15+1.96</f>
        <v/>
      </c>
      <c r="F15" s="3" t="n">
        <v>10</v>
      </c>
      <c r="G15" s="15">
        <f>G2+(-C15*0.1*0.0010107)*0.01</f>
        <v/>
      </c>
      <c r="H15" s="16">
        <f>D15*0.001+E15*0.001+F15*0.001+G15</f>
        <v/>
      </c>
      <c r="I15" s="14">
        <f>F15+E15+D15</f>
        <v/>
      </c>
      <c r="J15" s="18">
        <f>-K15*K15*9.61*0.000000001+3.14*0.0001*K15+1.96</f>
        <v/>
      </c>
      <c r="K15">
        <f>-C15</f>
        <v/>
      </c>
    </row>
    <row r="16" ht="14.25" customHeight="1">
      <c r="A16" s="1" t="n"/>
      <c r="B16" s="3" t="n">
        <v>-10000</v>
      </c>
      <c r="C16" s="3">
        <f>C15-2000</f>
        <v/>
      </c>
      <c r="D16" s="14" t="n"/>
      <c r="E16" s="17">
        <f>-K16*K16*9.61*0.000000001+3.14*0.0001*K16+1.96</f>
        <v/>
      </c>
      <c r="F16" s="3" t="n">
        <v>10</v>
      </c>
      <c r="G16" s="15">
        <f>G2+(-C16*0.1*0.0010107)*0.01</f>
        <v/>
      </c>
      <c r="H16" s="16">
        <f>D16*0.001+E16*0.001+F16*0.001+G16</f>
        <v/>
      </c>
      <c r="I16" s="14">
        <f>F16+E16+D16</f>
        <v/>
      </c>
      <c r="J16" s="18">
        <f>-K16*K16*9.61*0.000000001+3.14*0.0001*K16+1.96</f>
        <v/>
      </c>
      <c r="K16">
        <f>-C16</f>
        <v/>
      </c>
    </row>
    <row r="17" ht="14.25" customHeight="1">
      <c r="A17" s="1" t="n"/>
      <c r="B17" s="3" t="n">
        <v>-12000</v>
      </c>
      <c r="C17" s="3">
        <f>C16-2000</f>
        <v/>
      </c>
      <c r="D17" s="14" t="n"/>
      <c r="E17" s="17">
        <f>-K17*K17*9.61*0.000000001+3.14*0.0001*K17+1.96</f>
        <v/>
      </c>
      <c r="F17" s="3" t="n">
        <v>10</v>
      </c>
      <c r="G17" s="15">
        <f>G2+(-C17*0.1*0.0010107)*0.01</f>
        <v/>
      </c>
      <c r="H17" s="16">
        <f>D17*0.001+E17*0.001+F17*0.001+G17</f>
        <v/>
      </c>
      <c r="I17" s="14">
        <f>F17+E17+D17</f>
        <v/>
      </c>
      <c r="J17" s="18">
        <f>-K17*K17*9.61*0.000000001+3.14*0.0001*K17+1.96</f>
        <v/>
      </c>
      <c r="K17">
        <f>-C17</f>
        <v/>
      </c>
    </row>
    <row r="18" ht="14.25" customHeight="1">
      <c r="A18" s="1" t="n"/>
      <c r="B18" s="3" t="n">
        <v>-14000</v>
      </c>
      <c r="C18" s="3">
        <f>C17-2000</f>
        <v/>
      </c>
      <c r="D18" s="14" t="n"/>
      <c r="E18" s="17">
        <f>-K18*K18*9.61*0.000000001+3.14*0.0001*K18+1.96</f>
        <v/>
      </c>
      <c r="F18" s="3" t="n">
        <v>10</v>
      </c>
      <c r="G18" s="15">
        <f>G2+(-C18*0.1*0.0010107)*0.01</f>
        <v/>
      </c>
      <c r="H18" s="16">
        <f>D18*0.001+E18*0.001+F18*0.001+G18</f>
        <v/>
      </c>
      <c r="I18" s="14">
        <f>F18+E18+D18</f>
        <v/>
      </c>
      <c r="J18" s="18">
        <f>-K18*K18*9.61*0.000000001+3.14*0.0001*K18+1.96</f>
        <v/>
      </c>
      <c r="K18">
        <f>-C18</f>
        <v/>
      </c>
    </row>
    <row r="19" ht="14.25" customHeight="1">
      <c r="A19" s="1" t="n"/>
      <c r="B19" s="3" t="n">
        <v>-16000</v>
      </c>
      <c r="C19" s="3">
        <f>C18-2000</f>
        <v/>
      </c>
      <c r="D19" s="14" t="n"/>
      <c r="E19" s="17">
        <f>-K19*K19*9.61*0.000000001+3.14*0.0001*K19+1.96</f>
        <v/>
      </c>
      <c r="F19" s="3" t="n">
        <v>10</v>
      </c>
      <c r="G19" s="15">
        <f>G2+(-C19*0.1*0.0010107)*0.01</f>
        <v/>
      </c>
      <c r="H19" s="16">
        <f>D19*0.001+E19*0.001+F19*0.001+G19</f>
        <v/>
      </c>
      <c r="I19" s="14">
        <f>F19+E19+D19</f>
        <v/>
      </c>
      <c r="J19" s="18">
        <f>-K19*K19*9.61*0.000000001+3.14*0.0001*K19+1.96</f>
        <v/>
      </c>
      <c r="K19">
        <f>-C19</f>
        <v/>
      </c>
    </row>
    <row r="20" ht="14.25" customHeight="1">
      <c r="A20" s="1" t="n">
        <v>49</v>
      </c>
      <c r="B20" s="3" t="n">
        <v>-16325</v>
      </c>
      <c r="C20" s="3">
        <f>C19-325</f>
        <v/>
      </c>
      <c r="D20" s="14" t="n"/>
      <c r="E20" s="3" t="n">
        <v>0</v>
      </c>
      <c r="F20" s="3" t="n">
        <v>5</v>
      </c>
      <c r="G20" s="15">
        <f>G2+(-C20*0.1*0.0010107)*0.01</f>
        <v/>
      </c>
      <c r="H20" s="16">
        <f>D20*0.001+E20*0.001+F20*0.001+G20</f>
        <v/>
      </c>
      <c r="I20" s="3" t="n">
        <v>5</v>
      </c>
      <c r="J20" s="18" t="n"/>
      <c r="K20">
        <f>-C20</f>
        <v/>
      </c>
    </row>
    <row r="21" ht="14.25" customHeight="1">
      <c r="D21" s="19" t="n"/>
    </row>
    <row r="22" ht="14.25" customHeight="1">
      <c r="D22" s="19" t="n"/>
    </row>
    <row r="23" ht="14.25" customHeight="1">
      <c r="D23" s="19" t="n"/>
    </row>
    <row r="24" ht="14.25" customHeight="1">
      <c r="D24" s="19" t="n"/>
    </row>
    <row r="25" ht="14.25" customHeight="1">
      <c r="D25" s="19" t="n"/>
    </row>
    <row r="26" ht="14.25" customHeight="1">
      <c r="D26" s="19" t="n"/>
    </row>
    <row r="27" ht="14.25" customHeight="1">
      <c r="D27" s="19" t="n"/>
    </row>
    <row r="28" ht="14.25" customHeight="1">
      <c r="D28" s="19" t="n"/>
    </row>
    <row r="29" ht="14.25" customHeight="1">
      <c r="D29" s="19" t="n"/>
    </row>
    <row r="30" ht="14.25" customHeight="1">
      <c r="D30" s="19" t="n"/>
    </row>
    <row r="31" ht="14.25" customHeight="1">
      <c r="D31" s="19" t="n"/>
    </row>
    <row r="32" ht="14.25" customHeight="1">
      <c r="D32" s="19" t="n"/>
    </row>
    <row r="33" ht="14.25" customHeight="1">
      <c r="D33" s="19" t="n"/>
    </row>
    <row r="34" ht="14.25" customHeight="1">
      <c r="D34" s="19" t="n"/>
    </row>
    <row r="35" ht="14.25" customHeight="1">
      <c r="D35" s="19" t="n"/>
    </row>
    <row r="36" ht="14.25" customHeight="1">
      <c r="D36" s="19" t="n"/>
    </row>
    <row r="37" ht="14.25" customHeight="1">
      <c r="D37" s="19" t="n"/>
    </row>
    <row r="38" ht="14.25" customHeight="1">
      <c r="D38" s="19" t="n"/>
    </row>
    <row r="39" ht="14.25" customHeight="1">
      <c r="D39" s="19" t="n"/>
    </row>
    <row r="40" ht="14.25" customHeight="1">
      <c r="D40" s="19" t="n"/>
    </row>
    <row r="41" ht="14.25" customHeight="1">
      <c r="D41" s="19" t="n"/>
    </row>
    <row r="42" ht="14.25" customHeight="1">
      <c r="D42" s="19" t="n"/>
    </row>
    <row r="43" ht="14.25" customHeight="1">
      <c r="D43" s="19" t="n"/>
    </row>
    <row r="44" ht="14.25" customHeight="1">
      <c r="D44" s="19" t="n"/>
    </row>
    <row r="45" ht="14.25" customHeight="1">
      <c r="D45" s="19" t="n"/>
    </row>
    <row r="46" ht="14.25" customHeight="1">
      <c r="D46" s="19" t="n"/>
    </row>
    <row r="47" ht="14.25" customHeight="1">
      <c r="D47" s="19" t="n"/>
    </row>
    <row r="48" ht="14.25" customHeight="1">
      <c r="D48" s="19" t="n"/>
    </row>
    <row r="49" ht="14.25" customHeight="1">
      <c r="D49" s="19" t="n"/>
    </row>
    <row r="50" ht="14.25" customHeight="1">
      <c r="D50" s="19" t="n"/>
    </row>
    <row r="51" ht="14.25" customHeight="1">
      <c r="D51" s="19" t="n"/>
    </row>
    <row r="52" ht="14.25" customHeight="1">
      <c r="D52" s="19" t="n"/>
    </row>
    <row r="53" ht="14.25" customHeight="1">
      <c r="D53" s="19" t="n"/>
    </row>
    <row r="54" ht="14.25" customHeight="1">
      <c r="D54" s="19" t="n"/>
    </row>
    <row r="55" ht="14.25" customHeight="1">
      <c r="D55" s="19" t="n"/>
    </row>
    <row r="56" ht="14.25" customHeight="1">
      <c r="D56" s="19" t="n"/>
    </row>
    <row r="57" ht="14.25" customHeight="1">
      <c r="D57" s="19" t="n"/>
    </row>
    <row r="58" ht="14.25" customHeight="1">
      <c r="D58" s="19" t="n"/>
    </row>
    <row r="59" ht="14.25" customHeight="1">
      <c r="D59" s="19" t="n"/>
    </row>
    <row r="60" ht="14.25" customHeight="1">
      <c r="D60" s="19" t="n"/>
    </row>
    <row r="61" ht="14.25" customHeight="1">
      <c r="D61" s="19" t="n"/>
    </row>
    <row r="62" ht="14.25" customHeight="1">
      <c r="D62" s="19" t="n"/>
    </row>
    <row r="63" ht="14.25" customHeight="1">
      <c r="D63" s="19" t="n"/>
    </row>
    <row r="64" ht="14.25" customHeight="1">
      <c r="D64" s="19" t="n"/>
    </row>
    <row r="65" ht="14.25" customHeight="1">
      <c r="D65" s="19" t="n"/>
    </row>
    <row r="66" ht="14.25" customHeight="1">
      <c r="D66" s="19" t="n"/>
    </row>
    <row r="67" ht="14.25" customHeight="1">
      <c r="D67" s="19" t="n"/>
    </row>
    <row r="68" ht="14.25" customHeight="1">
      <c r="D68" s="19" t="n"/>
    </row>
    <row r="69" ht="14.25" customHeight="1">
      <c r="D69" s="19" t="n"/>
    </row>
    <row r="70" ht="14.25" customHeight="1">
      <c r="D70" s="19" t="n"/>
    </row>
    <row r="71" ht="14.25" customHeight="1">
      <c r="D71" s="19" t="n"/>
    </row>
    <row r="72" ht="14.25" customHeight="1">
      <c r="D72" s="19" t="n"/>
    </row>
    <row r="73" ht="14.25" customHeight="1">
      <c r="D73" s="19" t="n"/>
    </row>
    <row r="74" ht="14.25" customHeight="1">
      <c r="D74" s="19" t="n"/>
    </row>
    <row r="75" ht="14.25" customHeight="1">
      <c r="D75" s="19" t="n"/>
    </row>
    <row r="76" ht="14.25" customHeight="1">
      <c r="D76" s="19" t="n"/>
    </row>
    <row r="77" ht="14.25" customHeight="1">
      <c r="D77" s="19" t="n"/>
    </row>
    <row r="78" ht="14.25" customHeight="1">
      <c r="D78" s="19" t="n"/>
    </row>
    <row r="79" ht="14.25" customHeight="1">
      <c r="D79" s="19" t="n"/>
    </row>
    <row r="80" ht="14.25" customHeight="1">
      <c r="D80" s="19" t="n"/>
    </row>
    <row r="81" ht="14.25" customHeight="1">
      <c r="D81" s="19" t="n"/>
    </row>
    <row r="82" ht="14.25" customHeight="1">
      <c r="D82" s="19" t="n"/>
    </row>
    <row r="83" ht="14.25" customHeight="1">
      <c r="D83" s="19" t="n"/>
    </row>
    <row r="84" ht="14.25" customHeight="1">
      <c r="D84" s="19" t="n"/>
    </row>
    <row r="85" ht="14.25" customHeight="1">
      <c r="D85" s="19" t="n"/>
    </row>
    <row r="86" ht="14.25" customHeight="1">
      <c r="D86" s="19" t="n"/>
    </row>
    <row r="87" ht="14.25" customHeight="1">
      <c r="D87" s="19" t="n"/>
    </row>
    <row r="88" ht="14.25" customHeight="1">
      <c r="D88" s="19" t="n"/>
    </row>
    <row r="89" ht="14.25" customHeight="1">
      <c r="D89" s="19" t="n"/>
    </row>
    <row r="90" ht="14.25" customHeight="1">
      <c r="D90" s="19" t="n"/>
    </row>
    <row r="91" ht="14.25" customHeight="1">
      <c r="D91" s="19" t="n"/>
    </row>
    <row r="92" ht="14.25" customHeight="1">
      <c r="D92" s="19" t="n"/>
    </row>
    <row r="93" ht="14.25" customHeight="1">
      <c r="D93" s="19" t="n"/>
    </row>
    <row r="94" ht="14.25" customHeight="1">
      <c r="D94" s="19" t="n"/>
    </row>
    <row r="95" ht="14.25" customHeight="1">
      <c r="D95" s="19" t="n"/>
    </row>
    <row r="96" ht="14.25" customHeight="1">
      <c r="D96" s="19" t="n"/>
    </row>
    <row r="97" ht="14.25" customHeight="1">
      <c r="D97" s="19" t="n"/>
    </row>
    <row r="98" ht="14.25" customHeight="1">
      <c r="D98" s="19" t="n"/>
    </row>
    <row r="99" ht="14.25" customHeight="1">
      <c r="D99" s="19" t="n"/>
    </row>
    <row r="100" ht="14.25" customHeight="1">
      <c r="D100" s="19" t="n"/>
    </row>
    <row r="101" ht="14.25" customHeight="1">
      <c r="D101" s="19" t="n"/>
    </row>
    <row r="102" ht="14.25" customHeight="1">
      <c r="D102" s="19" t="n"/>
    </row>
    <row r="103" ht="14.25" customHeight="1">
      <c r="D103" s="19" t="n"/>
    </row>
    <row r="104" ht="14.25" customHeight="1">
      <c r="D104" s="19" t="n"/>
    </row>
    <row r="105" ht="14.25" customHeight="1">
      <c r="D105" s="19" t="n"/>
    </row>
    <row r="106" ht="14.25" customHeight="1">
      <c r="D106" s="19" t="n"/>
    </row>
    <row r="107" ht="14.25" customHeight="1">
      <c r="D107" s="19" t="n"/>
    </row>
    <row r="108" ht="14.25" customHeight="1">
      <c r="D108" s="19" t="n"/>
    </row>
    <row r="109" ht="14.25" customHeight="1">
      <c r="D109" s="19" t="n"/>
    </row>
    <row r="110" ht="14.25" customHeight="1">
      <c r="D110" s="19" t="n"/>
    </row>
    <row r="111" ht="14.25" customHeight="1">
      <c r="D111" s="19" t="n"/>
    </row>
  </sheetData>
  <pageMargins left="0.75" right="0.75" top="1" bottom="1" header="0.5" footer="0.5"/>
  <pageSetup orientation="landscape" paperSize="9" horizontalDpi="600" verticalDpi="6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ASUS</dc:creator>
  <dcterms:created xsi:type="dcterms:W3CDTF">2024-02-04T16:46:00Z</dcterms:created>
  <dcterms:modified xsi:type="dcterms:W3CDTF">2025-07-09T09:09:43Z</dcterms:modified>
  <cp:lastModifiedBy>清律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0D0726420E754862BF4C2542648D12F5_11</vt:lpwstr>
  </property>
  <property name="KSOProductBuildVer" fmtid="{D5CDD505-2E9C-101B-9397-08002B2CF9AE}" pid="3">
    <vt:lpwstr>2052-12.1.0.16250</vt:lpwstr>
  </property>
</Properties>
</file>