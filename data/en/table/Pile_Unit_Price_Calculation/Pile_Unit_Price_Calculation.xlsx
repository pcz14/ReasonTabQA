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40" yWindow="120" windowWidth="16845" windowHeight="11925" tabRatio="600" firstSheet="1" autoFilterDateGrouping="1"/>
  </bookViews>
  <sheets>
    <sheet name="Pile_Unit_Price_Calculation" sheetId="1" state="visible" r:id="rId1"/>
  </sheets>
  <externalReferences>
    <externalReference r:id="rId2"/>
  </externalReferences>
  <definedNames/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_ "/>
  </numFmts>
  <fonts count="26">
    <font>
      <name val="宋体"/>
      <family val="2"/>
      <sz val="12"/>
    </font>
    <font>
      <name val="Arial"/>
      <family val="2"/>
      <sz val="10"/>
    </font>
    <font>
      <name val="宋体"/>
      <family val="2"/>
      <sz val="10"/>
    </font>
    <font>
      <name val="宋体"/>
      <family val="2"/>
      <b val="1"/>
      <sz val="10"/>
    </font>
    <font>
      <name val="宋体"/>
      <family val="2"/>
      <color theme="1"/>
      <sz val="11"/>
      <scheme val="minor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  <font>
      <name val="Times New Roman"/>
      <family val="2"/>
      <b val="1"/>
      <sz val="10"/>
    </font>
    <font>
      <name val="宋体"/>
      <family val="2"/>
      <b val="1"/>
      <sz val="12"/>
    </font>
    <font>
      <name val="宋体"/>
      <family val="2"/>
      <color rgb="FF0000FF"/>
      <sz val="12"/>
      <u val="single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indexed="15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4" fillId="0" borderId="0"/>
    <xf numFmtId="44" fontId="4" fillId="0" borderId="0"/>
    <xf numFmtId="9" fontId="4" fillId="0" borderId="0"/>
    <xf numFmtId="41" fontId="4" fillId="0" borderId="0"/>
    <xf numFmtId="42" fontId="4" fillId="0" borderId="0"/>
    <xf numFmtId="0" fontId="5" fillId="0" borderId="0"/>
    <xf numFmtId="0" fontId="6" fillId="0" borderId="0"/>
    <xf numFmtId="0" fontId="4" fillId="2" borderId="1"/>
    <xf numFmtId="0" fontId="7" fillId="0" borderId="0"/>
    <xf numFmtId="0" fontId="8" fillId="0" borderId="0"/>
    <xf numFmtId="0" fontId="9" fillId="0" borderId="0"/>
    <xf numFmtId="0" fontId="10" fillId="0" borderId="2"/>
    <xf numFmtId="0" fontId="11" fillId="0" borderId="2"/>
    <xf numFmtId="0" fontId="12" fillId="0" borderId="3"/>
    <xf numFmtId="0" fontId="12" fillId="0" borderId="0"/>
    <xf numFmtId="0" fontId="13" fillId="3" borderId="4"/>
    <xf numFmtId="0" fontId="14" fillId="4" borderId="5"/>
    <xf numFmtId="0" fontId="15" fillId="4" borderId="4"/>
    <xf numFmtId="0" fontId="16" fillId="5" borderId="6"/>
    <xf numFmtId="0" fontId="17" fillId="0" borderId="7"/>
    <xf numFmtId="0" fontId="18" fillId="0" borderId="8"/>
    <xf numFmtId="0" fontId="19" fillId="6" borderId="0"/>
    <xf numFmtId="0" fontId="20" fillId="7" borderId="0"/>
    <xf numFmtId="0" fontId="21" fillId="8" borderId="0"/>
    <xf numFmtId="0" fontId="22" fillId="9" borderId="0"/>
    <xf numFmtId="0" fontId="4" fillId="10" borderId="0"/>
    <xf numFmtId="0" fontId="4" fillId="11" borderId="0"/>
    <xf numFmtId="0" fontId="22" fillId="12" borderId="0"/>
    <xf numFmtId="0" fontId="22" fillId="13" borderId="0"/>
    <xf numFmtId="0" fontId="4" fillId="14" borderId="0"/>
    <xf numFmtId="0" fontId="4" fillId="15" borderId="0"/>
    <xf numFmtId="0" fontId="22" fillId="16" borderId="0"/>
    <xf numFmtId="0" fontId="22" fillId="17" borderId="0"/>
    <xf numFmtId="0" fontId="4" fillId="18" borderId="0"/>
    <xf numFmtId="0" fontId="4" fillId="19" borderId="0"/>
    <xf numFmtId="0" fontId="22" fillId="20" borderId="0"/>
    <xf numFmtId="0" fontId="22" fillId="21" borderId="0"/>
    <xf numFmtId="0" fontId="4" fillId="22" borderId="0"/>
    <xf numFmtId="0" fontId="4" fillId="23" borderId="0"/>
    <xf numFmtId="0" fontId="22" fillId="24" borderId="0"/>
    <xf numFmtId="0" fontId="22" fillId="25" borderId="0"/>
    <xf numFmtId="0" fontId="4" fillId="26" borderId="0"/>
    <xf numFmtId="0" fontId="4" fillId="27" borderId="0"/>
    <xf numFmtId="0" fontId="22" fillId="28" borderId="0"/>
    <xf numFmtId="0" fontId="22" fillId="29" borderId="0"/>
    <xf numFmtId="0" fontId="4" fillId="30" borderId="0"/>
    <xf numFmtId="0" fontId="4" fillId="31" borderId="0"/>
    <xf numFmtId="0" fontId="22" fillId="32" borderId="0"/>
    <xf numFmtId="0" fontId="25" fillId="0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3" borderId="0" applyAlignment="1" pivotButton="0" quotePrefix="0" xfId="0">
      <alignment vertical="center"/>
    </xf>
    <xf numFmtId="0" fontId="0" fillId="33" borderId="0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vertical="center" wrapText="1"/>
    </xf>
    <xf numFmtId="164" fontId="2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vertical="center" wrapText="1"/>
    </xf>
    <xf numFmtId="164" fontId="2" fillId="0" borderId="9" applyAlignment="1" pivotButton="0" quotePrefix="0" xfId="0">
      <alignment horizontal="center" vertical="center" wrapText="1"/>
    </xf>
    <xf numFmtId="164" fontId="3" fillId="0" borderId="9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 wrapText="1"/>
    </xf>
    <xf numFmtId="164" fontId="3" fillId="0" borderId="9" applyAlignment="1" pivotButton="0" quotePrefix="0" xfId="0">
      <alignment horizontal="center" vertical="center" wrapText="1"/>
    </xf>
    <xf numFmtId="0" fontId="2" fillId="0" borderId="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68">
      <alignment vertical="center"/>
    </xf>
    <xf numFmtId="0" fontId="25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164" fontId="2" fillId="0" borderId="9" applyAlignment="1" pivotButton="0" quotePrefix="0" xfId="0">
      <alignment horizontal="center" vertical="center" wrapText="1"/>
    </xf>
    <xf numFmtId="165" fontId="2" fillId="0" borderId="9" applyAlignment="1" pivotButton="0" quotePrefix="0" xfId="0">
      <alignment horizontal="center" vertical="center" wrapText="1"/>
    </xf>
    <xf numFmtId="164" fontId="3" fillId="0" borderId="9" applyAlignment="1" pivotButton="0" quotePrefix="0" xfId="0">
      <alignment horizontal="center" vertical="center" wrapText="1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Users\Administrator\Desktop\&#26242;&#26102;&#30340;&#25991;&#26723;&#20648;&#23384;\&#33150;&#35759;&#34920;&#26684;\&#38472;&#38054;&#35946;\&#24635;542\&#24314;&#31569;&#22320;&#20135;\&#19981;&#24102;\&#33538;&#21326;&#38598;&#22242;&#30707;&#26223;&#23665;TSM&#39033;&#30446;&#24314;&#31569;&#38754;&#31215;&#27719;&#24635;&#34920;1.et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单价分摊"/>
      <sheetName val="地块建销面积汇总及费用分摊"/>
      <sheetName val="预算大表"/>
      <sheetName val="基础数据分析"/>
      <sheetName val="楼座面积汇总表 "/>
      <sheetName val="桩单方计算"/>
      <sheetName val="建筑工程总价分配表"/>
      <sheetName val="系数表"/>
      <sheetName val="不可销售楼座面积表"/>
    </sheetNames>
    <sheetDataSet>
      <sheetData sheetId="0"/>
      <sheetData sheetId="1"/>
      <sheetData sheetId="2"/>
      <sheetData sheetId="3"/>
      <sheetData sheetId="4">
        <row r="4">
          <cell r="E4">
            <v>18803</v>
          </cell>
          <cell r="L4">
            <v>3289</v>
          </cell>
        </row>
        <row r="10">
          <cell r="E10">
            <v>28483</v>
          </cell>
        </row>
        <row r="21">
          <cell r="E21">
            <v>10314</v>
          </cell>
        </row>
        <row r="28">
          <cell r="E28">
            <v>9750</v>
          </cell>
        </row>
        <row r="34">
          <cell r="E34">
            <v>49648</v>
          </cell>
        </row>
        <row r="55">
          <cell r="E55">
            <v>4492</v>
          </cell>
        </row>
        <row r="57">
          <cell r="E57">
            <v>8112</v>
          </cell>
        </row>
        <row r="79">
          <cell r="H79">
            <v>31423</v>
          </cell>
        </row>
      </sheetData>
      <sheetData sheetId="5"/>
      <sheetData sheetId="6">
        <row r="4">
          <cell r="B4" t="str">
            <v>5 层住宅(19#地块)    6栋</v>
          </cell>
        </row>
        <row r="5">
          <cell r="B5" t="str">
            <v>7 层住宅(19#地块)    5栋</v>
          </cell>
        </row>
        <row r="6">
          <cell r="B6" t="str">
            <v>8 层住宅(08#地块)</v>
          </cell>
        </row>
        <row r="7">
          <cell r="B7" t="str">
            <v>9 层住宅(08#地块)</v>
          </cell>
        </row>
        <row r="8">
          <cell r="B8" t="str">
            <v>8 层住宅(19#地块)</v>
          </cell>
        </row>
        <row r="9">
          <cell r="B9" t="str">
            <v>9 层住宅(19#地块)</v>
          </cell>
        </row>
        <row r="10">
          <cell r="B10" t="str">
            <v>7 层板楼住宅         1栋</v>
          </cell>
        </row>
        <row r="11">
          <cell r="B11" t="str">
            <v>9 层板楼住宅         1栋</v>
          </cell>
        </row>
        <row r="12">
          <cell r="B12" t="str">
            <v>11层板楼住宅         3栋</v>
          </cell>
        </row>
        <row r="13">
          <cell r="B13" t="str">
            <v>13~15层板楼住宅     1/3栋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topLeftCell="A1" workbookViewId="0">
      <selection activeCell="F9" sqref="F9"/>
    </sheetView>
  </sheetViews>
  <sheetFormatPr baseColWidth="8" defaultColWidth="8.75390625" defaultRowHeight="14.25"/>
  <cols>
    <col width="5.00390625" customWidth="1" style="1" min="1" max="1"/>
    <col width="17.00390625" customWidth="1" style="1" min="2" max="2"/>
    <col width="8.25390625" customWidth="1" style="1" min="3" max="3"/>
    <col width="8.50390625" customWidth="1" style="1" min="4" max="4"/>
    <col width="7.625" customWidth="1" style="1" min="5" max="5"/>
    <col width="8.375" customWidth="1" style="1" min="6" max="6"/>
    <col width="11.625" customWidth="1" style="1" min="7" max="7"/>
    <col width="9.75390625" customWidth="1" style="1" min="8" max="8"/>
    <col width="12.125" customWidth="1" style="1" min="9" max="9"/>
    <col width="13.875" customWidth="1" style="1" min="10" max="10"/>
    <col width="15.625" customWidth="1" style="1" min="11" max="11"/>
  </cols>
  <sheetData>
    <row r="1" ht="14.25" customHeight="1" s="25">
      <c r="A1" s="2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14.25" customHeight="1" s="25">
      <c r="A2" s="5" t="inlineStr">
        <is>
          <t>Serial Number</t>
        </is>
      </c>
      <c r="B2" s="5" t="inlineStr">
        <is>
          <t>Project Name</t>
        </is>
      </c>
      <c r="C2" s="5" t="inlineStr">
        <is>
          <t>Pile Driving Work Volume</t>
        </is>
      </c>
      <c r="D2" s="26" t="n"/>
      <c r="E2" s="26" t="n"/>
      <c r="F2" s="27" t="n"/>
      <c r="G2" s="5" t="inlineStr">
        <is>
          <t>Unit Price (RMB/m³)</t>
        </is>
      </c>
      <c r="H2" s="5" t="inlineStr">
        <is>
          <t>Total Price (10,000 yuan)</t>
        </is>
      </c>
      <c r="I2" s="5" t="inlineStr">
        <is>
          <t>Building Unit Construction Area</t>
        </is>
      </c>
      <c r="J2" s="5" t="inlineStr">
        <is>
          <t>Unit Cost Index (Yuan/m²)</t>
        </is>
      </c>
      <c r="K2" s="13" t="inlineStr">
        <is>
          <t>Remark</t>
        </is>
      </c>
      <c r="L2" s="17" t="n"/>
    </row>
    <row r="3" ht="12" customHeight="1" s="25">
      <c r="A3" s="28" t="n"/>
      <c r="B3" s="28" t="n"/>
      <c r="C3" s="5" t="inlineStr">
        <is>
          <t>Quantity (root)</t>
        </is>
      </c>
      <c r="D3" s="5" t="inlineStr">
        <is>
          <t>Pile Length (m)</t>
        </is>
      </c>
      <c r="E3" s="5" t="inlineStr">
        <is>
          <t>Pile Diameter (m)</t>
        </is>
      </c>
      <c r="F3" s="5" t="inlineStr">
        <is>
          <t>Total (m³)</t>
        </is>
      </c>
      <c r="G3" s="28" t="n"/>
      <c r="H3" s="28" t="n"/>
      <c r="I3" s="28" t="n"/>
      <c r="J3" s="28" t="n"/>
      <c r="K3" s="28" t="n"/>
      <c r="L3" s="17" t="n"/>
    </row>
    <row r="4" ht="24" customFormat="1" customHeight="1" s="1">
      <c r="A4" s="5" t="n">
        <v>1</v>
      </c>
      <c r="B4" s="8">
        <f>'[1]建筑工程总价分配表'!B4</f>
        <v/>
      </c>
      <c r="C4" s="29">
        <f>56*6</f>
        <v/>
      </c>
      <c r="D4" s="29" t="n">
        <v>22</v>
      </c>
      <c r="E4" s="29" t="n">
        <v>0.45</v>
      </c>
      <c r="F4" s="29">
        <f>253.1+241.53+264.68+253.1+287.82+276.25</f>
        <v/>
      </c>
      <c r="G4" s="29" t="n">
        <v>1050</v>
      </c>
      <c r="H4" s="29">
        <f>F4*G4/10000</f>
        <v/>
      </c>
      <c r="I4" s="30">
        <f>'[1]楼座面积汇总表 '!E21</f>
        <v/>
      </c>
      <c r="J4" s="31">
        <f>H4/I4*10000</f>
        <v/>
      </c>
      <c r="K4" s="21" t="n"/>
      <c r="L4" s="17" t="n"/>
    </row>
    <row r="5" ht="24" customFormat="1" customHeight="1" s="1">
      <c r="A5" s="5" t="n">
        <v>2</v>
      </c>
      <c r="B5" s="8">
        <f>'[1]建筑工程总价分配表'!B5</f>
        <v/>
      </c>
      <c r="C5" s="29">
        <f>59*5</f>
        <v/>
      </c>
      <c r="D5" s="29" t="n">
        <v>22</v>
      </c>
      <c r="E5" s="29" t="n">
        <v>0.45</v>
      </c>
      <c r="F5" s="29">
        <f>278.86+278.86+303.24+303.24+315.43</f>
        <v/>
      </c>
      <c r="G5" s="29" t="n">
        <v>1050</v>
      </c>
      <c r="H5" s="29">
        <f>F5*G5/10000</f>
        <v/>
      </c>
      <c r="I5" s="30">
        <f>'[1]楼座面积汇总表 '!E28</f>
        <v/>
      </c>
      <c r="J5" s="31">
        <f>H5/I5*10000</f>
        <v/>
      </c>
      <c r="K5" s="20" t="n"/>
      <c r="L5" s="17" t="n"/>
    </row>
    <row r="6" ht="14.25" customFormat="1" customHeight="1" s="1">
      <c r="A6" s="5" t="n">
        <v>3</v>
      </c>
      <c r="B6" s="8">
        <f>'[1]建筑工程总价分配表'!B6</f>
        <v/>
      </c>
      <c r="C6" s="29">
        <f>82*5+126</f>
        <v/>
      </c>
      <c r="D6" s="29" t="n">
        <v>22</v>
      </c>
      <c r="E6" s="29" t="n">
        <v>0.45</v>
      </c>
      <c r="F6" s="29">
        <f>326.39+353.67+302.84+318.93+355.37+496.06</f>
        <v/>
      </c>
      <c r="G6" s="29" t="n">
        <v>1050</v>
      </c>
      <c r="H6" s="29">
        <f>F6*G6/10000</f>
        <v/>
      </c>
      <c r="I6" s="30">
        <f>'[1]楼座面积汇总表 '!E4-'[1]楼座面积汇总表 '!L4</f>
        <v/>
      </c>
      <c r="J6" s="31">
        <f>H6/I6*10000</f>
        <v/>
      </c>
      <c r="K6" s="21" t="inlineStr">
        <is>
          <t>Add 126 supporting commercial piles</t>
        </is>
      </c>
      <c r="L6" s="17" t="n"/>
    </row>
    <row r="7" ht="14.25" customFormat="1" customHeight="1" s="1">
      <c r="A7" s="5" t="n">
        <v>4</v>
      </c>
      <c r="B7" s="8">
        <f>'[1]建筑工程总价分配表'!B7</f>
        <v/>
      </c>
      <c r="C7" s="29">
        <f>88+75+88+90+90+78+75+88</f>
        <v/>
      </c>
      <c r="D7" s="29" t="n">
        <v>22</v>
      </c>
      <c r="E7" s="29" t="n">
        <v>0.45</v>
      </c>
      <c r="F7" s="29">
        <f>7146.41-1935.58-F6</f>
        <v/>
      </c>
      <c r="G7" s="29" t="n">
        <v>1050</v>
      </c>
      <c r="H7" s="29">
        <f>F7*G7/10000</f>
        <v/>
      </c>
      <c r="I7" s="30">
        <f>'[1]楼座面积汇总表 '!E10</f>
        <v/>
      </c>
      <c r="J7" s="31">
        <f>H7/I7*10000</f>
        <v/>
      </c>
      <c r="K7" s="19" t="n"/>
      <c r="L7" s="17" t="n"/>
    </row>
    <row r="8" ht="14.25" customFormat="1" customHeight="1" s="1">
      <c r="A8" s="5" t="n">
        <v>5</v>
      </c>
      <c r="B8" s="8">
        <f>'[1]建筑工程总价分配表'!B8</f>
        <v/>
      </c>
      <c r="C8" s="29">
        <f>89+90+75+75</f>
        <v/>
      </c>
      <c r="D8" s="29" t="n">
        <v>22</v>
      </c>
      <c r="E8" s="29" t="n">
        <v>0.45</v>
      </c>
      <c r="F8" s="29">
        <f>439.04+443.97+369.98+385.48</f>
        <v/>
      </c>
      <c r="G8" s="29" t="n">
        <v>1050</v>
      </c>
      <c r="H8" s="29">
        <f>F8*G8/10000</f>
        <v/>
      </c>
      <c r="I8" s="30" t="n">
        <v>10336</v>
      </c>
      <c r="J8" s="31">
        <f>H8/I8*10000</f>
        <v/>
      </c>
      <c r="K8" s="19" t="n"/>
      <c r="L8" s="17" t="n"/>
    </row>
    <row r="9" ht="14.25" customFormat="1" customHeight="1" s="1">
      <c r="A9" s="5" t="n">
        <v>6</v>
      </c>
      <c r="B9" s="8">
        <f>'[1]建筑工程总价分配表'!B9</f>
        <v/>
      </c>
      <c r="C9" s="29">
        <f>90+90+90+90+86+82+82+82+90+75+75+75+90+90</f>
        <v/>
      </c>
      <c r="D9" s="29" t="n">
        <v>22</v>
      </c>
      <c r="E9" s="29" t="n">
        <v>0.45</v>
      </c>
      <c r="F9" s="29">
        <f>15897.29-4965.11-F8</f>
        <v/>
      </c>
      <c r="G9" s="29" t="n">
        <v>1050</v>
      </c>
      <c r="H9" s="29">
        <f>F9*G9/10000</f>
        <v/>
      </c>
      <c r="I9" s="30">
        <f>'[1]楼座面积汇总表 '!E34</f>
        <v/>
      </c>
      <c r="J9" s="31">
        <f>H9/I9*10000</f>
        <v/>
      </c>
      <c r="K9" s="19" t="n"/>
      <c r="L9" s="17" t="n"/>
    </row>
    <row r="10" ht="24" customFormat="1" customHeight="1" s="1">
      <c r="A10" s="5" t="n">
        <v>7</v>
      </c>
      <c r="B10" s="8">
        <f>'[1]建筑工程总价分配表'!B10</f>
        <v/>
      </c>
      <c r="C10" s="29" t="n">
        <v>113</v>
      </c>
      <c r="D10" s="29" t="n">
        <v>22</v>
      </c>
      <c r="E10" s="29" t="n">
        <v>0.45</v>
      </c>
      <c r="F10" s="29" t="n">
        <v>287.99</v>
      </c>
      <c r="G10" s="29" t="n">
        <v>1050</v>
      </c>
      <c r="H10" s="29">
        <f>F10*G10/10000</f>
        <v/>
      </c>
      <c r="I10" s="30">
        <f>'[1]楼座面积汇总表 '!E55</f>
        <v/>
      </c>
      <c r="J10" s="31">
        <f>H10/I10*10000</f>
        <v/>
      </c>
      <c r="K10" s="21" t="n"/>
      <c r="L10" s="17" t="n"/>
    </row>
    <row r="11" ht="24" customFormat="1" customHeight="1" s="1">
      <c r="A11" s="5" t="n">
        <v>8</v>
      </c>
      <c r="B11" s="8">
        <f>'[1]建筑工程总价分配表'!B11</f>
        <v/>
      </c>
      <c r="C11" s="29" t="n">
        <v>172</v>
      </c>
      <c r="D11" s="29" t="n">
        <v>22</v>
      </c>
      <c r="E11" s="29" t="n">
        <v>0.45</v>
      </c>
      <c r="F11" s="29" t="n">
        <v>575.0599999999999</v>
      </c>
      <c r="G11" s="29" t="n">
        <v>1050</v>
      </c>
      <c r="H11" s="29">
        <f>F11*G11/10000</f>
        <v/>
      </c>
      <c r="I11" s="30">
        <f>'[1]楼座面积汇总表 '!E57</f>
        <v/>
      </c>
      <c r="J11" s="31">
        <f>H11/I11*10000</f>
        <v/>
      </c>
      <c r="K11" s="21" t="n"/>
      <c r="L11" s="17" t="n"/>
    </row>
    <row r="12" ht="24" customFormat="1" customHeight="1" s="1">
      <c r="A12" s="5" t="n">
        <v>9</v>
      </c>
      <c r="B12" s="8">
        <f>'[1]建筑工程总价分配表'!B12</f>
        <v/>
      </c>
      <c r="C12" s="29">
        <f>176+120+127</f>
        <v/>
      </c>
      <c r="D12" s="29" t="n">
        <v>22</v>
      </c>
      <c r="E12" s="29" t="n">
        <v>0.45</v>
      </c>
      <c r="F12" s="29">
        <f>694.1+473.25+625.48</f>
        <v/>
      </c>
      <c r="G12" s="29" t="n">
        <v>1050</v>
      </c>
      <c r="H12" s="29">
        <f>F12*G12/10000</f>
        <v/>
      </c>
      <c r="I12" s="30" t="n">
        <v>21427</v>
      </c>
      <c r="J12" s="31">
        <f>H12/I12*10000</f>
        <v/>
      </c>
      <c r="K12" s="21" t="n"/>
      <c r="L12" s="17" t="n"/>
    </row>
    <row r="13" ht="24" customFormat="1" customHeight="1" s="1">
      <c r="A13" s="5" t="n">
        <v>10</v>
      </c>
      <c r="B13" s="8">
        <f>'[1]建筑工程总价分配表'!B13</f>
        <v/>
      </c>
      <c r="C13" s="29">
        <f>121+117+117+138</f>
        <v/>
      </c>
      <c r="D13" s="29" t="n">
        <v>22</v>
      </c>
      <c r="E13" s="29" t="n">
        <v>0.45</v>
      </c>
      <c r="F13" s="29">
        <f>5909.04-F12-F11-F10-1279.26</f>
        <v/>
      </c>
      <c r="G13" s="29" t="n">
        <v>1050</v>
      </c>
      <c r="H13" s="29">
        <f>F13*G13/10000</f>
        <v/>
      </c>
      <c r="I13" s="30" t="n">
        <v>35328</v>
      </c>
      <c r="J13" s="31">
        <f>H13/I13*10000</f>
        <v/>
      </c>
      <c r="K13" s="21" t="n"/>
      <c r="L13" s="17" t="n"/>
    </row>
    <row r="14" ht="17.25" customHeight="1" s="25">
      <c r="A14" s="5" t="n">
        <v>11</v>
      </c>
      <c r="B14" s="8" t="inlineStr">
        <is>
          <t>Civil Air Defense Garage</t>
        </is>
      </c>
      <c r="C14" s="29">
        <f>401+977+309</f>
        <v/>
      </c>
      <c r="D14" s="29" t="n">
        <v>22</v>
      </c>
      <c r="E14" s="29" t="n">
        <v>0.5</v>
      </c>
      <c r="F14" s="29">
        <f>1279.26+4965.11+1935.58</f>
        <v/>
      </c>
      <c r="G14" s="29" t="n">
        <v>1050</v>
      </c>
      <c r="H14" s="29">
        <f>F14*G14/10000</f>
        <v/>
      </c>
      <c r="I14" s="29">
        <f>'[1]楼座面积汇总表 '!H79</f>
        <v/>
      </c>
      <c r="J14" s="31">
        <f>H14/I14*10000</f>
        <v/>
      </c>
      <c r="K14" s="20" t="n"/>
      <c r="L14" s="17" t="n"/>
    </row>
    <row r="15" ht="14.25" customHeight="1" s="25">
      <c r="A15" s="5" t="n">
        <v>12</v>
      </c>
      <c r="B15" s="8" t="inlineStr">
        <is>
          <t>Non-anti-aircraft garage</t>
        </is>
      </c>
      <c r="C15" s="29">
        <f>401+977+309</f>
        <v/>
      </c>
      <c r="D15" s="29" t="n">
        <v>22</v>
      </c>
      <c r="E15" s="29" t="n">
        <v>0.5</v>
      </c>
      <c r="F15" s="29">
        <f>F14</f>
        <v/>
      </c>
      <c r="G15" s="29" t="n">
        <v>1050</v>
      </c>
      <c r="H15" s="29">
        <f>F15*G15/10000</f>
        <v/>
      </c>
      <c r="I15" s="29">
        <f>I14</f>
        <v/>
      </c>
      <c r="J15" s="31">
        <f>H15/I15*10000</f>
        <v/>
      </c>
      <c r="K15" s="20" t="n"/>
      <c r="L15" s="17" t="n"/>
    </row>
    <row r="16" ht="14.25" customHeight="1" s="25">
      <c r="A16" s="5" t="n">
        <v>11</v>
      </c>
      <c r="B16" s="8" t="n"/>
      <c r="C16" s="29" t="n"/>
      <c r="D16" s="29" t="n"/>
      <c r="E16" s="29" t="n"/>
      <c r="F16" s="29" t="n"/>
      <c r="G16" s="29" t="n"/>
      <c r="H16" s="31">
        <f>SUM(H4:H15)</f>
        <v/>
      </c>
      <c r="I16" s="29" t="n"/>
      <c r="J16" s="29" t="n"/>
      <c r="K16" s="21" t="n"/>
      <c r="L16" s="17" t="n"/>
    </row>
    <row r="17" ht="14.25" customHeight="1" s="25">
      <c r="A17" s="5" t="n">
        <v>12</v>
      </c>
      <c r="B17" s="8" t="n"/>
      <c r="C17" s="29" t="n"/>
      <c r="D17" s="29" t="n"/>
      <c r="E17" s="29" t="n"/>
      <c r="F17" s="29" t="n"/>
      <c r="G17" s="29" t="n"/>
      <c r="H17" s="29" t="n"/>
      <c r="I17" s="29" t="n"/>
      <c r="J17" s="29" t="n"/>
      <c r="K17" s="21" t="n"/>
      <c r="L17" s="17" t="n"/>
    </row>
    <row r="18" ht="14.25" customHeight="1" s="25">
      <c r="A18" s="5" t="n">
        <v>13</v>
      </c>
      <c r="B18" s="8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1" t="n"/>
      <c r="L18" s="17" t="n"/>
    </row>
    <row r="19" ht="14.25" customHeight="1" s="25">
      <c r="A19" s="5" t="n">
        <v>14</v>
      </c>
      <c r="B19" s="8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1" t="n"/>
      <c r="L19" s="17" t="n"/>
    </row>
    <row r="20" ht="14.25" customHeight="1" s="25">
      <c r="A20" s="5" t="n">
        <v>15</v>
      </c>
      <c r="B20" s="8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1" t="n"/>
      <c r="L20" s="17" t="n"/>
    </row>
    <row r="21" ht="14.25" customHeight="1" s="25">
      <c r="A21" s="5" t="n">
        <v>16</v>
      </c>
      <c r="B21" s="8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1" t="n"/>
      <c r="L21" s="17" t="n"/>
    </row>
    <row r="22" ht="14.25" customHeight="1" s="25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7" t="n"/>
      <c r="L22" s="17" t="n"/>
    </row>
    <row r="23" ht="14.25" customHeight="1" s="25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7" t="n"/>
      <c r="L23" s="17" t="n"/>
    </row>
    <row r="24" ht="14.25" customHeight="1" s="25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7" t="n"/>
      <c r="L24" s="17" t="n"/>
    </row>
    <row r="25" ht="14.25" customHeight="1" s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7" t="n"/>
      <c r="L25" s="17" t="n"/>
    </row>
    <row r="26" ht="14.25" customHeight="1" s="25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7" t="n"/>
      <c r="L26" s="17" t="n"/>
    </row>
    <row r="27" ht="14.25" customHeight="1" s="25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7" t="n"/>
      <c r="L27" s="17" t="n"/>
    </row>
    <row r="28" ht="14.25" customHeight="1" s="25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7" t="n"/>
      <c r="L28" s="17" t="n"/>
    </row>
    <row r="29" ht="14.25" customHeight="1" s="25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7" t="n"/>
      <c r="L29" s="17" t="n"/>
    </row>
    <row r="30" ht="14.25" customHeight="1" s="25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</row>
    <row r="31" ht="14.25" customHeight="1" s="25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</row>
    <row r="32" ht="14.25" customHeight="1" s="25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</row>
  </sheetData>
  <mergeCells count="8">
    <mergeCell ref="H2:H3"/>
    <mergeCell ref="J2:J3"/>
    <mergeCell ref="B2:B3"/>
    <mergeCell ref="A2:A3"/>
    <mergeCell ref="C2:F2"/>
    <mergeCell ref="G2:G3"/>
    <mergeCell ref="K2:K3"/>
    <mergeCell ref="I2:I3"/>
  </mergeCells>
  <pageMargins left="0.75" right="0.75" top="1" bottom="1" header="0.5" footer="0.5"/>
  <pageSetup orientation="landscape" paperSize="9" horizontalDpi="300" verticalDpi="300"/>
  <headerFooter scaleWithDoc="0" alignWithMargins="0">
    <oddHeader>&amp;C&amp;"宋体,倾斜"&amp;18茂华集团北京&amp;"Times New Roman,倾斜"TSM&amp;"宋体,倾斜"项目桩单方计算表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2024-02-04T07:54:00Z</dcterms:created>
  <dcterms:modified xsi:type="dcterms:W3CDTF">2025-07-07T17:59:50Z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BFECC28DE45D402BBBED42AF4BE2590F_11</vt:lpwstr>
  </property>
  <property name="KSOProductBuildVer" fmtid="{D5CDD505-2E9C-101B-9397-08002B2CF9AE}" pid="3">
    <vt:lpwstr>2052-12.1.0.16250</vt:lpwstr>
  </property>
</Properties>
</file>