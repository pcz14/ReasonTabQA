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19200" windowHeight="6880" tabRatio="600" firstSheet="4" autoFilterDateGrouping="1"/>
  </bookViews>
  <sheets>
    <sheet name="Preparation_Instructions" sheetId="1" state="visible" r:id="rId1"/>
    <sheet name="Planning_Indicators" sheetId="2" state="visible" r:id="rId2"/>
    <sheet name="Various_Product_Construction_St" sheetId="3" state="visible" r:id="rId3"/>
    <sheet name="Instructions_for_Completing_the" sheetId="4" state="visible" r:id="rId4"/>
  </sheets>
  <externalReferences>
    <externalReference r:id="rId5"/>
  </externalReferences>
  <definedNames/>
  <calcPr calcId="191029" fullCalcOnLoad="1"/>
</workbook>
</file>

<file path=xl/styles.xml><?xml version="1.0" encoding="utf-8"?>
<styleSheet xmlns="http://schemas.openxmlformats.org/spreadsheetml/2006/main">
  <numFmts count="5">
    <numFmt numFmtId="164" formatCode="0.00_ "/>
    <numFmt numFmtId="165" formatCode="#,##0_ "/>
    <numFmt numFmtId="166" formatCode="0_ "/>
    <numFmt numFmtId="167" formatCode="0.0%"/>
    <numFmt numFmtId="168" formatCode="#,##0.00_ "/>
  </numFmts>
  <fonts count="45">
    <font>
      <name val="宋体"/>
      <family val="2"/>
      <color theme="1"/>
      <sz val="11"/>
      <scheme val="minor"/>
    </font>
    <font>
      <name val="Arial"/>
      <family val="2"/>
      <sz val="10"/>
    </font>
    <font>
      <name val="宋体"/>
      <family val="2"/>
      <sz val="10"/>
    </font>
    <font>
      <name val="黑体"/>
      <family val="3"/>
      <b val="1"/>
      <color indexed="60"/>
      <sz val="18"/>
    </font>
    <font>
      <name val="楷体_GB2312"/>
      <family val="3"/>
      <color indexed="18"/>
      <sz val="12"/>
    </font>
    <font>
      <name val="宋体"/>
      <family val="2"/>
      <sz val="11"/>
    </font>
    <font>
      <name val="宋体"/>
      <family val="2"/>
      <b val="1"/>
      <sz val="10"/>
    </font>
    <font>
      <name val="宋体"/>
      <family val="2"/>
      <b val="1"/>
      <color indexed="62"/>
      <sz val="12"/>
    </font>
    <font>
      <name val="宋体"/>
      <family val="2"/>
      <b val="1"/>
      <color indexed="62"/>
      <sz val="10"/>
    </font>
    <font>
      <name val="Times New Roman"/>
      <family val="1"/>
      <sz val="10"/>
    </font>
    <font>
      <name val="Times New Roman"/>
      <family val="1"/>
      <sz val="11"/>
    </font>
    <font>
      <name val="宋体"/>
      <family val="2"/>
      <b val="1"/>
      <sz val="11"/>
    </font>
    <font>
      <name val="Times New Roman"/>
      <family val="1"/>
      <b val="1"/>
      <sz val="11"/>
    </font>
    <font>
      <name val="宋体"/>
      <family val="2"/>
      <b val="1"/>
      <color indexed="18"/>
      <sz val="11"/>
    </font>
    <font>
      <name val="Times New Roman"/>
      <family val="1"/>
      <b val="1"/>
      <color indexed="18"/>
      <sz val="11"/>
    </font>
    <font>
      <name val="Times New Roman"/>
      <family val="1"/>
      <color indexed="12"/>
      <sz val="11"/>
    </font>
    <font>
      <name val="Times New Roman"/>
      <family val="1"/>
      <b val="1"/>
      <color indexed="12"/>
      <sz val="11"/>
    </font>
    <font>
      <name val="楷体_GB2312"/>
      <family val="3"/>
      <color indexed="21"/>
      <sz val="10"/>
    </font>
    <font>
      <name val="楷体_GB2312"/>
      <family val="3"/>
      <color indexed="21"/>
      <sz val="9"/>
    </font>
    <font>
      <name val="宋体"/>
      <family val="2"/>
      <sz val="12"/>
    </font>
    <font>
      <name val="宋体"/>
      <family val="2"/>
      <sz val="20"/>
    </font>
    <font>
      <name val="宋体"/>
      <family val="2"/>
      <sz val="16"/>
    </font>
    <font>
      <name val="Times New Roman"/>
      <family val="1"/>
      <sz val="16"/>
    </font>
    <font>
      <name val="宋体"/>
      <family val="2"/>
      <color rgb="FF0000FF"/>
      <sz val="11"/>
      <u val="single"/>
      <scheme val="minor"/>
    </font>
    <font>
      <name val="宋体"/>
      <family val="2"/>
      <color rgb="FF800080"/>
      <sz val="11"/>
      <u val="single"/>
      <scheme val="minor"/>
    </font>
    <font>
      <name val="宋体"/>
      <family val="2"/>
      <color rgb="FFFF0000"/>
      <sz val="11"/>
      <scheme val="minor"/>
    </font>
    <font>
      <name val="宋体"/>
      <family val="2"/>
      <b val="1"/>
      <color theme="3"/>
      <sz val="18"/>
      <scheme val="minor"/>
    </font>
    <font>
      <name val="宋体"/>
      <family val="2"/>
      <i val="1"/>
      <color rgb="FF7F7F7F"/>
      <sz val="11"/>
      <scheme val="minor"/>
    </font>
    <font>
      <name val="宋体"/>
      <family val="2"/>
      <b val="1"/>
      <color theme="3"/>
      <sz val="15"/>
      <scheme val="minor"/>
    </font>
    <font>
      <name val="宋体"/>
      <family val="2"/>
      <b val="1"/>
      <color theme="3"/>
      <sz val="13"/>
      <scheme val="minor"/>
    </font>
    <font>
      <name val="宋体"/>
      <family val="2"/>
      <b val="1"/>
      <color theme="3"/>
      <sz val="11"/>
      <scheme val="minor"/>
    </font>
    <font>
      <name val="宋体"/>
      <family val="2"/>
      <color rgb="FF3F3F76"/>
      <sz val="11"/>
      <scheme val="minor"/>
    </font>
    <font>
      <name val="宋体"/>
      <family val="2"/>
      <b val="1"/>
      <color rgb="FF3F3F3F"/>
      <sz val="11"/>
      <scheme val="minor"/>
    </font>
    <font>
      <name val="宋体"/>
      <family val="2"/>
      <b val="1"/>
      <color rgb="FFFA7D00"/>
      <sz val="11"/>
      <scheme val="minor"/>
    </font>
    <font>
      <name val="宋体"/>
      <family val="2"/>
      <b val="1"/>
      <color rgb="FFFFFFFF"/>
      <sz val="11"/>
      <scheme val="minor"/>
    </font>
    <font>
      <name val="宋体"/>
      <family val="2"/>
      <color rgb="FFFA7D00"/>
      <sz val="11"/>
      <scheme val="minor"/>
    </font>
    <font>
      <name val="宋体"/>
      <family val="2"/>
      <b val="1"/>
      <color theme="1"/>
      <sz val="11"/>
      <scheme val="minor"/>
    </font>
    <font>
      <name val="宋体"/>
      <family val="2"/>
      <color rgb="FF006100"/>
      <sz val="11"/>
      <scheme val="minor"/>
    </font>
    <font>
      <name val="宋体"/>
      <family val="2"/>
      <color rgb="FF9C0006"/>
      <sz val="11"/>
      <scheme val="minor"/>
    </font>
    <font>
      <name val="宋体"/>
      <family val="2"/>
      <color rgb="FF9C6500"/>
      <sz val="11"/>
      <scheme val="minor"/>
    </font>
    <font>
      <name val="宋体"/>
      <family val="2"/>
      <color theme="0"/>
      <sz val="11"/>
      <scheme val="minor"/>
    </font>
    <font>
      <name val="Times New Roman"/>
      <family val="1"/>
      <b val="1"/>
      <color indexed="60"/>
      <sz val="18"/>
    </font>
    <font>
      <name val="宋体"/>
      <family val="2"/>
      <b val="1"/>
      <sz val="9"/>
    </font>
    <font>
      <name val="宋体"/>
      <family val="2"/>
      <sz val="9"/>
    </font>
    <font>
      <name val="宋体"/>
      <family val="2"/>
      <b val="1"/>
      <sz val="8"/>
    </font>
  </fonts>
  <fills count="39">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4" tint="0.3999800086021423"/>
        <bgColor indexed="64"/>
      </patternFill>
    </fill>
    <fill>
      <patternFill patternType="solid">
        <fgColor theme="5"/>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theme="5" tint="0.3999800086021423"/>
        <bgColor indexed="64"/>
      </patternFill>
    </fill>
    <fill>
      <patternFill patternType="solid">
        <fgColor theme="6"/>
        <bgColor indexed="64"/>
      </patternFill>
    </fill>
    <fill>
      <patternFill patternType="solid">
        <fgColor theme="6" tint="0.7999799847602844"/>
        <bgColor indexed="64"/>
      </patternFill>
    </fill>
    <fill>
      <patternFill patternType="solid">
        <fgColor theme="6" tint="0.5999900102615356"/>
        <bgColor indexed="64"/>
      </patternFill>
    </fill>
    <fill>
      <patternFill patternType="solid">
        <fgColor theme="6" tint="0.3999800086021423"/>
        <bgColor indexed="64"/>
      </patternFill>
    </fill>
    <fill>
      <patternFill patternType="solid">
        <fgColor theme="7"/>
        <bgColor indexed="64"/>
      </patternFill>
    </fill>
    <fill>
      <patternFill patternType="solid">
        <fgColor theme="7" tint="0.7999799847602844"/>
        <bgColor indexed="64"/>
      </patternFill>
    </fill>
    <fill>
      <patternFill patternType="solid">
        <fgColor theme="7" tint="0.5999900102615356"/>
        <bgColor indexed="64"/>
      </patternFill>
    </fill>
    <fill>
      <patternFill patternType="solid">
        <fgColor theme="7" tint="0.3999800086021423"/>
        <bgColor indexed="64"/>
      </patternFill>
    </fill>
    <fill>
      <patternFill patternType="solid">
        <fgColor theme="8"/>
        <bgColor indexed="64"/>
      </patternFill>
    </fill>
    <fill>
      <patternFill patternType="solid">
        <fgColor theme="8" tint="0.7999799847602844"/>
        <bgColor indexed="64"/>
      </patternFill>
    </fill>
    <fill>
      <patternFill patternType="solid">
        <fgColor theme="8" tint="0.5999900102615356"/>
        <bgColor indexed="64"/>
      </patternFill>
    </fill>
    <fill>
      <patternFill patternType="solid">
        <fgColor theme="8" tint="0.3999800086021423"/>
        <bgColor indexed="64"/>
      </patternFill>
    </fill>
    <fill>
      <patternFill patternType="solid">
        <fgColor theme="9"/>
        <bgColor indexed="64"/>
      </patternFill>
    </fill>
    <fill>
      <patternFill patternType="solid">
        <fgColor theme="9" tint="0.7999799847602844"/>
        <bgColor indexed="64"/>
      </patternFill>
    </fill>
    <fill>
      <patternFill patternType="solid">
        <fgColor theme="9" tint="0.5999900102615356"/>
        <bgColor indexed="64"/>
      </patternFill>
    </fill>
    <fill>
      <patternFill patternType="solid">
        <fgColor theme="9" tint="0.3999800086021423"/>
        <bgColor indexed="64"/>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lightTrellis">
        <bgColor indexed="9"/>
      </patternFill>
    </fill>
  </fills>
  <borders count="75">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00026416779"/>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right/>
      <top/>
      <bottom style="thin"/>
    </border>
    <border diagonalDown="1">
      <left style="thin"/>
      <right/>
      <top style="thin"/>
      <bottom style="thin"/>
      <diagonal style="thin"/>
    </border>
    <border diagonalDown="1">
      <left/>
      <right/>
      <top style="thin"/>
      <bottom style="thin"/>
      <diagonal style="thin"/>
    </border>
    <border diagonalDown="1">
      <left/>
      <right style="thin"/>
      <top style="thin"/>
      <bottom style="thin"/>
      <diagonal style="thin"/>
    </border>
    <border>
      <left/>
      <right style="thin"/>
      <top style="thin"/>
      <bottom style="thin"/>
    </border>
    <border>
      <left style="thin"/>
      <right style="thin"/>
      <top style="thin"/>
      <bottom/>
    </border>
    <border>
      <left style="thin"/>
      <right/>
      <top style="thin"/>
      <bottom style="thin"/>
    </border>
    <border>
      <left style="thin"/>
      <right style="thin"/>
      <top style="thin"/>
      <bottom style="thin"/>
    </border>
    <border>
      <left style="thin"/>
      <right style="thin"/>
      <top/>
      <bottom/>
    </border>
    <border>
      <left style="thin"/>
      <right style="thin"/>
      <top/>
      <bottom style="thin"/>
    </border>
    <border>
      <left style="medium"/>
      <right style="thin"/>
      <top style="medium"/>
      <bottom style="thin"/>
    </border>
    <border>
      <left style="thin"/>
      <right style="thin"/>
      <top style="medium"/>
      <bottom style="thin"/>
    </border>
    <border>
      <left style="thin"/>
      <right/>
      <top style="medium"/>
      <bottom style="thin"/>
    </border>
    <border>
      <left/>
      <right/>
      <top style="medium"/>
      <bottom style="thin"/>
    </border>
    <border>
      <left/>
      <right style="thin"/>
      <top style="medium"/>
      <bottom style="thin"/>
    </border>
    <border>
      <left style="medium"/>
      <right style="thin"/>
      <top style="thin"/>
      <bottom style="thin"/>
    </border>
    <border>
      <left/>
      <right/>
      <top style="thin"/>
      <bottom style="thin"/>
    </border>
    <border>
      <left style="medium"/>
      <right style="thin"/>
      <top style="thin"/>
      <bottom/>
    </border>
    <border>
      <left style="thin"/>
      <right/>
      <top style="thin"/>
      <bottom/>
    </border>
    <border>
      <left/>
      <right/>
      <top style="thin"/>
      <bottom/>
    </border>
    <border>
      <left/>
      <right style="thin"/>
      <top style="thin"/>
      <bottom/>
    </border>
    <border>
      <left style="medium"/>
      <right/>
      <top style="thin"/>
      <bottom style="thin"/>
    </border>
    <border>
      <left style="medium"/>
      <right style="thin"/>
      <top/>
      <bottom style="thin"/>
    </border>
    <border>
      <left style="thin"/>
      <right/>
      <top/>
      <bottom style="thin"/>
    </border>
    <border>
      <left/>
      <right style="thin"/>
      <top/>
      <bottom style="thin"/>
    </border>
    <border>
      <left style="medium"/>
      <right style="thin"/>
      <top/>
      <bottom/>
    </border>
    <border>
      <left style="medium"/>
      <right style="thin"/>
      <top style="thin"/>
      <bottom style="medium"/>
    </border>
    <border>
      <left style="thin"/>
      <right style="thin"/>
      <top style="thin"/>
      <bottom style="medium"/>
    </border>
    <border>
      <left style="thin"/>
      <right/>
      <top style="thin"/>
      <bottom style="medium"/>
    </border>
    <border>
      <left/>
      <right style="thin"/>
      <top style="thin"/>
      <bottom style="medium"/>
    </border>
    <border>
      <left/>
      <right/>
      <top style="medium"/>
      <bottom/>
    </border>
    <border>
      <left/>
      <right style="medium"/>
      <top style="medium"/>
      <bottom style="thin"/>
    </border>
    <border>
      <left style="thin"/>
      <right style="medium"/>
      <top style="thin"/>
      <bottom style="thin"/>
    </border>
    <border>
      <left/>
      <right style="medium"/>
      <top style="thin"/>
      <bottom style="thin"/>
    </border>
    <border>
      <left/>
      <right style="medium"/>
      <top/>
      <bottom style="thin"/>
    </border>
    <border>
      <left style="thin"/>
      <right/>
      <top/>
      <bottom style="medium"/>
    </border>
    <border>
      <left/>
      <right/>
      <top/>
      <bottom style="medium"/>
    </border>
    <border>
      <left/>
      <right style="medium"/>
      <top/>
      <bottom style="medium"/>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medium"/>
      <bottom/>
      <diagonal/>
    </border>
    <border>
      <left/>
      <right style="thin"/>
      <top style="medium"/>
      <bottom/>
      <diagonal/>
    </border>
    <border>
      <left/>
      <right style="thin"/>
      <top style="medium"/>
      <bottom style="thin"/>
      <diagonal/>
    </border>
    <border>
      <left/>
      <right/>
      <top style="medium"/>
      <bottom style="thin"/>
      <diagonal/>
    </border>
    <border>
      <left style="medium"/>
      <right style="medium"/>
      <top style="thin"/>
      <bottom style="thin"/>
    </border>
    <border>
      <left/>
      <right style="medium"/>
      <top style="thin"/>
      <bottom/>
      <diagonal/>
    </border>
    <border>
      <left/>
      <right style="medium"/>
      <top style="thin"/>
      <bottom style="thin"/>
      <diagonal/>
    </border>
    <border>
      <left/>
      <right style="thin"/>
      <top/>
      <bottom/>
      <diagonal/>
    </border>
    <border>
      <left/>
      <right style="thin"/>
      <top/>
      <bottom style="thin"/>
      <diagonal/>
    </border>
    <border>
      <left style="thin"/>
      <right style="medium"/>
      <top/>
      <bottom style="thin"/>
    </border>
    <border>
      <left/>
      <right style="medium"/>
      <top/>
      <bottom/>
      <diagonal/>
    </border>
    <border>
      <left/>
      <right style="medium"/>
      <top/>
      <bottom style="thin"/>
      <diagonal/>
    </border>
    <border>
      <left/>
      <right style="thin"/>
      <top style="thin"/>
      <bottom style="medium"/>
      <diagonal/>
    </border>
    <border>
      <left style="thin"/>
      <right style="medium"/>
      <top/>
      <bottom style="medium"/>
    </border>
    <border>
      <left/>
      <right/>
      <top/>
      <bottom style="medium"/>
      <diagonal/>
    </border>
    <border>
      <left/>
      <right style="medium"/>
      <top/>
      <bottom style="medium"/>
      <diagonal/>
    </border>
    <border>
      <left style="medium"/>
      <right/>
      <top/>
      <bottom/>
      <diagonal/>
    </border>
    <border>
      <left style="medium"/>
      <right style="thin"/>
      <top/>
      <bottom/>
      <diagonal/>
    </border>
    <border>
      <left style="medium"/>
      <right style="thin"/>
      <top/>
      <bottom style="thin"/>
      <diagonal/>
    </border>
    <border>
      <left style="thin"/>
      <right/>
      <top/>
      <bottom/>
      <diagonal/>
    </border>
    <border>
      <left style="thin"/>
      <right style="thin"/>
      <top/>
      <bottom/>
      <diagonal/>
    </border>
    <border>
      <left/>
      <right/>
      <top/>
      <bottom style="thin"/>
      <diagonal/>
    </border>
    <border diagonalDown="1">
      <left style="thin"/>
      <right style="thin"/>
      <top style="thin"/>
      <bottom style="thin"/>
      <diagonal style="thin"/>
    </border>
    <border>
      <left style="thin"/>
      <right style="thin"/>
      <top/>
      <bottom style="thin"/>
      <diagonal/>
    </border>
  </borders>
  <cellStyleXfs count="55">
    <xf numFmtId="0" fontId="0" fillId="0" borderId="0" applyAlignment="1">
      <alignment vertical="center"/>
    </xf>
    <xf numFmtId="9" fontId="1" fillId="0" borderId="0"/>
    <xf numFmtId="44" fontId="1" fillId="0" borderId="0"/>
    <xf numFmtId="42" fontId="1" fillId="0" borderId="0"/>
    <xf numFmtId="43" fontId="1" fillId="0" borderId="0"/>
    <xf numFmtId="41" fontId="1" fillId="0" borderId="0"/>
    <xf numFmtId="43" fontId="0" fillId="0" borderId="0"/>
    <xf numFmtId="44" fontId="0" fillId="0" borderId="0"/>
    <xf numFmtId="9" fontId="0" fillId="0" borderId="0"/>
    <xf numFmtId="41" fontId="0" fillId="0" borderId="0"/>
    <xf numFmtId="42" fontId="0" fillId="0" borderId="0"/>
    <xf numFmtId="0" fontId="23" fillId="0" borderId="0"/>
    <xf numFmtId="0" fontId="24" fillId="0" borderId="0"/>
    <xf numFmtId="0" fontId="0" fillId="2" borderId="1"/>
    <xf numFmtId="0" fontId="25" fillId="0" borderId="0"/>
    <xf numFmtId="0" fontId="26" fillId="0" borderId="0"/>
    <xf numFmtId="0" fontId="27" fillId="0" borderId="0"/>
    <xf numFmtId="0" fontId="28" fillId="0" borderId="2"/>
    <xf numFmtId="0" fontId="29" fillId="0" borderId="2"/>
    <xf numFmtId="0" fontId="30" fillId="0" borderId="3"/>
    <xf numFmtId="0" fontId="30" fillId="0" borderId="0"/>
    <xf numFmtId="0" fontId="31" fillId="3" borderId="4"/>
    <xf numFmtId="0" fontId="32" fillId="4" borderId="5"/>
    <xf numFmtId="0" fontId="33" fillId="4" borderId="4"/>
    <xf numFmtId="0" fontId="34" fillId="5" borderId="6"/>
    <xf numFmtId="0" fontId="35" fillId="0" borderId="7"/>
    <xf numFmtId="0" fontId="36" fillId="0" borderId="8"/>
    <xf numFmtId="0" fontId="37" fillId="6" borderId="0"/>
    <xf numFmtId="0" fontId="38" fillId="7" borderId="0"/>
    <xf numFmtId="0" fontId="39" fillId="8" borderId="0"/>
    <xf numFmtId="0" fontId="40" fillId="9" borderId="0"/>
    <xf numFmtId="0" fontId="0" fillId="10" borderId="0"/>
    <xf numFmtId="0" fontId="0" fillId="11" borderId="0"/>
    <xf numFmtId="0" fontId="40" fillId="12" borderId="0"/>
    <xf numFmtId="0" fontId="40" fillId="13" borderId="0"/>
    <xf numFmtId="0" fontId="0" fillId="14" borderId="0"/>
    <xf numFmtId="0" fontId="0" fillId="15" borderId="0"/>
    <xf numFmtId="0" fontId="40" fillId="16" borderId="0"/>
    <xf numFmtId="0" fontId="40" fillId="17" borderId="0"/>
    <xf numFmtId="0" fontId="0" fillId="18" borderId="0"/>
    <xf numFmtId="0" fontId="0" fillId="19" borderId="0"/>
    <xf numFmtId="0" fontId="40" fillId="20" borderId="0"/>
    <xf numFmtId="0" fontId="40" fillId="21" borderId="0"/>
    <xf numFmtId="0" fontId="0" fillId="22" borderId="0"/>
    <xf numFmtId="0" fontId="0" fillId="23" borderId="0"/>
    <xf numFmtId="0" fontId="40" fillId="24" borderId="0"/>
    <xf numFmtId="0" fontId="40" fillId="25" borderId="0"/>
    <xf numFmtId="0" fontId="0" fillId="26" borderId="0"/>
    <xf numFmtId="0" fontId="0" fillId="27" borderId="0"/>
    <xf numFmtId="0" fontId="40" fillId="28" borderId="0"/>
    <xf numFmtId="0" fontId="40" fillId="29" borderId="0"/>
    <xf numFmtId="0" fontId="0" fillId="30" borderId="0"/>
    <xf numFmtId="0" fontId="0" fillId="31" borderId="0"/>
    <xf numFmtId="0" fontId="40" fillId="32" borderId="0"/>
    <xf numFmtId="0" fontId="23" fillId="0" borderId="0" applyAlignment="1">
      <alignment vertical="center"/>
    </xf>
  </cellStyleXfs>
  <cellXfs count="204">
    <xf numFmtId="0" fontId="0" fillId="0" borderId="0" applyAlignment="1" pivotButton="0" quotePrefix="0" xfId="0">
      <alignment vertical="center"/>
    </xf>
    <xf numFmtId="0" fontId="2" fillId="33" borderId="0" pivotButton="0" quotePrefix="0" xfId="0"/>
    <xf numFmtId="0" fontId="3" fillId="33" borderId="0" applyAlignment="1" pivotButton="0" quotePrefix="0" xfId="0">
      <alignment horizontal="center" vertical="center"/>
    </xf>
    <xf numFmtId="0" fontId="4" fillId="33" borderId="0" applyAlignment="1" pivotButton="0" quotePrefix="0" xfId="0">
      <alignment horizontal="center" vertical="center" wrapText="1"/>
    </xf>
    <xf numFmtId="0" fontId="4" fillId="33" borderId="0" applyAlignment="1" pivotButton="0" quotePrefix="0" xfId="0">
      <alignment horizontal="left" vertical="center" wrapText="1"/>
    </xf>
    <xf numFmtId="0" fontId="4" fillId="33" borderId="0" applyAlignment="1" pivotButton="0" quotePrefix="0" xfId="0">
      <alignment vertical="center" wrapText="1"/>
    </xf>
    <xf numFmtId="0" fontId="5" fillId="33" borderId="0" applyAlignment="1" pivotButton="0" quotePrefix="0" xfId="0">
      <alignment vertical="center" wrapText="1"/>
    </xf>
    <xf numFmtId="0" fontId="6" fillId="33" borderId="0" applyAlignment="1" pivotButton="0" quotePrefix="0" xfId="0">
      <alignment vertical="center" wrapText="1"/>
    </xf>
    <xf numFmtId="0" fontId="2" fillId="33" borderId="0" applyAlignment="1" pivotButton="0" quotePrefix="0" xfId="0">
      <alignment horizontal="left" vertical="center" wrapText="1"/>
    </xf>
    <xf numFmtId="0" fontId="3" fillId="33" borderId="9" applyAlignment="1" pivotButton="0" quotePrefix="0" xfId="0">
      <alignment horizontal="center" vertical="center" wrapText="1"/>
    </xf>
    <xf numFmtId="0" fontId="3" fillId="33" borderId="0" applyAlignment="1" pivotButton="0" quotePrefix="0" xfId="0">
      <alignment horizontal="center" vertical="center" wrapText="1"/>
    </xf>
    <xf numFmtId="0" fontId="3" fillId="34" borderId="10" applyAlignment="1" pivotButton="0" quotePrefix="0" xfId="0">
      <alignment horizontal="center" vertical="center" wrapText="1"/>
    </xf>
    <xf numFmtId="0" fontId="3" fillId="34" borderId="11" applyAlignment="1" pivotButton="0" quotePrefix="0" xfId="0">
      <alignment horizontal="center" vertical="center" wrapText="1"/>
    </xf>
    <xf numFmtId="0" fontId="3" fillId="34" borderId="12" applyAlignment="1" pivotButton="0" quotePrefix="0" xfId="0">
      <alignment horizontal="center" vertical="center" wrapText="1"/>
    </xf>
    <xf numFmtId="0" fontId="7" fillId="34" borderId="13" applyAlignment="1" pivotButton="0" quotePrefix="0" xfId="0">
      <alignment horizontal="center" vertical="center" wrapText="1"/>
    </xf>
    <xf numFmtId="0" fontId="8" fillId="35" borderId="14" applyAlignment="1" pivotButton="0" quotePrefix="0" xfId="0">
      <alignment horizontal="center" vertical="center" wrapText="1"/>
    </xf>
    <xf numFmtId="0" fontId="2" fillId="33" borderId="15" applyAlignment="1" pivotButton="0" quotePrefix="0" xfId="0">
      <alignment horizontal="left" vertical="center" wrapText="1"/>
    </xf>
    <xf numFmtId="0" fontId="2" fillId="33" borderId="13" applyAlignment="1" pivotButton="0" quotePrefix="0" xfId="0">
      <alignment horizontal="left" vertical="center" wrapText="1"/>
    </xf>
    <xf numFmtId="0" fontId="2" fillId="33" borderId="16" applyAlignment="1" pivotButton="0" quotePrefix="0" xfId="0">
      <alignment horizontal="left" vertical="center" wrapText="1"/>
    </xf>
    <xf numFmtId="0" fontId="8" fillId="35" borderId="17" applyAlignment="1" pivotButton="0" quotePrefix="0" xfId="0">
      <alignment horizontal="center" vertical="center" wrapText="1"/>
    </xf>
    <xf numFmtId="0" fontId="9" fillId="33" borderId="16" applyAlignment="1" pivotButton="0" quotePrefix="0" xfId="0">
      <alignment horizontal="left" vertical="center" wrapText="1"/>
    </xf>
    <xf numFmtId="0" fontId="8" fillId="35" borderId="16" applyAlignment="1" pivotButton="0" quotePrefix="0" xfId="0">
      <alignment horizontal="center" vertical="center" wrapText="1"/>
    </xf>
    <xf numFmtId="0" fontId="6" fillId="33" borderId="16" applyAlignment="1" pivotButton="0" quotePrefix="0" xfId="0">
      <alignment horizontal="center" vertical="center" wrapText="1"/>
    </xf>
    <xf numFmtId="0" fontId="8" fillId="35" borderId="18" applyAlignment="1" pivotButton="0" quotePrefix="0" xfId="0">
      <alignment horizontal="center" vertical="center" wrapText="1"/>
    </xf>
    <xf numFmtId="0" fontId="2" fillId="33" borderId="15" applyAlignment="1" pivotButton="0" quotePrefix="0" xfId="0">
      <alignment horizontal="center" vertical="center" wrapText="1"/>
    </xf>
    <xf numFmtId="0" fontId="2" fillId="33" borderId="13" applyAlignment="1" pivotButton="0" quotePrefix="0" xfId="0">
      <alignment horizontal="center" vertical="center" wrapText="1"/>
    </xf>
    <xf numFmtId="0" fontId="2" fillId="33" borderId="16" applyAlignment="1" pivotButton="0" quotePrefix="0" xfId="0">
      <alignment horizontal="center" vertical="center" wrapText="1"/>
    </xf>
    <xf numFmtId="164" fontId="5" fillId="34" borderId="19" applyAlignment="1" pivotButton="0" quotePrefix="0" xfId="20">
      <alignment horizontal="center" vertical="center"/>
    </xf>
    <xf numFmtId="164" fontId="5" fillId="34" borderId="20" applyAlignment="1" pivotButton="0" quotePrefix="0" xfId="20">
      <alignment horizontal="center" vertical="center"/>
    </xf>
    <xf numFmtId="0" fontId="5" fillId="33" borderId="21" applyAlignment="1" pivotButton="0" quotePrefix="0" xfId="0">
      <alignment horizontal="center" vertical="center" wrapText="1"/>
    </xf>
    <xf numFmtId="0" fontId="5" fillId="33" borderId="22" applyAlignment="1" pivotButton="0" quotePrefix="0" xfId="0">
      <alignment horizontal="center" vertical="center" wrapText="1"/>
    </xf>
    <xf numFmtId="0" fontId="10" fillId="33" borderId="23" applyAlignment="1" pivotButton="0" quotePrefix="0" xfId="0">
      <alignment horizontal="left" vertical="center" wrapText="1"/>
    </xf>
    <xf numFmtId="165" fontId="5" fillId="34" borderId="20" applyAlignment="1" pivotButton="0" quotePrefix="0" xfId="0">
      <alignment horizontal="center" vertical="center" wrapText="1"/>
    </xf>
    <xf numFmtId="164" fontId="5" fillId="34" borderId="24" applyAlignment="1" pivotButton="0" quotePrefix="0" xfId="20">
      <alignment horizontal="center" vertical="center"/>
    </xf>
    <xf numFmtId="164" fontId="5" fillId="34" borderId="16" applyAlignment="1" pivotButton="0" quotePrefix="0" xfId="20">
      <alignment horizontal="center" vertical="center"/>
    </xf>
    <xf numFmtId="0" fontId="5" fillId="33" borderId="15" applyAlignment="1" pivotButton="0" quotePrefix="0" xfId="0">
      <alignment horizontal="center" vertical="center" wrapText="1"/>
    </xf>
    <xf numFmtId="0" fontId="5" fillId="33" borderId="25" applyAlignment="1" pivotButton="0" quotePrefix="0" xfId="0">
      <alignment horizontal="center" vertical="center" wrapText="1"/>
    </xf>
    <xf numFmtId="0" fontId="10" fillId="33" borderId="13" applyAlignment="1" pivotButton="0" quotePrefix="0" xfId="0">
      <alignment horizontal="left" vertical="center" wrapText="1"/>
    </xf>
    <xf numFmtId="165" fontId="5" fillId="34" borderId="16" applyAlignment="1" pivotButton="0" quotePrefix="0" xfId="0">
      <alignment horizontal="center" vertical="center" wrapText="1"/>
    </xf>
    <xf numFmtId="164" fontId="5" fillId="34" borderId="26" applyAlignment="1" pivotButton="0" quotePrefix="0" xfId="20">
      <alignment horizontal="center" vertical="center" wrapText="1"/>
    </xf>
    <xf numFmtId="164" fontId="5" fillId="34" borderId="14" applyAlignment="1" pivotButton="0" quotePrefix="0" xfId="20">
      <alignment horizontal="center" vertical="center" wrapText="1"/>
    </xf>
    <xf numFmtId="0" fontId="5" fillId="36" borderId="27" applyAlignment="1" pivotButton="0" quotePrefix="0" xfId="0">
      <alignment horizontal="center" vertical="center" wrapText="1"/>
    </xf>
    <xf numFmtId="0" fontId="5" fillId="36" borderId="28" applyAlignment="1" pivotButton="0" quotePrefix="0" xfId="0">
      <alignment horizontal="center" vertical="center" wrapText="1"/>
    </xf>
    <xf numFmtId="0" fontId="10" fillId="33" borderId="29" applyAlignment="1" pivotButton="0" quotePrefix="0" xfId="0">
      <alignment horizontal="left" vertical="center" wrapText="1"/>
    </xf>
    <xf numFmtId="165" fontId="5" fillId="34" borderId="14" applyAlignment="1" pivotButton="0" quotePrefix="0" xfId="0">
      <alignment horizontal="center" vertical="center" wrapText="1"/>
    </xf>
    <xf numFmtId="0" fontId="5" fillId="33" borderId="0" applyAlignment="1" pivotButton="0" quotePrefix="0" xfId="0">
      <alignment horizontal="center" vertical="center"/>
    </xf>
    <xf numFmtId="0" fontId="5" fillId="34" borderId="24" applyAlignment="1" pivotButton="0" quotePrefix="0" xfId="0">
      <alignment horizontal="center" vertical="center"/>
    </xf>
    <xf numFmtId="0" fontId="5" fillId="34" borderId="16" applyAlignment="1" pivotButton="0" quotePrefix="0" xfId="0">
      <alignment horizontal="center" vertical="center"/>
    </xf>
    <xf numFmtId="0" fontId="5" fillId="0" borderId="24" applyAlignment="1" pivotButton="0" quotePrefix="0" xfId="0">
      <alignment horizontal="center" vertical="center"/>
    </xf>
    <xf numFmtId="0" fontId="5" fillId="0" borderId="16" applyAlignment="1" pivotButton="0" quotePrefix="0" xfId="0">
      <alignment horizontal="center" vertical="center"/>
    </xf>
    <xf numFmtId="166" fontId="5" fillId="0" borderId="24" applyAlignment="1" pivotButton="0" quotePrefix="0" xfId="0">
      <alignment horizontal="center" vertical="center"/>
    </xf>
    <xf numFmtId="166" fontId="5" fillId="0" borderId="16" applyAlignment="1" pivotButton="0" quotePrefix="0" xfId="0">
      <alignment horizontal="center" vertical="center"/>
    </xf>
    <xf numFmtId="0" fontId="5" fillId="1" borderId="30" applyAlignment="1" pivotButton="0" quotePrefix="0" xfId="0">
      <alignment horizontal="center" vertical="center"/>
    </xf>
    <xf numFmtId="0" fontId="5" fillId="1" borderId="25" applyAlignment="1" pivotButton="0" quotePrefix="0" xfId="0">
      <alignment horizontal="center" vertical="center"/>
    </xf>
    <xf numFmtId="0" fontId="11" fillId="37" borderId="31" applyAlignment="1" pivotButton="0" quotePrefix="0" xfId="0">
      <alignment horizontal="center" vertical="center" wrapText="1"/>
    </xf>
    <xf numFmtId="0" fontId="11" fillId="37" borderId="18" applyAlignment="1" pivotButton="0" quotePrefix="0" xfId="0">
      <alignment horizontal="center" vertical="center" wrapText="1"/>
    </xf>
    <xf numFmtId="165" fontId="11" fillId="37" borderId="15" applyAlignment="1" pivotButton="0" quotePrefix="0" xfId="0">
      <alignment horizontal="center" vertical="center" shrinkToFit="1"/>
    </xf>
    <xf numFmtId="165" fontId="11" fillId="37" borderId="13" applyAlignment="1" pivotButton="0" quotePrefix="0" xfId="0">
      <alignment horizontal="center" vertical="center" shrinkToFit="1"/>
    </xf>
    <xf numFmtId="165" fontId="11" fillId="37" borderId="32" applyAlignment="1" pivotButton="0" quotePrefix="0" xfId="0">
      <alignment horizontal="center" vertical="center" wrapText="1"/>
    </xf>
    <xf numFmtId="165" fontId="11" fillId="37" borderId="33" applyAlignment="1" pivotButton="0" quotePrefix="0" xfId="0">
      <alignment horizontal="center" vertical="center" wrapText="1"/>
    </xf>
    <xf numFmtId="0" fontId="5" fillId="0" borderId="24" applyAlignment="1" pivotButton="0" quotePrefix="0" xfId="0">
      <alignment horizontal="center" vertical="center" wrapText="1"/>
    </xf>
    <xf numFmtId="0" fontId="5" fillId="0" borderId="16" applyAlignment="1" pivotButton="0" quotePrefix="0" xfId="0">
      <alignment horizontal="left" vertical="center" wrapText="1"/>
    </xf>
    <xf numFmtId="0" fontId="10" fillId="0" borderId="16" applyAlignment="1" pivotButton="0" quotePrefix="0" xfId="0">
      <alignment horizontal="center" vertical="center" wrapText="1"/>
    </xf>
    <xf numFmtId="165" fontId="10" fillId="0" borderId="16" applyAlignment="1" pivotButton="0" quotePrefix="0" xfId="0">
      <alignment horizontal="center" vertical="center" wrapText="1"/>
    </xf>
    <xf numFmtId="165" fontId="10" fillId="0" borderId="15" applyAlignment="1" pivotButton="0" quotePrefix="0" xfId="0">
      <alignment horizontal="center" vertical="center" wrapText="1"/>
    </xf>
    <xf numFmtId="165" fontId="10" fillId="0" borderId="13" applyAlignment="1" pivotButton="0" quotePrefix="0" xfId="0">
      <alignment horizontal="center" vertical="center" wrapText="1"/>
    </xf>
    <xf numFmtId="0" fontId="6" fillId="33" borderId="0" pivotButton="0" quotePrefix="0" xfId="0"/>
    <xf numFmtId="0" fontId="11" fillId="0" borderId="16" applyAlignment="1" pivotButton="0" quotePrefix="0" xfId="0">
      <alignment horizontal="center" vertical="center" wrapText="1"/>
    </xf>
    <xf numFmtId="0" fontId="12" fillId="0" borderId="16" applyAlignment="1" pivotButton="0" quotePrefix="0" xfId="0">
      <alignment horizontal="center" vertical="center" wrapText="1"/>
    </xf>
    <xf numFmtId="165" fontId="12" fillId="0" borderId="15" applyAlignment="1" pivotButton="0" quotePrefix="0" xfId="0">
      <alignment horizontal="center" vertical="center" wrapText="1"/>
    </xf>
    <xf numFmtId="165" fontId="12" fillId="0" borderId="13" applyAlignment="1" pivotButton="0" quotePrefix="0" xfId="0">
      <alignment horizontal="center" vertical="center" wrapText="1"/>
    </xf>
    <xf numFmtId="0" fontId="5" fillId="0" borderId="26" applyAlignment="1" pivotButton="0" quotePrefix="0" xfId="0">
      <alignment horizontal="center" vertical="center" wrapText="1"/>
    </xf>
    <xf numFmtId="0" fontId="5" fillId="0" borderId="34" applyAlignment="1" pivotButton="0" quotePrefix="0" xfId="0">
      <alignment horizontal="center" vertical="center" wrapText="1"/>
    </xf>
    <xf numFmtId="0" fontId="5" fillId="0" borderId="16" applyAlignment="1" pivotButton="0" quotePrefix="0" xfId="0">
      <alignment horizontal="left" vertical="center"/>
    </xf>
    <xf numFmtId="0" fontId="10" fillId="0" borderId="16" applyAlignment="1" pivotButton="0" quotePrefix="0" xfId="0">
      <alignment horizontal="center" vertical="center"/>
    </xf>
    <xf numFmtId="0" fontId="5" fillId="0" borderId="31" applyAlignment="1" pivotButton="0" quotePrefix="0" xfId="0">
      <alignment horizontal="center" vertical="center" wrapText="1"/>
    </xf>
    <xf numFmtId="0" fontId="11" fillId="0" borderId="18" applyAlignment="1" pivotButton="0" quotePrefix="0" xfId="0">
      <alignment horizontal="center" vertical="center"/>
    </xf>
    <xf numFmtId="0" fontId="12" fillId="0" borderId="18" applyAlignment="1" pivotButton="0" quotePrefix="0" xfId="0">
      <alignment horizontal="center" vertical="center"/>
    </xf>
    <xf numFmtId="0" fontId="11" fillId="0" borderId="34" applyAlignment="1" pivotButton="0" quotePrefix="0" xfId="0">
      <alignment horizontal="center" vertical="center" wrapText="1"/>
    </xf>
    <xf numFmtId="0" fontId="5" fillId="0" borderId="18" applyAlignment="1" pivotButton="0" quotePrefix="0" xfId="0">
      <alignment horizontal="center" vertical="center" wrapText="1"/>
    </xf>
    <xf numFmtId="165" fontId="11" fillId="0" borderId="32" applyAlignment="1" pivotButton="0" quotePrefix="0" xfId="0">
      <alignment horizontal="center" vertical="center" wrapText="1"/>
    </xf>
    <xf numFmtId="165" fontId="11" fillId="0" borderId="33" applyAlignment="1" pivotButton="0" quotePrefix="0" xfId="0">
      <alignment horizontal="center" vertical="center" wrapText="1"/>
    </xf>
    <xf numFmtId="0" fontId="11" fillId="0" borderId="18" applyAlignment="1" pivotButton="0" quotePrefix="0" xfId="0">
      <alignment horizontal="center" vertical="center" wrapText="1"/>
    </xf>
    <xf numFmtId="0" fontId="12" fillId="0" borderId="18" applyAlignment="1" pivotButton="0" quotePrefix="0" xfId="0">
      <alignment horizontal="center" vertical="center" wrapText="1"/>
    </xf>
    <xf numFmtId="0" fontId="12" fillId="0" borderId="16" applyAlignment="1" pivotButton="0" quotePrefix="0" xfId="0">
      <alignment horizontal="left" vertical="center" wrapText="1"/>
    </xf>
    <xf numFmtId="0" fontId="13" fillId="37" borderId="35" applyAlignment="1" pivotButton="0" quotePrefix="0" xfId="0">
      <alignment horizontal="center" vertical="center"/>
    </xf>
    <xf numFmtId="0" fontId="13" fillId="37" borderId="36" applyAlignment="1" pivotButton="0" quotePrefix="0" xfId="0">
      <alignment horizontal="center" vertical="center"/>
    </xf>
    <xf numFmtId="0" fontId="13" fillId="37" borderId="36" applyAlignment="1" pivotButton="0" quotePrefix="0" xfId="0">
      <alignment horizontal="center" vertical="center" shrinkToFit="1"/>
    </xf>
    <xf numFmtId="165" fontId="14" fillId="37" borderId="37" applyAlignment="1" pivotButton="0" quotePrefix="0" xfId="0">
      <alignment horizontal="center" vertical="center" wrapText="1"/>
    </xf>
    <xf numFmtId="165" fontId="14" fillId="37" borderId="38" applyAlignment="1" pivotButton="0" quotePrefix="0" xfId="0">
      <alignment horizontal="center" vertical="center" wrapText="1"/>
    </xf>
    <xf numFmtId="0" fontId="2" fillId="33" borderId="39" applyAlignment="1" pivotButton="0" quotePrefix="0" xfId="0">
      <alignment horizontal="center"/>
    </xf>
    <xf numFmtId="0" fontId="5" fillId="34" borderId="20" applyAlignment="1" pivotButton="0" quotePrefix="0" xfId="0">
      <alignment horizontal="center" vertical="center"/>
    </xf>
    <xf numFmtId="165" fontId="5" fillId="36" borderId="21" applyAlignment="1" pivotButton="0" quotePrefix="0" xfId="0">
      <alignment horizontal="center" vertical="center"/>
    </xf>
    <xf numFmtId="0" fontId="5" fillId="36" borderId="22" applyAlignment="1" pivotButton="0" quotePrefix="0" xfId="0">
      <alignment horizontal="center" vertical="center"/>
    </xf>
    <xf numFmtId="0" fontId="10" fillId="33" borderId="40" applyAlignment="1" pivotButton="0" quotePrefix="0" xfId="0">
      <alignment horizontal="left" vertical="center" wrapText="1"/>
    </xf>
    <xf numFmtId="10" fontId="5" fillId="0" borderId="16" applyAlignment="1" pivotButton="0" quotePrefix="0" xfId="0">
      <alignment horizontal="center" vertical="center" wrapText="1"/>
    </xf>
    <xf numFmtId="167" fontId="5" fillId="0" borderId="16" applyAlignment="1" pivotButton="0" quotePrefix="0" xfId="0">
      <alignment horizontal="center" vertical="center"/>
    </xf>
    <xf numFmtId="167" fontId="5" fillId="0" borderId="41" applyAlignment="1" pivotButton="0" quotePrefix="0" xfId="0">
      <alignment horizontal="center" vertical="center"/>
    </xf>
    <xf numFmtId="168" fontId="5" fillId="0" borderId="27" applyAlignment="1" pivotButton="0" quotePrefix="0" xfId="0">
      <alignment horizontal="center" vertical="center" wrapText="1"/>
    </xf>
    <xf numFmtId="168" fontId="5" fillId="0" borderId="28" applyAlignment="1" pivotButton="0" quotePrefix="0" xfId="0">
      <alignment horizontal="center" vertical="center" wrapText="1"/>
    </xf>
    <xf numFmtId="168" fontId="5" fillId="0" borderId="29" applyAlignment="1" pivotButton="0" quotePrefix="0" xfId="0">
      <alignment horizontal="center" vertical="center" wrapText="1"/>
    </xf>
    <xf numFmtId="0" fontId="5" fillId="34" borderId="14" applyAlignment="1" pivotButton="0" quotePrefix="0" xfId="0">
      <alignment horizontal="center" vertical="center"/>
    </xf>
    <xf numFmtId="0" fontId="10" fillId="33" borderId="15" applyAlignment="1" pivotButton="0" quotePrefix="0" xfId="0">
      <alignment horizontal="center" vertical="center"/>
    </xf>
    <xf numFmtId="0" fontId="5" fillId="33" borderId="25" applyAlignment="1" pivotButton="0" quotePrefix="0" xfId="0">
      <alignment horizontal="center" vertical="center"/>
    </xf>
    <xf numFmtId="0" fontId="5" fillId="33" borderId="42" applyAlignment="1" pivotButton="0" quotePrefix="0" xfId="0">
      <alignment horizontal="left" vertical="center" shrinkToFit="1"/>
    </xf>
    <xf numFmtId="0" fontId="5" fillId="34" borderId="41" applyAlignment="1" pivotButton="0" quotePrefix="0" xfId="0">
      <alignment horizontal="center" vertical="center"/>
    </xf>
    <xf numFmtId="0" fontId="5" fillId="0" borderId="41" applyAlignment="1" pivotButton="0" quotePrefix="0" xfId="0">
      <alignment horizontal="center" vertical="center"/>
    </xf>
    <xf numFmtId="0" fontId="5" fillId="1" borderId="42" applyAlignment="1" pivotButton="0" quotePrefix="0" xfId="0">
      <alignment horizontal="center" vertical="center"/>
    </xf>
    <xf numFmtId="165" fontId="11" fillId="37" borderId="18" applyAlignment="1" pivotButton="0" quotePrefix="0" xfId="0">
      <alignment horizontal="center" vertical="center" wrapText="1"/>
    </xf>
    <xf numFmtId="165" fontId="11" fillId="37" borderId="15" applyAlignment="1" pivotButton="0" quotePrefix="0" xfId="0">
      <alignment horizontal="center" vertical="center" wrapText="1"/>
    </xf>
    <xf numFmtId="165" fontId="11" fillId="37" borderId="42" applyAlignment="1" pivotButton="0" quotePrefix="0" xfId="0">
      <alignment horizontal="center" vertical="center" wrapText="1"/>
    </xf>
    <xf numFmtId="168" fontId="12" fillId="0" borderId="14" applyAlignment="1" pivotButton="0" quotePrefix="0" xfId="0">
      <alignment horizontal="center" vertical="center" wrapText="1"/>
    </xf>
    <xf numFmtId="0" fontId="2" fillId="33" borderId="16" applyAlignment="1" pivotButton="0" quotePrefix="0" xfId="0">
      <alignment horizontal="center"/>
    </xf>
    <xf numFmtId="0" fontId="2" fillId="33" borderId="32" applyAlignment="1" pivotButton="0" quotePrefix="0" xfId="0">
      <alignment horizontal="center"/>
    </xf>
    <xf numFmtId="0" fontId="2" fillId="33" borderId="43" applyAlignment="1" pivotButton="0" quotePrefix="0" xfId="0">
      <alignment horizontal="center"/>
    </xf>
    <xf numFmtId="165" fontId="15" fillId="0" borderId="16" applyAlignment="1" pivotButton="0" quotePrefix="0" xfId="0">
      <alignment horizontal="right" vertical="center" wrapText="1"/>
    </xf>
    <xf numFmtId="0" fontId="2" fillId="33" borderId="16" pivotButton="0" quotePrefix="0" xfId="0"/>
    <xf numFmtId="165" fontId="12" fillId="0" borderId="16" applyAlignment="1" pivotButton="0" quotePrefix="0" xfId="0">
      <alignment horizontal="center" vertical="center" wrapText="1"/>
    </xf>
    <xf numFmtId="165" fontId="16" fillId="0" borderId="14" applyAlignment="1" pivotButton="0" quotePrefix="0" xfId="0">
      <alignment horizontal="right" vertical="center" wrapText="1"/>
    </xf>
    <xf numFmtId="0" fontId="6" fillId="33" borderId="16" pivotButton="0" quotePrefix="0" xfId="0"/>
    <xf numFmtId="0" fontId="6" fillId="33" borderId="32" applyAlignment="1" pivotButton="0" quotePrefix="0" xfId="0">
      <alignment horizontal="center"/>
    </xf>
    <xf numFmtId="0" fontId="6" fillId="33" borderId="43" applyAlignment="1" pivotButton="0" quotePrefix="0" xfId="0">
      <alignment horizontal="center"/>
    </xf>
    <xf numFmtId="0" fontId="17" fillId="33" borderId="16" applyAlignment="1" pivotButton="0" quotePrefix="0" xfId="0">
      <alignment horizontal="center" vertical="center" wrapText="1"/>
    </xf>
    <xf numFmtId="0" fontId="18" fillId="0" borderId="16" applyAlignment="1" pivotButton="0" quotePrefix="0" xfId="0">
      <alignment vertical="center"/>
    </xf>
    <xf numFmtId="0" fontId="18" fillId="0" borderId="16" applyAlignment="1" pivotButton="0" quotePrefix="0" xfId="0">
      <alignment horizontal="center" vertical="center"/>
    </xf>
    <xf numFmtId="0" fontId="18" fillId="0" borderId="16" applyAlignment="1" pivotButton="0" quotePrefix="0" xfId="0">
      <alignment vertical="center" wrapText="1"/>
    </xf>
    <xf numFmtId="0" fontId="18" fillId="0" borderId="16" applyAlignment="1" pivotButton="0" quotePrefix="0" xfId="0">
      <alignment horizontal="center" vertical="center" wrapText="1"/>
    </xf>
    <xf numFmtId="0" fontId="10" fillId="0" borderId="15" applyAlignment="1" pivotButton="0" quotePrefix="0" xfId="0">
      <alignment vertical="center"/>
    </xf>
    <xf numFmtId="0" fontId="17" fillId="33" borderId="14" applyAlignment="1" pivotButton="0" quotePrefix="0" xfId="0">
      <alignment horizontal="center" vertical="center" wrapText="1"/>
    </xf>
    <xf numFmtId="0" fontId="18" fillId="0" borderId="15" applyAlignment="1" pivotButton="0" quotePrefix="0" xfId="0">
      <alignment horizontal="left" vertical="center"/>
    </xf>
    <xf numFmtId="0" fontId="18" fillId="0" borderId="25" applyAlignment="1" pivotButton="0" quotePrefix="0" xfId="0">
      <alignment horizontal="left" vertical="center"/>
    </xf>
    <xf numFmtId="0" fontId="18" fillId="0" borderId="42" applyAlignment="1" pivotButton="0" quotePrefix="0" xfId="0">
      <alignment horizontal="left" vertical="center"/>
    </xf>
    <xf numFmtId="165" fontId="12" fillId="0" borderId="32" applyAlignment="1" pivotButton="0" quotePrefix="0" xfId="0">
      <alignment horizontal="center" vertical="center"/>
    </xf>
    <xf numFmtId="0" fontId="17" fillId="33" borderId="17" applyAlignment="1" pivotButton="0" quotePrefix="0" xfId="0">
      <alignment horizontal="center" vertical="center" wrapText="1"/>
    </xf>
    <xf numFmtId="0" fontId="18" fillId="0" borderId="15" applyAlignment="1" pivotButton="0" quotePrefix="0" xfId="0">
      <alignment horizontal="left" vertical="center" wrapText="1"/>
    </xf>
    <xf numFmtId="0" fontId="18" fillId="0" borderId="25" applyAlignment="1" pivotButton="0" quotePrefix="0" xfId="0">
      <alignment horizontal="left" vertical="center" wrapText="1"/>
    </xf>
    <xf numFmtId="0" fontId="18" fillId="0" borderId="42" applyAlignment="1" pivotButton="0" quotePrefix="0" xfId="0">
      <alignment horizontal="left" vertical="center" wrapText="1"/>
    </xf>
    <xf numFmtId="165" fontId="14" fillId="37" borderId="37" applyAlignment="1" pivotButton="0" quotePrefix="0" xfId="0">
      <alignment horizontal="center" vertical="center"/>
    </xf>
    <xf numFmtId="0" fontId="13" fillId="38" borderId="44" applyAlignment="1" pivotButton="0" quotePrefix="0" xfId="0">
      <alignment horizontal="center" vertical="center"/>
    </xf>
    <xf numFmtId="0" fontId="13" fillId="38" borderId="45" applyAlignment="1" pivotButton="0" quotePrefix="0" xfId="0">
      <alignment horizontal="center" vertical="center"/>
    </xf>
    <xf numFmtId="0" fontId="13" fillId="38" borderId="46" applyAlignment="1" pivotButton="0" quotePrefix="0" xfId="0">
      <alignment horizontal="center" vertical="center"/>
    </xf>
    <xf numFmtId="0" fontId="19" fillId="0" borderId="0" pivotButton="0" quotePrefix="0" xfId="0"/>
    <xf numFmtId="0" fontId="20" fillId="0" borderId="0" applyAlignment="1" pivotButton="0" quotePrefix="0" xfId="0">
      <alignment horizontal="center" vertical="center"/>
    </xf>
    <xf numFmtId="0" fontId="21" fillId="0" borderId="0" pivotButton="0" quotePrefix="0" xfId="0"/>
    <xf numFmtId="0" fontId="22" fillId="0" borderId="0" applyAlignment="1" pivotButton="0" quotePrefix="0" xfId="0">
      <alignment horizontal="left"/>
    </xf>
    <xf numFmtId="0" fontId="21" fillId="0" borderId="0" applyAlignment="1" pivotButton="0" quotePrefix="0" xfId="0">
      <alignment horizontal="left"/>
    </xf>
    <xf numFmtId="0" fontId="21" fillId="0" borderId="16" applyAlignment="1" pivotButton="0" quotePrefix="0" xfId="0">
      <alignment horizontal="center"/>
    </xf>
    <xf numFmtId="0" fontId="21" fillId="0" borderId="16" pivotButton="0" quotePrefix="0" xfId="0"/>
    <xf numFmtId="0" fontId="21" fillId="0" borderId="15" applyAlignment="1" pivotButton="0" quotePrefix="0" xfId="0">
      <alignment horizontal="center"/>
    </xf>
    <xf numFmtId="0" fontId="21" fillId="0" borderId="25" applyAlignment="1" pivotButton="0" quotePrefix="0" xfId="0">
      <alignment horizontal="center"/>
    </xf>
    <xf numFmtId="0" fontId="21" fillId="0" borderId="13" applyAlignment="1" pivotButton="0" quotePrefix="0" xfId="0">
      <alignment horizontal="center"/>
    </xf>
    <xf numFmtId="0" fontId="36" fillId="0" borderId="0" applyAlignment="1" pivotButton="0" quotePrefix="0" xfId="0">
      <alignment vertical="center"/>
    </xf>
    <xf numFmtId="0" fontId="23" fillId="0" borderId="0" applyAlignment="1" pivotButton="0" quotePrefix="0" xfId="68">
      <alignment vertical="center"/>
    </xf>
    <xf numFmtId="0" fontId="23" fillId="0" borderId="0" applyAlignment="1" pivotButton="0" quotePrefix="0" xfId="0">
      <alignment vertical="center"/>
    </xf>
    <xf numFmtId="0" fontId="0" fillId="0" borderId="0" pivotButton="0" quotePrefix="0" xfId="0"/>
    <xf numFmtId="0" fontId="0" fillId="0" borderId="49" pivotButton="0" quotePrefix="0" xfId="0"/>
    <xf numFmtId="0" fontId="0" fillId="0" borderId="50" pivotButton="0" quotePrefix="0" xfId="0"/>
    <xf numFmtId="164" fontId="5" fillId="34" borderId="19" applyAlignment="1" pivotButton="0" quotePrefix="0" xfId="20">
      <alignment horizontal="center" vertical="center"/>
    </xf>
    <xf numFmtId="0" fontId="0" fillId="0" borderId="53" pivotButton="0" quotePrefix="0" xfId="0"/>
    <xf numFmtId="0" fontId="0" fillId="0" borderId="54" pivotButton="0" quotePrefix="0" xfId="0"/>
    <xf numFmtId="165" fontId="5" fillId="34" borderId="20" applyAlignment="1" pivotButton="0" quotePrefix="0" xfId="0">
      <alignment horizontal="center" vertical="center" wrapText="1"/>
    </xf>
    <xf numFmtId="165" fontId="5" fillId="36" borderId="21" applyAlignment="1" pivotButton="0" quotePrefix="0" xfId="0">
      <alignment horizontal="center" vertical="center"/>
    </xf>
    <xf numFmtId="164" fontId="5" fillId="34" borderId="24" applyAlignment="1" pivotButton="0" quotePrefix="0" xfId="20">
      <alignment horizontal="center" vertical="center"/>
    </xf>
    <xf numFmtId="165" fontId="5" fillId="34" borderId="16" applyAlignment="1" pivotButton="0" quotePrefix="0" xfId="0">
      <alignment horizontal="center" vertical="center" wrapText="1"/>
    </xf>
    <xf numFmtId="167" fontId="5" fillId="0" borderId="16" applyAlignment="1" pivotButton="0" quotePrefix="0" xfId="0">
      <alignment horizontal="center" vertical="center"/>
    </xf>
    <xf numFmtId="164" fontId="5" fillId="34" borderId="26" applyAlignment="1" pivotButton="0" quotePrefix="0" xfId="20">
      <alignment horizontal="center" vertical="center" wrapText="1"/>
    </xf>
    <xf numFmtId="0" fontId="0" fillId="0" borderId="48" pivotButton="0" quotePrefix="0" xfId="0"/>
    <xf numFmtId="0" fontId="0" fillId="0" borderId="47" pivotButton="0" quotePrefix="0" xfId="0"/>
    <xf numFmtId="165" fontId="5" fillId="34" borderId="14" applyAlignment="1" pivotButton="0" quotePrefix="0" xfId="0">
      <alignment horizontal="center" vertical="center" wrapText="1"/>
    </xf>
    <xf numFmtId="168" fontId="5" fillId="0" borderId="14" applyAlignment="1" pivotButton="0" quotePrefix="0" xfId="0">
      <alignment horizontal="center" vertical="center" wrapText="1"/>
    </xf>
    <xf numFmtId="166" fontId="5" fillId="0" borderId="24" applyAlignment="1" pivotButton="0" quotePrefix="0" xfId="0">
      <alignment horizontal="center" vertical="center"/>
    </xf>
    <xf numFmtId="0" fontId="5" fillId="1" borderId="55" applyAlignment="1" pivotButton="0" quotePrefix="0" xfId="0">
      <alignment horizontal="center" vertical="center"/>
    </xf>
    <xf numFmtId="0" fontId="0" fillId="0" borderId="57" pivotButton="0" quotePrefix="0" xfId="0"/>
    <xf numFmtId="0" fontId="0" fillId="0" borderId="59" pivotButton="0" quotePrefix="0" xfId="0"/>
    <xf numFmtId="165" fontId="11" fillId="37" borderId="16" applyAlignment="1" pivotButton="0" quotePrefix="0" xfId="0">
      <alignment horizontal="center" vertical="center" shrinkToFit="1"/>
    </xf>
    <xf numFmtId="165" fontId="11" fillId="37" borderId="18" applyAlignment="1" pivotButton="0" quotePrefix="0" xfId="0">
      <alignment horizontal="center" vertical="center" wrapText="1"/>
    </xf>
    <xf numFmtId="165" fontId="11" fillId="37" borderId="41" applyAlignment="1" pivotButton="0" quotePrefix="0" xfId="0">
      <alignment horizontal="center" vertical="center" wrapText="1"/>
    </xf>
    <xf numFmtId="165" fontId="10" fillId="0" borderId="16" applyAlignment="1" pivotButton="0" quotePrefix="0" xfId="0">
      <alignment horizontal="center" vertical="center" wrapText="1"/>
    </xf>
    <xf numFmtId="168" fontId="12" fillId="0" borderId="14" applyAlignment="1" pivotButton="0" quotePrefix="0" xfId="0">
      <alignment horizontal="center" vertical="center" wrapText="1"/>
    </xf>
    <xf numFmtId="0" fontId="2" fillId="33" borderId="60" applyAlignment="1" pivotButton="0" quotePrefix="0" xfId="0">
      <alignment horizontal="center"/>
    </xf>
    <xf numFmtId="0" fontId="0" fillId="0" borderId="62" pivotButton="0" quotePrefix="0" xfId="0"/>
    <xf numFmtId="0" fontId="0" fillId="0" borderId="68" pivotButton="0" quotePrefix="0" xfId="0"/>
    <xf numFmtId="165" fontId="15" fillId="0" borderId="16" applyAlignment="1" pivotButton="0" quotePrefix="0" xfId="0">
      <alignment horizontal="right" vertical="center" wrapText="1"/>
    </xf>
    <xf numFmtId="0" fontId="0" fillId="0" borderId="69" pivotButton="0" quotePrefix="0" xfId="0"/>
    <xf numFmtId="165" fontId="12" fillId="0" borderId="16" applyAlignment="1" pivotButton="0" quotePrefix="0" xfId="0">
      <alignment horizontal="center" vertical="center" wrapText="1"/>
    </xf>
    <xf numFmtId="165" fontId="16" fillId="0" borderId="14" applyAlignment="1" pivotButton="0" quotePrefix="0" xfId="0">
      <alignment horizontal="right" vertical="center" wrapText="1"/>
    </xf>
    <xf numFmtId="0" fontId="6" fillId="33" borderId="60" applyAlignment="1" pivotButton="0" quotePrefix="0" xfId="0">
      <alignment horizontal="center"/>
    </xf>
    <xf numFmtId="165" fontId="10" fillId="0" borderId="15" applyAlignment="1" pivotButton="0" quotePrefix="0" xfId="0">
      <alignment horizontal="center" vertical="center" wrapText="1"/>
    </xf>
    <xf numFmtId="0" fontId="18" fillId="0" borderId="41" applyAlignment="1" pivotButton="0" quotePrefix="0" xfId="0">
      <alignment horizontal="left" vertical="center"/>
    </xf>
    <xf numFmtId="165" fontId="12" fillId="0" borderId="32" applyAlignment="1" pivotButton="0" quotePrefix="0" xfId="0">
      <alignment horizontal="center" vertical="center"/>
    </xf>
    <xf numFmtId="0" fontId="0" fillId="0" borderId="71" pivotButton="0" quotePrefix="0" xfId="0"/>
    <xf numFmtId="0" fontId="18" fillId="0" borderId="41" applyAlignment="1" pivotButton="0" quotePrefix="0" xfId="0">
      <alignment horizontal="left" vertical="center" wrapText="1"/>
    </xf>
    <xf numFmtId="165" fontId="11" fillId="0" borderId="32" applyAlignment="1" pivotButton="0" quotePrefix="0" xfId="0">
      <alignment horizontal="center" vertical="center" wrapText="1"/>
    </xf>
    <xf numFmtId="165" fontId="11" fillId="0" borderId="33" applyAlignment="1" pivotButton="0" quotePrefix="0" xfId="0">
      <alignment horizontal="center" vertical="center" wrapText="1"/>
    </xf>
    <xf numFmtId="0" fontId="0" fillId="0" borderId="63" pivotButton="0" quotePrefix="0" xfId="0"/>
    <xf numFmtId="165" fontId="14" fillId="37" borderId="36" applyAlignment="1" pivotButton="0" quotePrefix="0" xfId="0">
      <alignment horizontal="center" vertical="center" wrapText="1"/>
    </xf>
    <xf numFmtId="165" fontId="14" fillId="37" borderId="37" applyAlignment="1" pivotButton="0" quotePrefix="0" xfId="0">
      <alignment horizontal="center" vertical="center"/>
    </xf>
    <xf numFmtId="0" fontId="13" fillId="38" borderId="64" applyAlignment="1" pivotButton="0" quotePrefix="0" xfId="0">
      <alignment horizontal="center" vertical="center"/>
    </xf>
    <xf numFmtId="0" fontId="0" fillId="0" borderId="65" pivotButton="0" quotePrefix="0" xfId="0"/>
    <xf numFmtId="0" fontId="0" fillId="0" borderId="66" pivotButton="0" quotePrefix="0" xfId="0"/>
    <xf numFmtId="0" fontId="0" fillId="0" borderId="51" pivotButton="0" quotePrefix="0" xfId="0"/>
    <xf numFmtId="0" fontId="0" fillId="0" borderId="72" pivotButton="0" quotePrefix="0" xfId="0"/>
    <xf numFmtId="0" fontId="3" fillId="34" borderId="73" applyAlignment="1" pivotButton="0" quotePrefix="0" xfId="0">
      <alignment horizontal="center" vertical="center" wrapText="1"/>
    </xf>
    <xf numFmtId="0" fontId="0" fillId="0" borderId="74" pivotButton="0" quotePrefix="0" xfId="0"/>
  </cellXfs>
  <cellStyles count="55">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Hyperlink" xfId="54"/>
  </cellStyles>
  <dxfs count="17">
    <dxf>
      <fill>
        <patternFill patternType="solid">
          <fgColor theme="4" tint="0.7999799847602844"/>
          <bgColor theme="4" tint="0.7999799847602844"/>
        </patternFill>
      </fill>
    </dxf>
    <dxf>
      <fill>
        <patternFill patternType="solid">
          <fgColor theme="4" tint="0.7999799847602844"/>
          <bgColor theme="4" tint="0.799979984760284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800086021423"/>
        </horizontal>
      </border>
    </dxf>
    <dxf>
      <fill>
        <patternFill patternType="solid">
          <fgColor theme="4" tint="0.7999799847602844"/>
          <bgColor theme="4" tint="0.7999799847602844"/>
        </patternFill>
      </fill>
      <border>
        <bottom style="thin">
          <color theme="4" tint="0.3999800086021423"/>
        </bottom>
      </border>
    </dxf>
    <dxf>
      <font>
        <b val="1"/>
      </font>
      <fill>
        <patternFill patternType="solid">
          <fgColor theme="4" tint="0.7999799847602844"/>
          <bgColor theme="4" tint="0.7999799847602844"/>
        </patternFill>
      </fill>
      <border>
        <bottom style="thin">
          <color theme="4" tint="0.3999800086021423"/>
        </bottom>
      </border>
    </dxf>
    <dxf>
      <font>
        <color theme="1"/>
      </font>
    </dxf>
    <dxf>
      <font>
        <color theme="1"/>
      </font>
      <border>
        <bottom style="thin">
          <color theme="4" tint="0.3999800086021423"/>
        </bottom>
      </border>
    </dxf>
    <dxf>
      <font>
        <b val="1"/>
        <color theme="1"/>
      </font>
    </dxf>
    <dxf>
      <font>
        <b val="1"/>
        <color theme="1"/>
      </font>
      <border>
        <top style="thin">
          <color theme="4"/>
        </top>
        <bottom style="thin">
          <color theme="4"/>
        </bottom>
      </border>
    </dxf>
    <dxf>
      <fill>
        <patternFill patternType="solid">
          <fgColor theme="4" tint="0.7999799847602844"/>
          <bgColor theme="4" tint="0.7999799847602844"/>
        </patternFill>
      </fill>
    </dxf>
    <dxf>
      <fill>
        <patternFill patternType="solid">
          <fgColor theme="4" tint="0.7999799847602844"/>
          <bgColor theme="4" tint="0.7999799847602844"/>
        </patternFill>
      </fill>
    </dxf>
    <dxf>
      <font>
        <b val="1"/>
        <color theme="1"/>
      </font>
      <fill>
        <patternFill patternType="solid">
          <fgColor theme="4" tint="0.7999799847602844"/>
          <bgColor theme="4" tint="0.7999799847602844"/>
        </patternFill>
      </fill>
      <border>
        <top style="thin">
          <color theme="4" tint="0.3999800086021423"/>
        </top>
        <bottom style="thin">
          <color theme="4" tint="0.3999800086021423"/>
        </bottom>
      </border>
    </dxf>
    <dxf>
      <font>
        <b val="1"/>
        <color theme="1"/>
      </font>
      <fill>
        <patternFill patternType="solid">
          <fgColor theme="4" tint="0.7999799847602844"/>
          <bgColor theme="4" tint="0.7999799847602844"/>
        </patternFill>
      </fill>
      <border>
        <bottom style="thin">
          <color theme="4" tint="0.3999800086021423"/>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MS User</author>
    <author>TM</author>
  </authors>
  <commentList>
    <comment ref="M2" authorId="0" shapeId="0">
      <text>
        <t>MS User:
预算面积</t>
      </text>
    </comment>
    <comment ref="I25" authorId="1" shapeId="0">
      <text>
        <t>TM:
可销售量按85%考虑</t>
      </text>
    </comment>
  </commentList>
</comments>
</file>

<file path=xl/comments/comment2.xml><?xml version="1.0" encoding="utf-8"?>
<comments xmlns="http://schemas.openxmlformats.org/spreadsheetml/2006/main">
  <authors>
    <author>TM</author>
    <author>胡宏</author>
  </authors>
  <commentList>
    <comment ref="E4" authorId="0" shapeId="0">
      <text>
        <t>TM:
2号楼为15+1、16+1、18+1</t>
      </text>
    </comment>
    <comment ref="G4" authorId="0" shapeId="0">
      <text>
        <t>TM:
一层5.0m，五层3.3m,局部3层、4层</t>
      </text>
    </comment>
    <comment ref="C50" authorId="1" shapeId="0">
      <text>
        <t>胡宏:
仅装修房</t>
      </text>
    </comment>
  </commentList>
</comments>
</file>

<file path=xl/externalLinks/_rels/externalLink1.xml.rels><Relationships xmlns="http://schemas.openxmlformats.org/package/2006/relationships"><Relationship Type="http://schemas.openxmlformats.org/officeDocument/2006/relationships/externalLinkPath" Target="file:///E:\&#24314;&#31569;\&#22269;&#38469;&#32442;&#32455;&#22478;\&#25104;&#26412;&#20998;&#26512;\QQJ&#25104;&#26412;&#27979;&#31639;&#34920;&#21494;&#24635;&#24418;&#24335;&#32473;&#21508;&#39033;&#30446;&#31354;&#34920;01.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规划指标"/>
      <sheetName val="成本汇总"/>
      <sheetName val="六类公摊费用及期间费"/>
      <sheetName val="高层住宅"/>
      <sheetName val="商业主体"/>
      <sheetName val="类型2主体"/>
      <sheetName val="类型3主体"/>
      <sheetName val="各类产品建筑标准"/>
      <sheetName val="填表指引"/>
    </sheetNames>
    <sheetDataSet>
      <sheetData sheetId="0" refreshError="1">
        <row r="11">
          <cell r="C11" t="str">
            <v>高层住宅</v>
          </cell>
        </row>
        <row r="12">
          <cell r="C12" t="str">
            <v>小高层住宅</v>
          </cell>
        </row>
        <row r="17">
          <cell r="C17" t="str">
            <v>商业</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J15"/>
  <sheetViews>
    <sheetView topLeftCell="A1" workbookViewId="0">
      <selection activeCell="B7" sqref="B7:H7"/>
    </sheetView>
  </sheetViews>
  <sheetFormatPr baseColWidth="8" defaultColWidth="8.75390625" defaultRowHeight="13.5"/>
  <cols>
    <col width="12.875" customWidth="1" style="141" min="1" max="1"/>
    <col width="9.375" customWidth="1" style="141" min="2" max="2"/>
    <col width="17.75390625" customWidth="1" style="141" min="3" max="3"/>
    <col width="20.50390625" customWidth="1" style="141" min="4" max="4"/>
    <col width="9.50390625" customWidth="1" style="141" min="5" max="7"/>
    <col width="22.00390625" customWidth="1" style="141" min="8" max="8"/>
    <col width="9.50390625" customWidth="1" style="141" min="9" max="10"/>
  </cols>
  <sheetData>
    <row r="1" ht="25.5" customHeight="1" s="154">
      <c r="B1" s="142" t="inlineStr">
        <is>
          <t>Preparation Instructions</t>
        </is>
      </c>
    </row>
    <row r="2" ht="21" customHeight="1" s="154">
      <c r="A2" s="143" t="n"/>
      <c r="B2" s="144" t="inlineStr">
        <is>
          <t>1. Unconstructed projects are based on the "******* Project Planning and Design Scheme";</t>
        </is>
      </c>
      <c r="I2" s="143" t="n"/>
      <c r="J2" s="143" t="n"/>
    </row>
    <row r="3" ht="21" customHeight="1" s="154">
      <c r="A3" s="143" t="n"/>
      <c r="B3" s="144" t="inlineStr">
        <is>
          <t>2. Refer to the construction costs of surrounding projects;</t>
        </is>
      </c>
      <c r="I3" s="143" t="n"/>
      <c r="J3" s="143" t="n"/>
    </row>
    <row r="4" ht="21" customHeight="1" s="154">
      <c r="A4" s="143" t="n"/>
      <c r="B4" s="144" t="inlineStr">
        <is>
          <t>3. Financial expenses and taxes are mainly provided by the Finance Department;</t>
        </is>
      </c>
      <c r="I4" s="143" t="n"/>
      <c r="J4" s="143" t="n"/>
    </row>
    <row r="5" ht="21" customHeight="1" s="154">
      <c r="A5" s="143" t="n"/>
      <c r="B5" s="144" t="inlineStr">
        <is>
          <t>4. The average selling price and sales expenses are provided by the sales department;</t>
        </is>
      </c>
      <c r="I5" s="143" t="n"/>
      <c r="J5" s="143" t="n"/>
    </row>
    <row r="6" ht="21" customHeight="1" s="154">
      <c r="A6" s="143" t="n"/>
      <c r="B6" s="144" t="inlineStr">
        <is>
          <t>5. The preliminary expenses and planning fees are prepared based on the current situation in the ***** area;</t>
        </is>
      </c>
      <c r="I6" s="143" t="n"/>
      <c r="J6" s="143" t="n"/>
    </row>
    <row r="7" ht="21" customHeight="1" s="154">
      <c r="A7" s="143" t="n"/>
      <c r="B7" s="144" t="inlineStr">
        <is>
          <t>6. The main project cost estimation is shown in the cost summary table;</t>
        </is>
      </c>
      <c r="I7" s="143" t="n"/>
      <c r="J7" s="143" t="n"/>
    </row>
    <row r="8" ht="21" customHeight="1" s="154">
      <c r="A8" s="143" t="n"/>
      <c r="B8" s="145" t="inlineStr">
        <is>
          <t>7. The total sales of the entire project amount to 1.29 billion yuan, with a total investment of 870 million yuan and a profit of 420 million yuan.</t>
        </is>
      </c>
      <c r="I8" s="143" t="n"/>
      <c r="J8" s="143" t="n"/>
    </row>
    <row r="9" ht="21" customHeight="1" s="154">
      <c r="A9" s="143" t="n"/>
      <c r="B9" s="143" t="inlineStr">
        <is>
          <t>Sales profit margin 32.56%, total cost per square meter indicator 4,064.3 yuan, net profit 2,026.06 yuan. Among them:</t>
        </is>
      </c>
      <c r="C9" s="143" t="n"/>
      <c r="D9" s="143" t="n"/>
      <c r="E9" s="143" t="n"/>
      <c r="F9" s="143" t="n"/>
      <c r="G9" s="143" t="n"/>
      <c r="H9" s="143" t="n"/>
      <c r="I9" s="143" t="n"/>
      <c r="J9" s="143" t="n"/>
    </row>
    <row r="10" ht="21" customHeight="1" s="154">
      <c r="A10" s="143" t="n"/>
      <c r="B10" s="146" t="inlineStr">
        <is>
          <t>Serial Number</t>
        </is>
      </c>
      <c r="C10" s="146" t="inlineStr">
        <is>
          <t>Cost Name</t>
        </is>
      </c>
      <c r="D10" s="147" t="inlineStr">
        <is>
          <t>Saleable Unit Price Index</t>
        </is>
      </c>
      <c r="E10" s="146" t="inlineStr">
        <is>
          <t>Remarks</t>
        </is>
      </c>
      <c r="F10" s="155" t="n"/>
      <c r="G10" s="155" t="n"/>
      <c r="H10" s="156" t="n"/>
      <c r="I10" s="143" t="n"/>
      <c r="J10" s="143" t="n"/>
    </row>
    <row r="11" ht="21" customHeight="1" s="154">
      <c r="A11" s="143" t="n"/>
      <c r="B11" s="146" t="n">
        <v>1</v>
      </c>
      <c r="C11" s="146" t="inlineStr">
        <is>
          <t>Land Cost</t>
        </is>
      </c>
      <c r="D11" s="147" t="n">
        <v>1025.31</v>
      </c>
      <c r="E11" s="146" t="n"/>
      <c r="F11" s="155" t="n"/>
      <c r="G11" s="155" t="n"/>
      <c r="H11" s="156" t="n"/>
      <c r="I11" s="143" t="n"/>
      <c r="J11" s="143" t="n"/>
    </row>
    <row r="12" ht="21" customHeight="1" s="154">
      <c r="A12" s="143" t="n"/>
      <c r="B12" s="146" t="n">
        <v>2</v>
      </c>
      <c r="C12" s="146" t="inlineStr">
        <is>
          <t>Construction Costs</t>
        </is>
      </c>
      <c r="D12" s="147" t="n">
        <v>1774.02</v>
      </c>
      <c r="E12" s="146" t="inlineStr">
        <is>
          <t>Includes construction and installation, pipeline network, garden, and supporting facilities</t>
        </is>
      </c>
      <c r="F12" s="155" t="n"/>
      <c r="G12" s="155" t="n"/>
      <c r="H12" s="156" t="n"/>
      <c r="I12" s="143" t="n"/>
      <c r="J12" s="143" t="n"/>
    </row>
    <row r="13" ht="21" customHeight="1" s="154">
      <c r="A13" s="143" t="n"/>
      <c r="B13" s="146" t="n">
        <v>3</v>
      </c>
      <c r="C13" s="146" t="inlineStr">
        <is>
          <t>Tax expenses</t>
        </is>
      </c>
      <c r="D13" s="147" t="n">
        <v>734.17</v>
      </c>
      <c r="E13" s="146" t="inlineStr">
        <is>
          <t>Includes turnover taxes and income tax</t>
        </is>
      </c>
      <c r="F13" s="155" t="n"/>
      <c r="G13" s="155" t="n"/>
      <c r="H13" s="156" t="n"/>
      <c r="I13" s="143" t="n"/>
      <c r="J13" s="143" t="n"/>
    </row>
    <row r="14" ht="21" customHeight="1" s="154">
      <c r="A14" s="143" t="n"/>
      <c r="B14" s="146" t="n">
        <v>4</v>
      </c>
      <c r="C14" s="146" t="inlineStr">
        <is>
          <t>Other Expenses</t>
        </is>
      </c>
      <c r="D14" s="147" t="n">
        <v>530.8</v>
      </c>
      <c r="E14" s="146" t="inlineStr">
        <is>
          <t>Including design, sales, pre-construction, management, and finance</t>
        </is>
      </c>
      <c r="F14" s="155" t="n"/>
      <c r="G14" s="155" t="n"/>
      <c r="H14" s="156" t="n"/>
      <c r="I14" s="143" t="n"/>
      <c r="J14" s="143" t="n"/>
    </row>
    <row r="15" ht="21" customHeight="1" s="154">
      <c r="A15" s="143" t="n"/>
      <c r="B15" s="146" t="n">
        <v>5</v>
      </c>
      <c r="C15" s="146" t="inlineStr">
        <is>
          <t>Total</t>
        </is>
      </c>
      <c r="D15" s="147">
        <f>SUM(D11:D14)</f>
        <v/>
      </c>
      <c r="E15" s="146" t="n"/>
      <c r="F15" s="155" t="n"/>
      <c r="G15" s="155" t="n"/>
      <c r="H15" s="156" t="n"/>
      <c r="I15" s="143" t="n"/>
      <c r="J15" s="143" t="n"/>
    </row>
  </sheetData>
  <mergeCells count="14">
    <mergeCell ref="E14:H14"/>
    <mergeCell ref="B8:H8"/>
    <mergeCell ref="B1:H1"/>
    <mergeCell ref="B4:H4"/>
    <mergeCell ref="E12:H12"/>
    <mergeCell ref="B6:H6"/>
    <mergeCell ref="B2:H2"/>
    <mergeCell ref="E15:H15"/>
    <mergeCell ref="B7:H7"/>
    <mergeCell ref="B3:H3"/>
    <mergeCell ref="B5:H5"/>
    <mergeCell ref="E10:H10"/>
    <mergeCell ref="E11:H11"/>
    <mergeCell ref="E13:H13"/>
  </mergeCell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O30"/>
  <sheetViews>
    <sheetView topLeftCell="A1" workbookViewId="0">
      <selection activeCell="E19" sqref="E19:F19"/>
    </sheetView>
  </sheetViews>
  <sheetFormatPr baseColWidth="8" defaultColWidth="8.75390625" defaultRowHeight="13.5"/>
  <cols>
    <col width="13.00390625" customWidth="1" style="1" min="1" max="1"/>
    <col width="4.375" customWidth="1" style="1" min="2" max="2"/>
    <col width="14.00390625" customWidth="1" style="1" min="3" max="3"/>
    <col width="11.75390625" customWidth="1" style="1" min="4" max="4"/>
    <col width="4.875" customWidth="1" style="1" min="5" max="5"/>
    <col width="7.25390625" customWidth="1" style="1" min="6" max="6"/>
    <col width="6.375" customWidth="1" style="1" min="7" max="7"/>
    <col width="6.875" customWidth="1" style="1" min="8" max="8"/>
    <col width="11.50390625" customWidth="1" style="1" min="9" max="9"/>
    <col width="4.00390625" customWidth="1" style="1" min="10" max="10"/>
    <col width="5.75390625" customWidth="1" style="1" min="11" max="11"/>
    <col width="14.75390625" customWidth="1" style="1" min="12" max="12"/>
    <col width="7.875" customWidth="1" style="1" min="13" max="13"/>
    <col width="5.50390625" customWidth="1" style="1" min="14" max="14"/>
    <col width="5.00390625" customWidth="1" style="1" min="15" max="15"/>
  </cols>
  <sheetData>
    <row r="1" ht="23.25" customHeight="1" s="154">
      <c r="B1" s="2" t="inlineStr">
        <is>
          <t>Planning Indicators</t>
        </is>
      </c>
    </row>
    <row r="2" ht="13.5" customHeight="1" s="154">
      <c r="B2" s="157" t="inlineStr">
        <is>
          <t>Total land area</t>
        </is>
      </c>
      <c r="C2" s="158" t="n"/>
      <c r="D2" s="29" t="n">
        <v>113195.68</v>
      </c>
      <c r="E2" s="159" t="n"/>
      <c r="F2" s="31" t="inlineStr">
        <is>
          <t>m2</t>
        </is>
      </c>
      <c r="G2" s="160" t="inlineStr">
        <is>
          <t>Building Land Area</t>
        </is>
      </c>
      <c r="H2" s="158" t="n"/>
      <c r="I2" s="29" t="n">
        <v>113195.68</v>
      </c>
      <c r="J2" s="159" t="n"/>
      <c r="K2" s="31" t="inlineStr">
        <is>
          <t>m2</t>
        </is>
      </c>
      <c r="L2" s="91" t="inlineStr">
        <is>
          <t>Total construction area</t>
        </is>
      </c>
      <c r="M2" s="161" t="n">
        <v>242975.4</v>
      </c>
      <c r="N2" s="159" t="n"/>
      <c r="O2" s="94" t="inlineStr">
        <is>
          <t>m2</t>
        </is>
      </c>
    </row>
    <row r="3" ht="13.5" customHeight="1" s="154">
      <c r="B3" s="162" t="inlineStr">
        <is>
          <t>Building footprint area</t>
        </is>
      </c>
      <c r="C3" s="156" t="n"/>
      <c r="D3" s="35" t="n">
        <v>33619.12</v>
      </c>
      <c r="E3" s="155" t="n"/>
      <c r="F3" s="37" t="inlineStr">
        <is>
          <t>m2</t>
        </is>
      </c>
      <c r="G3" s="163" t="inlineStr">
        <is>
          <t>Building Density</t>
        </is>
      </c>
      <c r="H3" s="156" t="n"/>
      <c r="I3" s="95">
        <f>IF(D3=0,"",IF(I2=0,"",D3/I2))</f>
        <v/>
      </c>
      <c r="J3" s="155" t="n"/>
      <c r="K3" s="156" t="n"/>
      <c r="L3" s="47" t="inlineStr">
        <is>
          <t>Green Space Ratio</t>
        </is>
      </c>
      <c r="M3" s="164" t="n">
        <v>0.351</v>
      </c>
      <c r="N3" s="155" t="n"/>
      <c r="O3" s="156" t="n"/>
    </row>
    <row r="4" ht="13.5" customHeight="1" s="154">
      <c r="B4" s="165" t="inlineStr">
        <is>
          <t>Gross Floor Area (counted in floor area ratio)</t>
        </is>
      </c>
      <c r="C4" s="166" t="n"/>
      <c r="D4" s="41" t="n">
        <v>211675.9</v>
      </c>
      <c r="E4" s="167" t="n"/>
      <c r="F4" s="43" t="inlineStr">
        <is>
          <t>m2</t>
        </is>
      </c>
      <c r="G4" s="168" t="inlineStr">
        <is>
          <t>Floor Area Ratio</t>
        </is>
      </c>
      <c r="H4" s="166" t="n"/>
      <c r="I4" s="169">
        <f>D4/D2</f>
        <v/>
      </c>
      <c r="J4" s="167" t="n"/>
      <c r="K4" s="166" t="n"/>
      <c r="L4" s="101" t="inlineStr">
        <is>
          <t>Sale unit price</t>
        </is>
      </c>
      <c r="M4" s="102" t="n"/>
      <c r="N4" s="155" t="n"/>
      <c r="O4" s="104" t="inlineStr">
        <is>
          <t>yuan/square meter</t>
        </is>
      </c>
    </row>
    <row r="5" ht="13.5" customHeight="1" s="154">
      <c r="A5" s="45" t="n"/>
      <c r="B5" s="46" t="inlineStr">
        <is>
          <t>Total road and plaza land area</t>
        </is>
      </c>
      <c r="C5" s="156" t="n"/>
      <c r="D5" s="47" t="inlineStr">
        <is>
          <t>asphalt pavement vehicle road</t>
        </is>
      </c>
      <c r="E5" s="156" t="n"/>
      <c r="F5" s="47" t="inlineStr">
        <is>
          <t>Concrete Pavement Vehicle Lane</t>
        </is>
      </c>
      <c r="G5" s="155" t="n"/>
      <c r="H5" s="156" t="n"/>
      <c r="I5" s="47" t="inlineStr">
        <is>
          <t>Hard pavement vehicular road</t>
        </is>
      </c>
      <c r="J5" s="156" t="n"/>
      <c r="K5" s="47" t="inlineStr">
        <is>
          <t>Hard Paved Plaza</t>
        </is>
      </c>
      <c r="L5" s="156" t="n"/>
      <c r="M5" s="47" t="inlineStr">
        <is>
          <t>Hard Paved Sidewalk</t>
        </is>
      </c>
      <c r="N5" s="155" t="n"/>
      <c r="O5" s="156" t="n"/>
    </row>
    <row r="6" ht="13.5" customHeight="1" s="154">
      <c r="A6" s="45" t="n"/>
      <c r="B6" s="48" t="n">
        <v>7500</v>
      </c>
      <c r="C6" s="156" t="n"/>
      <c r="D6" s="49" t="n"/>
      <c r="E6" s="156" t="n"/>
      <c r="F6" s="49" t="n"/>
      <c r="G6" s="155" t="n"/>
      <c r="H6" s="156" t="n"/>
      <c r="I6" s="49" t="n"/>
      <c r="J6" s="156" t="n"/>
      <c r="K6" s="49" t="n"/>
      <c r="L6" s="156" t="n"/>
      <c r="M6" s="49" t="n"/>
      <c r="N6" s="155" t="n"/>
      <c r="O6" s="156" t="n"/>
    </row>
    <row r="7" ht="13.5" customHeight="1" s="154">
      <c r="A7" s="45" t="n"/>
      <c r="B7" s="46" t="inlineStr">
        <is>
          <t>Total green space area</t>
        </is>
      </c>
      <c r="C7" s="156" t="n"/>
      <c r="D7" s="47" t="inlineStr">
        <is>
          <t>Important Public Green Space</t>
        </is>
      </c>
      <c r="E7" s="156" t="n"/>
      <c r="F7" s="47" t="inlineStr">
        <is>
          <t>Group Courtyard Greening</t>
        </is>
      </c>
      <c r="G7" s="155" t="n"/>
      <c r="H7" s="156" t="n"/>
      <c r="I7" s="47" t="inlineStr">
        <is>
          <t>Private garden at the ground floor</t>
        </is>
      </c>
      <c r="J7" s="156" t="n"/>
      <c r="K7" s="47" t="inlineStr">
        <is>
          <t>Sports (Amusement) Facilities Area</t>
        </is>
      </c>
      <c r="L7" s="156" t="n"/>
      <c r="M7" s="47" t="inlineStr">
        <is>
          <t>Water feature area</t>
        </is>
      </c>
      <c r="N7" s="155" t="n"/>
      <c r="O7" s="156" t="n"/>
    </row>
    <row r="8" ht="13.5" customHeight="1" s="154">
      <c r="A8" s="45" t="n"/>
      <c r="B8" s="170">
        <f>D2*M3</f>
        <v/>
      </c>
      <c r="C8" s="156" t="n"/>
      <c r="D8" s="49" t="n"/>
      <c r="E8" s="156" t="n"/>
      <c r="F8" s="49" t="n"/>
      <c r="G8" s="155" t="n"/>
      <c r="H8" s="156" t="n"/>
      <c r="I8" s="49" t="n"/>
      <c r="J8" s="156" t="n"/>
      <c r="K8" s="49" t="n"/>
      <c r="L8" s="156" t="n"/>
      <c r="M8" s="49" t="n"/>
      <c r="N8" s="155" t="n"/>
      <c r="O8" s="156" t="n"/>
    </row>
    <row r="9" ht="13.5" customHeight="1" s="154">
      <c r="B9" s="171" t="n"/>
      <c r="C9" s="155" t="n"/>
      <c r="D9" s="155" t="n"/>
      <c r="E9" s="155" t="n"/>
      <c r="F9" s="155" t="n"/>
      <c r="G9" s="155" t="n"/>
      <c r="H9" s="155" t="n"/>
      <c r="I9" s="155" t="n"/>
      <c r="J9" s="155" t="n"/>
      <c r="K9" s="155" t="n"/>
      <c r="L9" s="155" t="n"/>
      <c r="M9" s="155" t="n"/>
      <c r="N9" s="155" t="n"/>
      <c r="O9" s="172" t="n"/>
    </row>
    <row r="10" ht="13.5" customHeight="1" s="154">
      <c r="B10" s="54" t="inlineStr">
        <is>
          <t>Product Composition</t>
        </is>
      </c>
      <c r="C10" s="173" t="n"/>
      <c r="D10" s="55" t="inlineStr">
        <is>
          <t>Building area</t>
        </is>
      </c>
      <c r="E10" s="174" t="inlineStr">
        <is>
          <t>Salable area</t>
        </is>
      </c>
      <c r="F10" s="156" t="n"/>
      <c r="G10" s="175" t="inlineStr">
        <is>
          <t>Sale unit price</t>
        </is>
      </c>
      <c r="H10" s="173" t="n"/>
      <c r="I10" s="175" t="inlineStr">
        <is>
          <t>Total sellable amount</t>
        </is>
      </c>
      <c r="J10" s="175" t="inlineStr">
        <is>
          <t>Product Ratio</t>
        </is>
      </c>
      <c r="K10" s="173" t="n"/>
      <c r="L10" s="175" t="inlineStr">
        <is>
          <t>Average area per household</t>
        </is>
      </c>
      <c r="M10" s="175" t="inlineStr">
        <is>
          <t>Number of Units</t>
        </is>
      </c>
      <c r="N10" s="176" t="inlineStr">
        <is>
          <t>Number of households</t>
        </is>
      </c>
      <c r="O10" s="172" t="n"/>
    </row>
    <row r="11" ht="13.5" customHeight="1" s="154">
      <c r="B11" s="60" t="inlineStr">
        <is>
          <t>Residential</t>
        </is>
      </c>
      <c r="C11" s="61" t="inlineStr">
        <is>
          <t>Small high-rise</t>
        </is>
      </c>
      <c r="D11" s="62" t="n">
        <v>53767.5</v>
      </c>
      <c r="E11" s="177">
        <f>D11*J11</f>
        <v/>
      </c>
      <c r="F11" s="156" t="n"/>
      <c r="G11" s="177" t="n">
        <v>3300</v>
      </c>
      <c r="H11" s="156" t="n"/>
      <c r="I11" s="177">
        <f>E11*G11/10000</f>
        <v/>
      </c>
      <c r="J11" s="178" t="n">
        <v>0.95</v>
      </c>
      <c r="K11" s="166" t="n"/>
      <c r="L11" s="177" t="n"/>
      <c r="M11" s="112" t="n"/>
      <c r="N11" s="179" t="n"/>
      <c r="O11" s="180" t="n"/>
    </row>
    <row r="12" ht="13.5" customHeight="1" s="154">
      <c r="B12" s="181" t="n"/>
      <c r="C12" s="61" t="inlineStr">
        <is>
          <t>High-rise</t>
        </is>
      </c>
      <c r="D12" s="62" t="n">
        <v>66493.10000000001</v>
      </c>
      <c r="E12" s="177">
        <f>D12*J12</f>
        <v/>
      </c>
      <c r="F12" s="156" t="n"/>
      <c r="G12" s="177" t="n">
        <v>3800</v>
      </c>
      <c r="H12" s="156" t="n"/>
      <c r="I12" s="177">
        <f>E12*G12/10000</f>
        <v/>
      </c>
      <c r="J12" s="178" t="n">
        <v>0.95</v>
      </c>
      <c r="K12" s="166" t="n"/>
      <c r="L12" s="182" t="n"/>
      <c r="M12" s="116" t="n"/>
      <c r="N12" s="179" t="n"/>
      <c r="O12" s="180" t="n"/>
    </row>
    <row r="13" ht="13.5" customHeight="1" s="154">
      <c r="A13" s="66" t="n"/>
      <c r="B13" s="183" t="n"/>
      <c r="C13" s="67" t="inlineStr">
        <is>
          <t>Subtotal</t>
        </is>
      </c>
      <c r="D13" s="68">
        <f>SUM(D11:D12)</f>
        <v/>
      </c>
      <c r="E13" s="184">
        <f>SUM(E11:E12)</f>
        <v/>
      </c>
      <c r="F13" s="156" t="n"/>
      <c r="G13" s="184">
        <f>SUM(G11:G12)</f>
        <v/>
      </c>
      <c r="H13" s="156" t="n"/>
      <c r="I13" s="184">
        <f>SUM(I11:I12)</f>
        <v/>
      </c>
      <c r="J13" s="178">
        <f>E13/D13</f>
        <v/>
      </c>
      <c r="K13" s="166" t="n"/>
      <c r="L13" s="185" t="n"/>
      <c r="M13" s="119" t="n"/>
      <c r="N13" s="186" t="n"/>
      <c r="O13" s="180" t="n"/>
    </row>
    <row r="14" ht="13.5" customHeight="1" s="154">
      <c r="B14" s="60" t="inlineStr">
        <is>
          <t>Public Supporting Buildings</t>
        </is>
      </c>
      <c r="C14" s="61" t="inlineStr">
        <is>
          <t>Shop</t>
        </is>
      </c>
      <c r="D14" s="62" t="n">
        <v>18315.7</v>
      </c>
      <c r="E14" s="177">
        <f>D14*0.96</f>
        <v/>
      </c>
      <c r="F14" s="156" t="n"/>
      <c r="G14" s="177" t="n">
        <v>7000</v>
      </c>
      <c r="H14" s="156" t="n"/>
      <c r="I14" s="187">
        <f>E14*G14/10000</f>
        <v/>
      </c>
      <c r="J14" s="122" t="n"/>
      <c r="K14" s="156" t="n"/>
      <c r="L14" s="123" t="n"/>
      <c r="M14" s="123" t="n"/>
      <c r="N14" s="124" t="n"/>
      <c r="O14" s="156" t="n"/>
    </row>
    <row r="15" ht="13.5" customHeight="1" s="154">
      <c r="B15" s="181" t="n"/>
      <c r="C15" s="61" t="inlineStr">
        <is>
          <t>Text to translate:
棉纺市场区
Translation:
Textile Market Area</t>
        </is>
      </c>
      <c r="D15" s="74" t="n">
        <v>45733.5</v>
      </c>
      <c r="E15" s="177">
        <f>D15*0.96</f>
        <v/>
      </c>
      <c r="F15" s="156" t="n"/>
      <c r="G15" s="177" t="n">
        <v>7000</v>
      </c>
      <c r="H15" s="156" t="n"/>
      <c r="I15" s="187">
        <f>E15*G15/10000</f>
        <v/>
      </c>
      <c r="J15" s="122" t="n"/>
      <c r="K15" s="156" t="n"/>
      <c r="L15" s="125" t="n"/>
      <c r="M15" s="125" t="n"/>
      <c r="N15" s="126" t="n"/>
      <c r="O15" s="156" t="n"/>
    </row>
    <row r="16" ht="13.5" customHeight="1" s="154">
      <c r="B16" s="181" t="n"/>
      <c r="C16" s="73" t="inlineStr">
        <is>
          <t>Apartment Hotel</t>
        </is>
      </c>
      <c r="D16" s="74" t="n">
        <v>22294.3</v>
      </c>
      <c r="E16" s="177">
        <f>D16*0.96</f>
        <v/>
      </c>
      <c r="F16" s="156" t="n"/>
      <c r="G16" s="177" t="n">
        <v>4000</v>
      </c>
      <c r="H16" s="156" t="n"/>
      <c r="I16" s="187">
        <f>E16*G16/10000</f>
        <v/>
      </c>
      <c r="J16" s="122" t="n"/>
      <c r="K16" s="156" t="n"/>
      <c r="L16" s="125" t="n"/>
      <c r="M16" s="125" t="n"/>
      <c r="N16" s="126" t="n"/>
      <c r="O16" s="156" t="n"/>
    </row>
    <row r="17" ht="13.5" customHeight="1" s="154">
      <c r="B17" s="181" t="n"/>
      <c r="C17" s="73" t="inlineStr">
        <is>
          <t>Clubhouse</t>
        </is>
      </c>
      <c r="D17" s="74" t="n">
        <v>1168</v>
      </c>
      <c r="E17" s="177" t="n"/>
      <c r="F17" s="156" t="n"/>
      <c r="G17" s="177" t="n"/>
      <c r="H17" s="156" t="n"/>
      <c r="I17" s="127" t="n"/>
      <c r="J17" s="122" t="n"/>
      <c r="K17" s="156" t="n"/>
      <c r="L17" s="125" t="n"/>
      <c r="M17" s="125" t="n"/>
      <c r="N17" s="126" t="n"/>
      <c r="O17" s="156" t="n"/>
    </row>
    <row r="18" ht="13.5" customHeight="1" s="154">
      <c r="B18" s="183" t="n"/>
      <c r="C18" s="73" t="inlineStr">
        <is>
          <t>Auxiliary Rooms</t>
        </is>
      </c>
      <c r="D18" s="74" t="n">
        <v>1660.9</v>
      </c>
      <c r="E18" s="177" t="n"/>
      <c r="F18" s="156" t="n"/>
      <c r="G18" s="177" t="n"/>
      <c r="H18" s="156" t="n"/>
      <c r="I18" s="127" t="n"/>
      <c r="J18" s="128" t="inlineStr">
        <is>
          <t>Cost Calculation Explanation</t>
        </is>
      </c>
      <c r="K18" s="188" t="inlineStr">
        <is>
          <t>All eight major categories of expenses need to be allocated.</t>
        </is>
      </c>
      <c r="L18" s="155" t="n"/>
      <c r="M18" s="155" t="n"/>
      <c r="N18" s="155" t="n"/>
      <c r="O18" s="172" t="n"/>
    </row>
    <row r="19" ht="13.5" customHeight="1" s="154">
      <c r="B19" s="75" t="n"/>
      <c r="C19" s="76" t="inlineStr">
        <is>
          <t>Subtotal</t>
        </is>
      </c>
      <c r="D19" s="77">
        <f>SUM(D14:D18)</f>
        <v/>
      </c>
      <c r="E19" s="184">
        <f>SUM(E14:E18)</f>
        <v/>
      </c>
      <c r="F19" s="156" t="n"/>
      <c r="G19" s="177" t="n"/>
      <c r="H19" s="156" t="n"/>
      <c r="I19" s="189">
        <f>SUM(I14:I18)</f>
        <v/>
      </c>
      <c r="J19" s="190" t="n"/>
      <c r="K19" s="191" t="inlineStr">
        <is>
          <t>All costs are fully allocated to the salable portion and are not retained separately.</t>
        </is>
      </c>
      <c r="L19" s="155" t="n"/>
      <c r="M19" s="155" t="n"/>
      <c r="N19" s="155" t="n"/>
      <c r="O19" s="172" t="n"/>
    </row>
    <row r="20" ht="13.5" customHeight="1" s="154">
      <c r="B20" s="54" t="n"/>
      <c r="C20" s="173" t="n"/>
      <c r="D20" s="55" t="inlineStr">
        <is>
          <t>Building area</t>
        </is>
      </c>
      <c r="E20" s="175" t="inlineStr">
        <is>
          <t>Number of parking spaces</t>
        </is>
      </c>
      <c r="F20" s="173" t="n"/>
      <c r="G20" s="175" t="inlineStr">
        <is>
          <t>Sale unit price</t>
        </is>
      </c>
      <c r="H20" s="173" t="n"/>
      <c r="I20" s="175" t="inlineStr">
        <is>
          <t>Total sellable amount</t>
        </is>
      </c>
      <c r="J20" s="190" t="n"/>
      <c r="K20" s="191" t="inlineStr">
        <is>
          <t>All costs are fully allocated to the salable portion and are not retained separately.</t>
        </is>
      </c>
      <c r="L20" s="155" t="n"/>
      <c r="M20" s="155" t="n"/>
      <c r="N20" s="155" t="n"/>
      <c r="O20" s="172" t="n"/>
    </row>
    <row r="21" ht="13.5" customHeight="1" s="154">
      <c r="B21" s="78" t="n"/>
      <c r="C21" s="79" t="inlineStr">
        <is>
          <t>Half basement</t>
        </is>
      </c>
      <c r="D21" s="79" t="n">
        <v>15201.3</v>
      </c>
      <c r="E21" s="192" t="n"/>
      <c r="F21" s="193" t="n"/>
      <c r="G21" s="192" t="n"/>
      <c r="H21" s="193" t="n"/>
      <c r="I21" s="192" t="n"/>
      <c r="J21" s="190" t="n"/>
      <c r="K21" s="191" t="inlineStr">
        <is>
          <t>All costs are fully allocated to the salable portion and are not retained separately.</t>
        </is>
      </c>
      <c r="L21" s="155" t="n"/>
      <c r="M21" s="155" t="n"/>
      <c r="N21" s="155" t="n"/>
      <c r="O21" s="172" t="n"/>
    </row>
    <row r="22" ht="13.5" customHeight="1" s="154">
      <c r="B22" s="78" t="n"/>
      <c r="C22" s="79" t="inlineStr">
        <is>
          <t>Underground bicycle garage</t>
        </is>
      </c>
      <c r="D22" s="79" t="n">
        <v>6881.7</v>
      </c>
      <c r="E22" s="192" t="n"/>
      <c r="F22" s="193" t="n"/>
      <c r="G22" s="192" t="n"/>
      <c r="H22" s="193" t="n"/>
      <c r="I22" s="192" t="n"/>
      <c r="J22" s="190" t="n"/>
      <c r="K22" s="134" t="n"/>
      <c r="L22" s="135" t="n"/>
      <c r="M22" s="135" t="n"/>
      <c r="N22" s="135" t="n"/>
      <c r="O22" s="136" t="n"/>
    </row>
    <row r="23" ht="13.5" customHeight="1" s="154">
      <c r="B23" s="78" t="n"/>
      <c r="C23" s="79" t="inlineStr">
        <is>
          <t>civil air defense basement</t>
        </is>
      </c>
      <c r="D23" s="79" t="n">
        <v>9407.4</v>
      </c>
      <c r="E23" s="192" t="n"/>
      <c r="F23" s="193" t="n"/>
      <c r="G23" s="192" t="n"/>
      <c r="H23" s="193" t="n"/>
      <c r="I23" s="192" t="n"/>
      <c r="J23" s="190" t="n"/>
      <c r="K23" s="134" t="n"/>
      <c r="L23" s="135" t="n"/>
      <c r="M23" s="135" t="n"/>
      <c r="N23" s="135" t="n"/>
      <c r="O23" s="136" t="n"/>
    </row>
    <row r="24" ht="13.5" customHeight="1" s="154">
      <c r="B24" s="78" t="n"/>
      <c r="C24" s="82" t="inlineStr">
        <is>
          <t>Basement</t>
        </is>
      </c>
      <c r="D24" s="82">
        <f>SUM(D21:D23)</f>
        <v/>
      </c>
      <c r="E24" s="192" t="n"/>
      <c r="F24" s="193" t="n"/>
      <c r="G24" s="192" t="n"/>
      <c r="H24" s="193" t="n"/>
      <c r="I24" s="192" t="n"/>
      <c r="J24" s="190" t="n"/>
      <c r="K24" s="134" t="n"/>
      <c r="L24" s="135" t="n"/>
      <c r="M24" s="135" t="n"/>
      <c r="N24" s="135" t="n"/>
      <c r="O24" s="136" t="n"/>
    </row>
    <row r="25" ht="13.5" customHeight="1" s="154">
      <c r="B25" s="60" t="inlineStr">
        <is>
          <t>Parking</t>
        </is>
      </c>
      <c r="C25" s="61" t="inlineStr">
        <is>
          <t>Underground parking spaces</t>
        </is>
      </c>
      <c r="D25" s="83" t="n"/>
      <c r="E25" s="177" t="n">
        <v>446</v>
      </c>
      <c r="F25" s="156" t="n"/>
      <c r="G25" s="177" t="n">
        <v>80000</v>
      </c>
      <c r="H25" s="156" t="n"/>
      <c r="I25" s="187">
        <f>E25*0.85*G25/10000</f>
        <v/>
      </c>
      <c r="J25" s="190" t="n"/>
      <c r="K25" s="191" t="inlineStr">
        <is>
          <t>Only allocate the main construction and installation costs, or retain the quota costs</t>
        </is>
      </c>
      <c r="L25" s="155" t="n"/>
      <c r="M25" s="155" t="n"/>
      <c r="N25" s="155" t="n"/>
      <c r="O25" s="172" t="n"/>
    </row>
    <row r="26" ht="13.5" customHeight="1" s="154">
      <c r="B26" s="181" t="n"/>
      <c r="C26" s="61" t="inlineStr">
        <is>
          <t>Ground floor parking garage</t>
        </is>
      </c>
      <c r="D26" s="83" t="n"/>
      <c r="E26" s="177" t="n">
        <v>400</v>
      </c>
      <c r="F26" s="156" t="n"/>
      <c r="G26" s="177" t="n"/>
      <c r="H26" s="156" t="n"/>
      <c r="I26" s="187">
        <f>E26*0.85*G26/10000</f>
        <v/>
      </c>
      <c r="J26" s="190" t="n"/>
      <c r="K26" s="191" t="inlineStr">
        <is>
          <t>Determine by yourself according to whether it is salable and the income ratio principle.</t>
        </is>
      </c>
      <c r="L26" s="155" t="n"/>
      <c r="M26" s="155" t="n"/>
      <c r="N26" s="155" t="n"/>
      <c r="O26" s="172" t="n"/>
    </row>
    <row r="27" ht="13.5" customHeight="1" s="154">
      <c r="B27" s="183" t="n"/>
      <c r="C27" s="61" t="inlineStr">
        <is>
          <t>Roof parking space</t>
        </is>
      </c>
      <c r="D27" s="83" t="n"/>
      <c r="E27" s="177" t="n">
        <v>444</v>
      </c>
      <c r="F27" s="156" t="n"/>
      <c r="G27" s="177" t="n"/>
      <c r="H27" s="156" t="n"/>
      <c r="I27" s="187">
        <f>E27*0.85*G27/10000</f>
        <v/>
      </c>
      <c r="J27" s="190" t="n"/>
      <c r="K27" s="191" t="n"/>
      <c r="L27" s="155" t="n"/>
      <c r="M27" s="155" t="n"/>
      <c r="N27" s="155" t="n"/>
      <c r="O27" s="172" t="n"/>
    </row>
    <row r="28" ht="13.5" customHeight="1" s="154">
      <c r="B28" s="72" t="n"/>
      <c r="C28" s="67" t="inlineStr">
        <is>
          <t>Subtotal</t>
        </is>
      </c>
      <c r="D28" s="84" t="n"/>
      <c r="E28" s="184">
        <f>E25+E26+E27</f>
        <v/>
      </c>
      <c r="F28" s="156" t="n"/>
      <c r="G28" s="184" t="n"/>
      <c r="H28" s="156" t="n"/>
      <c r="I28" s="184">
        <f>I25+I26+I27</f>
        <v/>
      </c>
      <c r="J28" s="190" t="n"/>
      <c r="K28" s="191" t="n"/>
      <c r="L28" s="155" t="n"/>
      <c r="M28" s="155" t="n"/>
      <c r="N28" s="155" t="n"/>
      <c r="O28" s="172" t="n"/>
    </row>
    <row r="29" ht="14.25" customHeight="1" s="154">
      <c r="A29" s="66" t="n"/>
      <c r="B29" s="85" t="inlineStr">
        <is>
          <t>Total</t>
        </is>
      </c>
      <c r="C29" s="194" t="n"/>
      <c r="D29" s="87">
        <f>D13+D19+D21+D22+D23</f>
        <v/>
      </c>
      <c r="E29" s="195">
        <f>E13+E19</f>
        <v/>
      </c>
      <c r="F29" s="194" t="n"/>
      <c r="G29" s="195" t="n"/>
      <c r="H29" s="194" t="n"/>
      <c r="I29" s="196">
        <f>I13+I19+I28</f>
        <v/>
      </c>
      <c r="J29" s="197" t="n"/>
      <c r="K29" s="198" t="n"/>
      <c r="L29" s="198" t="n"/>
      <c r="M29" s="198" t="n"/>
      <c r="N29" s="198" t="n"/>
      <c r="O29" s="199" t="n"/>
    </row>
    <row r="30" ht="13.5" customHeight="1" s="154">
      <c r="E30" s="90" t="n"/>
      <c r="F30" s="200" t="n"/>
      <c r="G30" s="90" t="n"/>
      <c r="H30" s="200" t="n"/>
      <c r="I30" s="90" t="n"/>
      <c r="J30" s="200" t="n"/>
    </row>
  </sheetData>
  <mergeCells count="108">
    <mergeCell ref="F5:H5"/>
    <mergeCell ref="N11:O11"/>
    <mergeCell ref="J10:K10"/>
    <mergeCell ref="F8:H8"/>
    <mergeCell ref="D6:E6"/>
    <mergeCell ref="N12:O12"/>
    <mergeCell ref="G18:H18"/>
    <mergeCell ref="N14:O14"/>
    <mergeCell ref="D7:E7"/>
    <mergeCell ref="J18:J28"/>
    <mergeCell ref="E27:F27"/>
    <mergeCell ref="D4:E4"/>
    <mergeCell ref="K27:O27"/>
    <mergeCell ref="G20:H20"/>
    <mergeCell ref="N15:O15"/>
    <mergeCell ref="M5:O5"/>
    <mergeCell ref="K19:O19"/>
    <mergeCell ref="F7:H7"/>
    <mergeCell ref="I30:J30"/>
    <mergeCell ref="E12:F12"/>
    <mergeCell ref="G12:H12"/>
    <mergeCell ref="I6:J6"/>
    <mergeCell ref="K25:O25"/>
    <mergeCell ref="B3:C3"/>
    <mergeCell ref="N16:O16"/>
    <mergeCell ref="E14:F14"/>
    <mergeCell ref="M6:O6"/>
    <mergeCell ref="K20:O20"/>
    <mergeCell ref="B2:C2"/>
    <mergeCell ref="D2:E2"/>
    <mergeCell ref="I7:J7"/>
    <mergeCell ref="B25:B27"/>
    <mergeCell ref="I4:K4"/>
    <mergeCell ref="J11:K11"/>
    <mergeCell ref="B29:C29"/>
    <mergeCell ref="B11:B13"/>
    <mergeCell ref="I8:J8"/>
    <mergeCell ref="E26:F26"/>
    <mergeCell ref="N13:O13"/>
    <mergeCell ref="G26:H26"/>
    <mergeCell ref="B9:O9"/>
    <mergeCell ref="B6:C6"/>
    <mergeCell ref="B14:B18"/>
    <mergeCell ref="J12:K12"/>
    <mergeCell ref="E16:F16"/>
    <mergeCell ref="G16:H16"/>
    <mergeCell ref="E25:F25"/>
    <mergeCell ref="G25:H25"/>
    <mergeCell ref="K6:L6"/>
    <mergeCell ref="E18:F18"/>
    <mergeCell ref="K18:O18"/>
    <mergeCell ref="B7:C7"/>
    <mergeCell ref="G2:H2"/>
    <mergeCell ref="I2:J2"/>
    <mergeCell ref="G11:H11"/>
    <mergeCell ref="K5:L5"/>
    <mergeCell ref="I3:K3"/>
    <mergeCell ref="M2:N2"/>
    <mergeCell ref="E20:F20"/>
    <mergeCell ref="E29:F29"/>
    <mergeCell ref="M3:O3"/>
    <mergeCell ref="E13:F13"/>
    <mergeCell ref="G13:H13"/>
    <mergeCell ref="N17:O17"/>
    <mergeCell ref="E15:F15"/>
    <mergeCell ref="K8:L8"/>
    <mergeCell ref="G15:H15"/>
    <mergeCell ref="J16:K16"/>
    <mergeCell ref="N10:O10"/>
    <mergeCell ref="D3:E3"/>
    <mergeCell ref="K7:L7"/>
    <mergeCell ref="F6:H6"/>
    <mergeCell ref="B5:C5"/>
    <mergeCell ref="B20:C20"/>
    <mergeCell ref="D5:E5"/>
    <mergeCell ref="B4:C4"/>
    <mergeCell ref="J14:K14"/>
    <mergeCell ref="G27:H27"/>
    <mergeCell ref="M7:O7"/>
    <mergeCell ref="J13:K13"/>
    <mergeCell ref="E17:F17"/>
    <mergeCell ref="G17:H17"/>
    <mergeCell ref="K21:O21"/>
    <mergeCell ref="K26:O26"/>
    <mergeCell ref="E10:F10"/>
    <mergeCell ref="G10:H10"/>
    <mergeCell ref="J15:K15"/>
    <mergeCell ref="E19:F19"/>
    <mergeCell ref="G19:H19"/>
    <mergeCell ref="E28:F28"/>
    <mergeCell ref="G28:H28"/>
    <mergeCell ref="M8:O8"/>
    <mergeCell ref="B8:C8"/>
    <mergeCell ref="G3:H3"/>
    <mergeCell ref="B1:O1"/>
    <mergeCell ref="E30:F30"/>
    <mergeCell ref="G30:H30"/>
    <mergeCell ref="B10:C10"/>
    <mergeCell ref="E11:F11"/>
    <mergeCell ref="I5:J5"/>
    <mergeCell ref="G14:H14"/>
    <mergeCell ref="D8:E8"/>
    <mergeCell ref="G4:H4"/>
    <mergeCell ref="G29:H29"/>
    <mergeCell ref="J29:O29"/>
    <mergeCell ref="K28:O28"/>
    <mergeCell ref="M4:N4"/>
    <mergeCell ref="J17:K17"/>
  </mergeCell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G79"/>
  <sheetViews>
    <sheetView topLeftCell="A1" workbookViewId="0">
      <selection activeCell="E17" sqref="E17"/>
    </sheetView>
  </sheetViews>
  <sheetFormatPr baseColWidth="8" defaultColWidth="8.75390625" defaultRowHeight="13.5"/>
  <cols>
    <col width="3.125" customWidth="1" style="6" min="1" max="1"/>
    <col width="13.375" customWidth="1" style="7" min="2" max="2"/>
    <col width="7.375" customWidth="1" style="8" min="3" max="3"/>
    <col width="12.375" customWidth="1" style="8" min="4" max="4"/>
    <col width="24.625" customWidth="1" style="8" min="5" max="5"/>
    <col width="30.00390625" customWidth="1" style="8" min="6" max="6"/>
    <col width="23.75390625" customWidth="1" style="8" min="7" max="7"/>
  </cols>
  <sheetData>
    <row r="1" ht="22.5" customHeight="1" s="154">
      <c r="B1" s="9" t="inlineStr">
        <is>
          <t>Construction Standards</t>
        </is>
      </c>
      <c r="C1" s="201" t="n"/>
      <c r="D1" s="201" t="n"/>
      <c r="E1" s="201" t="n"/>
      <c r="F1" s="201" t="n"/>
      <c r="G1" s="10" t="n"/>
    </row>
    <row r="2" ht="22.5" customHeight="1" s="154">
      <c r="B2" s="202" t="n"/>
      <c r="C2" s="155" t="n"/>
      <c r="D2" s="156" t="n"/>
      <c r="E2" s="14">
        <f>'[1]规划指标'!C11</f>
        <v/>
      </c>
      <c r="F2" s="14">
        <f>'[1]规划指标'!C12</f>
        <v/>
      </c>
      <c r="G2" s="14">
        <f>'[1]规划指标'!C17</f>
        <v/>
      </c>
    </row>
    <row r="3" ht="13.5" customHeight="1" s="154">
      <c r="B3" s="15" t="inlineStr">
        <is>
          <t>Structure and Initial Decoration</t>
        </is>
      </c>
      <c r="C3" s="18" t="inlineStr">
        <is>
          <t>Structural System</t>
        </is>
      </c>
      <c r="D3" s="156" t="n"/>
      <c r="E3" s="18" t="inlineStr">
        <is>
          <t>Short-limb shear wall</t>
        </is>
      </c>
      <c r="F3" s="18" t="inlineStr">
        <is>
          <t>Short-limb shear wall</t>
        </is>
      </c>
      <c r="G3" s="18" t="inlineStr">
        <is>
          <t>frame structure</t>
        </is>
      </c>
    </row>
    <row r="4" ht="25.5" customHeight="1" s="154">
      <c r="B4" s="190" t="n"/>
      <c r="C4" s="18" t="inlineStr">
        <is>
          <t>Number of floors\floor height</t>
        </is>
      </c>
      <c r="D4" s="156" t="n"/>
      <c r="E4" s="17" t="inlineStr">
        <is>
          <t>18+1 floors\2.85m (4.7m for ground floor commercial space)</t>
        </is>
      </c>
      <c r="F4" s="20" t="inlineStr">
        <is>
          <t>11+1 floors\2.8m</t>
        </is>
      </c>
      <c r="G4" s="17" t="inlineStr">
        <is>
          <t>5 floors\3.6m</t>
        </is>
      </c>
    </row>
    <row r="5" ht="13.5" customHeight="1" s="154">
      <c r="B5" s="190" t="n"/>
      <c r="C5" s="18" t="inlineStr">
        <is>
          <t>Foundation type</t>
        </is>
      </c>
      <c r="D5" s="156" t="n"/>
      <c r="E5" s="18" t="inlineStr">
        <is>
          <t>Pile Cap Foundation</t>
        </is>
      </c>
      <c r="F5" s="18" t="inlineStr">
        <is>
          <t>Raft foundation</t>
        </is>
      </c>
      <c r="G5" s="18" t="inlineStr">
        <is>
          <t>Pile Cap Foundation</t>
        </is>
      </c>
    </row>
    <row r="6" ht="13.5" customHeight="1" s="154">
      <c r="B6" s="190" t="n"/>
      <c r="C6" s="18" t="inlineStr">
        <is>
          <t>Flat roof\Sloped roof</t>
        </is>
      </c>
      <c r="D6" s="156" t="n"/>
      <c r="E6" s="18" t="inlineStr">
        <is>
          <t>Flat roof</t>
        </is>
      </c>
      <c r="F6" s="18" t="inlineStr">
        <is>
          <t>Flat roof</t>
        </is>
      </c>
      <c r="G6" s="18" t="inlineStr">
        <is>
          <t>Flat roof</t>
        </is>
      </c>
    </row>
    <row r="7" ht="13.5" customHeight="1" s="154">
      <c r="B7" s="190" t="n"/>
      <c r="C7" s="18" t="inlineStr">
        <is>
          <t>Flat floor\Staggered floor\Penthouse</t>
        </is>
      </c>
      <c r="D7" s="156" t="n"/>
      <c r="E7" s="17" t="inlineStr">
        <is>
          <t>Flat floor inside the unit\Locally staggered floor</t>
        </is>
      </c>
      <c r="F7" s="18" t="inlineStr">
        <is>
          <t>Flat floor</t>
        </is>
      </c>
      <c r="G7" s="17" t="inlineStr">
        <is>
          <t>In-house floor level</t>
        </is>
      </c>
    </row>
    <row r="8" ht="13.5" customHeight="1" s="154">
      <c r="B8" s="190" t="n"/>
      <c r="C8" s="18" t="inlineStr">
        <is>
          <t>With Elevation Difference\Without Elevation Difference</t>
        </is>
      </c>
      <c r="D8" s="156" t="n"/>
      <c r="E8" s="18" t="inlineStr">
        <is>
          <t>No elevation difference</t>
        </is>
      </c>
      <c r="F8" s="18" t="inlineStr">
        <is>
          <t>No elevation difference</t>
        </is>
      </c>
      <c r="G8" s="18" t="inlineStr">
        <is>
          <t>No elevation difference</t>
        </is>
      </c>
    </row>
    <row r="9" ht="13.5" customHeight="1" s="154">
      <c r="B9" s="190" t="n"/>
      <c r="C9" s="18" t="inlineStr">
        <is>
          <t>Exterior Wall</t>
        </is>
      </c>
      <c r="D9" s="156" t="n"/>
      <c r="E9" s="18" t="inlineStr">
        <is>
          <t>Clay Hollow Brick</t>
        </is>
      </c>
      <c r="F9" s="20" t="inlineStr">
        <is>
          <t>200mm thick clay hollow bricks</t>
        </is>
      </c>
      <c r="G9" s="18" t="inlineStr">
        <is>
          <t>Clay Hollow Brick</t>
        </is>
      </c>
    </row>
    <row r="10" ht="13.5" customHeight="1" s="154">
      <c r="B10" s="190" t="n"/>
      <c r="C10" s="18" t="inlineStr">
        <is>
          <t>Interior Wall</t>
        </is>
      </c>
      <c r="D10" s="156" t="n"/>
      <c r="E10" s="18" t="inlineStr">
        <is>
          <t>Autoclaved Aerated Concrete Block</t>
        </is>
      </c>
      <c r="F10" s="20" t="inlineStr">
        <is>
          <t>100mm thick clay hollow bricks</t>
        </is>
      </c>
      <c r="G10" s="18" t="inlineStr">
        <is>
          <t>Autoclaved Aerated Concrete Block</t>
        </is>
      </c>
    </row>
    <row r="11" ht="13.5" customHeight="1" s="154">
      <c r="B11" s="190" t="n"/>
      <c r="C11" s="18" t="inlineStr">
        <is>
          <t>Roof Waterproofing</t>
        </is>
      </c>
      <c r="D11" s="156" t="n"/>
      <c r="E11" s="20" t="inlineStr">
        <is>
          <t>2mm Thick High Polymer Modified Asphalt Waterproofing Membrane</t>
        </is>
      </c>
      <c r="F11" s="20" t="inlineStr">
        <is>
          <t>2mm Thick High Polymer Modified Asphalt Waterproofing Membrane</t>
        </is>
      </c>
      <c r="G11" s="20" t="inlineStr">
        <is>
          <t>2mm Thick High Polymer Modified Asphalt Waterproofing Membrane</t>
        </is>
      </c>
    </row>
    <row r="12" ht="13.5" customHeight="1" s="154">
      <c r="B12" s="190" t="n"/>
      <c r="C12" s="18" t="inlineStr">
        <is>
          <t>Kitchen and bathroom waterproofing</t>
        </is>
      </c>
      <c r="D12" s="156" t="n"/>
      <c r="E12" s="20" t="inlineStr">
        <is>
          <t>1.8mm thick polyurethane waterproof coating layer, three coats</t>
        </is>
      </c>
      <c r="F12" s="20" t="inlineStr">
        <is>
          <t>1.8mm thick polyurethane waterproof coating layer, three coats</t>
        </is>
      </c>
      <c r="G12" s="20" t="inlineStr">
        <is>
          <t>1.8mm thick polyurethane waterproof coating layer, three coats</t>
        </is>
      </c>
    </row>
    <row r="13" ht="13.5" customHeight="1" s="154">
      <c r="B13" s="190" t="n"/>
      <c r="C13" s="18" t="inlineStr">
        <is>
          <t>Exterior Wall Waterproofing</t>
        </is>
      </c>
      <c r="D13" s="156" t="n"/>
      <c r="E13" s="18" t="inlineStr">
        <is>
          <t>No separate waterproofing layer, coating waterproofing</t>
        </is>
      </c>
      <c r="F13" s="18" t="inlineStr">
        <is>
          <t>No separate waterproofing layer, coating waterproofing</t>
        </is>
      </c>
      <c r="G13" s="18" t="inlineStr">
        <is>
          <t>No separate waterproofing layer, coating waterproofing</t>
        </is>
      </c>
    </row>
    <row r="14" ht="13.5" customHeight="1" s="154">
      <c r="B14" s="190" t="n"/>
      <c r="C14" s="18" t="inlineStr">
        <is>
          <t>Roof Heat Insulation</t>
        </is>
      </c>
      <c r="D14" s="156" t="n"/>
      <c r="E14" s="18" t="inlineStr">
        <is>
          <t>40mm Thick Extruded Polystyrene Insulation Board</t>
        </is>
      </c>
      <c r="F14" s="18" t="inlineStr">
        <is>
          <t>40mm Thick Extruded Polystyrene Insulation Board</t>
        </is>
      </c>
      <c r="G14" s="18" t="inlineStr">
        <is>
          <t>40mm Thick Extruded Polystyrene Insulation Board</t>
        </is>
      </c>
    </row>
    <row r="15" ht="13.5" customHeight="1" s="154">
      <c r="B15" s="21" t="inlineStr">
        <is>
          <t>Window and Door Engineering</t>
        </is>
      </c>
      <c r="C15" s="18" t="inlineStr">
        <is>
          <t>Unit Door</t>
        </is>
      </c>
      <c r="D15" s="156" t="n"/>
      <c r="E15" s="18" t="inlineStr">
        <is>
          <t>Electronic intercom security door</t>
        </is>
      </c>
      <c r="F15" s="18" t="inlineStr">
        <is>
          <t>Electronic intercom security door</t>
        </is>
      </c>
      <c r="G15" s="18" t="n"/>
    </row>
    <row r="16" ht="13.5" customHeight="1" s="154">
      <c r="B16" s="190" t="n"/>
      <c r="C16" s="18" t="inlineStr">
        <is>
          <t>Main entrance door</t>
        </is>
      </c>
      <c r="D16" s="156" t="n"/>
      <c r="E16" s="18" t="inlineStr">
        <is>
          <t>Class B Fire Door</t>
        </is>
      </c>
      <c r="F16" s="18" t="inlineStr">
        <is>
          <t>Class B Fire Door</t>
        </is>
      </c>
      <c r="G16" s="18" t="inlineStr">
        <is>
          <t>Class B Fire Door</t>
        </is>
      </c>
    </row>
    <row r="17" ht="13.5" customHeight="1" s="154">
      <c r="B17" s="190" t="n"/>
      <c r="C17" s="18" t="inlineStr">
        <is>
          <t>Balcony Door</t>
        </is>
      </c>
      <c r="D17" s="156" t="n"/>
      <c r="E17" s="18" t="inlineStr">
        <is>
          <t>Aluminum alloy door</t>
        </is>
      </c>
      <c r="F17" s="18" t="inlineStr">
        <is>
          <t>Aluminum alloy door</t>
        </is>
      </c>
      <c r="G17" s="18" t="inlineStr">
        <is>
          <t>Aluminum alloy door</t>
        </is>
      </c>
    </row>
    <row r="18" ht="13.5" customHeight="1" s="154">
      <c r="B18" s="190" t="n"/>
      <c r="C18" s="18" t="inlineStr">
        <is>
          <t>Interior Door</t>
        </is>
      </c>
      <c r="D18" s="156" t="n"/>
      <c r="E18" s="18" t="n"/>
      <c r="F18" s="18" t="inlineStr">
        <is>
          <t>Wooden door</t>
        </is>
      </c>
      <c r="G18" s="18" t="n"/>
    </row>
    <row r="19" ht="13.5" customHeight="1" s="154">
      <c r="B19" s="203" t="n"/>
      <c r="C19" s="18" t="inlineStr">
        <is>
          <t>Window</t>
        </is>
      </c>
      <c r="D19" s="156" t="n"/>
      <c r="E19" s="18" t="inlineStr">
        <is>
          <t>Aluminum Alloy</t>
        </is>
      </c>
      <c r="F19" s="18" t="inlineStr">
        <is>
          <t>Aluminum alloy 50 casement window, with screen, insulated glass</t>
        </is>
      </c>
      <c r="G19" s="18" t="inlineStr">
        <is>
          <t>Aluminum Alloy</t>
        </is>
      </c>
    </row>
    <row r="20" ht="13.5" customHeight="1" s="154">
      <c r="B20" s="21" t="inlineStr">
        <is>
          <t>Public Areas
Rough Finish</t>
        </is>
      </c>
      <c r="C20" s="18" t="inlineStr">
        <is>
          <t>Exterior Wall Decoration</t>
        </is>
      </c>
      <c r="D20" s="156" t="n"/>
      <c r="E20" s="18" t="inlineStr">
        <is>
          <t>Faience, Paint</t>
        </is>
      </c>
      <c r="F20" s="18" t="inlineStr">
        <is>
          <t>Faience, Paint</t>
        </is>
      </c>
      <c r="G20" s="18" t="inlineStr">
        <is>
          <t>Faience, Paint</t>
        </is>
      </c>
    </row>
    <row r="21" ht="13.5" customHeight="1" s="154">
      <c r="B21" s="190" t="n"/>
      <c r="C21" s="18" t="inlineStr">
        <is>
          <t>Exterior Wall Thermal Insulation</t>
        </is>
      </c>
      <c r="D21" s="156" t="n"/>
      <c r="E21" s="18" t="inlineStr">
        <is>
          <t>JNS Mortar</t>
        </is>
      </c>
      <c r="F21" s="18" t="inlineStr">
        <is>
          <t>JNS Mortar</t>
        </is>
      </c>
      <c r="G21" s="18" t="inlineStr">
        <is>
          <t>JNS Mortar</t>
        </is>
      </c>
    </row>
    <row r="22" ht="13.5" customHeight="1" s="154">
      <c r="B22" s="190" t="n"/>
      <c r="C22" s="18" t="inlineStr">
        <is>
          <t>Unit Entrance Decoration</t>
        </is>
      </c>
      <c r="D22" s="156" t="n"/>
      <c r="E22" s="18" t="inlineStr">
        <is>
          <t>Anti-slip tiles</t>
        </is>
      </c>
      <c r="F22" s="18" t="inlineStr">
        <is>
          <t>Anti-slip tiles</t>
        </is>
      </c>
      <c r="G22" s="18" t="inlineStr">
        <is>
          <t>Anti-slip tiles</t>
        </is>
      </c>
    </row>
    <row r="23" ht="13.5" customHeight="1" s="154">
      <c r="B23" s="190" t="n"/>
      <c r="C23" s="18" t="inlineStr">
        <is>
          <t>Roof Decoration</t>
        </is>
      </c>
      <c r="D23" s="156" t="n"/>
      <c r="E23" s="18" t="inlineStr">
        <is>
          <t>Anti-slip floor tile surface layer</t>
        </is>
      </c>
      <c r="F23" s="18" t="inlineStr">
        <is>
          <t>Anti-slip floor tile surface layer</t>
        </is>
      </c>
      <c r="G23" s="18" t="inlineStr">
        <is>
          <t>Anti-slip floor tile surface layer</t>
        </is>
      </c>
    </row>
    <row r="24" ht="13.5" customHeight="1" s="154">
      <c r="B24" s="190" t="n"/>
      <c r="C24" s="18" t="inlineStr">
        <is>
          <t>Elevator Lobby Decoration</t>
        </is>
      </c>
      <c r="D24" s="156" t="n"/>
      <c r="E24" s="17" t="n"/>
      <c r="F24" s="18" t="n"/>
      <c r="G24" s="18" t="n"/>
    </row>
    <row r="25" ht="13.5" customHeight="1" s="154">
      <c r="B25" s="190" t="n"/>
      <c r="C25" s="22" t="inlineStr">
        <is>
          <t>Lobby</t>
        </is>
      </c>
      <c r="D25" s="18" t="inlineStr">
        <is>
          <t>Floor and ground decoration</t>
        </is>
      </c>
      <c r="E25" s="18" t="n"/>
      <c r="F25" s="18" t="n"/>
      <c r="G25" s="18" t="n"/>
    </row>
    <row r="26" ht="13.5" customHeight="1" s="154">
      <c r="B26" s="190" t="n"/>
      <c r="C26" s="190" t="n"/>
      <c r="D26" s="18" t="inlineStr">
        <is>
          <t>Wall Surface Decoration</t>
        </is>
      </c>
      <c r="E26" s="18" t="n"/>
      <c r="F26" s="18" t="n"/>
      <c r="G26" s="18" t="n"/>
    </row>
    <row r="27" ht="13.5" customHeight="1" s="154">
      <c r="B27" s="190" t="n"/>
      <c r="C27" s="203" t="n"/>
      <c r="D27" s="18" t="inlineStr">
        <is>
          <t>Ceiling decoration</t>
        </is>
      </c>
      <c r="E27" s="18" t="n"/>
      <c r="F27" s="18" t="n"/>
      <c r="G27" s="18" t="n"/>
    </row>
    <row r="28" ht="13.5" customHeight="1" s="154">
      <c r="B28" s="190" t="n"/>
      <c r="C28" s="22" t="inlineStr">
        <is>
          <t>Stairwell</t>
        </is>
      </c>
      <c r="D28" s="18" t="inlineStr">
        <is>
          <t>Floor and ground decoration</t>
        </is>
      </c>
      <c r="E28" s="18" t="inlineStr">
        <is>
          <t>Anti-slip tiles</t>
        </is>
      </c>
      <c r="F28" s="18" t="inlineStr">
        <is>
          <t>Anti-slip tiles</t>
        </is>
      </c>
      <c r="G28" s="18" t="n"/>
    </row>
    <row r="29" ht="13.5" customHeight="1" s="154">
      <c r="B29" s="190" t="n"/>
      <c r="C29" s="190" t="n"/>
      <c r="D29" s="18" t="inlineStr">
        <is>
          <t>Wall Surface Decoration</t>
        </is>
      </c>
      <c r="E29" s="18" t="inlineStr">
        <is>
          <t>White interior wall paint</t>
        </is>
      </c>
      <c r="F29" s="18" t="inlineStr">
        <is>
          <t>White interior wall paint</t>
        </is>
      </c>
      <c r="G29" s="18" t="n"/>
    </row>
    <row r="30" ht="13.5" customHeight="1" s="154">
      <c r="B30" s="190" t="n"/>
      <c r="C30" s="203" t="n"/>
      <c r="D30" s="18" t="inlineStr">
        <is>
          <t>Ceiling decoration</t>
        </is>
      </c>
      <c r="E30" s="18" t="inlineStr">
        <is>
          <t>Emulsion paint</t>
        </is>
      </c>
      <c r="F30" s="18" t="inlineStr">
        <is>
          <t>Emulsion paint</t>
        </is>
      </c>
      <c r="G30" s="18" t="n"/>
    </row>
    <row r="31" ht="13.5" customHeight="1" s="154">
      <c r="B31" s="190" t="n"/>
      <c r="C31" s="22" t="inlineStr">
        <is>
          <t>Handrail</t>
        </is>
      </c>
      <c r="D31" s="18" t="inlineStr">
        <is>
          <t>Stair railing</t>
        </is>
      </c>
      <c r="E31" s="18" t="inlineStr">
        <is>
          <t>Iron flower railing</t>
        </is>
      </c>
      <c r="F31" s="18" t="inlineStr">
        <is>
          <t>Iron flower railing</t>
        </is>
      </c>
      <c r="G31" s="18" t="n"/>
    </row>
    <row r="32" ht="13.5" customHeight="1" s="154">
      <c r="B32" s="190" t="n"/>
      <c r="C32" s="190" t="n"/>
      <c r="D32" s="18" t="inlineStr">
        <is>
          <t>Balcony railing</t>
        </is>
      </c>
      <c r="E32" s="18" t="inlineStr">
        <is>
          <t>Prefabricated Assembled Iron Flower Balustrade</t>
        </is>
      </c>
      <c r="F32" s="18" t="inlineStr">
        <is>
          <t>Prefabricated Assembled Iron Flower Balustrade</t>
        </is>
      </c>
      <c r="G32" s="18" t="n"/>
    </row>
    <row r="33" ht="13.5" customHeight="1" s="154">
      <c r="B33" s="190" t="n"/>
      <c r="C33" s="190" t="n"/>
      <c r="D33" s="18" t="inlineStr">
        <is>
          <t>Private Garden Railings</t>
        </is>
      </c>
      <c r="E33" s="18" t="n"/>
      <c r="F33" s="18" t="n"/>
      <c r="G33" s="18" t="n"/>
    </row>
    <row r="34" ht="13.5" customHeight="1" s="154">
      <c r="B34" s="203" t="n"/>
      <c r="C34" s="203" t="n"/>
      <c r="D34" s="18" t="inlineStr">
        <is>
          <t>Air Conditioning Slab Decoration</t>
        </is>
      </c>
      <c r="E34" s="18" t="inlineStr">
        <is>
          <t>Iron Art Louver</t>
        </is>
      </c>
      <c r="F34" s="18" t="inlineStr">
        <is>
          <t>Iron Art Louver</t>
        </is>
      </c>
      <c r="G34" s="18" t="n"/>
    </row>
    <row r="35" ht="13.5" customHeight="1" s="154">
      <c r="B35" s="21" t="inlineStr">
        <is>
          <t>Indoor decoration</t>
        </is>
      </c>
      <c r="C35" s="22" t="inlineStr">
        <is>
          <t>Hall Room</t>
        </is>
      </c>
      <c r="D35" s="18" t="inlineStr">
        <is>
          <t>Floor and ground decoration</t>
        </is>
      </c>
      <c r="E35" s="18" t="inlineStr">
        <is>
          <t>Cement mortar</t>
        </is>
      </c>
      <c r="F35" s="18" t="inlineStr">
        <is>
          <t>Cement mortar</t>
        </is>
      </c>
      <c r="G35" s="18" t="n"/>
    </row>
    <row r="36" ht="13.5" customHeight="1" s="154">
      <c r="B36" s="190" t="n"/>
      <c r="C36" s="190" t="n"/>
      <c r="D36" s="18" t="inlineStr">
        <is>
          <t>Wall Surface Decoration</t>
        </is>
      </c>
      <c r="E36" s="18" t="inlineStr">
        <is>
          <t>White Putty Finish Coat</t>
        </is>
      </c>
      <c r="F36" s="18" t="inlineStr">
        <is>
          <t>White Putty Finish Coat</t>
        </is>
      </c>
      <c r="G36" s="18" t="n"/>
    </row>
    <row r="37" ht="13.5" customHeight="1" s="154">
      <c r="B37" s="190" t="n"/>
      <c r="C37" s="190" t="n"/>
      <c r="D37" s="18" t="inlineStr">
        <is>
          <t>Ceiling decoration</t>
        </is>
      </c>
      <c r="E37" s="18" t="inlineStr">
        <is>
          <t>Lime Putty Mortar</t>
        </is>
      </c>
      <c r="F37" s="18" t="inlineStr">
        <is>
          <t>Lime Putty Mortar</t>
        </is>
      </c>
      <c r="G37" s="18" t="n"/>
    </row>
    <row r="38" ht="13.5" customHeight="1" s="154">
      <c r="B38" s="190" t="n"/>
      <c r="C38" s="203" t="n"/>
      <c r="D38" s="18" t="inlineStr">
        <is>
          <t>Window sills and guardrails</t>
        </is>
      </c>
      <c r="E38" s="18" t="inlineStr">
        <is>
          <t>Stainless steel</t>
        </is>
      </c>
      <c r="F38" s="18" t="inlineStr">
        <is>
          <t>Stainless steel</t>
        </is>
      </c>
      <c r="G38" s="18" t="n"/>
    </row>
    <row r="39" ht="13.5" customHeight="1" s="154">
      <c r="B39" s="190" t="n"/>
      <c r="C39" s="22" t="inlineStr">
        <is>
          <t>Kitchen and bathroom</t>
        </is>
      </c>
      <c r="D39" s="18" t="inlineStr">
        <is>
          <t>Floor and ground decoration</t>
        </is>
      </c>
      <c r="E39" s="18" t="inlineStr">
        <is>
          <t>Cement mortar</t>
        </is>
      </c>
      <c r="F39" s="18" t="inlineStr">
        <is>
          <t>Cement mortar</t>
        </is>
      </c>
      <c r="G39" s="18" t="n"/>
    </row>
    <row r="40" ht="13.5" customHeight="1" s="154">
      <c r="B40" s="190" t="n"/>
      <c r="C40" s="190" t="n"/>
      <c r="D40" s="18" t="inlineStr">
        <is>
          <t>Wall Surface Decoration</t>
        </is>
      </c>
      <c r="E40" s="18" t="inlineStr">
        <is>
          <t>Mixed mortar undercoating</t>
        </is>
      </c>
      <c r="F40" s="18" t="inlineStr">
        <is>
          <t>Mixed mortar undercoating</t>
        </is>
      </c>
      <c r="G40" s="18" t="n"/>
    </row>
    <row r="41" ht="13.5" customHeight="1" s="154">
      <c r="B41" s="190" t="n"/>
      <c r="C41" s="190" t="n"/>
      <c r="D41" s="18" t="inlineStr">
        <is>
          <t>Ceiling decoration</t>
        </is>
      </c>
      <c r="E41" s="18" t="inlineStr">
        <is>
          <t>Lime Putty Mortar</t>
        </is>
      </c>
      <c r="F41" s="18" t="inlineStr">
        <is>
          <t>Lime Putty Mortar</t>
        </is>
      </c>
      <c r="G41" s="18" t="n"/>
    </row>
    <row r="42" ht="13.5" customHeight="1" s="154">
      <c r="B42" s="190" t="n"/>
      <c r="C42" s="190" t="n"/>
      <c r="D42" s="18" t="inlineStr">
        <is>
          <t>Threshold</t>
        </is>
      </c>
      <c r="E42" s="18" t="n"/>
      <c r="F42" s="18" t="n"/>
      <c r="G42" s="18" t="n"/>
    </row>
    <row r="43" ht="13.5" customHeight="1" s="154">
      <c r="B43" s="190" t="n"/>
      <c r="C43" s="190" t="n"/>
      <c r="D43" s="18" t="inlineStr">
        <is>
          <t>Kitchen and bathroom equipment</t>
        </is>
      </c>
      <c r="E43" s="18" t="n"/>
      <c r="F43" s="18" t="n"/>
      <c r="G43" s="18" t="n"/>
    </row>
    <row r="44" ht="13.5" customHeight="1" s="154">
      <c r="B44" s="190" t="n"/>
      <c r="C44" s="190" t="n"/>
      <c r="D44" s="18" t="inlineStr">
        <is>
          <t>Cabinets</t>
        </is>
      </c>
      <c r="E44" s="18" t="n"/>
      <c r="F44" s="18" t="n"/>
      <c r="G44" s="18" t="n"/>
    </row>
    <row r="45" ht="13.5" customHeight="1" s="154">
      <c r="B45" s="190" t="n"/>
      <c r="C45" s="203" t="n"/>
      <c r="D45" s="18" t="inlineStr">
        <is>
          <t>Chimney flue</t>
        </is>
      </c>
      <c r="E45" s="18" t="inlineStr">
        <is>
          <t>Finished product</t>
        </is>
      </c>
      <c r="F45" s="18" t="inlineStr">
        <is>
          <t>Finished product</t>
        </is>
      </c>
      <c r="G45" s="18" t="n"/>
    </row>
    <row r="46" ht="13.5" customHeight="1" s="154">
      <c r="B46" s="190" t="n"/>
      <c r="C46" s="22" t="inlineStr">
        <is>
          <t>Balcony</t>
        </is>
      </c>
      <c r="D46" s="18" t="inlineStr">
        <is>
          <t>Floor and ground decoration</t>
        </is>
      </c>
      <c r="E46" s="18" t="inlineStr">
        <is>
          <t>Cement mortar</t>
        </is>
      </c>
      <c r="F46" s="18" t="inlineStr">
        <is>
          <t>Cement mortar</t>
        </is>
      </c>
      <c r="G46" s="18" t="n"/>
    </row>
    <row r="47" ht="13.5" customHeight="1" s="154">
      <c r="B47" s="190" t="n"/>
      <c r="C47" s="190" t="n"/>
      <c r="D47" s="18" t="inlineStr">
        <is>
          <t>Wall Surface Decoration</t>
        </is>
      </c>
      <c r="E47" s="18" t="inlineStr">
        <is>
          <t>Same as exterior wall</t>
        </is>
      </c>
      <c r="F47" s="18" t="inlineStr">
        <is>
          <t>Same as exterior wall</t>
        </is>
      </c>
      <c r="G47" s="18" t="n"/>
    </row>
    <row r="48" ht="13.5" customHeight="1" s="154">
      <c r="B48" s="203" t="n"/>
      <c r="C48" s="203" t="n"/>
      <c r="D48" s="18" t="inlineStr">
        <is>
          <t>Ceiling decoration</t>
        </is>
      </c>
      <c r="E48" s="18" t="inlineStr">
        <is>
          <t>Use exterior wall latex paint</t>
        </is>
      </c>
      <c r="F48" s="18" t="inlineStr">
        <is>
          <t>Use exterior wall latex paint</t>
        </is>
      </c>
      <c r="G48" s="18" t="n"/>
    </row>
    <row r="49" ht="25.5" customHeight="1" s="154">
      <c r="B49" s="21" t="inlineStr">
        <is>
          <t>Indoor Water Supply and Drainage</t>
        </is>
      </c>
      <c r="C49" s="18" t="inlineStr">
        <is>
          <t>Water supply pipe materials</t>
        </is>
      </c>
      <c r="D49" s="156" t="n"/>
      <c r="E49" s="18" t="inlineStr">
        <is>
          <t>Plastic galvanized steel pipe in riser, PPR in households, drainage UPVC</t>
        </is>
      </c>
      <c r="F49" s="18" t="inlineStr">
        <is>
          <t>Vertical pipe PPR, indoor PPR, drainage UPVC</t>
        </is>
      </c>
      <c r="G49" s="18" t="inlineStr">
        <is>
          <t>Vertical pipe PPR, indoor PPR, drainage UPVC</t>
        </is>
      </c>
    </row>
    <row r="50" ht="13.5" customHeight="1" s="154">
      <c r="B50" s="203" t="n"/>
      <c r="C50" s="18" t="inlineStr">
        <is>
          <t>Sanitary fixtures and hardware items</t>
        </is>
      </c>
      <c r="D50" s="156" t="n"/>
      <c r="E50" s="18" t="inlineStr">
        <is>
          <t>None</t>
        </is>
      </c>
      <c r="F50" s="18" t="inlineStr">
        <is>
          <t>None</t>
        </is>
      </c>
      <c r="G50" s="18" t="inlineStr">
        <is>
          <t>None</t>
        </is>
      </c>
    </row>
    <row r="51" ht="13.5" customHeight="1" s="154">
      <c r="B51" s="21" t="inlineStr">
        <is>
          <t>Indoor heating</t>
        </is>
      </c>
      <c r="C51" s="18" t="n"/>
      <c r="D51" s="156" t="n"/>
      <c r="E51" s="18" t="n"/>
      <c r="F51" s="18" t="inlineStr">
        <is>
          <t>None</t>
        </is>
      </c>
      <c r="G51" s="18" t="n"/>
    </row>
    <row r="52" ht="13.5" customHeight="1" s="154">
      <c r="B52" s="21" t="inlineStr">
        <is>
          <t>Indoor Gas</t>
        </is>
      </c>
      <c r="C52" s="18" t="inlineStr">
        <is>
          <t>Gas Pipeline</t>
        </is>
      </c>
      <c r="D52" s="156" t="n"/>
      <c r="E52" s="18" t="inlineStr">
        <is>
          <t>Gas Pipeline</t>
        </is>
      </c>
      <c r="F52" s="18" t="inlineStr">
        <is>
          <t>Gas Pipeline</t>
        </is>
      </c>
      <c r="G52" s="18" t="n"/>
    </row>
    <row r="53" ht="13.5" customHeight="1" s="154">
      <c r="B53" s="21" t="inlineStr">
        <is>
          <t>Indoor Electrical</t>
        </is>
      </c>
      <c r="C53" s="18" t="inlineStr">
        <is>
          <t>Wiring through conduits</t>
        </is>
      </c>
      <c r="D53" s="156" t="n"/>
      <c r="E53" s="18" t="n"/>
      <c r="F53" s="20" t="inlineStr">
        <is>
          <t>UPVC pipe, BV general wire</t>
        </is>
      </c>
      <c r="G53" s="18" t="n"/>
    </row>
    <row r="54" ht="13.5" customHeight="1" s="154">
      <c r="B54" s="190" t="n"/>
      <c r="C54" s="18" t="inlineStr">
        <is>
          <t>Distribution Box\Electric Meter Box</t>
        </is>
      </c>
      <c r="D54" s="156" t="n"/>
      <c r="E54" s="18" t="inlineStr">
        <is>
          <t>Siemens distribution box, assembled electric meter box</t>
        </is>
      </c>
      <c r="F54" s="18" t="inlineStr">
        <is>
          <t>Siemens distribution box, assembled electric meter box</t>
        </is>
      </c>
      <c r="G54" s="18" t="inlineStr">
        <is>
          <t>Siemens distribution box, assembled electric meter box</t>
        </is>
      </c>
    </row>
    <row r="55" ht="13.5" customHeight="1" s="154">
      <c r="B55" s="190" t="n"/>
      <c r="C55" s="18" t="inlineStr">
        <is>
          <t>Switches and sockets</t>
        </is>
      </c>
      <c r="D55" s="156" t="n"/>
      <c r="E55" s="18" t="inlineStr">
        <is>
          <t>Hongyan</t>
        </is>
      </c>
      <c r="F55" s="18" t="inlineStr">
        <is>
          <t>Hongyan</t>
        </is>
      </c>
      <c r="G55" s="18" t="inlineStr">
        <is>
          <t>Hongyan</t>
        </is>
      </c>
    </row>
    <row r="56" ht="13.5" customHeight="1" s="154">
      <c r="B56" s="203" t="n"/>
      <c r="C56" s="18" t="inlineStr">
        <is>
          <t>Lamps</t>
        </is>
      </c>
      <c r="D56" s="156" t="n"/>
      <c r="E56" s="18" t="inlineStr">
        <is>
          <t>Ceiling light in the room, recessed ceiling light in public areas</t>
        </is>
      </c>
      <c r="F56" s="18" t="inlineStr">
        <is>
          <t>Balcony ceiling-mounted light, kitchen and bathroom recessed lights</t>
        </is>
      </c>
      <c r="G56" s="18" t="n"/>
    </row>
    <row r="57" ht="13.5" customHeight="1" s="154">
      <c r="B57" s="23" t="inlineStr">
        <is>
          <t>Indoor ventilation and air conditioning</t>
        </is>
      </c>
      <c r="C57" s="26" t="n"/>
      <c r="D57" s="156" t="n"/>
      <c r="E57" s="18" t="n"/>
      <c r="F57" s="18" t="n"/>
      <c r="G57" s="18" t="n"/>
    </row>
    <row r="58" ht="13.5" customHeight="1" s="154">
      <c r="B58" s="23" t="inlineStr">
        <is>
          <t>High-voltage power distribution</t>
        </is>
      </c>
      <c r="C58" s="26" t="n"/>
      <c r="D58" s="156" t="n"/>
      <c r="E58" s="18" t="inlineStr">
        <is>
          <t>Street-side Variation</t>
        </is>
      </c>
      <c r="F58" s="18" t="inlineStr">
        <is>
          <t>Box-type transformer</t>
        </is>
      </c>
      <c r="G58" s="18" t="inlineStr">
        <is>
          <t>Box-type transformer</t>
        </is>
      </c>
    </row>
    <row r="59" ht="13.5" customHeight="1" s="154">
      <c r="B59" s="23" t="inlineStr">
        <is>
          <t>Generator</t>
        </is>
      </c>
      <c r="C59" s="26" t="n"/>
      <c r="D59" s="156" t="n"/>
      <c r="E59" s="18" t="n"/>
      <c r="F59" s="18" t="n"/>
      <c r="G59" s="18" t="n"/>
    </row>
    <row r="60" ht="13.5" customHeight="1" s="154">
      <c r="B60" s="23" t="inlineStr">
        <is>
          <t>Elevator</t>
        </is>
      </c>
      <c r="C60" s="26" t="n"/>
      <c r="D60" s="156" t="n"/>
      <c r="E60" s="18" t="n"/>
      <c r="F60" s="18" t="n"/>
      <c r="G60" s="18" t="n"/>
    </row>
    <row r="61" ht="13.5" customHeight="1" s="154">
      <c r="B61" s="23" t="inlineStr">
        <is>
          <t>Indoor Fire Protection</t>
        </is>
      </c>
      <c r="C61" s="26" t="n"/>
      <c r="D61" s="156" t="n"/>
      <c r="E61" s="18" t="inlineStr">
        <is>
          <t>Fire hydrant system, alarm system</t>
        </is>
      </c>
      <c r="F61" s="18" t="inlineStr">
        <is>
          <t>Fire Hydrant System</t>
        </is>
      </c>
      <c r="G61" s="18" t="inlineStr">
        <is>
          <t>Fire hydrant, sprinkler, smoke detection</t>
        </is>
      </c>
    </row>
    <row r="62" ht="13.5" customHeight="1" s="154">
      <c r="B62" s="21" t="inlineStr">
        <is>
          <t>Weak electricity system</t>
        </is>
      </c>
      <c r="C62" s="18" t="inlineStr">
        <is>
          <t>Home Security against Theft</t>
        </is>
      </c>
      <c r="D62" s="156" t="n"/>
      <c r="E62" s="18" t="inlineStr">
        <is>
          <t>Community Security System</t>
        </is>
      </c>
      <c r="F62" s="18" t="inlineStr">
        <is>
          <t>Community Security System</t>
        </is>
      </c>
      <c r="G62" s="18" t="inlineStr">
        <is>
          <t>Community Security System</t>
        </is>
      </c>
    </row>
    <row r="63" ht="13.5" customHeight="1" s="154">
      <c r="B63" s="190" t="n"/>
      <c r="C63" s="18" t="inlineStr">
        <is>
          <t>Intercom System</t>
        </is>
      </c>
      <c r="D63" s="156" t="n"/>
      <c r="E63" s="18" t="inlineStr">
        <is>
          <t>There is</t>
        </is>
      </c>
      <c r="F63" s="18" t="inlineStr">
        <is>
          <t>Visible</t>
        </is>
      </c>
      <c r="G63" s="18" t="inlineStr">
        <is>
          <t>There is</t>
        </is>
      </c>
    </row>
    <row r="64" ht="13.5" customHeight="1" s="154">
      <c r="B64" s="190" t="n"/>
      <c r="C64" s="18" t="inlineStr">
        <is>
          <t>Remote transmission of three tables</t>
        </is>
      </c>
      <c r="D64" s="156" t="n"/>
      <c r="E64" s="18" t="inlineStr">
        <is>
          <t>None</t>
        </is>
      </c>
      <c r="F64" s="18" t="inlineStr">
        <is>
          <t>None</t>
        </is>
      </c>
      <c r="G64" s="18" t="inlineStr">
        <is>
          <t>None</t>
        </is>
      </c>
    </row>
    <row r="65" ht="13.5" customHeight="1" s="154">
      <c r="B65" s="190" t="n"/>
      <c r="C65" s="18" t="inlineStr">
        <is>
          <t>Cable TV</t>
        </is>
      </c>
      <c r="D65" s="156" t="n"/>
      <c r="E65" s="18" t="inlineStr">
        <is>
          <t>There is</t>
        </is>
      </c>
      <c r="F65" s="18" t="inlineStr">
        <is>
          <t>There is</t>
        </is>
      </c>
      <c r="G65" s="18" t="inlineStr">
        <is>
          <t>There is</t>
        </is>
      </c>
    </row>
    <row r="66" ht="13.5" customHeight="1" s="154">
      <c r="B66" s="190" t="n"/>
      <c r="C66" s="18" t="inlineStr">
        <is>
          <t>Phone</t>
        </is>
      </c>
      <c r="D66" s="156" t="n"/>
      <c r="E66" s="18" t="inlineStr">
        <is>
          <t>There is</t>
        </is>
      </c>
      <c r="F66" s="18" t="inlineStr">
        <is>
          <t>There is</t>
        </is>
      </c>
      <c r="G66" s="18" t="inlineStr">
        <is>
          <t>There is</t>
        </is>
      </c>
    </row>
    <row r="67" ht="13.5" customHeight="1" s="154">
      <c r="B67" s="203" t="n"/>
      <c r="C67" s="18" t="inlineStr">
        <is>
          <t>Broadband Network</t>
        </is>
      </c>
      <c r="D67" s="156" t="n"/>
      <c r="E67" s="18" t="inlineStr">
        <is>
          <t>There is</t>
        </is>
      </c>
      <c r="F67" s="18" t="inlineStr">
        <is>
          <t>Yes, conduit installation</t>
        </is>
      </c>
      <c r="G67" s="18" t="inlineStr">
        <is>
          <t>There is</t>
        </is>
      </c>
    </row>
    <row r="68" ht="13.5" customHeight="1" s="154">
      <c r="B68" s="21" t="inlineStr">
        <is>
          <t>Outdoor Water Supply and Drainage</t>
        </is>
      </c>
      <c r="C68" s="18" t="n"/>
      <c r="D68" s="156" t="n"/>
      <c r="E68" s="26" t="inlineStr">
        <is>
          <t>Ductile iron pipe fittings, one household one meter</t>
        </is>
      </c>
      <c r="F68" s="155" t="n"/>
      <c r="G68" s="156" t="n"/>
    </row>
    <row r="69" ht="13.5" customHeight="1" s="154">
      <c r="B69" s="21" t="inlineStr">
        <is>
          <t>Outdoor Intelligence</t>
        </is>
      </c>
      <c r="C69" s="18" t="inlineStr">
        <is>
          <t>Parking Management System</t>
        </is>
      </c>
      <c r="D69" s="156" t="n"/>
      <c r="E69" s="26" t="inlineStr">
        <is>
          <t>Yes, Beijing Sotong</t>
        </is>
      </c>
      <c r="F69" s="155" t="n"/>
      <c r="G69" s="156" t="n"/>
    </row>
    <row r="70" ht="13.5" customHeight="1" s="154">
      <c r="B70" s="190" t="n"/>
      <c r="C70" s="18" t="inlineStr">
        <is>
          <t>Community Closed-Circuit Monitoring</t>
        </is>
      </c>
      <c r="D70" s="156" t="n"/>
      <c r="E70" s="26" t="inlineStr">
        <is>
          <t>Yes, Beijing Sotong</t>
        </is>
      </c>
      <c r="F70" s="155" t="n"/>
      <c r="G70" s="156" t="n"/>
    </row>
    <row r="71" ht="13.5" customHeight="1" s="154">
      <c r="B71" s="190" t="n"/>
      <c r="C71" s="18" t="inlineStr">
        <is>
          <t>Perimeter Infrared Anti-Climbing</t>
        </is>
      </c>
      <c r="D71" s="156" t="n"/>
      <c r="E71" s="26" t="inlineStr">
        <is>
          <t>Yes, Beijing Sotong</t>
        </is>
      </c>
      <c r="F71" s="155" t="n"/>
      <c r="G71" s="156" t="n"/>
    </row>
    <row r="72" ht="13.5" customHeight="1" s="154">
      <c r="B72" s="190" t="n"/>
      <c r="C72" s="18" t="inlineStr">
        <is>
          <t>Community Access Control System</t>
        </is>
      </c>
      <c r="D72" s="156" t="n"/>
      <c r="E72" s="26" t="inlineStr">
        <is>
          <t>Yes, Beijing Sotong</t>
        </is>
      </c>
      <c r="F72" s="155" t="n"/>
      <c r="G72" s="156" t="n"/>
    </row>
    <row r="73" ht="13.5" customHeight="1" s="154">
      <c r="B73" s="203" t="n"/>
      <c r="C73" s="18" t="inlineStr">
        <is>
          <t>Electronic Patrol System</t>
        </is>
      </c>
      <c r="D73" s="156" t="n"/>
      <c r="E73" s="26" t="inlineStr">
        <is>
          <t>Yes, Beijing Sotong</t>
        </is>
      </c>
      <c r="F73" s="155" t="n"/>
      <c r="G73" s="156" t="n"/>
    </row>
    <row r="74" ht="13.5" customHeight="1" s="154">
      <c r="B74" s="21" t="inlineStr">
        <is>
          <t>Landscape Environment</t>
        </is>
      </c>
      <c r="C74" s="18" t="inlineStr">
        <is>
          <t>Greening</t>
        </is>
      </c>
      <c r="D74" s="156" t="n"/>
      <c r="E74" s="26" t="n"/>
      <c r="F74" s="155" t="n"/>
      <c r="G74" s="156" t="n"/>
    </row>
    <row r="75" ht="13.5" customHeight="1" s="154">
      <c r="B75" s="190" t="n"/>
      <c r="C75" s="18" t="inlineStr">
        <is>
          <t>Architectural Features</t>
        </is>
      </c>
      <c r="D75" s="156" t="n"/>
      <c r="E75" s="26" t="n"/>
      <c r="F75" s="155" t="n"/>
      <c r="G75" s="156" t="n"/>
    </row>
    <row r="76" ht="13.5" customHeight="1" s="154">
      <c r="B76" s="190" t="n"/>
      <c r="C76" s="18" t="inlineStr">
        <is>
          <t>Roads and Squares</t>
        </is>
      </c>
      <c r="D76" s="156" t="n"/>
      <c r="E76" s="26" t="n"/>
      <c r="F76" s="155" t="n"/>
      <c r="G76" s="156" t="n"/>
    </row>
    <row r="77" ht="13.5" customHeight="1" s="154">
      <c r="B77" s="190" t="n"/>
      <c r="C77" s="18" t="inlineStr">
        <is>
          <t>Fence wall</t>
        </is>
      </c>
      <c r="D77" s="156" t="n"/>
      <c r="E77" s="26" t="n"/>
      <c r="F77" s="155" t="n"/>
      <c r="G77" s="156" t="n"/>
    </row>
    <row r="78" ht="13.5" customHeight="1" s="154">
      <c r="B78" s="190" t="n"/>
      <c r="C78" s="18" t="inlineStr">
        <is>
          <t>Outdoor Lighting</t>
        </is>
      </c>
      <c r="D78" s="156" t="n"/>
      <c r="E78" s="26" t="inlineStr">
        <is>
          <t>Landscape lawn light, road top</t>
        </is>
      </c>
      <c r="F78" s="155" t="n"/>
      <c r="G78" s="156" t="n"/>
    </row>
    <row r="79" ht="13.5" customHeight="1" s="154">
      <c r="B79" s="203" t="n"/>
      <c r="C79" s="18" t="inlineStr">
        <is>
          <t>Miscellaneous Facilities</t>
        </is>
      </c>
      <c r="D79" s="156" t="n"/>
      <c r="E79" s="26" t="n"/>
      <c r="F79" s="155" t="n"/>
      <c r="G79" s="156" t="n"/>
    </row>
  </sheetData>
  <mergeCells count="82">
    <mergeCell ref="C6:D6"/>
    <mergeCell ref="C62:D62"/>
    <mergeCell ref="C15:D15"/>
    <mergeCell ref="C64:D64"/>
    <mergeCell ref="C79:D79"/>
    <mergeCell ref="C73:D73"/>
    <mergeCell ref="C54:D54"/>
    <mergeCell ref="C63:D63"/>
    <mergeCell ref="C50:D50"/>
    <mergeCell ref="C31:C34"/>
    <mergeCell ref="C56:D56"/>
    <mergeCell ref="B53:B56"/>
    <mergeCell ref="C76:D76"/>
    <mergeCell ref="C17:D17"/>
    <mergeCell ref="C67:D67"/>
    <mergeCell ref="C25:C27"/>
    <mergeCell ref="C19:D19"/>
    <mergeCell ref="C3:D3"/>
    <mergeCell ref="C69:D69"/>
    <mergeCell ref="C5:D5"/>
    <mergeCell ref="E69:G69"/>
    <mergeCell ref="C14:D14"/>
    <mergeCell ref="E78:G78"/>
    <mergeCell ref="C35:C38"/>
    <mergeCell ref="C4:D4"/>
    <mergeCell ref="E77:G77"/>
    <mergeCell ref="E70:G70"/>
    <mergeCell ref="E72:G72"/>
    <mergeCell ref="C60:D60"/>
    <mergeCell ref="C71:D71"/>
    <mergeCell ref="C8:D8"/>
    <mergeCell ref="E71:G71"/>
    <mergeCell ref="C57:D57"/>
    <mergeCell ref="E79:G79"/>
    <mergeCell ref="C66:D66"/>
    <mergeCell ref="E73:G73"/>
    <mergeCell ref="C18:D18"/>
    <mergeCell ref="C53:D53"/>
    <mergeCell ref="C77:D77"/>
    <mergeCell ref="C68:D68"/>
    <mergeCell ref="C58:D58"/>
    <mergeCell ref="E74:G74"/>
    <mergeCell ref="C20:D20"/>
    <mergeCell ref="B62:B67"/>
    <mergeCell ref="C65:D65"/>
    <mergeCell ref="C28:C30"/>
    <mergeCell ref="C75:D75"/>
    <mergeCell ref="C22:D22"/>
    <mergeCell ref="B1:F1"/>
    <mergeCell ref="B35:B48"/>
    <mergeCell ref="C59:D59"/>
    <mergeCell ref="C12:D12"/>
    <mergeCell ref="B49:B50"/>
    <mergeCell ref="C21:D21"/>
    <mergeCell ref="C51:D51"/>
    <mergeCell ref="C61:D61"/>
    <mergeCell ref="C70:D70"/>
    <mergeCell ref="C23:D23"/>
    <mergeCell ref="C7:D7"/>
    <mergeCell ref="B74:B79"/>
    <mergeCell ref="B20:B34"/>
    <mergeCell ref="B69:B73"/>
    <mergeCell ref="C49:D49"/>
    <mergeCell ref="C24:D24"/>
    <mergeCell ref="C74:D74"/>
    <mergeCell ref="B15:B19"/>
    <mergeCell ref="C39:C45"/>
    <mergeCell ref="C10:D10"/>
    <mergeCell ref="C16:D16"/>
    <mergeCell ref="C55:D55"/>
    <mergeCell ref="C9:D9"/>
    <mergeCell ref="B3:B14"/>
    <mergeCell ref="E76:G76"/>
    <mergeCell ref="C11:D11"/>
    <mergeCell ref="E75:G75"/>
    <mergeCell ref="C52:D52"/>
    <mergeCell ref="E68:G68"/>
    <mergeCell ref="C72:D72"/>
    <mergeCell ref="C13:D13"/>
    <mergeCell ref="C46:C48"/>
    <mergeCell ref="C78:D78"/>
    <mergeCell ref="B2:D2"/>
  </mergeCells>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13"/>
  <sheetViews>
    <sheetView topLeftCell="A1" workbookViewId="0">
      <selection activeCell="B9" sqref="B9"/>
    </sheetView>
  </sheetViews>
  <sheetFormatPr baseColWidth="8" defaultColWidth="8.75390625" defaultRowHeight="13.5"/>
  <cols>
    <col width="5.50390625" customWidth="1" style="1" min="1" max="1"/>
    <col width="103.375" customWidth="1" style="1" min="2" max="2"/>
  </cols>
  <sheetData>
    <row r="1" ht="22.5" customHeight="1" s="154">
      <c r="A1" s="2" t="n"/>
      <c r="B1" s="2" t="inlineStr">
        <is>
          <t>Instructions for Completing the Form</t>
        </is>
      </c>
    </row>
    <row r="2" ht="15" customHeight="1" s="154">
      <c r="A2" s="3" t="inlineStr">
        <is>
          <t>1、</t>
        </is>
      </c>
      <c r="B2" s="4" t="inlineStr">
        <is>
          <t>This form is applicable to the unified format for new project cost estimation, project positioning cost estimation, and target cost estimation.</t>
        </is>
      </c>
    </row>
    <row r="3" ht="45" customHeight="1" s="154">
      <c r="A3" s="3" t="inlineStr">
        <is>
          <t>2、</t>
        </is>
      </c>
      <c r="B3" s="4" t="inlineStr">
        <is>
          <t>The main responsible department for completing this form is the Cost Management Department. The planning indicators require cooperation from the Design Department, and the construction standards are determined based on discussions among the Marketing, Design, Cost, and Engineering departments. The approval and construction fees should be filled in according to the "Real Estate Tax and Fee Overview Table" provided by the Project Development Department and the local preferential policies; specific items can be added or deleted according to local policies.</t>
        </is>
      </c>
    </row>
    <row r="4" ht="30" customHeight="1" s="154">
      <c r="A4" s="3" t="inlineStr">
        <is>
          <t>3、</t>
        </is>
      </c>
      <c r="B4" s="4" t="inlineStr">
        <is>
          <t>The eight major categories of cost items at the first level and their second-level cost items are uniformly set by the group. The cost items at the third level and below can be adjusted according to actual circumstances.</t>
        </is>
      </c>
    </row>
    <row r="5" ht="15" customHeight="1" s="154">
      <c r="A5" s="3" t="inlineStr">
        <is>
          <t>4、</t>
        </is>
      </c>
      <c r="B5" s="4" t="inlineStr">
        <is>
          <t>Administrative expenses, capitalized interest, and period expenses in the development indirect costs should be provided by the Finance Department.</t>
        </is>
      </c>
    </row>
    <row r="6" ht="30" customHeight="1" s="154">
      <c r="A6" s="3" t="inlineStr">
        <is>
          <t>5、</t>
        </is>
      </c>
      <c r="B6" s="4" t="inlineStr">
        <is>
          <t>Cost estimation should be calculated based on the principle of separating quantity and price, and the calculation approach for quantity and price should be noted. For cost estimation of new projects or project positioning where detailed breakdown is not possible, the total price and unit price can be directly filled in based on similar completed projects in the local area, but the cost situation of the referenced project should be noted.</t>
        </is>
      </c>
    </row>
    <row r="7" ht="30" customHeight="1" s="154">
      <c r="A7" s="3" t="inlineStr">
        <is>
          <t>6、</t>
        </is>
      </c>
      <c r="B7" s="4" t="inlineStr">
        <is>
          <t>The total price in the cost summary table is automatically retrieved from each sheet, and apportionment formulas have been set according to the general apportionment principles of the project (already explained in the remarks). If they do not match the actual situation of the project, please modify the formulas by yourself;</t>
        </is>
      </c>
    </row>
    <row r="8" ht="30" customHeight="1" s="154">
      <c r="A8" s="3" t="inlineStr">
        <is>
          <t>7、</t>
        </is>
      </c>
      <c r="B8" s="4" t="inlineStr">
        <is>
          <t>When the project scale is large or when it is developed in phases, the land price in the "Target Cost Estimation" should preferably be allocated according to the land area occupied by each phase or product type (public land within the current phase should be allocated according to the salable area ratio of each product type), in order to avoid the impact on the cost accounting of completed works due to subsequent planning adjustments.</t>
        </is>
      </c>
    </row>
    <row r="9" ht="15" customHeight="1" s="154">
      <c r="A9" s="3" t="inlineStr">
        <is>
          <t>8、</t>
        </is>
      </c>
      <c r="B9" s="4" t="inlineStr">
        <is>
          <t>When salable commercial facilities are treated as independent accounting entities, they should be considered as a separate product type, with their main construction and installation costs and profit situations calculated separately.</t>
        </is>
      </c>
    </row>
    <row r="10" ht="30" customHeight="1" s="154">
      <c r="A10" s="3" t="inlineStr">
        <is>
          <t>9、</t>
        </is>
      </c>
      <c r="B10" s="5" t="inlineStr">
        <is>
          <t>When ground-level garages, elevated floor parking spaces, and underground garages with property rights and saleability are present, they should be treated as independent accounting objects, with their main construction and installation costs calculated separately. Whether other six categories of public area costs need to be allocated should be determined based on the selling price. If they are unsellable, their construction and installation costs should be fully amortized as part of the supporting facilities expenses.</t>
        </is>
      </c>
    </row>
    <row r="11" ht="60" customHeight="1" s="154">
      <c r="A11" s="3" t="inlineStr">
        <is>
          <t>10、</t>
        </is>
      </c>
      <c r="B11" s="5" t="inlineStr">
        <is>
          <t>When conducting cost estimation for a new project, this form should be sent by email to the Cost Team of the Headquarter Finance Department, together with the financial estimation section, two days before the New Project Development Team conducts on-site research. It is also advisable to provide the following materials: the benchmark land price or designated land price of the local government in the city where the project is located, tax and preferential policies, government real estate fees and preferential policies, settlement costs of similar projects already completed by the Group in this area, budget indicators of similar projects in this city, design budget indicators, investment estimation indicators and other engineering cost data, proposed land contract and land price data, hydrogeological and engineering geological survey data of the city, etc.</t>
        </is>
      </c>
    </row>
    <row r="12" ht="15" customHeight="1" s="154">
      <c r="A12" s="3" t="inlineStr">
        <is>
          <t>11、</t>
        </is>
      </c>
      <c r="B12" s="5" t="inlineStr">
        <is>
          <t>The contents included in each cost item in the table are detailed in the "Zhongnan Real Estate Target Cost Implementation Details."</t>
        </is>
      </c>
    </row>
    <row r="13" ht="15" customHeight="1" s="154">
      <c r="A13" s="3" t="inlineStr">
        <is>
          <t>12、</t>
        </is>
      </c>
      <c r="B13" s="5" t="inlineStr">
        <is>
          <t>When calculating project costs, data in the table related to planning should be calculated as much as possible using formulas referencing the planning indicators, to facilitate automatic calculation when the planning changes.</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谭子莹</dc:creator>
  <dcterms:created xsi:type="dcterms:W3CDTF">2024-04-24T08:51:59Z</dcterms:created>
  <dcterms:modified xsi:type="dcterms:W3CDTF">2025-07-07T17:45:40Z</dcterms:modified>
  <cp:lastModifiedBy>haol</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7D230002DD8148418D654BF40E7C5A11_11</vt:lpwstr>
  </property>
  <property name="KSOProductBuildVer" fmtid="{D5CDD505-2E9C-101B-9397-08002B2CF9AE}" pid="3">
    <vt:lpwstr>2052-12.1.0.16894</vt:lpwstr>
  </property>
</Properties>
</file>