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>
    <definedName name="_xlnm.Print_Area" localSheetId="0">'Sheet1'!$B$1:$T$16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汉仪大黑简"/>
      <family val="2"/>
      <color theme="1"/>
      <sz val="12"/>
    </font>
    <font>
      <name val="汉仪雅酷黑 65W"/>
      <family val="2"/>
      <color theme="1"/>
      <sz val="16"/>
    </font>
    <font>
      <name val="汉仪雅酷黑 65W"/>
      <family val="2"/>
      <color theme="1"/>
      <sz val="36"/>
    </font>
    <font>
      <name val="汉仪雅酷黑 65W"/>
      <family val="2"/>
      <color theme="0"/>
      <sz val="16"/>
    </font>
    <font>
      <name val="汉仪雅酷黑 65W"/>
      <family val="2"/>
      <i val="1"/>
      <color theme="1"/>
      <sz val="16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19A382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>
        <color theme="0"/>
      </right>
      <top style="thin"/>
      <bottom style="thin">
        <color theme="0"/>
      </bottom>
    </border>
    <border>
      <left style="thin">
        <color theme="0"/>
      </left>
      <right style="thin">
        <color theme="0"/>
      </right>
      <top style="thin"/>
      <bottom style="thin">
        <color theme="0"/>
      </bottom>
    </border>
    <border>
      <left style="thin"/>
      <right style="thin">
        <color theme="0"/>
      </right>
      <top style="thin">
        <color theme="0"/>
      </top>
      <bottom style="thin"/>
    </border>
    <border>
      <left style="thin">
        <color theme="0"/>
      </left>
      <right style="thin">
        <color theme="0"/>
      </right>
      <top style="thin">
        <color theme="0"/>
      </top>
      <bottom style="thin"/>
    </border>
    <border>
      <left style="thin"/>
      <right style="thin">
        <color theme="0"/>
      </right>
      <top style="thin"/>
      <bottom style="thin"/>
    </border>
    <border>
      <left style="thin">
        <color theme="0"/>
      </left>
      <right style="thin">
        <color theme="0"/>
      </right>
      <top style="thin"/>
      <bottom style="thin"/>
    </border>
    <border>
      <left/>
      <right/>
      <top style="thin"/>
      <bottom/>
      <diagonal/>
    </border>
    <border>
      <left/>
      <right style="thin">
        <color theme="0"/>
      </right>
      <top style="thin"/>
      <bottom/>
      <diagonal/>
    </border>
    <border>
      <left/>
      <right style="thin">
        <color theme="0"/>
      </right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thin">
        <color theme="0"/>
      </bottom>
      <diagonal/>
    </border>
    <border>
      <left/>
      <right style="thin">
        <color theme="0"/>
      </right>
      <top style="thin"/>
      <bottom style="thin">
        <color theme="0"/>
      </bottom>
      <diagonal/>
    </border>
    <border>
      <left style="thin"/>
      <right/>
      <top/>
      <bottom/>
      <diagonal/>
    </border>
    <border>
      <left style="thin"/>
      <right style="thin">
        <color theme="0"/>
      </right>
      <top/>
      <bottom/>
      <diagonal/>
    </border>
    <border>
      <left style="thin"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0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8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6" fillId="33" borderId="13" applyAlignment="1" pivotButton="0" quotePrefix="0" xfId="0">
      <alignment horizontal="center" vertical="center" wrapText="1"/>
    </xf>
    <xf numFmtId="0" fontId="6" fillId="33" borderId="14" applyAlignment="1" pivotButton="0" quotePrefix="0" xfId="0">
      <alignment horizontal="center" vertical="center" wrapText="1"/>
    </xf>
    <xf numFmtId="0" fontId="6" fillId="33" borderId="14" applyAlignment="1" pivotButton="0" quotePrefix="0" xfId="0">
      <alignment horizontal="center" vertical="center"/>
    </xf>
    <xf numFmtId="0" fontId="6" fillId="33" borderId="15" applyAlignment="1" pivotButton="0" quotePrefix="0" xfId="0">
      <alignment horizontal="center" vertical="center"/>
    </xf>
    <xf numFmtId="0" fontId="6" fillId="33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33" borderId="1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3" borderId="18" applyAlignment="1" pivotButton="0" quotePrefix="0" xfId="0">
      <alignment horizontal="center" vertical="center"/>
    </xf>
    <xf numFmtId="0" fontId="6" fillId="33" borderId="16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8" fillId="0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2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31"/>
  <sheetViews>
    <sheetView showGridLines="0" topLeftCell="A1" workbookViewId="0">
      <selection activeCell="U1" sqref="U1:U1048576"/>
    </sheetView>
  </sheetViews>
  <sheetFormatPr baseColWidth="8" defaultColWidth="8.8515625" defaultRowHeight="15"/>
  <cols>
    <col width="4.57421875" customWidth="1" style="1" min="1" max="1"/>
    <col width="6.7109375" customWidth="1" style="4" min="2" max="2"/>
    <col width="17.140625" customWidth="1" style="4" min="3" max="3"/>
    <col width="13.00390625" customWidth="1" style="4" min="4" max="4"/>
    <col width="10.7109375" customWidth="1" style="4" min="5" max="5"/>
    <col width="9.8515625" customWidth="1" style="4" min="6" max="6"/>
    <col width="11.00390625" customWidth="1" style="4" min="7" max="7"/>
    <col width="10.421875" customWidth="1" style="4" min="8" max="9"/>
    <col width="13.8515625" customWidth="1" style="4" min="10" max="10"/>
    <col width="8.8515625" customWidth="1" style="4" min="11" max="12"/>
    <col width="13.421875" customWidth="1" style="4" min="13" max="13"/>
    <col width="10.8515625" customWidth="1" style="4" min="14" max="14"/>
    <col width="11.57421875" customWidth="1" style="4" min="15" max="15"/>
    <col width="8.8515625" customWidth="1" style="4" min="16" max="16"/>
    <col width="10.00390625" customWidth="1" style="4" min="17" max="17"/>
    <col width="10.140625" customWidth="1" style="4" min="18" max="18"/>
    <col width="12.8515625" customWidth="1" style="4" min="19" max="19"/>
    <col width="14.28125" customWidth="1" style="4" min="20" max="20"/>
  </cols>
  <sheetData>
    <row r="1" ht="15" customHeight="1" s="24"/>
    <row r="2" ht="30" customHeight="1" s="24">
      <c r="B2" s="5" t="inlineStr">
        <is>
          <t>Track and Field Games Points Table</t>
        </is>
      </c>
      <c r="I2" s="15" t="n"/>
      <c r="J2" s="15" t="n"/>
      <c r="K2" s="15" t="n"/>
      <c r="L2" s="15" t="n"/>
      <c r="M2" s="4" t="inlineStr">
        <is>
          <t>Number of classes统计</t>
        </is>
      </c>
      <c r="O2" s="15" t="n"/>
      <c r="P2" s="16" t="inlineStr">
        <is>
          <t>Input class name</t>
        </is>
      </c>
      <c r="Q2" s="25" t="n"/>
      <c r="R2" s="19" t="inlineStr">
        <is>
          <t>Query total points</t>
        </is>
      </c>
      <c r="S2" s="25" t="n"/>
      <c r="T2" s="19" t="inlineStr">
        <is>
          <t>Query class points ranking</t>
        </is>
      </c>
    </row>
    <row r="3" ht="30" customHeight="1" s="24">
      <c r="I3" s="15" t="n"/>
      <c r="J3" s="15" t="n"/>
      <c r="K3" s="15" t="n"/>
      <c r="L3" s="15" t="n"/>
      <c r="M3" s="17">
        <f>COUNTA(C9:C2392)</f>
        <v/>
      </c>
      <c r="O3" s="15" t="n"/>
      <c r="P3" s="18" t="inlineStr">
        <is>
          <t>x Grade x Class 1</t>
        </is>
      </c>
      <c r="Q3" s="26" t="n"/>
      <c r="R3" s="18">
        <f>VLOOKUP(P3,$C$9:$T$2392,17,0)</f>
        <v/>
      </c>
      <c r="S3" s="26" t="n"/>
      <c r="T3" s="18">
        <f>VLOOKUP(P3,$C$9:$T$2392,18,0)</f>
        <v/>
      </c>
    </row>
    <row r="4" ht="6.75" customHeight="1" s="24"/>
    <row r="5" ht="39" customHeight="1" s="24">
      <c r="B5" s="6" t="inlineStr">
        <is>
          <t>Name of the Sports Meet</t>
        </is>
      </c>
      <c r="C5" s="26" t="n"/>
      <c r="D5" s="6" t="n"/>
      <c r="E5" s="27" t="n"/>
      <c r="F5" s="26" t="n"/>
      <c r="G5" s="6" t="inlineStr">
        <is>
          <t>Athletic Meet Date</t>
        </is>
      </c>
      <c r="H5" s="26" t="n"/>
      <c r="I5" s="6" t="n"/>
      <c r="J5" s="27" t="n"/>
      <c r="K5" s="26" t="n"/>
      <c r="L5" s="6" t="inlineStr">
        <is>
          <t>Venue of the Sports Meet</t>
        </is>
      </c>
      <c r="M5" s="26" t="n"/>
      <c r="N5" s="6" t="n"/>
      <c r="O5" s="27" t="n"/>
      <c r="P5" s="26" t="n"/>
      <c r="Q5" s="6" t="inlineStr">
        <is>
          <t>Meetings Responsible Person</t>
        </is>
      </c>
      <c r="R5" s="26" t="n"/>
      <c r="S5" s="7" t="n"/>
      <c r="T5" s="27" t="n"/>
    </row>
    <row r="6" ht="6.75" customHeight="1" s="24"/>
    <row r="7" ht="34.5" customHeight="1" s="24">
      <c r="B7" s="10" t="inlineStr">
        <is>
          <t>Serial
Number</t>
        </is>
      </c>
      <c r="C7" s="11" t="inlineStr">
        <is>
          <t>Class
Name</t>
        </is>
      </c>
      <c r="D7" s="12" t="inlineStr">
        <is>
          <t>Class Advisor</t>
        </is>
      </c>
      <c r="E7" s="11" t="inlineStr">
        <is>
          <t>Number of participants</t>
        </is>
      </c>
      <c r="F7" s="12" t="inlineStr">
        <is>
          <t>Event Points Details</t>
        </is>
      </c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9" t="n"/>
      <c r="S7" s="12" t="inlineStr">
        <is>
          <t>Total Points</t>
        </is>
      </c>
      <c r="T7" s="11" t="inlineStr">
        <is>
          <t>Class Points
Ranking</t>
        </is>
      </c>
    </row>
    <row r="8" ht="42" customHeight="1" s="24">
      <c r="B8" s="30" t="n"/>
      <c r="C8" s="31" t="n"/>
      <c r="D8" s="31" t="n"/>
      <c r="E8" s="31" t="n"/>
      <c r="F8" s="14" t="inlineStr">
        <is>
          <t>50 meters</t>
        </is>
      </c>
      <c r="G8" s="14" t="inlineStr">
        <is>
          <t>200 meters</t>
        </is>
      </c>
      <c r="H8" s="14" t="inlineStr">
        <is>
          <t>400 meters</t>
        </is>
      </c>
      <c r="I8" s="14" t="inlineStr">
        <is>
          <t>800 meters</t>
        </is>
      </c>
      <c r="J8" s="14" t="inlineStr">
        <is>
          <t>1000 meters</t>
        </is>
      </c>
      <c r="K8" s="14" t="inlineStr">
        <is>
          <t>Long jump</t>
        </is>
      </c>
      <c r="L8" s="14" t="inlineStr">
        <is>
          <t>High jump</t>
        </is>
      </c>
      <c r="M8" s="14" t="inlineStr">
        <is>
          <t>Standing Long Jump</t>
        </is>
      </c>
      <c r="N8" s="14" t="inlineStr">
        <is>
          <t>Shot Put</t>
        </is>
      </c>
      <c r="O8" s="14" t="inlineStr">
        <is>
          <t>Sit-ups</t>
        </is>
      </c>
      <c r="P8" s="14" t="inlineStr">
        <is>
          <t>Jump Rope</t>
        </is>
      </c>
      <c r="Q8" s="14" t="inlineStr">
        <is>
          <t>Relay Race</t>
        </is>
      </c>
      <c r="R8" s="14" t="inlineStr">
        <is>
          <t>Other</t>
        </is>
      </c>
      <c r="S8" s="31" t="n"/>
      <c r="T8" s="31" t="n"/>
    </row>
    <row r="9" ht="30" customHeight="1" s="24">
      <c r="B9" s="6" t="n">
        <v>1</v>
      </c>
      <c r="C9" s="6" t="inlineStr">
        <is>
          <t>x Grade x Class 1</t>
        </is>
      </c>
      <c r="D9" s="6" t="inlineStr">
        <is>
          <t>Donna</t>
        </is>
      </c>
      <c r="E9" s="6" t="n">
        <v>18</v>
      </c>
      <c r="F9" s="6" t="n">
        <v>3</v>
      </c>
      <c r="G9" s="6" t="n">
        <v>4</v>
      </c>
      <c r="H9" s="6" t="n">
        <v>1</v>
      </c>
      <c r="I9" s="6" t="n">
        <v>2</v>
      </c>
      <c r="J9" s="6" t="n">
        <v>3</v>
      </c>
      <c r="K9" s="6" t="n">
        <v>4</v>
      </c>
      <c r="L9" s="6" t="n">
        <v>0</v>
      </c>
      <c r="M9" s="6" t="n">
        <v>3</v>
      </c>
      <c r="N9" s="6" t="n">
        <v>2</v>
      </c>
      <c r="O9" s="6" t="n">
        <v>2</v>
      </c>
      <c r="P9" s="6" t="n">
        <v>1</v>
      </c>
      <c r="Q9" s="6" t="n">
        <v>0</v>
      </c>
      <c r="R9" s="6" t="n">
        <v>4</v>
      </c>
      <c r="S9" s="6">
        <f>IF(D9="","",SUM(F9:R9))</f>
        <v/>
      </c>
      <c r="T9" s="6">
        <f>IF(D9="","",RANK(S9,S:S))</f>
        <v/>
      </c>
    </row>
    <row r="10" ht="30" customFormat="1" customHeight="1" s="1">
      <c r="A10" s="1" t="n"/>
      <c r="B10" s="6" t="n">
        <v>2</v>
      </c>
      <c r="C10" s="6" t="inlineStr">
        <is>
          <t>x Grade x Class 2</t>
        </is>
      </c>
      <c r="D10" s="6" t="inlineStr">
        <is>
          <t>Han Lei</t>
        </is>
      </c>
      <c r="E10" s="6" t="n">
        <v>15</v>
      </c>
      <c r="F10" s="6" t="n">
        <v>4</v>
      </c>
      <c r="G10" s="6" t="n">
        <v>3</v>
      </c>
      <c r="H10" s="6" t="n">
        <v>0</v>
      </c>
      <c r="I10" s="6" t="n">
        <v>1</v>
      </c>
      <c r="J10" s="6" t="n">
        <v>2</v>
      </c>
      <c r="K10" s="6" t="n">
        <v>3</v>
      </c>
      <c r="L10" s="6" t="n">
        <v>2</v>
      </c>
      <c r="M10" s="6" t="n">
        <v>1</v>
      </c>
      <c r="N10" s="6" t="n">
        <v>0</v>
      </c>
      <c r="O10" s="6" t="n">
        <v>1</v>
      </c>
      <c r="P10" s="6" t="n">
        <v>2</v>
      </c>
      <c r="Q10" s="6" t="n">
        <v>1</v>
      </c>
      <c r="R10" s="6" t="n">
        <v>2</v>
      </c>
      <c r="S10" s="6">
        <f>IF(D10="","",SUM(F10:R10))</f>
        <v/>
      </c>
      <c r="T10" s="6">
        <f>IF(D10="","",RANK(S10,S:S))</f>
        <v/>
      </c>
    </row>
    <row r="11" ht="30" customHeight="1" s="24">
      <c r="B11" s="6" t="n">
        <v>3</v>
      </c>
      <c r="C11" s="6" t="inlineStr">
        <is>
          <t>x Grade x Class 3</t>
        </is>
      </c>
      <c r="D11" s="6" t="inlineStr">
        <is>
          <t>Xu Ming</t>
        </is>
      </c>
      <c r="E11" s="6" t="n">
        <v>17</v>
      </c>
      <c r="F11" s="6" t="n">
        <v>3</v>
      </c>
      <c r="G11" s="6" t="n">
        <v>3</v>
      </c>
      <c r="H11" s="6" t="n">
        <v>3</v>
      </c>
      <c r="I11" s="6" t="n">
        <v>2</v>
      </c>
      <c r="J11" s="6" t="n">
        <v>2</v>
      </c>
      <c r="K11" s="6" t="n">
        <v>2</v>
      </c>
      <c r="L11" s="6" t="n">
        <v>0</v>
      </c>
      <c r="M11" s="6" t="n">
        <v>0</v>
      </c>
      <c r="N11" s="6" t="n">
        <v>1</v>
      </c>
      <c r="O11" s="6" t="n">
        <v>2</v>
      </c>
      <c r="P11" s="6" t="n">
        <v>1</v>
      </c>
      <c r="Q11" s="6" t="n">
        <v>1</v>
      </c>
      <c r="R11" s="6" t="n">
        <v>1</v>
      </c>
      <c r="S11" s="6">
        <f>IF(D11="","",SUM(F11:R11))</f>
        <v/>
      </c>
      <c r="T11" s="6">
        <f>IF(D11="","",RANK(S11,S:S))</f>
        <v/>
      </c>
    </row>
    <row r="12" ht="30" customHeight="1" s="24">
      <c r="B12" s="6" t="n">
        <v>4</v>
      </c>
      <c r="C12" s="6" t="inlineStr">
        <is>
          <t>x Grade x Class 4</t>
        </is>
      </c>
      <c r="D12" s="6" t="inlineStr">
        <is>
          <t>Jiang Tao</t>
        </is>
      </c>
      <c r="E12" s="6" t="n">
        <v>14</v>
      </c>
      <c r="F12" s="6" t="n">
        <v>2</v>
      </c>
      <c r="G12" s="6" t="n">
        <v>2</v>
      </c>
      <c r="H12" s="6" t="n">
        <v>2</v>
      </c>
      <c r="I12" s="6" t="n">
        <v>2</v>
      </c>
      <c r="J12" s="6" t="n">
        <v>1</v>
      </c>
      <c r="K12" s="6" t="n">
        <v>3</v>
      </c>
      <c r="L12" s="6" t="n">
        <v>2</v>
      </c>
      <c r="M12" s="6" t="n">
        <v>0</v>
      </c>
      <c r="N12" s="6" t="n">
        <v>2</v>
      </c>
      <c r="O12" s="6" t="n">
        <v>2</v>
      </c>
      <c r="P12" s="6" t="n">
        <v>1</v>
      </c>
      <c r="Q12" s="6" t="n">
        <v>0</v>
      </c>
      <c r="R12" s="6" t="n">
        <v>0</v>
      </c>
      <c r="S12" s="6">
        <f>IF(D12="","",SUM(F12:R12))</f>
        <v/>
      </c>
      <c r="T12" s="6">
        <f>IF(D12="","",RANK(S12,S:S))</f>
        <v/>
      </c>
    </row>
    <row r="13" ht="30" customHeight="1" s="24">
      <c r="B13" s="6" t="n">
        <v>5</v>
      </c>
      <c r="C13" s="6" t="inlineStr">
        <is>
          <t>x Grade x Class 5</t>
        </is>
      </c>
      <c r="D13" s="6" t="inlineStr">
        <is>
          <t>Shen Xue</t>
        </is>
      </c>
      <c r="E13" s="6" t="n">
        <v>17</v>
      </c>
      <c r="F13" s="6" t="n">
        <v>2</v>
      </c>
      <c r="G13" s="6" t="n">
        <v>3</v>
      </c>
      <c r="H13" s="6" t="n">
        <v>3</v>
      </c>
      <c r="I13" s="6" t="n">
        <v>1</v>
      </c>
      <c r="J13" s="6" t="n">
        <v>2</v>
      </c>
      <c r="K13" s="6" t="n">
        <v>2</v>
      </c>
      <c r="L13" s="6" t="n">
        <v>1</v>
      </c>
      <c r="M13" s="6" t="n">
        <v>1</v>
      </c>
      <c r="N13" s="6" t="n">
        <v>1</v>
      </c>
      <c r="O13" s="6" t="n">
        <v>0</v>
      </c>
      <c r="P13" s="6" t="n">
        <v>1</v>
      </c>
      <c r="Q13" s="6" t="n">
        <v>1</v>
      </c>
      <c r="R13" s="6" t="n">
        <v>0</v>
      </c>
      <c r="S13" s="6">
        <f>IF(D13="","",SUM(F13:R13))</f>
        <v/>
      </c>
      <c r="T13" s="6">
        <f>IF(D13="","",RANK(S13,S:S))</f>
        <v/>
      </c>
    </row>
    <row r="14" ht="30" customHeight="1" s="24">
      <c r="B14" s="6" t="n">
        <v>6</v>
      </c>
      <c r="C14" s="6" t="inlineStr">
        <is>
          <t>x Grade x Class 6</t>
        </is>
      </c>
      <c r="D14" s="6" t="inlineStr">
        <is>
          <t>Luo Rui</t>
        </is>
      </c>
      <c r="E14" s="6" t="n">
        <v>16</v>
      </c>
      <c r="F14" s="6" t="n">
        <v>3</v>
      </c>
      <c r="G14" s="6" t="n">
        <v>2</v>
      </c>
      <c r="H14" s="6" t="n">
        <v>2</v>
      </c>
      <c r="I14" s="6" t="n">
        <v>2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1</v>
      </c>
      <c r="O14" s="6" t="n">
        <v>1</v>
      </c>
      <c r="P14" s="6" t="n">
        <v>0</v>
      </c>
      <c r="Q14" s="6" t="n">
        <v>1</v>
      </c>
      <c r="R14" s="6" t="n">
        <v>0</v>
      </c>
      <c r="S14" s="6">
        <f>IF(D14="","",SUM(F14:R14))</f>
        <v/>
      </c>
      <c r="T14" s="6">
        <f>IF(D14="","",RANK(S14,S:S))</f>
        <v/>
      </c>
    </row>
    <row r="15" ht="30" customHeight="1" s="24">
      <c r="B15" s="6" t="n">
        <v>7</v>
      </c>
      <c r="C15" s="6" t="inlineStr">
        <is>
          <t>x Grade x Class 7</t>
        </is>
      </c>
      <c r="D15" s="6" t="inlineStr">
        <is>
          <t>Guo Hai</t>
        </is>
      </c>
      <c r="E15" s="6" t="n">
        <v>15</v>
      </c>
      <c r="F15" s="6" t="n">
        <v>2</v>
      </c>
      <c r="G15" s="6" t="n">
        <v>3</v>
      </c>
      <c r="H15" s="6" t="n">
        <v>1</v>
      </c>
      <c r="I15" s="6" t="n">
        <v>2</v>
      </c>
      <c r="J15" s="6" t="n">
        <v>2</v>
      </c>
      <c r="K15" s="6" t="n">
        <v>2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0</v>
      </c>
      <c r="S15" s="6">
        <f>IF(D15="","",SUM(F15:R15))</f>
        <v/>
      </c>
      <c r="T15" s="6">
        <f>IF(D15="","",RANK(S15,S:S))</f>
        <v/>
      </c>
    </row>
    <row r="16" ht="30" customHeight="1" s="24">
      <c r="B16" s="6" t="n">
        <v>8</v>
      </c>
      <c r="C16" s="6" t="inlineStr">
        <is>
          <t>x Grade x Class 8</t>
        </is>
      </c>
      <c r="D16" s="6" t="inlineStr">
        <is>
          <t>Still</t>
        </is>
      </c>
      <c r="E16" s="6" t="n">
        <v>17</v>
      </c>
      <c r="F16" s="6" t="n">
        <v>3</v>
      </c>
      <c r="G16" s="6" t="n">
        <v>2</v>
      </c>
      <c r="H16" s="6" t="n">
        <v>2</v>
      </c>
      <c r="I16" s="6" t="n">
        <v>1</v>
      </c>
      <c r="J16" s="6" t="n">
        <v>2</v>
      </c>
      <c r="K16" s="6" t="n">
        <v>2</v>
      </c>
      <c r="L16" s="6" t="n">
        <v>0</v>
      </c>
      <c r="M16" s="6" t="n">
        <v>2</v>
      </c>
      <c r="N16" s="6" t="n">
        <v>1</v>
      </c>
      <c r="O16" s="6" t="n">
        <v>2</v>
      </c>
      <c r="P16" s="6" t="n">
        <v>0</v>
      </c>
      <c r="Q16" s="6" t="n">
        <v>0</v>
      </c>
      <c r="R16" s="6" t="n">
        <v>2</v>
      </c>
      <c r="S16" s="6">
        <f>IF(D16="","",SUM(F16:R16))</f>
        <v/>
      </c>
      <c r="T16" s="6">
        <f>IF(D16="","",RANK(S16,S:S))</f>
        <v/>
      </c>
    </row>
    <row r="17" ht="28.5" customFormat="1" customHeight="1" s="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 ht="28.5" customFormat="1" customHeight="1" s="2">
      <c r="A18" s="2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 ht="28.5" customFormat="1" customHeight="1" s="2">
      <c r="A19" s="2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8.5" customFormat="1" customHeight="1" s="2">
      <c r="A20" s="2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 ht="25.5" customFormat="1" customHeight="1" s="2">
      <c r="A21" s="2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 ht="25.5" customHeight="1" s="24"/>
    <row r="23" ht="25.5" customHeight="1" s="24"/>
    <row r="24" ht="25.5" customHeight="1" s="24"/>
    <row r="25" ht="24" customHeight="1" s="24"/>
    <row r="26" ht="24" customHeight="1" s="24"/>
    <row r="27" ht="24.75" customHeight="1" s="24"/>
    <row r="28" ht="24.75" customHeight="1" s="24"/>
    <row r="29" ht="24.75" customHeight="1" s="24"/>
    <row r="30" ht="24.75" customHeight="1" s="24"/>
    <row r="31" ht="24.75" customFormat="1" customHeight="1" s="3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 ht="24.75" customHeight="1" s="24"/>
    <row r="33" ht="24.75" customHeight="1" s="24"/>
    <row r="34" ht="24.75" customHeight="1" s="24"/>
    <row r="35" ht="24.75" customHeight="1" s="24"/>
    <row r="36" ht="21.75" customHeight="1" s="24"/>
    <row r="37" ht="21.75" customHeight="1" s="24"/>
    <row r="38" ht="19.5" customHeight="1" s="24"/>
    <row r="39" ht="21.75" customHeight="1" s="24"/>
    <row r="40" ht="21.75" customHeight="1" s="24"/>
    <row r="41" ht="21.75" customHeight="1" s="24"/>
    <row r="42" ht="21.75" customHeight="1" s="24"/>
    <row r="43" ht="21.75" customHeight="1" s="24"/>
    <row r="44" ht="21.75" customHeight="1" s="24"/>
    <row r="45" ht="21.75" customHeight="1" s="24"/>
    <row r="46" ht="18" customHeight="1" s="24"/>
    <row r="47" ht="18" customHeight="1" s="24"/>
    <row r="48" ht="18" customHeight="1" s="24"/>
  </sheetData>
  <mergeCells count="22">
    <mergeCell ref="N5:P5"/>
    <mergeCell ref="B2:H3"/>
    <mergeCell ref="S7:S8"/>
    <mergeCell ref="M2:N2"/>
    <mergeCell ref="I5:K5"/>
    <mergeCell ref="Q5:R5"/>
    <mergeCell ref="P2:Q2"/>
    <mergeCell ref="D7:D8"/>
    <mergeCell ref="L5:M5"/>
    <mergeCell ref="D5:F5"/>
    <mergeCell ref="F7:R7"/>
    <mergeCell ref="G5:H5"/>
    <mergeCell ref="C7:C8"/>
    <mergeCell ref="T7:T8"/>
    <mergeCell ref="E7:E8"/>
    <mergeCell ref="R3:S3"/>
    <mergeCell ref="M3:N3"/>
    <mergeCell ref="P3:Q3"/>
    <mergeCell ref="B5:C5"/>
    <mergeCell ref="S5:T5"/>
    <mergeCell ref="R2:S2"/>
    <mergeCell ref="B7:B8"/>
  </mergeCells>
  <dataValidations count="1">
    <dataValidation sqref="P3:Q3" showDropDown="0" showInputMessage="1" showErrorMessage="1" allowBlank="1" type="list">
      <formula1>$C$9:$C$2392</formula1>
    </dataValidation>
  </dataValidations>
  <printOptions horizontalCentered="1" verticalCentered="1"/>
  <pageMargins left="0.751388888888889" right="0.751388888888889" top="1" bottom="1" header="0.5" footer="0.5"/>
  <pageSetup orientation="landscape" paperSize="9" scale="62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</dc:creator>
  <dcterms:created xsi:type="dcterms:W3CDTF">2021-09-16T05:10:00Z</dcterms:created>
  <dcterms:modified xsi:type="dcterms:W3CDTF">2025-07-08T22:43:00Z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65F23412D6A748B39C302181AC498135_11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v1.0_mb_p8jUHb9TvQh7yKSaA+eeiQ==</vt:lpwstr>
  </property>
</Properties>
</file>