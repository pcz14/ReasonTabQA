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3" autoFilterDateGrouping="1"/>
  </bookViews>
  <sheets>
    <sheet name="Big_Plan" sheetId="1" state="visible" r:id="rId1"/>
    <sheet name="Mid-term_Plan" sheetId="2" state="visible" r:id="rId2"/>
    <sheet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color theme="1"/>
      <sz val="20"/>
      <scheme val="minor"/>
    </font>
    <font>
      <name val="宋体"/>
      <family val="2"/>
      <color theme="1"/>
      <sz val="10"/>
      <scheme val="minor"/>
    </font>
    <font>
      <name val="宋体"/>
      <family val="2"/>
      <sz val="10"/>
    </font>
    <font>
      <name val="宋体"/>
      <family val="2"/>
      <b val="1"/>
      <color theme="1"/>
      <sz val="10"/>
      <scheme val="minor"/>
    </font>
    <font>
      <name val="黑体"/>
      <family val="2"/>
      <sz val="12"/>
    </font>
    <font>
      <name val="黑体"/>
      <family val="2"/>
      <color theme="1"/>
      <sz val="14"/>
    </font>
    <font>
      <name val="宋体"/>
      <family val="2"/>
      <color rgb="FFFF0000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sz val="12"/>
    </font>
    <font>
      <name val="宋体"/>
      <family val="2"/>
      <color theme="0"/>
      <sz val="11"/>
    </font>
    <font>
      <name val="黑体"/>
      <family val="2"/>
      <color rgb="FF000000"/>
      <sz val="10"/>
    </font>
    <font>
      <name val="Times New Roman"/>
      <family val="2"/>
      <color rgb="FF000000"/>
      <sz val="10.5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 style="thin"/>
      <top/>
      <bottom style="thin"/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56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9" fillId="0" borderId="0"/>
    <xf numFmtId="0" fontId="10" fillId="0" borderId="0"/>
    <xf numFmtId="0" fontId="0" fillId="2" borderId="1"/>
    <xf numFmtId="0" fontId="8" fillId="0" borderId="0"/>
    <xf numFmtId="0" fontId="11" fillId="0" borderId="0"/>
    <xf numFmtId="0" fontId="12" fillId="0" borderId="0"/>
    <xf numFmtId="0" fontId="13" fillId="0" borderId="2"/>
    <xf numFmtId="0" fontId="14" fillId="0" borderId="2"/>
    <xf numFmtId="0" fontId="15" fillId="0" borderId="3"/>
    <xf numFmtId="0" fontId="15" fillId="0" borderId="0"/>
    <xf numFmtId="0" fontId="16" fillId="3" borderId="4"/>
    <xf numFmtId="0" fontId="17" fillId="4" borderId="5"/>
    <xf numFmtId="0" fontId="18" fillId="4" borderId="4"/>
    <xf numFmtId="0" fontId="19" fillId="5" borderId="6"/>
    <xf numFmtId="0" fontId="20" fillId="0" borderId="7"/>
    <xf numFmtId="0" fontId="21" fillId="0" borderId="8"/>
    <xf numFmtId="0" fontId="22" fillId="6" borderId="0"/>
    <xf numFmtId="0" fontId="23" fillId="7" borderId="0"/>
    <xf numFmtId="0" fontId="24" fillId="8" borderId="0"/>
    <xf numFmtId="0" fontId="25" fillId="9" borderId="0"/>
    <xf numFmtId="0" fontId="0" fillId="10" borderId="0"/>
    <xf numFmtId="0" fontId="0" fillId="11" borderId="0"/>
    <xf numFmtId="0" fontId="25" fillId="12" borderId="0"/>
    <xf numFmtId="0" fontId="25" fillId="13" borderId="0"/>
    <xf numFmtId="0" fontId="0" fillId="14" borderId="0"/>
    <xf numFmtId="0" fontId="0" fillId="15" borderId="0"/>
    <xf numFmtId="0" fontId="25" fillId="16" borderId="0"/>
    <xf numFmtId="0" fontId="25" fillId="17" borderId="0"/>
    <xf numFmtId="0" fontId="0" fillId="18" borderId="0"/>
    <xf numFmtId="0" fontId="0" fillId="19" borderId="0"/>
    <xf numFmtId="0" fontId="25" fillId="20" borderId="0"/>
    <xf numFmtId="0" fontId="25" fillId="21" borderId="0"/>
    <xf numFmtId="0" fontId="0" fillId="22" borderId="0"/>
    <xf numFmtId="0" fontId="0" fillId="23" borderId="0"/>
    <xf numFmtId="0" fontId="25" fillId="24" borderId="0"/>
    <xf numFmtId="0" fontId="25" fillId="25" borderId="0"/>
    <xf numFmtId="0" fontId="0" fillId="26" borderId="0"/>
    <xf numFmtId="0" fontId="0" fillId="27" borderId="0"/>
    <xf numFmtId="0" fontId="25" fillId="28" borderId="0"/>
    <xf numFmtId="0" fontId="25" fillId="29" borderId="0"/>
    <xf numFmtId="0" fontId="0" fillId="30" borderId="0"/>
    <xf numFmtId="0" fontId="0" fillId="31" borderId="0"/>
    <xf numFmtId="0" fontId="25" fillId="32" borderId="0"/>
    <xf numFmtId="0" fontId="26" fillId="0" borderId="0" applyAlignment="1">
      <alignment vertical="center"/>
    </xf>
    <xf numFmtId="0" fontId="9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31" fontId="0" fillId="0" borderId="9" applyAlignment="1" pivotButton="0" quotePrefix="0" xfId="0">
      <alignment horizontal="right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left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right" vertical="center" wrapText="1"/>
    </xf>
    <xf numFmtId="0" fontId="0" fillId="0" borderId="10" applyAlignment="1" pivotButton="0" quotePrefix="0" xfId="0">
      <alignment horizontal="center" vertical="center" wrapText="1"/>
    </xf>
    <xf numFmtId="0" fontId="6" fillId="0" borderId="0" applyAlignment="1" pivotButton="0" quotePrefix="0" xfId="68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right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8" fillId="0" borderId="10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8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9" fillId="0" borderId="0" applyAlignment="1" pivotButton="0" quotePrefix="0" xfId="69">
      <alignment vertical="center"/>
    </xf>
    <xf numFmtId="0" fontId="9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22" pivotButton="0" quotePrefix="0" xfId="0"/>
  </cellXfs>
  <cellStyles count="56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常规 2" xfId="54"/>
    <cellStyle name="Hyperlink" xfId="5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114300</colOff>
      <row>0</row>
      <rowOff>38100</rowOff>
    </from>
    <to>
      <col>3</col>
      <colOff>28575</colOff>
      <row>0</row>
      <rowOff>409575</rowOff>
    </to>
    <pic>
      <nvPicPr>
        <cNvPr id="3" name="图片 2" descr="Microvast_power_black.jpg"/>
        <cNvPicPr preferRelativeResize="1">
          <a:picLocks noChangeAspect="1"/>
        </cNvPicPr>
      </nvPicPr>
      <blipFill>
        <a:blip r:embed="rId1"/>
        <a:stretch>
          <a:fillRect/>
        </a:stretch>
      </blipFill>
      <spPr>
        <a:xfrm>
          <a:off x="114300" y="38100"/>
          <a:ext cx="1971675" cy="371475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114300</colOff>
      <row>0</row>
      <rowOff>38100</rowOff>
    </from>
    <to>
      <col>3</col>
      <colOff>28575</colOff>
      <row>0</row>
      <rowOff>409575</rowOff>
    </to>
    <pic>
      <nvPicPr>
        <cNvPr id="3" name="图片 2" descr="Microvast_power_black.jpg"/>
        <cNvPicPr preferRelativeResize="1">
          <a:picLocks noChangeAspect="1"/>
        </cNvPicPr>
      </nvPicPr>
      <blipFill>
        <a:blip r:embed="rId1"/>
        <a:stretch>
          <a:fillRect/>
        </a:stretch>
      </blipFill>
      <spPr>
        <a:xfrm>
          <a:off x="114300" y="38100"/>
          <a:ext cx="1971675" cy="371475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topLeftCell="A1" workbookViewId="0">
      <selection activeCell="M9" sqref="M9"/>
    </sheetView>
  </sheetViews>
  <sheetFormatPr baseColWidth="8" defaultColWidth="9.00390625" defaultRowHeight="13.5"/>
  <cols>
    <col width="20.50390625" customWidth="1" min="4" max="4"/>
    <col width="3.375" customWidth="1" min="8" max="17"/>
    <col width="5.875" customWidth="1" min="18" max="18"/>
    <col width="3.375" customWidth="1" min="19" max="20"/>
  </cols>
  <sheetData>
    <row r="1" ht="38.25" customHeight="1" s="39">
      <c r="A1" s="19" t="inlineStr">
        <is>
          <t>MHPS (Huzhou) Co., Ltd.</t>
        </is>
      </c>
    </row>
    <row r="2" ht="22.5" customHeight="1" s="39">
      <c r="A2" s="20" t="inlineStr">
        <is>
          <t>Production Plan Table (Large)</t>
        </is>
      </c>
    </row>
    <row r="3" ht="25.5" customHeight="1" s="39">
      <c r="A3" s="21" t="inlineStr">
        <is>
          <t>Department:</t>
        </is>
      </c>
      <c r="B3" s="0" t="inlineStr">
        <is>
          <t>Cell Manufacturing Department</t>
        </is>
      </c>
      <c r="O3" s="35" t="n">
        <v>2013</v>
      </c>
      <c r="P3" s="40" t="n"/>
      <c r="Q3" s="0" t="inlineStr">
        <is>
          <t>Year</t>
        </is>
      </c>
      <c r="R3" s="34" t="n">
        <v>11</v>
      </c>
      <c r="S3" s="0" t="inlineStr">
        <is>
          <t>Month</t>
        </is>
      </c>
    </row>
    <row r="4" ht="18.75" customHeight="1" s="39">
      <c r="A4" s="22" t="inlineStr">
        <is>
          <t>Instruction</t>
        </is>
      </c>
      <c r="B4" s="22" t="inlineStr">
        <is>
          <t>Customer</t>
        </is>
      </c>
      <c r="C4" s="22" t="inlineStr">
        <is>
          <t>Product Name</t>
        </is>
      </c>
      <c r="D4" s="22" t="inlineStr">
        <is>
          <t>Specification</t>
        </is>
      </c>
      <c r="E4" s="18" t="inlineStr">
        <is>
          <t>Quantity (pcs)</t>
        </is>
      </c>
      <c r="F4" s="22" t="inlineStr">
        <is>
          <t>Delivery Date</t>
        </is>
      </c>
      <c r="G4" s="24" t="inlineStr">
        <is>
          <t>Date</t>
        </is>
      </c>
      <c r="H4" s="22" t="n">
        <v>1</v>
      </c>
      <c r="I4" s="22" t="n">
        <v>2</v>
      </c>
      <c r="J4" s="22" t="n">
        <v>3</v>
      </c>
      <c r="K4" s="22" t="n">
        <v>4</v>
      </c>
      <c r="L4" s="22" t="n">
        <v>5</v>
      </c>
      <c r="M4" s="22" t="n">
        <v>6</v>
      </c>
      <c r="N4" s="22" t="n">
        <v>7</v>
      </c>
      <c r="O4" s="22" t="n">
        <v>8</v>
      </c>
      <c r="P4" s="22" t="n">
        <v>9</v>
      </c>
      <c r="Q4" s="22" t="n">
        <v>10</v>
      </c>
      <c r="R4" s="22" t="inlineStr">
        <is>
          <t>……</t>
        </is>
      </c>
      <c r="S4" s="22" t="n">
        <v>30</v>
      </c>
      <c r="T4" s="22" t="n">
        <v>31</v>
      </c>
    </row>
    <row r="5" ht="18.75" customHeight="1" s="39">
      <c r="A5" s="41" t="n"/>
      <c r="B5" s="41" t="n"/>
      <c r="C5" s="41" t="n"/>
      <c r="D5" s="41" t="n"/>
      <c r="E5" s="41" t="n"/>
      <c r="F5" s="41" t="n"/>
      <c r="G5" s="26" t="inlineStr">
        <is>
          <t>Item</t>
        </is>
      </c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</row>
    <row r="6" ht="29.25" customHeight="1" s="39">
      <c r="A6" s="22" t="n">
        <v>123</v>
      </c>
      <c r="B6" s="22" t="inlineStr">
        <is>
          <t>Microvast PACK</t>
        </is>
      </c>
      <c r="C6" s="22" t="inlineStr">
        <is>
          <t>Pouch Cell</t>
        </is>
      </c>
      <c r="D6" s="22" t="inlineStr">
        <is>
          <t>MV06203127NTP-10Ah</t>
        </is>
      </c>
      <c r="E6" s="22" t="n">
        <v>10000</v>
      </c>
      <c r="F6" s="22" t="n">
        <v>12.22</v>
      </c>
      <c r="G6" s="22" t="inlineStr">
        <is>
          <t>Planned Production Quantity</t>
        </is>
      </c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</row>
    <row r="7" ht="29.25" customHeight="1" s="39">
      <c r="A7" s="22" t="n">
        <v>124</v>
      </c>
      <c r="B7" s="22" t="inlineStr">
        <is>
          <t>X</t>
        </is>
      </c>
      <c r="C7" s="22" t="inlineStr">
        <is>
          <t>Pouch Cell</t>
        </is>
      </c>
      <c r="D7" s="22" t="inlineStr">
        <is>
          <t>MV06203127NTP-6Ah</t>
        </is>
      </c>
      <c r="E7" s="22" t="n">
        <v>5000</v>
      </c>
      <c r="F7" s="22" t="n">
        <v>12.25</v>
      </c>
      <c r="G7" s="22" t="inlineStr">
        <is>
          <t>Planned Production Quantity</t>
        </is>
      </c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</row>
    <row r="8" ht="29.25" customHeight="1" s="39">
      <c r="A8" s="22" t="n"/>
      <c r="B8" s="22" t="n"/>
      <c r="C8" s="22" t="n"/>
      <c r="D8" s="22" t="n"/>
      <c r="E8" s="22" t="n"/>
      <c r="F8" s="22" t="n"/>
      <c r="G8" s="22" t="inlineStr">
        <is>
          <t>Planned Production Quantity</t>
        </is>
      </c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</row>
    <row r="9" ht="29.25" customHeight="1" s="39">
      <c r="A9" s="22" t="n"/>
      <c r="B9" s="22" t="n"/>
      <c r="C9" s="22" t="n"/>
      <c r="D9" s="22" t="n"/>
      <c r="E9" s="22" t="n"/>
      <c r="F9" s="22" t="n"/>
      <c r="G9" s="2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 ht="29.25" customHeight="1" s="39">
      <c r="A10" s="22" t="n"/>
      <c r="B10" s="22" t="n"/>
      <c r="C10" s="22" t="n"/>
      <c r="D10" s="22" t="n"/>
      <c r="E10" s="22" t="n"/>
      <c r="F10" s="22" t="n"/>
      <c r="G10" s="2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</row>
    <row r="11" ht="29.25" customHeight="1" s="39">
      <c r="A11" s="22" t="n"/>
      <c r="B11" s="22" t="n"/>
      <c r="C11" s="22" t="n"/>
      <c r="D11" s="22" t="n"/>
      <c r="E11" s="22" t="n"/>
      <c r="F11" s="22" t="n"/>
      <c r="G11" s="2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</row>
  </sheetData>
  <mergeCells count="22">
    <mergeCell ref="O3:P3"/>
    <mergeCell ref="R4:R5"/>
    <mergeCell ref="C4:C5"/>
    <mergeCell ref="T4:T5"/>
    <mergeCell ref="E4:E5"/>
    <mergeCell ref="O4:O5"/>
    <mergeCell ref="A1:T1"/>
    <mergeCell ref="Q4:Q5"/>
    <mergeCell ref="D4:D5"/>
    <mergeCell ref="J4:J5"/>
    <mergeCell ref="L4:L5"/>
    <mergeCell ref="A4:A5"/>
    <mergeCell ref="I4:I5"/>
    <mergeCell ref="K4:K5"/>
    <mergeCell ref="S4:S5"/>
    <mergeCell ref="A2:T2"/>
    <mergeCell ref="M4:M5"/>
    <mergeCell ref="B4:B5"/>
    <mergeCell ref="F4:F5"/>
    <mergeCell ref="H4:H5"/>
    <mergeCell ref="N4:N5"/>
    <mergeCell ref="P4:P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topLeftCell="A1" workbookViewId="0">
      <selection activeCell="A2" sqref="A2:T2"/>
    </sheetView>
  </sheetViews>
  <sheetFormatPr baseColWidth="8" defaultColWidth="9.00390625" defaultRowHeight="13.5"/>
  <cols>
    <col width="8.125" customWidth="1" min="4" max="4"/>
    <col width="4.875" customWidth="1" min="8" max="17"/>
    <col width="5.875" customWidth="1" min="18" max="18"/>
    <col width="4.875" customWidth="1" min="19" max="20"/>
  </cols>
  <sheetData>
    <row r="1" ht="38.25" customHeight="1" s="39">
      <c r="A1" s="19" t="inlineStr">
        <is>
          <t>MHPS (Huzhou) Co., Ltd.</t>
        </is>
      </c>
    </row>
    <row r="2" ht="22.5" customHeight="1" s="39">
      <c r="A2" s="20" t="inlineStr">
        <is>
          <t>Mid-term Production Plan</t>
        </is>
      </c>
    </row>
    <row r="3" ht="25.5" customHeight="1" s="39">
      <c r="A3" s="21" t="inlineStr">
        <is>
          <t>Workshop:</t>
        </is>
      </c>
      <c r="B3" s="0" t="inlineStr">
        <is>
          <t>Workshop 1</t>
        </is>
      </c>
      <c r="I3" s="0" t="inlineStr">
        <is>
          <t>The</t>
        </is>
      </c>
      <c r="K3" s="32" t="inlineStr">
        <is>
          <t>Week</t>
        </is>
      </c>
      <c r="L3" s="32" t="n"/>
      <c r="M3" s="0" t="inlineStr">
        <is>
          <t>Month</t>
        </is>
      </c>
      <c r="O3" s="0" t="inlineStr">
        <is>
          <t>Day</t>
        </is>
      </c>
      <c r="P3" s="0" t="inlineStr">
        <is>
          <t>to</t>
        </is>
      </c>
      <c r="R3" s="34" t="inlineStr">
        <is>
          <t>Month</t>
        </is>
      </c>
      <c r="T3" s="0" t="inlineStr">
        <is>
          <t>Day</t>
        </is>
      </c>
    </row>
    <row r="4" ht="18.75" customHeight="1" s="39">
      <c r="A4" s="22" t="inlineStr">
        <is>
          <t>Instruction</t>
        </is>
      </c>
      <c r="B4" s="22" t="inlineStr">
        <is>
          <t>Customer</t>
        </is>
      </c>
      <c r="C4" s="22" t="inlineStr">
        <is>
          <t>Product Name</t>
        </is>
      </c>
      <c r="D4" s="22" t="inlineStr">
        <is>
          <t>Specification</t>
        </is>
      </c>
      <c r="E4" s="18" t="inlineStr">
        <is>
          <t>Quantity (pcs)</t>
        </is>
      </c>
      <c r="F4" s="22" t="inlineStr">
        <is>
          <t>Delivery Date</t>
        </is>
      </c>
      <c r="G4" s="24" t="inlineStr">
        <is>
          <t>Date</t>
        </is>
      </c>
      <c r="H4" s="22" t="n">
        <v>1</v>
      </c>
      <c r="I4" s="22" t="n">
        <v>2</v>
      </c>
      <c r="J4" s="22" t="n">
        <v>3</v>
      </c>
      <c r="K4" s="22" t="n">
        <v>4</v>
      </c>
      <c r="L4" s="22" t="n">
        <v>5</v>
      </c>
      <c r="M4" s="22" t="n">
        <v>6</v>
      </c>
      <c r="N4" s="22" t="n">
        <v>7</v>
      </c>
      <c r="O4" s="22" t="n">
        <v>8</v>
      </c>
      <c r="P4" s="22" t="n">
        <v>9</v>
      </c>
      <c r="Q4" s="22" t="n">
        <v>10</v>
      </c>
      <c r="R4" s="22" t="inlineStr">
        <is>
          <t>……</t>
        </is>
      </c>
      <c r="S4" s="22" t="n">
        <v>30</v>
      </c>
      <c r="T4" s="22" t="n">
        <v>31</v>
      </c>
    </row>
    <row r="5" ht="18.75" customHeight="1" s="39">
      <c r="A5" s="41" t="n"/>
      <c r="B5" s="41" t="n"/>
      <c r="C5" s="41" t="n"/>
      <c r="D5" s="41" t="n"/>
      <c r="E5" s="41" t="n"/>
      <c r="F5" s="41" t="n"/>
      <c r="G5" s="26" t="inlineStr">
        <is>
          <t>Item</t>
        </is>
      </c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</row>
    <row r="6" ht="29.25" customHeight="1" s="39">
      <c r="A6" s="22" t="n">
        <v>123</v>
      </c>
      <c r="B6" s="22" t="inlineStr">
        <is>
          <t>Microvast PACK</t>
        </is>
      </c>
      <c r="C6" s="22" t="inlineStr">
        <is>
          <t>Pouch Cell</t>
        </is>
      </c>
      <c r="D6" s="22" t="inlineStr">
        <is>
          <t>10Ah</t>
        </is>
      </c>
      <c r="E6" s="22" t="n">
        <v>10000</v>
      </c>
      <c r="F6" s="22" t="n">
        <v>12.22</v>
      </c>
      <c r="G6" s="22" t="inlineStr">
        <is>
          <t>Planned Production Quantity</t>
        </is>
      </c>
      <c r="H6" s="28" t="n">
        <v>5000</v>
      </c>
      <c r="I6" s="28" t="n">
        <v>5000</v>
      </c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</row>
    <row r="7" ht="29.25" customHeight="1" s="39">
      <c r="A7" s="42" t="n"/>
      <c r="B7" s="42" t="n"/>
      <c r="C7" s="42" t="n"/>
      <c r="D7" s="42" t="n"/>
      <c r="E7" s="42" t="n"/>
      <c r="F7" s="42" t="n"/>
      <c r="G7" s="22" t="inlineStr">
        <is>
          <t>Actual Production Output</t>
        </is>
      </c>
      <c r="H7" s="28" t="n">
        <v>4850</v>
      </c>
      <c r="I7" s="28" t="n">
        <v>5050</v>
      </c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</row>
    <row r="8" ht="29.25" customHeight="1" s="39">
      <c r="A8" s="41" t="n"/>
      <c r="B8" s="41" t="n"/>
      <c r="C8" s="41" t="n"/>
      <c r="D8" s="41" t="n"/>
      <c r="E8" s="41" t="n"/>
      <c r="F8" s="41" t="n"/>
      <c r="G8" s="22" t="inlineStr">
        <is>
          <t>Ultra-short number</t>
        </is>
      </c>
      <c r="H8" s="31">
        <f>H7-H6</f>
        <v/>
      </c>
      <c r="I8" s="33">
        <f>I7-I6</f>
        <v/>
      </c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</row>
    <row r="9" ht="29.25" customHeight="1" s="39">
      <c r="A9" s="22" t="n">
        <v>124</v>
      </c>
      <c r="B9" s="22" t="inlineStr">
        <is>
          <t>X</t>
        </is>
      </c>
      <c r="C9" s="22" t="inlineStr">
        <is>
          <t>Pouch Cell</t>
        </is>
      </c>
      <c r="D9" s="22" t="inlineStr">
        <is>
          <t>6Ah</t>
        </is>
      </c>
      <c r="E9" s="22" t="n">
        <v>5000</v>
      </c>
      <c r="F9" s="22" t="n">
        <v>12.25</v>
      </c>
      <c r="G9" s="22" t="inlineStr">
        <is>
          <t>Planned Production Quantity</t>
        </is>
      </c>
      <c r="H9" s="28" t="n"/>
      <c r="I9" s="28" t="n"/>
      <c r="J9" s="28" t="n">
        <v>5000</v>
      </c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 ht="29.25" customHeight="1" s="39">
      <c r="A10" s="42" t="n"/>
      <c r="B10" s="42" t="n"/>
      <c r="C10" s="42" t="n"/>
      <c r="D10" s="42" t="n"/>
      <c r="E10" s="42" t="n"/>
      <c r="F10" s="42" t="n"/>
      <c r="G10" s="22" t="inlineStr">
        <is>
          <t>Actual Production Output</t>
        </is>
      </c>
      <c r="H10" s="28" t="n"/>
      <c r="I10" s="28" t="n"/>
      <c r="J10" s="28" t="n">
        <v>5000</v>
      </c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</row>
    <row r="11" ht="29.25" customHeight="1" s="39">
      <c r="A11" s="41" t="n"/>
      <c r="B11" s="41" t="n"/>
      <c r="C11" s="41" t="n"/>
      <c r="D11" s="41" t="n"/>
      <c r="E11" s="41" t="n"/>
      <c r="F11" s="41" t="n"/>
      <c r="G11" s="22" t="inlineStr">
        <is>
          <t>Ultra-short number</t>
        </is>
      </c>
      <c r="H11" s="28" t="n"/>
      <c r="I11" s="28" t="n"/>
      <c r="J11" s="22" t="n">
        <v>0</v>
      </c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</row>
    <row r="12" ht="29.25" customHeight="1" s="39">
      <c r="A12" s="22" t="n"/>
      <c r="B12" s="22" t="n"/>
      <c r="C12" s="22" t="n"/>
      <c r="D12" s="22" t="n"/>
      <c r="E12" s="22" t="n"/>
      <c r="F12" s="22" t="n"/>
      <c r="G12" s="2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</row>
  </sheetData>
  <mergeCells count="33">
    <mergeCell ref="R4:R5"/>
    <mergeCell ref="C4:C5"/>
    <mergeCell ref="T4:T5"/>
    <mergeCell ref="E4:E5"/>
    <mergeCell ref="O4:O5"/>
    <mergeCell ref="D9:D11"/>
    <mergeCell ref="A1:T1"/>
    <mergeCell ref="F9:F11"/>
    <mergeCell ref="Q4:Q5"/>
    <mergeCell ref="D4:D5"/>
    <mergeCell ref="J4:J5"/>
    <mergeCell ref="L4:L5"/>
    <mergeCell ref="C6:C8"/>
    <mergeCell ref="D6:D8"/>
    <mergeCell ref="A9:A11"/>
    <mergeCell ref="F6:F8"/>
    <mergeCell ref="A4:A5"/>
    <mergeCell ref="I4:I5"/>
    <mergeCell ref="K4:K5"/>
    <mergeCell ref="S4:S5"/>
    <mergeCell ref="A2:T2"/>
    <mergeCell ref="A6:A8"/>
    <mergeCell ref="E6:E8"/>
    <mergeCell ref="M4:M5"/>
    <mergeCell ref="B4:B5"/>
    <mergeCell ref="F4:F5"/>
    <mergeCell ref="H4:H5"/>
    <mergeCell ref="N4:N5"/>
    <mergeCell ref="P4:P5"/>
    <mergeCell ref="B9:B11"/>
    <mergeCell ref="C9:C11"/>
    <mergeCell ref="B6:B8"/>
    <mergeCell ref="E9:E11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topLeftCell="A1" workbookViewId="0">
      <selection activeCell="H11" sqref="H11"/>
    </sheetView>
  </sheetViews>
  <sheetFormatPr baseColWidth="8" defaultColWidth="8.75390625" defaultRowHeight="13.5"/>
  <cols>
    <col width="9.00390625" customWidth="1" min="1" max="1"/>
    <col width="13.625" customWidth="1" min="2" max="2"/>
    <col width="19.375" customWidth="1" min="3" max="3"/>
    <col width="10.125" customWidth="1" min="4" max="4"/>
    <col width="11.00390625" customWidth="1" min="5" max="5"/>
    <col width="13.375" customWidth="1" min="6" max="6"/>
    <col width="15.00390625" customWidth="1" min="7" max="7"/>
    <col width="16.50390625" customWidth="1" min="8" max="8"/>
    <col width="9.00390625" customWidth="1" min="9" max="9"/>
  </cols>
  <sheetData>
    <row r="1" ht="25.5" customHeight="1" s="39">
      <c r="A1" s="1" t="inlineStr">
        <is>
          <t>xxx Company's Production Plan for March 19, 2012 - March 25, 2012</t>
        </is>
      </c>
    </row>
    <row r="2" ht="13.5" customHeight="1" s="39">
      <c r="A2" s="2" t="n"/>
      <c r="B2" s="3" t="n"/>
      <c r="C2" s="2" t="n"/>
      <c r="D2" s="2" t="n"/>
      <c r="E2" s="2" t="n"/>
      <c r="F2" s="2" t="n"/>
      <c r="G2" s="2" t="n"/>
      <c r="H2" s="4" t="n">
        <v>40986</v>
      </c>
      <c r="I2" s="40" t="n"/>
    </row>
    <row r="3" ht="25.5" customHeight="1" s="39">
      <c r="A3" s="6" t="inlineStr">
        <is>
          <t>Serial Number</t>
        </is>
      </c>
      <c r="B3" s="6" t="inlineStr">
        <is>
          <t>Engineering Name</t>
        </is>
      </c>
      <c r="C3" s="6" t="inlineStr">
        <is>
          <t>Project</t>
        </is>
      </c>
      <c r="D3" s="6" t="inlineStr">
        <is>
          <t>Total Project Volume (T)</t>
        </is>
      </c>
      <c r="E3" s="6" t="inlineStr">
        <is>
          <t>Quantity (pieces)</t>
        </is>
      </c>
      <c r="F3" s="6" t="inlineStr">
        <is>
          <t>Quantity Completed This Month (T)</t>
        </is>
      </c>
      <c r="G3" s="6" t="inlineStr">
        <is>
          <t>Material arrival status</t>
        </is>
      </c>
      <c r="H3" s="6" t="inlineStr">
        <is>
          <t>March 12--March 18 Plan</t>
        </is>
      </c>
      <c r="I3" s="18" t="inlineStr">
        <is>
          <t>Remark</t>
        </is>
      </c>
    </row>
    <row r="4" ht="13.5" customHeight="1" s="39">
      <c r="A4" s="7" t="n">
        <v>1</v>
      </c>
      <c r="B4" s="7" t="inlineStr">
        <is>
          <t>HuaZhi Plaza</t>
        </is>
      </c>
      <c r="C4" s="8" t="inlineStr">
        <is>
          <t>TD22-25 Floor</t>
        </is>
      </c>
      <c r="D4" s="6" t="n">
        <v>30</v>
      </c>
      <c r="E4" s="6" t="n">
        <v>22</v>
      </c>
      <c r="F4" s="7" t="n">
        <v>30</v>
      </c>
      <c r="G4" s="7" t="inlineStr">
        <is>
          <t>All materials have arrived</t>
        </is>
      </c>
      <c r="H4" s="9" t="inlineStr">
        <is>
          <t>All completed</t>
        </is>
      </c>
      <c r="I4" s="18" t="n"/>
    </row>
    <row r="5" ht="13.5" customHeight="1" s="39">
      <c r="A5" s="42" t="n"/>
      <c r="B5" s="42" t="n"/>
      <c r="C5" s="8" t="inlineStr">
        <is>
          <t>TD26-29 Floor</t>
        </is>
      </c>
      <c r="D5" s="7" t="n">
        <v>90</v>
      </c>
      <c r="E5" s="6" t="n">
        <v>54</v>
      </c>
      <c r="F5" s="7" t="n">
        <v>90</v>
      </c>
      <c r="G5" s="7" t="inlineStr">
        <is>
          <t>Part of the materials are missing</t>
        </is>
      </c>
      <c r="H5" s="9" t="inlineStr">
        <is>
          <t>All completed</t>
        </is>
      </c>
      <c r="I5" s="18" t="n"/>
    </row>
    <row r="6" ht="25.5" customHeight="1" s="39">
      <c r="A6" s="42" t="n"/>
      <c r="B6" s="42" t="n"/>
      <c r="C6" s="8" t="inlineStr">
        <is>
          <t>QL4- D1, D2, B1 Steel Columns</t>
        </is>
      </c>
      <c r="D6" s="7" t="n">
        <v>90</v>
      </c>
      <c r="E6" s="6" t="n">
        <v>54</v>
      </c>
      <c r="F6" s="7" t="n">
        <v>90</v>
      </c>
      <c r="G6" s="7" t="inlineStr">
        <is>
          <t>Material plan has been submitted</t>
        </is>
      </c>
      <c r="H6" s="9" t="inlineStr">
        <is>
          <t>Cutting and assembly completed, ready for riveting and assembly.</t>
        </is>
      </c>
      <c r="I6" s="18" t="n"/>
    </row>
    <row r="7" ht="13.5" customHeight="1" s="39">
      <c r="A7" s="42" t="n"/>
      <c r="B7" s="42" t="n"/>
      <c r="C7" s="8" t="inlineStr">
        <is>
          <t>QL4- D1, D2, B1 Steel Girders</t>
        </is>
      </c>
      <c r="D7" s="6" t="n">
        <v>250</v>
      </c>
      <c r="E7" s="6" t="n">
        <v>28</v>
      </c>
      <c r="F7" s="6" t="n">
        <v>220</v>
      </c>
      <c r="G7" s="6" t="inlineStr">
        <is>
          <t>All materials have arrived</t>
        </is>
      </c>
      <c r="H7" s="9" t="inlineStr">
        <is>
          <t>All completed</t>
        </is>
      </c>
      <c r="I7" s="18" t="n"/>
    </row>
    <row r="8" ht="13.5" customHeight="1" s="39">
      <c r="A8" s="42" t="n"/>
      <c r="B8" s="42" t="n"/>
      <c r="C8" s="8" t="inlineStr">
        <is>
          <t>QL4- C3, C4 Steel Columns</t>
        </is>
      </c>
      <c r="D8" s="41" t="n"/>
      <c r="E8" s="6" t="n">
        <v>54</v>
      </c>
      <c r="F8" s="41" t="n"/>
      <c r="G8" s="6" t="inlineStr">
        <is>
          <t>All materials have arrived</t>
        </is>
      </c>
      <c r="H8" s="9" t="inlineStr">
        <is>
          <t>All completed</t>
        </is>
      </c>
      <c r="I8" s="18" t="n"/>
    </row>
    <row r="9" ht="13.5" customHeight="1" s="39">
      <c r="A9" s="42" t="n"/>
      <c r="B9" s="42" t="n"/>
      <c r="C9" s="8" t="inlineStr">
        <is>
          <t>QL4- C3, C4 Steel Girders</t>
        </is>
      </c>
      <c r="D9" s="6" t="n">
        <v>240</v>
      </c>
      <c r="E9" s="6" t="n">
        <v>46</v>
      </c>
      <c r="F9" s="6" t="n">
        <v>240</v>
      </c>
      <c r="G9" s="6" t="inlineStr">
        <is>
          <t>All materials have arrived</t>
        </is>
      </c>
      <c r="H9" s="9" t="inlineStr">
        <is>
          <t>All completed</t>
        </is>
      </c>
      <c r="I9" s="18" t="n"/>
    </row>
    <row r="10" ht="25.5" customHeight="1" s="39">
      <c r="A10" s="42" t="n"/>
      <c r="B10" s="42" t="n"/>
      <c r="C10" s="8" t="inlineStr">
        <is>
          <t>QL4- C3, C4 Steel Girders</t>
        </is>
      </c>
      <c r="D10" s="41" t="n"/>
      <c r="E10" s="6" t="n">
        <v>37</v>
      </c>
      <c r="F10" s="41" t="n"/>
      <c r="G10" s="6" t="inlineStr">
        <is>
          <t>All materials have arrived</t>
        </is>
      </c>
      <c r="H10" s="9" t="inlineStr">
        <is>
          <t>C3 area completed, C4 area partially completed</t>
        </is>
      </c>
      <c r="I10" s="18" t="n"/>
    </row>
    <row r="11" ht="25.5" customHeight="1" s="39">
      <c r="A11" s="6" t="n">
        <v>2</v>
      </c>
      <c r="B11" s="6" t="inlineStr">
        <is>
          <t>Fulin Metropolis</t>
        </is>
      </c>
      <c r="C11" s="8" t="inlineStr">
        <is>
          <t>2F Steel Column</t>
        </is>
      </c>
      <c r="D11" s="11" t="n">
        <v>95</v>
      </c>
      <c r="E11" s="6" t="n">
        <v>23</v>
      </c>
      <c r="F11" s="11" t="n">
        <v>40</v>
      </c>
      <c r="G11" s="6" t="inlineStr">
        <is>
          <t>Materials not complete</t>
        </is>
      </c>
      <c r="H11" s="9" t="inlineStr">
        <is>
          <t>Start cutting and assembling, produce finished products according to the plan.</t>
        </is>
      </c>
      <c r="I11" s="18" t="n"/>
    </row>
    <row r="12" ht="13.5" customHeight="1" s="39">
      <c r="A12" s="6" t="n">
        <v>3</v>
      </c>
      <c r="B12" s="6" t="inlineStr">
        <is>
          <t>Chuanqi New Energy Vehicle</t>
        </is>
      </c>
      <c r="C12" s="8" t="inlineStr">
        <is>
          <t>Steel columns, steel beams</t>
        </is>
      </c>
      <c r="D12" s="6" t="n">
        <v>330</v>
      </c>
      <c r="E12" s="6" t="n">
        <v>330</v>
      </c>
      <c r="F12" s="6" t="n">
        <v>60</v>
      </c>
      <c r="G12" s="6" t="inlineStr">
        <is>
          <t>All materials have arrived</t>
        </is>
      </c>
      <c r="H12" s="9" t="inlineStr">
        <is>
          <t>All completed</t>
        </is>
      </c>
      <c r="I12" s="18" t="n"/>
    </row>
    <row r="13" ht="39" customHeight="1" s="39">
      <c r="A13" s="42" t="n"/>
      <c r="B13" s="42" t="n"/>
      <c r="C13" s="8" t="inlineStr">
        <is>
          <t>Column support / Horizontal bracing / Tie rod</t>
        </is>
      </c>
      <c r="D13" s="6" t="n">
        <v>30</v>
      </c>
      <c r="E13" s="6" t="n">
        <v>20</v>
      </c>
      <c r="F13" s="6" t="n">
        <v>30</v>
      </c>
      <c r="G13" s="6" t="inlineStr">
        <is>
          <t>All materials have arrived</t>
        </is>
      </c>
      <c r="H13" s="9" t="inlineStr">
        <is>
          <t>All cow legs, auxiliary beams, other components, and attachments have been completed.</t>
        </is>
      </c>
      <c r="I13" s="18" t="n"/>
    </row>
    <row r="14" ht="25.5" customHeight="1" s="39">
      <c r="A14" s="41" t="n"/>
      <c r="B14" s="41" t="n"/>
      <c r="C14" s="8" t="inlineStr">
        <is>
          <t>Crane Girders / Truss System</t>
        </is>
      </c>
      <c r="D14" s="6" t="n">
        <v>150</v>
      </c>
      <c r="E14" s="6" t="n">
        <v>96</v>
      </c>
      <c r="F14" s="6" t="n"/>
      <c r="G14" s="6" t="inlineStr">
        <is>
          <t>Materials not arrived</t>
        </is>
      </c>
      <c r="H14" s="9" t="inlineStr">
        <is>
          <t>To be determined according to the material and arrangement situation</t>
        </is>
      </c>
      <c r="I14" s="18" t="n"/>
    </row>
    <row r="15" ht="13.5" customHeight="1" s="39">
      <c r="A15" s="6" t="n">
        <v>4</v>
      </c>
      <c r="B15" s="6" t="inlineStr">
        <is>
          <t>Sichuan Jianhua Pipe Pile</t>
        </is>
      </c>
      <c r="C15" s="12" t="inlineStr">
        <is>
          <t>B Workshop Crane Girders and Trusses</t>
        </is>
      </c>
      <c r="D15" s="6" t="n">
        <v>130</v>
      </c>
      <c r="E15" s="6" t="n">
        <v>110</v>
      </c>
      <c r="F15" s="6" t="n">
        <v>90</v>
      </c>
      <c r="G15" s="6" t="inlineStr">
        <is>
          <t>All materials have arrived</t>
        </is>
      </c>
      <c r="H15" s="13" t="inlineStr">
        <is>
          <t>Truss Angle Steel Completed</t>
        </is>
      </c>
      <c r="I15" s="18" t="n"/>
    </row>
    <row r="16" ht="13.5" customHeight="1" s="39">
      <c r="A16" s="42" t="n"/>
      <c r="B16" s="42" t="n"/>
      <c r="C16" s="12" t="inlineStr">
        <is>
          <t>B Workshop Platform Beams, Columns</t>
        </is>
      </c>
      <c r="D16" s="42" t="n"/>
      <c r="E16" s="6" t="n">
        <v>20</v>
      </c>
      <c r="F16" s="42" t="n"/>
      <c r="G16" s="6" t="inlineStr">
        <is>
          <t>All materials have arrived</t>
        </is>
      </c>
      <c r="H16" s="13" t="inlineStr">
        <is>
          <t>All completed</t>
        </is>
      </c>
      <c r="I16" s="18" t="n"/>
    </row>
    <row r="17" ht="13.5" customHeight="1" s="39">
      <c r="A17" s="42" t="n"/>
      <c r="B17" s="42" t="n"/>
      <c r="C17" s="12" t="inlineStr">
        <is>
          <t>Skylight frame, mixing building</t>
        </is>
      </c>
      <c r="D17" s="41" t="n"/>
      <c r="E17" s="6" t="n"/>
      <c r="F17" s="41" t="n"/>
      <c r="G17" s="6" t="inlineStr">
        <is>
          <t>All materials have arrived</t>
        </is>
      </c>
      <c r="H17" s="13" t="inlineStr">
        <is>
          <t>Mixer Building Completed</t>
        </is>
      </c>
      <c r="I17" s="18" t="n"/>
    </row>
    <row r="18" ht="13.5" customHeight="1" s="39">
      <c r="A18" s="42" t="n"/>
      <c r="B18" s="42" t="n"/>
      <c r="C18" s="12" t="inlineStr">
        <is>
          <t>A and B Yard Crane Girders</t>
        </is>
      </c>
      <c r="D18" s="6" t="n">
        <v>160</v>
      </c>
      <c r="E18" s="6" t="n">
        <v>280</v>
      </c>
      <c r="F18" s="6" t="n"/>
      <c r="G18" s="6" t="inlineStr">
        <is>
          <t>All materials have arrived</t>
        </is>
      </c>
      <c r="H18" s="13" t="n"/>
      <c r="I18" s="18" t="n"/>
    </row>
    <row r="19" ht="25.5" customHeight="1" s="39">
      <c r="A19" s="41" t="n"/>
      <c r="B19" s="41" t="n"/>
      <c r="C19" s="12" t="inlineStr">
        <is>
          <t>Truss and Support of Yards A and B</t>
        </is>
      </c>
      <c r="D19" s="6" t="n">
        <v>113</v>
      </c>
      <c r="E19" s="6" t="n"/>
      <c r="F19" s="6" t="n">
        <v>50</v>
      </c>
      <c r="G19" s="6" t="inlineStr">
        <is>
          <t>All materials have arrived</t>
        </is>
      </c>
      <c r="H19" s="13" t="inlineStr">
        <is>
          <t>The remaining column spacing supports for the remaining part of lines 24-51 are completed.</t>
        </is>
      </c>
      <c r="I19" s="18" t="n"/>
    </row>
    <row r="20" ht="13.5" customHeight="1" s="39">
      <c r="A20" s="6" t="n">
        <v>5</v>
      </c>
      <c r="B20" s="6" t="inlineStr">
        <is>
          <t>FAW-Volkswagen No.7</t>
        </is>
      </c>
      <c r="C20" s="12" t="inlineStr">
        <is>
          <t>Steel Columns and Beams</t>
        </is>
      </c>
      <c r="D20" s="6" t="n">
        <v>260</v>
      </c>
      <c r="E20" s="6" t="n"/>
      <c r="F20" s="6" t="n">
        <v>260</v>
      </c>
      <c r="G20" s="6" t="inlineStr">
        <is>
          <t>Part of the materials are missing</t>
        </is>
      </c>
      <c r="H20" s="9" t="n"/>
      <c r="I20" s="18" t="n"/>
    </row>
    <row r="21" ht="25.5" customHeight="1" s="39">
      <c r="A21" s="41" t="n"/>
      <c r="B21" s="41" t="n"/>
      <c r="C21" s="12" t="inlineStr">
        <is>
          <t>Column supports, tie rods,隅撑 (bracing)</t>
        </is>
      </c>
      <c r="D21" s="6" t="n">
        <v>30</v>
      </c>
      <c r="E21" s="6" t="n"/>
      <c r="F21" s="6" t="n">
        <v>30</v>
      </c>
      <c r="G21" s="6" t="inlineStr">
        <is>
          <t>All materials have arrived</t>
        </is>
      </c>
      <c r="H21" s="9" t="inlineStr">
        <is>
          <t>All column spacing supports and column top tie rods are completed.</t>
        </is>
      </c>
      <c r="I21" s="18" t="n"/>
    </row>
    <row r="22" ht="13.5" customHeight="1" s="39">
      <c r="A22" s="6" t="n">
        <v>6</v>
      </c>
      <c r="B22" s="6" t="inlineStr">
        <is>
          <t>Jiannanchun</t>
        </is>
      </c>
      <c r="C22" s="12" t="inlineStr">
        <is>
          <t>Crane Girders / Truss System</t>
        </is>
      </c>
      <c r="D22" s="6" t="n">
        <v>275</v>
      </c>
      <c r="E22" s="6" t="n">
        <v>220</v>
      </c>
      <c r="F22" s="6" t="n">
        <v>220</v>
      </c>
      <c r="G22" s="6" t="inlineStr">
        <is>
          <t>All materials have arrived</t>
        </is>
      </c>
      <c r="H22" s="9" t="inlineStr">
        <is>
          <t>Start rivet welding in an interlaced manner</t>
        </is>
      </c>
      <c r="I22" s="18" t="n"/>
    </row>
    <row r="23" ht="13.5" customHeight="1" s="39">
      <c r="A23" s="41" t="n"/>
      <c r="B23" s="41" t="n"/>
      <c r="C23" s="12" t="inlineStr">
        <is>
          <t>25-30 Axis Steel Frame</t>
        </is>
      </c>
      <c r="D23" s="6" t="n">
        <v>30</v>
      </c>
      <c r="E23" s="6" t="n">
        <v>78</v>
      </c>
      <c r="F23" s="6" t="n"/>
      <c r="G23" s="6" t="inlineStr">
        <is>
          <t>All materials have arrived</t>
        </is>
      </c>
      <c r="H23" s="9" t="n"/>
      <c r="I23" s="18" t="n"/>
    </row>
    <row r="24" ht="25.5" customHeight="1" s="39">
      <c r="A24" s="11" t="n">
        <v>7</v>
      </c>
      <c r="B24" s="7" t="inlineStr">
        <is>
          <t>Jiannanchun</t>
        </is>
      </c>
      <c r="C24" s="12" t="inlineStr">
        <is>
          <t>Small workshop厂房</t>
        </is>
      </c>
      <c r="D24" s="6" t="n">
        <v>6</v>
      </c>
      <c r="E24" s="6" t="n"/>
      <c r="F24" s="6" t="n">
        <v>6</v>
      </c>
      <c r="G24" s="6" t="inlineStr">
        <is>
          <t>All materials have arrived</t>
        </is>
      </c>
      <c r="H24" s="9" t="inlineStr">
        <is>
          <t>Complete and dispatch before March 20th.</t>
        </is>
      </c>
      <c r="I24" s="18" t="n"/>
    </row>
    <row r="25" ht="25.5" customHeight="1" s="39">
      <c r="A25" s="6" t="n">
        <v>8</v>
      </c>
      <c r="B25" s="6" t="inlineStr">
        <is>
          <t>Laforte</t>
        </is>
      </c>
      <c r="C25" s="12" t="inlineStr">
        <is>
          <t>small steel column</t>
        </is>
      </c>
      <c r="D25" s="6" t="n">
        <v>10</v>
      </c>
      <c r="E25" s="6" t="n">
        <v>65</v>
      </c>
      <c r="F25" s="6" t="n">
        <v>10</v>
      </c>
      <c r="G25" s="6" t="inlineStr">
        <is>
          <t>All materials have arrived</t>
        </is>
      </c>
      <c r="H25" s="9" t="inlineStr">
        <is>
          <t>H-beam and supplementary small steel columns production completed and dispatched.</t>
        </is>
      </c>
      <c r="I25" s="18" t="n"/>
    </row>
    <row r="26" ht="13.5" customHeight="1" s="39">
      <c r="A26" s="6" t="inlineStr">
        <is>
          <t>Total</t>
        </is>
      </c>
      <c r="B26" s="43" t="n"/>
      <c r="C26" s="6" t="n"/>
      <c r="D26" s="6">
        <f>SUM(D4:D25)</f>
        <v/>
      </c>
      <c r="E26" s="6" t="n"/>
      <c r="F26" s="16">
        <f>SUM(F4:F25)</f>
        <v/>
      </c>
      <c r="G26" s="6" t="n"/>
      <c r="H26" s="6" t="n"/>
      <c r="I26" s="18" t="n"/>
    </row>
  </sheetData>
  <mergeCells count="19">
    <mergeCell ref="D15:D17"/>
    <mergeCell ref="A12:A14"/>
    <mergeCell ref="B15:B19"/>
    <mergeCell ref="A4:A10"/>
    <mergeCell ref="D7:D8"/>
    <mergeCell ref="B4:B10"/>
    <mergeCell ref="A26:B26"/>
    <mergeCell ref="D9:D10"/>
    <mergeCell ref="H2:I2"/>
    <mergeCell ref="A22:A23"/>
    <mergeCell ref="F9:F10"/>
    <mergeCell ref="A15:A19"/>
    <mergeCell ref="B12:B14"/>
    <mergeCell ref="A20:A21"/>
    <mergeCell ref="F15:F17"/>
    <mergeCell ref="B20:B21"/>
    <mergeCell ref="B22:B23"/>
    <mergeCell ref="A1:I1"/>
    <mergeCell ref="F7:F8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2006-09-13T11:21:00Z</dcterms:created>
  <dcterms:modified xsi:type="dcterms:W3CDTF">2025-07-08T05:56:37Z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33493478E9AB475E875E850FD62FC734_12</vt:lpwstr>
  </property>
  <property name="KSOProductBuildVer" fmtid="{D5CDD505-2E9C-101B-9397-08002B2CF9AE}" pid="3">
    <vt:lpwstr>2052-12.1.0.16894</vt:lpwstr>
  </property>
</Properties>
</file>