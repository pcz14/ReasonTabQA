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22188" windowHeight="9060" tabRatio="600" firstSheet="1" autoFilterDateGrouping="1"/>
  </bookViews>
  <sheets>
    <sheet name="Sheet1" sheetId="1" state="visible" r:id="rId1"/>
  </sheets>
  <definedNames>
    <definedName name="_xlnm.Print_Area" localSheetId="0">'Sheet1'!$B$3:$Q$27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color theme="1"/>
      <sz val="20"/>
    </font>
    <font>
      <name val="微软雅黑"/>
      <family val="2"/>
      <b val="1"/>
      <color theme="0"/>
      <sz val="11"/>
    </font>
    <font>
      <name val="微软雅黑"/>
      <family val="2"/>
      <color theme="1"/>
      <sz val="11"/>
    </font>
    <font>
      <name val="微软雅黑"/>
      <family val="2"/>
      <b val="1"/>
      <color theme="1"/>
      <sz val="12"/>
    </font>
    <font>
      <name val="微软雅黑"/>
      <family val="2"/>
      <color theme="1"/>
      <sz val="12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489291"/>
        <bgColor indexed="64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/>
    </xf>
    <xf numFmtId="0" fontId="3" fillId="33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49" fontId="4" fillId="0" borderId="9" applyAlignment="1" pivotButton="0" quotePrefix="0" xfId="0">
      <alignment horizontal="center" vertical="center"/>
    </xf>
    <xf numFmtId="14" fontId="4" fillId="0" borderId="9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Q27"/>
  <sheetViews>
    <sheetView showGridLines="0" topLeftCell="A4" zoomScale="90" zoomScaleNormal="90" workbookViewId="0">
      <selection activeCell="L15" sqref="L15"/>
    </sheetView>
  </sheetViews>
  <sheetFormatPr baseColWidth="8" defaultColWidth="8.8515625" defaultRowHeight="15"/>
  <cols>
    <col width="2.7109375" customWidth="1" style="9" min="1" max="1"/>
    <col width="6.7109375" customWidth="1" style="9" min="2" max="2"/>
    <col width="13.00390625" customWidth="1" style="9" min="3" max="3"/>
    <col width="9.7109375" customWidth="1" style="9" min="4" max="4"/>
    <col width="15.28125" customWidth="1" style="9" min="5" max="5"/>
    <col width="10.28125" customWidth="1" style="9" min="6" max="6"/>
    <col width="10.57421875" customWidth="1" style="9" min="7" max="7"/>
    <col width="12.57421875" customWidth="1" style="9" min="8" max="8"/>
    <col width="9.57421875" customWidth="1" style="9" min="9" max="10"/>
    <col width="11.7109375" customWidth="1" style="9" min="11" max="11"/>
    <col width="11.140625" customWidth="1" style="9" min="12" max="12"/>
    <col width="9.7109375" customWidth="1" style="9" min="13" max="13"/>
    <col width="2.7109375" customWidth="1" style="9" min="15" max="15"/>
    <col width="9.8515625" customWidth="1" style="9" min="16" max="16"/>
    <col width="10.28125" customWidth="1" style="9" min="17" max="17"/>
    <col width="2.7109375" customWidth="1" style="9" min="18" max="18"/>
  </cols>
  <sheetData>
    <row r="1" ht="15" customHeight="1" s="14"/>
    <row r="2" ht="15" customHeight="1" s="14"/>
    <row r="3" ht="15" customHeight="1" s="14">
      <c r="B3" s="1" t="inlineStr">
        <is>
          <t>Item Detail Statistics Table</t>
        </is>
      </c>
    </row>
    <row r="4" ht="15" customHeight="1" s="14"/>
    <row r="5" ht="19.5" customHeight="1" s="14"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7" t="n">
        <v>0.05</v>
      </c>
      <c r="M5" s="1" t="n"/>
      <c r="N5" s="1" t="n"/>
      <c r="O5" s="1" t="n"/>
      <c r="P5" s="1" t="n"/>
      <c r="Q5" s="1" t="n"/>
    </row>
    <row r="6" ht="19.5" customHeight="1" s="14">
      <c r="L6" s="8" t="inlineStr">
        <is>
          <t>Commission rate</t>
        </is>
      </c>
    </row>
    <row r="7" ht="36" customHeight="1" s="14">
      <c r="B7" s="2" t="inlineStr">
        <is>
          <t>Serial Number</t>
        </is>
      </c>
      <c r="C7" s="2" t="inlineStr">
        <is>
          <t>Project Number</t>
        </is>
      </c>
      <c r="D7" s="2" t="inlineStr">
        <is>
          <t>Project Name</t>
        </is>
      </c>
      <c r="E7" s="2" t="inlineStr">
        <is>
          <t>Item Number</t>
        </is>
      </c>
      <c r="F7" s="2" t="inlineStr">
        <is>
          <t>Salesperson</t>
        </is>
      </c>
      <c r="G7" s="2" t="inlineStr">
        <is>
          <t>Project Amount</t>
        </is>
      </c>
      <c r="H7" s="3" t="inlineStr">
        <is>
          <t>Project Signing
Date</t>
        </is>
      </c>
      <c r="I7" s="2" t="inlineStr">
        <is>
          <t>Project Requirements</t>
        </is>
      </c>
      <c r="J7" s="3" t="inlineStr">
        <is>
          <t>Planned Completion
Date</t>
        </is>
      </c>
      <c r="K7" s="3" t="inlineStr">
        <is>
          <t>Salesperson  
Eligible Commission</t>
        </is>
      </c>
      <c r="L7" s="3" t="inlineStr">
        <is>
          <t>Bonus distribution  
Form</t>
        </is>
      </c>
      <c r="M7" s="2" t="inlineStr">
        <is>
          <t>Personnel Verification</t>
        </is>
      </c>
      <c r="N7" s="2" t="inlineStr">
        <is>
          <t>Notes</t>
        </is>
      </c>
      <c r="P7" s="3" t="inlineStr">
        <is>
          <t>Salesperson
Name</t>
        </is>
      </c>
      <c r="Q7" s="2" t="inlineStr">
        <is>
          <t>Number of Items</t>
        </is>
      </c>
    </row>
    <row r="8" ht="19.5" customHeight="1" s="14">
      <c r="B8" s="4" t="n">
        <v>1</v>
      </c>
      <c r="C8" s="5" t="inlineStr">
        <is>
          <t>001</t>
        </is>
      </c>
      <c r="D8" s="4" t="inlineStr">
        <is>
          <t>XM1</t>
        </is>
      </c>
      <c r="E8" s="4" t="inlineStr">
        <is>
          <t>0801B0001</t>
        </is>
      </c>
      <c r="F8" s="4" t="inlineStr">
        <is>
          <t>Li Xiaoxiao</t>
        </is>
      </c>
      <c r="G8" s="4" t="n">
        <v>90320</v>
      </c>
      <c r="H8" s="6" t="n">
        <v>44387</v>
      </c>
      <c r="I8" s="4" t="inlineStr">
        <is>
          <t>None</t>
        </is>
      </c>
      <c r="J8" s="4" t="inlineStr">
        <is>
          <t>Date</t>
        </is>
      </c>
      <c r="K8" s="4">
        <f>G8*$L$5</f>
        <v/>
      </c>
      <c r="L8" s="4" t="inlineStr">
        <is>
          <t>Alipay</t>
        </is>
      </c>
      <c r="M8" s="4" t="inlineStr">
        <is>
          <t>Verified</t>
        </is>
      </c>
      <c r="N8" s="4" t="n"/>
      <c r="P8" s="4" t="inlineStr">
        <is>
          <t>Li Xiaoxiao</t>
        </is>
      </c>
      <c r="Q8" s="4">
        <f>COUNTIF(F:F,P8)</f>
        <v/>
      </c>
    </row>
    <row r="9" ht="19.5" customHeight="1" s="14">
      <c r="B9" s="4" t="n">
        <v>2</v>
      </c>
      <c r="C9" s="5" t="inlineStr">
        <is>
          <t>002</t>
        </is>
      </c>
      <c r="D9" s="4" t="inlineStr">
        <is>
          <t>XM2</t>
        </is>
      </c>
      <c r="E9" s="4" t="inlineStr">
        <is>
          <t>0801B0002</t>
        </is>
      </c>
      <c r="F9" s="4" t="inlineStr">
        <is>
          <t>Wang Xia</t>
        </is>
      </c>
      <c r="G9" s="4" t="n">
        <v>39404</v>
      </c>
      <c r="H9" s="6" t="n">
        <v>44388</v>
      </c>
      <c r="I9" s="4" t="inlineStr">
        <is>
          <t>None</t>
        </is>
      </c>
      <c r="J9" s="4" t="inlineStr">
        <is>
          <t>Date</t>
        </is>
      </c>
      <c r="K9" s="4">
        <f>G9*$L$5</f>
        <v/>
      </c>
      <c r="L9" s="4" t="inlineStr">
        <is>
          <t>Alipay</t>
        </is>
      </c>
      <c r="M9" s="4" t="inlineStr">
        <is>
          <t>Verified</t>
        </is>
      </c>
      <c r="N9" s="4" t="n"/>
      <c r="P9" s="4" t="inlineStr">
        <is>
          <t>Wang Xia</t>
        </is>
      </c>
      <c r="Q9" s="4">
        <f>COUNTIF(F:F,P9)</f>
        <v/>
      </c>
    </row>
    <row r="10" ht="19.5" customHeight="1" s="14">
      <c r="B10" s="4" t="n">
        <v>3</v>
      </c>
      <c r="C10" s="5" t="inlineStr">
        <is>
          <t>003</t>
        </is>
      </c>
      <c r="D10" s="4" t="inlineStr">
        <is>
          <t>XM3</t>
        </is>
      </c>
      <c r="E10" s="4" t="inlineStr">
        <is>
          <t>0801B0003</t>
        </is>
      </c>
      <c r="F10" s="4" t="inlineStr">
        <is>
          <t>Zhang Guowu</t>
        </is>
      </c>
      <c r="G10" s="4" t="n">
        <v>84803</v>
      </c>
      <c r="H10" s="6" t="n">
        <v>44389</v>
      </c>
      <c r="I10" s="4" t="inlineStr">
        <is>
          <t>None</t>
        </is>
      </c>
      <c r="J10" s="4" t="inlineStr">
        <is>
          <t>Date</t>
        </is>
      </c>
      <c r="K10" s="4">
        <f>G10*$L$5</f>
        <v/>
      </c>
      <c r="L10" s="4" t="inlineStr">
        <is>
          <t>Alipay</t>
        </is>
      </c>
      <c r="M10" s="4" t="inlineStr">
        <is>
          <t>Verified</t>
        </is>
      </c>
      <c r="N10" s="4" t="n"/>
      <c r="P10" s="4" t="inlineStr">
        <is>
          <t>Zhang Guowu</t>
        </is>
      </c>
      <c r="Q10" s="4">
        <f>COUNTIF(F:F,P10)</f>
        <v/>
      </c>
    </row>
    <row r="11" ht="19.5" customHeight="1" s="14">
      <c r="B11" s="4" t="n">
        <v>4</v>
      </c>
      <c r="C11" s="5" t="inlineStr">
        <is>
          <t>004</t>
        </is>
      </c>
      <c r="D11" s="4" t="inlineStr">
        <is>
          <t>XM4</t>
        </is>
      </c>
      <c r="E11" s="4" t="inlineStr">
        <is>
          <t>0801B0004</t>
        </is>
      </c>
      <c r="F11" s="4" t="inlineStr">
        <is>
          <t>Li Hong</t>
        </is>
      </c>
      <c r="G11" s="4" t="n">
        <v>284943</v>
      </c>
      <c r="H11" s="6" t="n">
        <v>44390</v>
      </c>
      <c r="I11" s="4" t="inlineStr">
        <is>
          <t>None</t>
        </is>
      </c>
      <c r="J11" s="4" t="inlineStr">
        <is>
          <t>Date</t>
        </is>
      </c>
      <c r="K11" s="4">
        <f>G11*$L$5</f>
        <v/>
      </c>
      <c r="L11" s="4" t="inlineStr">
        <is>
          <t>Alipay</t>
        </is>
      </c>
      <c r="M11" s="4" t="inlineStr">
        <is>
          <t>Verified</t>
        </is>
      </c>
      <c r="N11" s="4" t="n"/>
      <c r="P11" s="4" t="inlineStr">
        <is>
          <t>Li Hong</t>
        </is>
      </c>
      <c r="Q11" s="4">
        <f>COUNTIF(F:F,P11)</f>
        <v/>
      </c>
    </row>
    <row r="12" ht="19.5" customHeight="1" s="14">
      <c r="B12" s="4" t="n">
        <v>5</v>
      </c>
      <c r="C12" s="5" t="inlineStr">
        <is>
          <t>005</t>
        </is>
      </c>
      <c r="D12" s="4" t="inlineStr">
        <is>
          <t>XM5</t>
        </is>
      </c>
      <c r="E12" s="4" t="inlineStr">
        <is>
          <t>0801B0005</t>
        </is>
      </c>
      <c r="F12" s="4" t="inlineStr">
        <is>
          <t>Li Lin</t>
        </is>
      </c>
      <c r="G12" s="4" t="n">
        <v>394023</v>
      </c>
      <c r="H12" s="6" t="n">
        <v>44391</v>
      </c>
      <c r="I12" s="4" t="inlineStr">
        <is>
          <t>None</t>
        </is>
      </c>
      <c r="J12" s="4" t="inlineStr">
        <is>
          <t>Date</t>
        </is>
      </c>
      <c r="K12" s="4">
        <f>G12*$L$5</f>
        <v/>
      </c>
      <c r="L12" s="4" t="inlineStr">
        <is>
          <t>Alipay</t>
        </is>
      </c>
      <c r="M12" s="4" t="inlineStr">
        <is>
          <t>Verified</t>
        </is>
      </c>
      <c r="N12" s="4" t="n"/>
      <c r="P12" s="4" t="inlineStr">
        <is>
          <t>Li Lin</t>
        </is>
      </c>
      <c r="Q12" s="4">
        <f>COUNTIF(F:F,P12)</f>
        <v/>
      </c>
    </row>
    <row r="13" ht="19.5" customHeight="1" s="14">
      <c r="B13" s="4" t="n">
        <v>6</v>
      </c>
      <c r="C13" s="5" t="inlineStr">
        <is>
          <t>006</t>
        </is>
      </c>
      <c r="D13" s="4" t="inlineStr">
        <is>
          <t>XM6</t>
        </is>
      </c>
      <c r="E13" s="4" t="inlineStr">
        <is>
          <t>0801B0006</t>
        </is>
      </c>
      <c r="F13" s="4" t="inlineStr">
        <is>
          <t>Zhang Guowu</t>
        </is>
      </c>
      <c r="G13" s="4" t="n">
        <v>940434</v>
      </c>
      <c r="H13" s="6" t="n">
        <v>44392</v>
      </c>
      <c r="I13" s="4" t="inlineStr">
        <is>
          <t>None</t>
        </is>
      </c>
      <c r="J13" s="4" t="inlineStr">
        <is>
          <t>Date</t>
        </is>
      </c>
      <c r="K13" s="4">
        <f>G13*$L$5</f>
        <v/>
      </c>
      <c r="L13" s="4" t="inlineStr">
        <is>
          <t>Alipay</t>
        </is>
      </c>
      <c r="M13" s="4" t="inlineStr">
        <is>
          <t>Verified</t>
        </is>
      </c>
      <c r="N13" s="4" t="n"/>
      <c r="P13" s="4" t="inlineStr">
        <is>
          <t>Wang Hao</t>
        </is>
      </c>
      <c r="Q13" s="4">
        <f>COUNTIF(F:F,P13)</f>
        <v/>
      </c>
    </row>
    <row r="14" ht="19.5" customHeight="1" s="14">
      <c r="B14" s="4" t="n">
        <v>7</v>
      </c>
      <c r="C14" s="5" t="inlineStr">
        <is>
          <t>007</t>
        </is>
      </c>
      <c r="D14" s="4" t="inlineStr">
        <is>
          <t>XM7</t>
        </is>
      </c>
      <c r="E14" s="4" t="inlineStr">
        <is>
          <t>0801B0007</t>
        </is>
      </c>
      <c r="F14" s="4" t="inlineStr">
        <is>
          <t>Li Hong</t>
        </is>
      </c>
      <c r="G14" s="4" t="n">
        <v>48924</v>
      </c>
      <c r="H14" s="6" t="n">
        <v>44393</v>
      </c>
      <c r="I14" s="4" t="inlineStr">
        <is>
          <t>None</t>
        </is>
      </c>
      <c r="J14" s="4" t="inlineStr">
        <is>
          <t>Date</t>
        </is>
      </c>
      <c r="K14" s="4">
        <f>G14*$L$5</f>
        <v/>
      </c>
      <c r="L14" s="4" t="inlineStr">
        <is>
          <t>Alipay</t>
        </is>
      </c>
      <c r="M14" s="4" t="inlineStr">
        <is>
          <t>Verified</t>
        </is>
      </c>
      <c r="N14" s="4" t="n"/>
      <c r="P14" s="4" t="inlineStr">
        <is>
          <t>Li San</t>
        </is>
      </c>
      <c r="Q14" s="4">
        <f>COUNTIF(F:F,P14)</f>
        <v/>
      </c>
    </row>
    <row r="15" ht="19.5" customHeight="1" s="14">
      <c r="B15" s="4" t="n">
        <v>8</v>
      </c>
      <c r="C15" s="5" t="inlineStr">
        <is>
          <t>008</t>
        </is>
      </c>
      <c r="D15" s="4" t="inlineStr">
        <is>
          <t>XM8</t>
        </is>
      </c>
      <c r="E15" s="4" t="inlineStr">
        <is>
          <t>0801B0008</t>
        </is>
      </c>
      <c r="F15" s="4" t="inlineStr">
        <is>
          <t>Wang Xia</t>
        </is>
      </c>
      <c r="G15" s="4" t="n">
        <v>294044</v>
      </c>
      <c r="H15" s="6" t="n">
        <v>44394</v>
      </c>
      <c r="I15" s="4" t="inlineStr">
        <is>
          <t>None</t>
        </is>
      </c>
      <c r="J15" s="4" t="inlineStr">
        <is>
          <t>Date</t>
        </is>
      </c>
      <c r="K15" s="4">
        <f>G15*$L$5</f>
        <v/>
      </c>
      <c r="L15" s="4" t="inlineStr">
        <is>
          <t>Alipay</t>
        </is>
      </c>
      <c r="M15" s="4" t="inlineStr">
        <is>
          <t>Verified</t>
        </is>
      </c>
      <c r="N15" s="4" t="n"/>
      <c r="P15" s="4" t="inlineStr">
        <is>
          <t>Yang Lan</t>
        </is>
      </c>
      <c r="Q15" s="4">
        <f>COUNTIF(F:F,P15)</f>
        <v/>
      </c>
    </row>
    <row r="16" ht="19.5" customHeight="1" s="14">
      <c r="B16" s="4" t="n">
        <v>9</v>
      </c>
      <c r="C16" s="5" t="inlineStr">
        <is>
          <t>009</t>
        </is>
      </c>
      <c r="D16" s="4" t="inlineStr">
        <is>
          <t>XM9</t>
        </is>
      </c>
      <c r="E16" s="4" t="inlineStr">
        <is>
          <t>0801B0009</t>
        </is>
      </c>
      <c r="F16" s="4" t="inlineStr">
        <is>
          <t>Zhang Guowu</t>
        </is>
      </c>
      <c r="G16" s="4" t="n">
        <v>384933</v>
      </c>
      <c r="H16" s="6" t="n">
        <v>44395</v>
      </c>
      <c r="I16" s="4" t="inlineStr">
        <is>
          <t>None</t>
        </is>
      </c>
      <c r="J16" s="4" t="inlineStr">
        <is>
          <t>Date</t>
        </is>
      </c>
      <c r="K16" s="4">
        <f>G16*$L$5</f>
        <v/>
      </c>
      <c r="L16" s="4" t="inlineStr">
        <is>
          <t>Alipay</t>
        </is>
      </c>
      <c r="M16" s="4" t="inlineStr">
        <is>
          <t>Verified</t>
        </is>
      </c>
      <c r="N16" s="4" t="n"/>
      <c r="P16" s="4" t="inlineStr">
        <is>
          <t>Ren Jie</t>
        </is>
      </c>
      <c r="Q16" s="4">
        <f>COUNTIF(F:F,P16)</f>
        <v/>
      </c>
    </row>
    <row r="17" ht="19.5" customHeight="1" s="14">
      <c r="B17" s="4" t="n">
        <v>10</v>
      </c>
      <c r="C17" s="5" t="inlineStr">
        <is>
          <t>010</t>
        </is>
      </c>
      <c r="D17" s="4" t="inlineStr">
        <is>
          <t>XM10</t>
        </is>
      </c>
      <c r="E17" s="4" t="inlineStr">
        <is>
          <t>0801B0010</t>
        </is>
      </c>
      <c r="F17" s="4" t="inlineStr">
        <is>
          <t>Li Hong</t>
        </is>
      </c>
      <c r="G17" s="4" t="n">
        <v>494043</v>
      </c>
      <c r="H17" s="6" t="n">
        <v>44396</v>
      </c>
      <c r="I17" s="4" t="inlineStr">
        <is>
          <t>None</t>
        </is>
      </c>
      <c r="J17" s="4" t="inlineStr">
        <is>
          <t>Date</t>
        </is>
      </c>
      <c r="K17" s="4">
        <f>G17*$L$5</f>
        <v/>
      </c>
      <c r="L17" s="4" t="inlineStr">
        <is>
          <t>Alipay</t>
        </is>
      </c>
      <c r="M17" s="4" t="inlineStr">
        <is>
          <t>Verified</t>
        </is>
      </c>
      <c r="N17" s="4" t="n"/>
      <c r="P17" s="4" t="inlineStr">
        <is>
          <t>Gai Lili</t>
        </is>
      </c>
      <c r="Q17" s="4">
        <f>COUNTIF(F:F,P17)</f>
        <v/>
      </c>
    </row>
    <row r="18" ht="19.5" customHeight="1" s="14">
      <c r="B18" s="4" t="n">
        <v>11</v>
      </c>
      <c r="C18" s="5" t="inlineStr">
        <is>
          <t>011</t>
        </is>
      </c>
      <c r="D18" s="4" t="inlineStr">
        <is>
          <t>XM11</t>
        </is>
      </c>
      <c r="E18" s="4" t="inlineStr">
        <is>
          <t>0801B0011</t>
        </is>
      </c>
      <c r="F18" s="4" t="inlineStr">
        <is>
          <t>Li Xiaoxiao</t>
        </is>
      </c>
      <c r="G18" s="4" t="n">
        <v>49024</v>
      </c>
      <c r="H18" s="6" t="n">
        <v>44397</v>
      </c>
      <c r="I18" s="4" t="inlineStr">
        <is>
          <t>None</t>
        </is>
      </c>
      <c r="J18" s="4" t="inlineStr">
        <is>
          <t>Date</t>
        </is>
      </c>
      <c r="K18" s="4">
        <f>G18*$L$5</f>
        <v/>
      </c>
      <c r="L18" s="4" t="inlineStr">
        <is>
          <t>Alipay</t>
        </is>
      </c>
      <c r="M18" s="4" t="inlineStr">
        <is>
          <t>Verified</t>
        </is>
      </c>
      <c r="N18" s="4" t="n"/>
      <c r="P18" s="4" t="inlineStr">
        <is>
          <t>Wu Minhao</t>
        </is>
      </c>
      <c r="Q18" s="4">
        <f>COUNTIF(F:F,P18)</f>
        <v/>
      </c>
    </row>
    <row r="19" ht="19.5" customHeight="1" s="14">
      <c r="B19" s="4" t="n">
        <v>12</v>
      </c>
      <c r="C19" s="5" t="inlineStr">
        <is>
          <t>012</t>
        </is>
      </c>
      <c r="D19" s="4" t="inlineStr">
        <is>
          <t>XM12</t>
        </is>
      </c>
      <c r="E19" s="4" t="inlineStr">
        <is>
          <t>0801B0012</t>
        </is>
      </c>
      <c r="F19" s="4" t="inlineStr">
        <is>
          <t>Li Lin</t>
        </is>
      </c>
      <c r="G19" s="4" t="n">
        <v>40344</v>
      </c>
      <c r="H19" s="6" t="n">
        <v>44398</v>
      </c>
      <c r="I19" s="4" t="inlineStr">
        <is>
          <t>None</t>
        </is>
      </c>
      <c r="J19" s="4" t="inlineStr">
        <is>
          <t>Date</t>
        </is>
      </c>
      <c r="K19" s="4">
        <f>G19*$L$5</f>
        <v/>
      </c>
      <c r="L19" s="4" t="inlineStr">
        <is>
          <t>Alipay</t>
        </is>
      </c>
      <c r="M19" s="4" t="inlineStr">
        <is>
          <t>Verified</t>
        </is>
      </c>
      <c r="N19" s="4" t="n"/>
      <c r="P19" s="4" t="inlineStr">
        <is>
          <t>Wang Xiang</t>
        </is>
      </c>
      <c r="Q19" s="4">
        <f>COUNTIF(F:F,P19)</f>
        <v/>
      </c>
    </row>
    <row r="20" ht="19.5" customHeight="1" s="14">
      <c r="B20" s="4" t="n">
        <v>13</v>
      </c>
      <c r="C20" s="5" t="inlineStr">
        <is>
          <t>013</t>
        </is>
      </c>
      <c r="D20" s="4" t="inlineStr">
        <is>
          <t>XM13</t>
        </is>
      </c>
      <c r="E20" s="4" t="inlineStr">
        <is>
          <t>0801B0013</t>
        </is>
      </c>
      <c r="F20" s="4" t="inlineStr">
        <is>
          <t>Wang Hao</t>
        </is>
      </c>
      <c r="G20" s="4" t="n">
        <v>89404</v>
      </c>
      <c r="H20" s="6" t="n">
        <v>44399</v>
      </c>
      <c r="I20" s="4" t="inlineStr">
        <is>
          <t>None</t>
        </is>
      </c>
      <c r="J20" s="4" t="inlineStr">
        <is>
          <t>Date</t>
        </is>
      </c>
      <c r="K20" s="4">
        <f>G20*$L$5</f>
        <v/>
      </c>
      <c r="L20" s="4" t="inlineStr">
        <is>
          <t>Alipay</t>
        </is>
      </c>
      <c r="M20" s="4" t="inlineStr">
        <is>
          <t>Verified</t>
        </is>
      </c>
      <c r="N20" s="4" t="n"/>
    </row>
    <row r="21" ht="19.5" customHeight="1" s="14">
      <c r="B21" s="4" t="n">
        <v>14</v>
      </c>
      <c r="C21" s="5" t="inlineStr">
        <is>
          <t>014</t>
        </is>
      </c>
      <c r="D21" s="4" t="inlineStr">
        <is>
          <t>XM14</t>
        </is>
      </c>
      <c r="E21" s="4" t="inlineStr">
        <is>
          <t>0801B0014</t>
        </is>
      </c>
      <c r="F21" s="4" t="inlineStr">
        <is>
          <t>Li San</t>
        </is>
      </c>
      <c r="G21" s="4" t="n">
        <v>30444</v>
      </c>
      <c r="H21" s="6" t="n">
        <v>44400</v>
      </c>
      <c r="I21" s="4" t="inlineStr">
        <is>
          <t>None</t>
        </is>
      </c>
      <c r="J21" s="4" t="inlineStr">
        <is>
          <t>Date</t>
        </is>
      </c>
      <c r="K21" s="4">
        <f>G21*$L$5</f>
        <v/>
      </c>
      <c r="L21" s="4" t="inlineStr">
        <is>
          <t>Alipay</t>
        </is>
      </c>
      <c r="M21" s="4" t="inlineStr">
        <is>
          <t>Verified</t>
        </is>
      </c>
      <c r="N21" s="4" t="n"/>
      <c r="P21" s="9" t="n"/>
      <c r="Q21" s="9" t="n"/>
    </row>
    <row r="22" ht="19.5" customHeight="1" s="14">
      <c r="B22" s="4" t="n">
        <v>15</v>
      </c>
      <c r="C22" s="5" t="inlineStr">
        <is>
          <t>015</t>
        </is>
      </c>
      <c r="D22" s="4" t="inlineStr">
        <is>
          <t>XM15</t>
        </is>
      </c>
      <c r="E22" s="4" t="inlineStr">
        <is>
          <t>0801B0015</t>
        </is>
      </c>
      <c r="F22" s="4" t="inlineStr">
        <is>
          <t>Yang Lan</t>
        </is>
      </c>
      <c r="G22" s="4" t="n">
        <v>294044</v>
      </c>
      <c r="H22" s="6" t="n">
        <v>44401</v>
      </c>
      <c r="I22" s="4" t="inlineStr">
        <is>
          <t>None</t>
        </is>
      </c>
      <c r="J22" s="4" t="inlineStr">
        <is>
          <t>Date</t>
        </is>
      </c>
      <c r="K22" s="4">
        <f>G22*$L$5</f>
        <v/>
      </c>
      <c r="L22" s="4" t="inlineStr">
        <is>
          <t>Alipay</t>
        </is>
      </c>
      <c r="M22" s="4" t="inlineStr">
        <is>
          <t>Verified</t>
        </is>
      </c>
      <c r="N22" s="4" t="n"/>
      <c r="P22" s="2" t="inlineStr">
        <is>
          <t>Total Project Amount Statistics on This Page</t>
        </is>
      </c>
      <c r="Q22" s="15" t="n"/>
    </row>
    <row r="23" ht="19.5" customHeight="1" s="14">
      <c r="B23" s="4" t="n">
        <v>16</v>
      </c>
      <c r="C23" s="5" t="inlineStr">
        <is>
          <t>016</t>
        </is>
      </c>
      <c r="D23" s="4" t="inlineStr">
        <is>
          <t>XM16</t>
        </is>
      </c>
      <c r="E23" s="4" t="inlineStr">
        <is>
          <t>0801B0016</t>
        </is>
      </c>
      <c r="F23" s="4" t="inlineStr">
        <is>
          <t>Ren Jie</t>
        </is>
      </c>
      <c r="G23" s="4" t="n">
        <v>394044</v>
      </c>
      <c r="H23" s="6" t="n">
        <v>44402</v>
      </c>
      <c r="I23" s="4" t="inlineStr">
        <is>
          <t>None</t>
        </is>
      </c>
      <c r="J23" s="4" t="inlineStr">
        <is>
          <t>Date</t>
        </is>
      </c>
      <c r="K23" s="4">
        <f>G23*$L$5</f>
        <v/>
      </c>
      <c r="L23" s="4" t="inlineStr">
        <is>
          <t>Alipay</t>
        </is>
      </c>
      <c r="M23" s="4" t="inlineStr">
        <is>
          <t>Verified</t>
        </is>
      </c>
      <c r="N23" s="4" t="n"/>
      <c r="P23" s="10">
        <f>SUM(G8:G27)</f>
        <v/>
      </c>
      <c r="Q23" s="16" t="n"/>
    </row>
    <row r="24" ht="19.5" customHeight="1" s="14">
      <c r="B24" s="4" t="n">
        <v>17</v>
      </c>
      <c r="C24" s="5" t="inlineStr">
        <is>
          <t>017</t>
        </is>
      </c>
      <c r="D24" s="4" t="inlineStr">
        <is>
          <t>XM17</t>
        </is>
      </c>
      <c r="E24" s="4" t="inlineStr">
        <is>
          <t>0801B0017</t>
        </is>
      </c>
      <c r="F24" s="4" t="inlineStr">
        <is>
          <t>Gai Lili</t>
        </is>
      </c>
      <c r="G24" s="4" t="n">
        <v>494043</v>
      </c>
      <c r="H24" s="6" t="n">
        <v>44403</v>
      </c>
      <c r="I24" s="4" t="inlineStr">
        <is>
          <t>None</t>
        </is>
      </c>
      <c r="J24" s="4" t="inlineStr">
        <is>
          <t>Date</t>
        </is>
      </c>
      <c r="K24" s="4">
        <f>G24*$L$5</f>
        <v/>
      </c>
      <c r="L24" s="4" t="inlineStr">
        <is>
          <t>Alipay</t>
        </is>
      </c>
      <c r="M24" s="4" t="inlineStr">
        <is>
          <t>Verified</t>
        </is>
      </c>
      <c r="N24" s="4" t="n"/>
      <c r="P24" s="17" t="n"/>
      <c r="Q24" s="18" t="n"/>
    </row>
    <row r="25" ht="19.5" customHeight="1" s="14">
      <c r="B25" s="4" t="n">
        <v>18</v>
      </c>
      <c r="C25" s="5" t="inlineStr">
        <is>
          <t>018</t>
        </is>
      </c>
      <c r="D25" s="4" t="inlineStr">
        <is>
          <t>XM18</t>
        </is>
      </c>
      <c r="E25" s="4" t="inlineStr">
        <is>
          <t>0801B0018</t>
        </is>
      </c>
      <c r="F25" s="4" t="inlineStr">
        <is>
          <t>Zhang Guowu</t>
        </is>
      </c>
      <c r="G25" s="4" t="n">
        <v>490033</v>
      </c>
      <c r="H25" s="6" t="n">
        <v>44404</v>
      </c>
      <c r="I25" s="4" t="inlineStr">
        <is>
          <t>None</t>
        </is>
      </c>
      <c r="J25" s="4" t="inlineStr">
        <is>
          <t>Date</t>
        </is>
      </c>
      <c r="K25" s="4">
        <f>G25*$L$5</f>
        <v/>
      </c>
      <c r="L25" s="4" t="inlineStr">
        <is>
          <t>Alipay</t>
        </is>
      </c>
      <c r="M25" s="4" t="inlineStr">
        <is>
          <t>Verified</t>
        </is>
      </c>
      <c r="N25" s="4" t="n"/>
      <c r="P25" s="17" t="n"/>
      <c r="Q25" s="18" t="n"/>
    </row>
    <row r="26" ht="19.5" customHeight="1" s="14">
      <c r="B26" s="4" t="n">
        <v>19</v>
      </c>
      <c r="C26" s="5" t="inlineStr">
        <is>
          <t>019</t>
        </is>
      </c>
      <c r="D26" s="4" t="inlineStr">
        <is>
          <t>XM19</t>
        </is>
      </c>
      <c r="E26" s="4" t="inlineStr">
        <is>
          <t>0801B0019</t>
        </is>
      </c>
      <c r="F26" s="4" t="inlineStr">
        <is>
          <t>Wu Minhao</t>
        </is>
      </c>
      <c r="G26" s="4" t="n">
        <v>403940</v>
      </c>
      <c r="H26" s="6" t="n">
        <v>44405</v>
      </c>
      <c r="I26" s="4" t="inlineStr">
        <is>
          <t>None</t>
        </is>
      </c>
      <c r="J26" s="4" t="inlineStr">
        <is>
          <t>Date</t>
        </is>
      </c>
      <c r="K26" s="4">
        <f>G26*$L$5</f>
        <v/>
      </c>
      <c r="L26" s="4" t="inlineStr">
        <is>
          <t>Alipay</t>
        </is>
      </c>
      <c r="M26" s="4" t="inlineStr">
        <is>
          <t>Verified</t>
        </is>
      </c>
      <c r="N26" s="4" t="n"/>
      <c r="P26" s="17" t="n"/>
      <c r="Q26" s="18" t="n"/>
    </row>
    <row r="27" ht="19.5" customHeight="1" s="14">
      <c r="B27" s="4" t="n">
        <v>20</v>
      </c>
      <c r="C27" s="5" t="inlineStr">
        <is>
          <t>020</t>
        </is>
      </c>
      <c r="D27" s="4" t="inlineStr">
        <is>
          <t>XM20</t>
        </is>
      </c>
      <c r="E27" s="4" t="inlineStr">
        <is>
          <t>0801B0020</t>
        </is>
      </c>
      <c r="F27" s="4" t="inlineStr">
        <is>
          <t>Wang Xiang</t>
        </is>
      </c>
      <c r="G27" s="4" t="n">
        <v>300203</v>
      </c>
      <c r="H27" s="6" t="n">
        <v>44406</v>
      </c>
      <c r="I27" s="4" t="inlineStr">
        <is>
          <t>None</t>
        </is>
      </c>
      <c r="J27" s="4" t="inlineStr">
        <is>
          <t>Date</t>
        </is>
      </c>
      <c r="K27" s="4">
        <f>G27*$L$5</f>
        <v/>
      </c>
      <c r="L27" s="4" t="inlineStr">
        <is>
          <t>Alipay</t>
        </is>
      </c>
      <c r="M27" s="4" t="inlineStr">
        <is>
          <t>Verified</t>
        </is>
      </c>
      <c r="N27" s="4" t="n"/>
      <c r="P27" s="19" t="n"/>
      <c r="Q27" s="20" t="n"/>
    </row>
  </sheetData>
  <mergeCells count="3">
    <mergeCell ref="B3:Q4"/>
    <mergeCell ref="P23:Q27"/>
    <mergeCell ref="P22:Q22"/>
  </mergeCells>
  <dataValidations count="1">
    <dataValidation sqref="L8:L27" showDropDown="0" showInputMessage="1" showErrorMessage="1" allowBlank="1" type="list">
      <formula1>"支付宝,微信,现金,打卡"</formula1>
    </dataValidation>
  </dataValidations>
  <pageMargins left="0.75" right="0.75" top="1" bottom="1" header="0.5" footer="0.5"/>
  <pageSetup orientation="landscape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wmj</dc:creator>
  <dcterms:created xsi:type="dcterms:W3CDTF">2021-07-23T06:08:00Z</dcterms:created>
  <dcterms:modified xsi:type="dcterms:W3CDTF">2025-07-09T04:03:08Z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D0E81FA5EA8D4B9FB8F17C3E147A9592_11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v1.0_mb_0E6l3/m7L6FhQ4pFa0IDIA==</vt:lpwstr>
  </property>
</Properties>
</file>