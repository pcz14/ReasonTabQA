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7945" windowHeight="12375" tabRatio="600" firstSheet="2" autoFilterDateGrouping="1"/>
  </bookViews>
  <sheets>
    <sheet name="Sheet1" sheetId="1" state="visible" r:id="rId1"/>
    <sheet name="Sheet3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25">
    <font>
      <name val="等线"/>
      <family val="2"/>
      <color theme="1"/>
      <sz val="11"/>
      <scheme val="minor"/>
    </font>
    <font>
      <name val="Arial"/>
      <family val="2"/>
      <sz val="10"/>
    </font>
    <font>
      <name val="黑体"/>
      <family val="2"/>
      <color theme="1"/>
      <sz val="12"/>
    </font>
    <font>
      <name val="黑体"/>
      <family val="2"/>
      <color theme="1" tint="0.2499800026416779"/>
      <sz val="24"/>
    </font>
    <font>
      <name val="黑体"/>
      <family val="2"/>
      <color rgb="FFC00000"/>
      <sz val="12"/>
    </font>
    <font>
      <name val="黑体"/>
      <family val="2"/>
      <color theme="0"/>
      <sz val="12"/>
    </font>
    <font>
      <name val="黑体"/>
      <family val="2"/>
      <color theme="1" tint="0.2499800026416779"/>
      <sz val="12"/>
    </font>
    <font>
      <name val="等线"/>
      <family val="2"/>
      <color rgb="FF0000FF"/>
      <sz val="11"/>
      <u val="single"/>
      <scheme val="minor"/>
    </font>
    <font>
      <name val="等线"/>
      <family val="2"/>
      <color rgb="FF800080"/>
      <sz val="11"/>
      <u val="single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3"/>
      <sz val="18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b val="1"/>
      <color rgb="FFFFFFFF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6500"/>
      <sz val="11"/>
      <scheme val="minor"/>
    </font>
    <font>
      <name val="等线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EBEFF9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theme="0"/>
      </right>
      <top/>
      <bottom/>
    </border>
    <border>
      <left/>
      <right style="thin">
        <color rgb="FFB8C6EA"/>
      </right>
      <top/>
      <bottom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26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7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33" borderId="0" applyAlignment="1" pivotButton="0" quotePrefix="0" xfId="0">
      <alignment horizontal="center" vertical="center"/>
    </xf>
    <xf numFmtId="0" fontId="6" fillId="33" borderId="10" applyAlignment="1" pivotButton="0" quotePrefix="0" xfId="0">
      <alignment horizontal="center" vertical="center"/>
    </xf>
    <xf numFmtId="164" fontId="6" fillId="33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164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6" fillId="33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2">
    <dxf>
      <fill>
        <patternFill/>
      </fill>
      <border/>
    </dxf>
    <dxf>
      <fill>
        <patternFill patternType="solid">
          <bgColor rgb="FFEBEFF9"/>
        </patternFill>
      </fill>
      <border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8"/>
  <sheetViews>
    <sheetView showGridLines="0" topLeftCell="A1" workbookViewId="0">
      <selection activeCell="P11" sqref="P11"/>
    </sheetView>
  </sheetViews>
  <sheetFormatPr baseColWidth="8" defaultColWidth="9.00390625" defaultRowHeight="33" customHeight="1"/>
  <cols>
    <col width="0.5" customWidth="1" style="7" min="1" max="1"/>
    <col width="5.625" customWidth="1" style="7" min="2" max="2"/>
    <col width="10.25390625" customWidth="1" style="19" min="3" max="3"/>
    <col width="14.00390625" customWidth="1" style="7" min="4" max="4"/>
    <col width="23.875" customWidth="1" style="7" min="5" max="5"/>
    <col width="15.375" customWidth="1" style="7" min="6" max="6"/>
    <col width="11.00390625" customWidth="1" style="7" min="7" max="7"/>
    <col width="7.50390625" customWidth="1" style="7" min="8" max="8"/>
    <col width="11.125" customWidth="1" style="7" min="9" max="9"/>
    <col width="11.50390625" customWidth="1" style="7" min="10" max="12"/>
    <col width="0.37109375" customWidth="1" style="7" min="13" max="13"/>
    <col width="11.375" customWidth="1" style="7" min="14" max="14"/>
    <col width="10.125" customWidth="1" style="7" min="15" max="18"/>
    <col width="9.00390625" customWidth="1" style="7" min="19" max="16384"/>
  </cols>
  <sheetData>
    <row r="1" ht="52.5" customHeight="1" s="20">
      <c r="B1" s="3" t="inlineStr">
        <is>
          <t>E-Invoice Registration Detail Statistics Table</t>
        </is>
      </c>
    </row>
    <row r="2" ht="9" customHeight="1" s="20">
      <c r="C2" s="7" t="n"/>
    </row>
    <row r="3" ht="32.25" customHeight="1" s="20">
      <c r="B3" s="6" t="inlineStr">
        <is>
          <t>Total Accumulated Amount</t>
        </is>
      </c>
      <c r="D3" s="6" t="inlineStr">
        <is>
          <t>Total accumulated tax amount</t>
        </is>
      </c>
      <c r="E3" s="10" t="inlineStr">
        <is>
          <t>Total Price and Tax of Accumulated Invoices</t>
        </is>
      </c>
      <c r="F3" s="6" t="inlineStr">
        <is>
          <t>Start Date</t>
        </is>
      </c>
      <c r="G3" s="6" t="inlineStr">
        <is>
          <t>End Date</t>
        </is>
      </c>
      <c r="I3" s="6" t="inlineStr">
        <is>
          <t>Electronic Invoice Type</t>
        </is>
      </c>
      <c r="J3" s="6" t="inlineStr">
        <is>
          <t>Total Amount</t>
        </is>
      </c>
      <c r="K3" s="6" t="inlineStr">
        <is>
          <t>Tax amount total</t>
        </is>
      </c>
      <c r="L3" s="6" t="inlineStr">
        <is>
          <t>Price and Tax Total</t>
        </is>
      </c>
      <c r="M3" s="15" t="n"/>
      <c r="N3" s="7" t="inlineStr">
        <is>
          <t>Unit: Yuan</t>
        </is>
      </c>
    </row>
    <row r="4" ht="32.25" customHeight="1" s="20">
      <c r="B4" s="11">
        <f>SUM($I$7:$I$999875)</f>
        <v/>
      </c>
      <c r="D4" s="11">
        <f>SUM($J$7:$J$999875)</f>
        <v/>
      </c>
      <c r="E4" s="12">
        <f>SUM($G$7:$G$999875)</f>
        <v/>
      </c>
      <c r="F4" s="21" t="n">
        <v>44866</v>
      </c>
      <c r="G4" s="21" t="n">
        <v>44873</v>
      </c>
      <c r="I4" s="11" t="inlineStr">
        <is>
          <t>General Electronic Invoice</t>
        </is>
      </c>
      <c r="J4" s="11">
        <f>SUMIFS($I$7:$I$999875,$C$7:$C$999875,"&gt;="&amp;F4,$C$7:$C$999875,"&lt;="&amp;G4,$K$7:$K$999875,I4)</f>
        <v/>
      </c>
      <c r="K4" s="11">
        <f>SUMIFS($J$7:$J$999875,$C$7:$C$999875,"&gt;="&amp;F4,$C$7:$C$999875,"&lt;="&amp;G4,$K$7:$K$999875,I4)</f>
        <v/>
      </c>
      <c r="L4" s="11">
        <f>SUMIFS($G$7:$G$999875,$C$7:$C$999875,"&gt;="&amp;F4,$C$7:$C$999875,"&lt;="&amp;G4,$K$7:$K$999875,I4)</f>
        <v/>
      </c>
    </row>
    <row r="5" ht="6.75" customHeight="1" s="20">
      <c r="C5" s="7" t="n"/>
    </row>
    <row r="6" ht="35.25" customHeight="1" s="20">
      <c r="B6" s="6" t="inlineStr">
        <is>
          <t>Serial Number</t>
        </is>
      </c>
      <c r="C6" s="6" t="inlineStr">
        <is>
          <t>Issue Date</t>
        </is>
      </c>
      <c r="D6" s="6" t="inlineStr">
        <is>
          <t>Invoice Number</t>
        </is>
      </c>
      <c r="E6" s="6" t="inlineStr">
        <is>
          <t>Purchaser Name</t>
        </is>
      </c>
      <c r="F6" s="6" t="inlineStr">
        <is>
          <t>Buyer's Email Address</t>
        </is>
      </c>
      <c r="G6" s="6" t="inlineStr">
        <is>
          <t>Price and Tax Total</t>
        </is>
      </c>
      <c r="H6" s="6" t="inlineStr">
        <is>
          <t>Tax Rate</t>
        </is>
      </c>
      <c r="I6" s="6" t="inlineStr">
        <is>
          <t>Total Amount</t>
        </is>
      </c>
      <c r="J6" s="6" t="inlineStr">
        <is>
          <t>Tax amount total</t>
        </is>
      </c>
      <c r="K6" s="6" t="inlineStr">
        <is>
          <t>Electronic Invoice Type</t>
        </is>
      </c>
      <c r="L6" s="8" t="inlineStr">
        <is>
          <t>Whether
Send to customer</t>
        </is>
      </c>
      <c r="N6" s="6" t="inlineStr">
        <is>
          <t>Electronic Invoice Type</t>
        </is>
      </c>
    </row>
    <row r="7" ht="33" customHeight="1" s="20">
      <c r="B7" s="7" t="n">
        <v>1</v>
      </c>
      <c r="C7" s="19" t="n">
        <v>44866</v>
      </c>
      <c r="D7" s="7" t="inlineStr">
        <is>
          <t>152XXXX01</t>
        </is>
      </c>
      <c r="E7" s="7" t="inlineStr">
        <is>
          <t>Kingsoft Office Software Co., Ltd.</t>
        </is>
      </c>
      <c r="F7" s="7" t="inlineStr">
        <is>
          <t>255XXXXX25</t>
        </is>
      </c>
      <c r="G7" s="7" t="n">
        <v>44809</v>
      </c>
      <c r="H7" s="14" t="n">
        <v>0.06</v>
      </c>
      <c r="I7" s="7">
        <f>IF(G7="","",ROUND(G7/(1+H7),2))</f>
        <v/>
      </c>
      <c r="J7" s="7">
        <f>IF(I7="","",G7-I7)</f>
        <v/>
      </c>
      <c r="K7" s="7" t="inlineStr">
        <is>
          <t>General Electronic Invoice</t>
        </is>
      </c>
      <c r="L7" s="7" t="n">
        <v>1</v>
      </c>
      <c r="N7" s="7" t="inlineStr">
        <is>
          <t>General Electronic Invoice</t>
        </is>
      </c>
    </row>
    <row r="8" ht="33" customHeight="1" s="20">
      <c r="B8" s="7" t="n">
        <v>2</v>
      </c>
      <c r="C8" s="19" t="n">
        <v>44866</v>
      </c>
      <c r="D8" s="7" t="inlineStr">
        <is>
          <t>152XXXX02</t>
        </is>
      </c>
      <c r="E8" s="7" t="inlineStr">
        <is>
          <t>Kingsoft Office Software Co., Ltd. 2</t>
        </is>
      </c>
      <c r="F8" s="7" t="inlineStr">
        <is>
          <t>255XXXXX26</t>
        </is>
      </c>
      <c r="G8" s="7" t="n">
        <v>55802</v>
      </c>
      <c r="H8" s="14" t="n">
        <v>0.06</v>
      </c>
      <c r="I8" s="7">
        <f>IF(G8="","",ROUND(G8/(1+H8),2))</f>
        <v/>
      </c>
      <c r="J8" s="7">
        <f>IF(I8="","",G8-I8)</f>
        <v/>
      </c>
      <c r="K8" s="7" t="inlineStr">
        <is>
          <t>General Electronic Invoice</t>
        </is>
      </c>
      <c r="L8" s="7" t="n">
        <v>1</v>
      </c>
      <c r="N8" s="7" t="inlineStr">
        <is>
          <t>Special Electronic Invoice</t>
        </is>
      </c>
    </row>
    <row r="9" ht="33" customHeight="1" s="20">
      <c r="B9" s="7" t="n">
        <v>3</v>
      </c>
      <c r="C9" s="19" t="n">
        <v>44866</v>
      </c>
      <c r="D9" s="7" t="inlineStr">
        <is>
          <t>152XXXX03</t>
        </is>
      </c>
      <c r="E9" s="7" t="inlineStr">
        <is>
          <t>Kingsoft Office Software Co., Ltd. 3</t>
        </is>
      </c>
      <c r="F9" s="7" t="inlineStr">
        <is>
          <t>255XXXXX27</t>
        </is>
      </c>
      <c r="G9" s="7" t="n">
        <v>23013</v>
      </c>
      <c r="H9" s="14" t="n">
        <v>0.06</v>
      </c>
      <c r="I9" s="7">
        <f>IF(G9="","",ROUND(G9/(1+H9),2))</f>
        <v/>
      </c>
      <c r="J9" s="7">
        <f>IF(I9="","",G9-I9)</f>
        <v/>
      </c>
      <c r="K9" s="7" t="inlineStr">
        <is>
          <t>General Electronic Invoice</t>
        </is>
      </c>
      <c r="L9" s="7" t="n">
        <v>1</v>
      </c>
      <c r="N9" s="7" t="inlineStr">
        <is>
          <t>Other e-invoices</t>
        </is>
      </c>
    </row>
    <row r="10" ht="33" customHeight="1" s="20">
      <c r="B10" s="7" t="n">
        <v>4</v>
      </c>
      <c r="C10" s="19" t="n">
        <v>44866</v>
      </c>
      <c r="D10" s="7" t="inlineStr">
        <is>
          <t>152XXXX04</t>
        </is>
      </c>
      <c r="E10" s="7" t="inlineStr">
        <is>
          <t>Kingsoft Office Software Co., Ltd. 4</t>
        </is>
      </c>
      <c r="F10" s="7" t="inlineStr">
        <is>
          <t>255XXXXX28</t>
        </is>
      </c>
      <c r="G10" s="7" t="n">
        <v>60345</v>
      </c>
      <c r="H10" s="14" t="n">
        <v>0.06</v>
      </c>
      <c r="I10" s="7">
        <f>IF(G10="","",ROUND(G10/(1+H10),2))</f>
        <v/>
      </c>
      <c r="J10" s="7">
        <f>IF(I10="","",G10-I10)</f>
        <v/>
      </c>
      <c r="K10" s="7" t="inlineStr">
        <is>
          <t>Special Electronic Invoice</t>
        </is>
      </c>
      <c r="L10" s="7" t="n">
        <v>1</v>
      </c>
      <c r="N10" s="7" t="inlineStr">
        <is>
          <t>Other e-invoices</t>
        </is>
      </c>
    </row>
    <row r="11" ht="33" customHeight="1" s="20">
      <c r="B11" s="7" t="n">
        <v>5</v>
      </c>
      <c r="C11" s="19" t="n">
        <v>44866</v>
      </c>
      <c r="D11" s="7" t="inlineStr">
        <is>
          <t>152XXXX05</t>
        </is>
      </c>
      <c r="E11" s="7" t="inlineStr">
        <is>
          <t>Kingsoft Office Software Co., Ltd. 5</t>
        </is>
      </c>
      <c r="F11" s="7" t="inlineStr">
        <is>
          <t>255XXXXX29</t>
        </is>
      </c>
      <c r="G11" s="7" t="n">
        <v>46857</v>
      </c>
      <c r="H11" s="14" t="n">
        <v>0.06</v>
      </c>
      <c r="I11" s="7">
        <f>IF(G11="","",ROUND(G11/(1+H11),2))</f>
        <v/>
      </c>
      <c r="J11" s="7">
        <f>IF(I11="","",G11-I11)</f>
        <v/>
      </c>
      <c r="K11" s="7" t="inlineStr">
        <is>
          <t>General Electronic Invoice</t>
        </is>
      </c>
      <c r="L11" s="7" t="n">
        <v>0</v>
      </c>
    </row>
    <row r="12" ht="33" customHeight="1" s="20">
      <c r="B12" s="7" t="n">
        <v>6</v>
      </c>
      <c r="C12" s="19" t="n">
        <v>44867</v>
      </c>
      <c r="D12" s="7" t="inlineStr">
        <is>
          <t>152XXXX06</t>
        </is>
      </c>
      <c r="E12" s="7" t="inlineStr">
        <is>
          <t>Kingsoft Office Software Co., Ltd.</t>
        </is>
      </c>
      <c r="F12" s="7" t="inlineStr">
        <is>
          <t>255XXXXX25</t>
        </is>
      </c>
      <c r="G12" s="7" t="n">
        <v>57993</v>
      </c>
      <c r="H12" s="14" t="n">
        <v>0.06</v>
      </c>
      <c r="I12" s="7">
        <f>IF(G12="","",ROUND(G12/(1+H12),2))</f>
        <v/>
      </c>
      <c r="J12" s="7">
        <f>IF(I12="","",G12-I12)</f>
        <v/>
      </c>
      <c r="K12" s="7" t="inlineStr">
        <is>
          <t>Special Electronic Invoice</t>
        </is>
      </c>
      <c r="L12" s="7" t="n">
        <v>0</v>
      </c>
    </row>
    <row r="13" ht="33" customHeight="1" s="20">
      <c r="B13" s="7" t="n">
        <v>7</v>
      </c>
      <c r="C13" s="19" t="n">
        <v>44868</v>
      </c>
      <c r="D13" s="7" t="inlineStr">
        <is>
          <t>152XXXX07</t>
        </is>
      </c>
      <c r="E13" s="7" t="inlineStr">
        <is>
          <t>Kingsoft Office Software Co., Ltd. 2</t>
        </is>
      </c>
      <c r="F13" s="7" t="inlineStr">
        <is>
          <t>255XXXXX26</t>
        </is>
      </c>
      <c r="G13" s="7" t="n">
        <v>58033</v>
      </c>
      <c r="H13" s="14" t="n">
        <v>0.06</v>
      </c>
      <c r="I13" s="7">
        <f>IF(G13="","",ROUND(G13/(1+H13),2))</f>
        <v/>
      </c>
      <c r="J13" s="7">
        <f>IF(I13="","",G13-I13)</f>
        <v/>
      </c>
      <c r="K13" s="7" t="inlineStr">
        <is>
          <t>General Electronic Invoice</t>
        </is>
      </c>
      <c r="L13" s="7" t="n">
        <v>0</v>
      </c>
    </row>
    <row r="14" ht="33" customHeight="1" s="20">
      <c r="B14" s="7" t="n">
        <v>8</v>
      </c>
      <c r="C14" s="19" t="n">
        <v>44869</v>
      </c>
      <c r="D14" s="7" t="inlineStr">
        <is>
          <t>152XXXX08</t>
        </is>
      </c>
      <c r="E14" s="7" t="inlineStr">
        <is>
          <t>Kingsoft Office Software Co., Ltd. 3</t>
        </is>
      </c>
      <c r="F14" s="7" t="inlineStr">
        <is>
          <t>255XXXXX27</t>
        </is>
      </c>
      <c r="G14" s="7" t="n">
        <v>65030</v>
      </c>
      <c r="H14" s="14" t="n">
        <v>0.06</v>
      </c>
      <c r="I14" s="7">
        <f>IF(G14="","",ROUND(G14/(1+H14),2))</f>
        <v/>
      </c>
      <c r="J14" s="7">
        <f>IF(I14="","",G14-I14)</f>
        <v/>
      </c>
      <c r="K14" s="7" t="inlineStr">
        <is>
          <t>Special Electronic Invoice</t>
        </is>
      </c>
      <c r="L14" s="7" t="n">
        <v>0</v>
      </c>
    </row>
    <row r="15" ht="33" customHeight="1" s="20">
      <c r="B15" s="7" t="n">
        <v>9</v>
      </c>
      <c r="C15" s="19" t="n">
        <v>44870</v>
      </c>
      <c r="D15" s="7" t="inlineStr">
        <is>
          <t>152XXXX09</t>
        </is>
      </c>
      <c r="E15" s="7" t="inlineStr">
        <is>
          <t>Kingsoft Office Software Co., Ltd. 4</t>
        </is>
      </c>
      <c r="F15" s="7" t="inlineStr">
        <is>
          <t>255XXXXX28</t>
        </is>
      </c>
      <c r="G15" s="7" t="n">
        <v>64911</v>
      </c>
      <c r="H15" s="14" t="n">
        <v>0.06</v>
      </c>
      <c r="I15" s="7">
        <f>IF(G15="","",ROUND(G15/(1+H15),2))</f>
        <v/>
      </c>
      <c r="J15" s="7">
        <f>IF(I15="","",G15-I15)</f>
        <v/>
      </c>
      <c r="K15" s="7" t="inlineStr">
        <is>
          <t>General Electronic Invoice</t>
        </is>
      </c>
      <c r="L15" s="7" t="n">
        <v>0</v>
      </c>
    </row>
    <row r="16" ht="33" customHeight="1" s="20">
      <c r="B16" s="7" t="n">
        <v>10</v>
      </c>
      <c r="C16" s="19" t="n">
        <v>44871</v>
      </c>
      <c r="D16" s="7" t="inlineStr">
        <is>
          <t>152XXXX10</t>
        </is>
      </c>
      <c r="E16" s="7" t="inlineStr">
        <is>
          <t>Kingsoft Office Software Co., Ltd. 5</t>
        </is>
      </c>
      <c r="F16" s="7" t="inlineStr">
        <is>
          <t>255XXXXX29</t>
        </is>
      </c>
      <c r="G16" s="7" t="n">
        <v>10824</v>
      </c>
      <c r="H16" s="14" t="n">
        <v>0.06</v>
      </c>
      <c r="I16" s="7">
        <f>IF(G16="","",ROUND(G16/(1+H16),2))</f>
        <v/>
      </c>
      <c r="J16" s="7">
        <f>IF(I16="","",G16-I16)</f>
        <v/>
      </c>
      <c r="K16" s="7" t="inlineStr">
        <is>
          <t>General Electronic Invoice</t>
        </is>
      </c>
      <c r="L16" s="7" t="n">
        <v>0</v>
      </c>
    </row>
    <row r="17" ht="33" customHeight="1" s="20">
      <c r="B17" s="7" t="n">
        <v>11</v>
      </c>
      <c r="C17" s="19" t="n">
        <v>44872</v>
      </c>
      <c r="D17" s="7" t="inlineStr">
        <is>
          <t>152XXXX11</t>
        </is>
      </c>
      <c r="E17" s="7" t="inlineStr">
        <is>
          <t>Kingsoft Office Software Co., Ltd. 4</t>
        </is>
      </c>
      <c r="F17" s="7" t="inlineStr">
        <is>
          <t>255XXXXX28</t>
        </is>
      </c>
      <c r="G17" s="7" t="n">
        <v>7313</v>
      </c>
      <c r="H17" s="14" t="n">
        <v>0.06</v>
      </c>
      <c r="I17" s="7">
        <f>IF(G17="","",ROUND(G17/(1+H17),2))</f>
        <v/>
      </c>
      <c r="J17" s="7">
        <f>IF(I17="","",G17-I17)</f>
        <v/>
      </c>
      <c r="K17" s="7" t="inlineStr">
        <is>
          <t>General Electronic Invoice</t>
        </is>
      </c>
      <c r="L17" s="7" t="n">
        <v>0</v>
      </c>
    </row>
    <row r="18" ht="33" customHeight="1" s="20">
      <c r="B18" s="7" t="n">
        <v>12</v>
      </c>
      <c r="C18" s="19" t="n">
        <v>44873</v>
      </c>
      <c r="D18" s="7" t="inlineStr">
        <is>
          <t>152XXXX12</t>
        </is>
      </c>
      <c r="E18" s="7" t="inlineStr">
        <is>
          <t>Kingsoft Office Software Co., Ltd. 5</t>
        </is>
      </c>
      <c r="F18" s="7" t="inlineStr">
        <is>
          <t>255XXXXX29</t>
        </is>
      </c>
      <c r="G18" s="7" t="n">
        <v>68716</v>
      </c>
      <c r="H18" s="14" t="n">
        <v>0.06</v>
      </c>
      <c r="I18" s="7">
        <f>IF(G18="","",ROUND(G18/(1+H18),2))</f>
        <v/>
      </c>
      <c r="J18" s="7">
        <f>IF(I18="","",G18-I18)</f>
        <v/>
      </c>
      <c r="K18" s="7" t="inlineStr">
        <is>
          <t>Special Electronic Invoice</t>
        </is>
      </c>
      <c r="L18" s="7" t="n">
        <v>0</v>
      </c>
    </row>
  </sheetData>
  <mergeCells count="6">
    <mergeCell ref="G4:H4"/>
    <mergeCell ref="B4:C4"/>
    <mergeCell ref="B1:N1"/>
    <mergeCell ref="B3:C3"/>
    <mergeCell ref="N3:N4"/>
    <mergeCell ref="G3:H3"/>
  </mergeCells>
  <conditionalFormatting sqref="B7:L999875 N7:N999875">
    <cfRule type="expression" priority="1" dxfId="0">
      <formula>$B7=""</formula>
    </cfRule>
    <cfRule type="expression" priority="2" dxfId="1">
      <formula>MOD(ROW(),2)=0</formula>
    </cfRule>
  </conditionalFormatting>
  <dataValidations count="2">
    <dataValidation sqref="I4 K7 K8:K18 K19:K1048576" showDropDown="0" showInputMessage="1" showErrorMessage="1" allowBlank="1" type="list">
      <formula1>$N$7:$N$18</formula1>
    </dataValidation>
    <dataValidation sqref="L7:L18 L19:L1048576" showDropDown="0" showInputMessage="1" showErrorMessage="1" allowBlank="1" type="list">
      <formula1>"1,0"</formula1>
    </dataValidation>
  </dataValidations>
  <printOptions horizontalCentered="1" verticalCentered="1"/>
  <pageMargins left="0" right="0" top="0" bottom="0" header="0.31496062992126" footer="0.31496062992126"/>
  <pageSetup orientation="landscape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8"/>
  <sheetViews>
    <sheetView showGridLines="0" topLeftCell="A1" workbookViewId="0">
      <selection activeCell="A9" sqref="A9:XFD141"/>
    </sheetView>
  </sheetViews>
  <sheetFormatPr baseColWidth="8" defaultColWidth="9.00390625" defaultRowHeight="33" customHeight="1" outlineLevelRow="7"/>
  <cols>
    <col width="0.74609375" customWidth="1" style="4" min="1" max="1"/>
    <col width="7.625" customWidth="1" style="4" min="2" max="2"/>
    <col width="11.875" customWidth="1" style="22" min="3" max="3"/>
    <col width="11.75390625" customWidth="1" style="4" min="4" max="4"/>
    <col width="24.625" customWidth="1" style="4" min="5" max="5"/>
    <col width="15.00390625" customWidth="1" style="4" min="6" max="6"/>
    <col width="11.00390625" customWidth="1" style="4" min="7" max="7"/>
    <col width="8.375" customWidth="1" style="4" min="8" max="8"/>
    <col width="11.00390625" customWidth="1" style="4" min="9" max="10"/>
    <col width="11.375" customWidth="1" style="4" min="11" max="12"/>
    <col width="10.125" customWidth="1" style="4" min="13" max="13"/>
    <col width="9.00390625" customWidth="1" style="4" min="14" max="16384"/>
  </cols>
  <sheetData>
    <row r="1" ht="55.5" customHeight="1" s="20">
      <c r="B1" s="3" t="inlineStr">
        <is>
          <t>E-Invoice Registration Detail Statistics Table</t>
        </is>
      </c>
    </row>
    <row r="2" ht="6" customHeight="1" s="20">
      <c r="C2" s="4" t="n"/>
    </row>
    <row r="3" ht="33" customHeight="1" s="20">
      <c r="B3" s="4" t="inlineStr">
        <is>
          <t>Query Purchaser Name:</t>
        </is>
      </c>
      <c r="D3" s="4" t="inlineStr">
        <is>
          <t>Kingsoft Office Software Co., Ltd. 4</t>
        </is>
      </c>
      <c r="F3" s="4" t="inlineStr">
        <is>
          <t>Price and Tax Total</t>
        </is>
      </c>
      <c r="G3" s="5">
        <f>SUM($G$6:$G$999866)</f>
        <v/>
      </c>
      <c r="I3" s="4" t="inlineStr">
        <is>
          <t>Total Amount</t>
        </is>
      </c>
      <c r="J3" s="5">
        <f>SUM($I$6:$I$999866)</f>
        <v/>
      </c>
      <c r="K3" s="4" t="inlineStr">
        <is>
          <t>Tax amount total</t>
        </is>
      </c>
      <c r="L3" s="5">
        <f>SUM($J$6:$J$999866)</f>
        <v/>
      </c>
    </row>
    <row r="4" ht="6.75" customHeight="1" s="20">
      <c r="C4" s="4" t="n"/>
    </row>
    <row r="5" ht="35.25" customHeight="1" s="20">
      <c r="B5" s="6" t="inlineStr">
        <is>
          <t>Serial Number</t>
        </is>
      </c>
      <c r="C5" s="6" t="inlineStr">
        <is>
          <t>Issue Date</t>
        </is>
      </c>
      <c r="D5" s="6" t="inlineStr">
        <is>
          <t>Invoice Number</t>
        </is>
      </c>
      <c r="E5" s="6" t="inlineStr">
        <is>
          <t>Purchaser Name</t>
        </is>
      </c>
      <c r="F5" s="6" t="inlineStr">
        <is>
          <t>Buyer's Email Address</t>
        </is>
      </c>
      <c r="G5" s="6" t="inlineStr">
        <is>
          <t>Price and Tax Total</t>
        </is>
      </c>
      <c r="H5" s="6" t="inlineStr">
        <is>
          <t>Tax Rate</t>
        </is>
      </c>
      <c r="I5" s="6" t="inlineStr">
        <is>
          <t>Total Amount</t>
        </is>
      </c>
      <c r="J5" s="6" t="inlineStr">
        <is>
          <t>Tax amount total</t>
        </is>
      </c>
      <c r="K5" s="6" t="inlineStr">
        <is>
          <t>Electronic Invoice Type</t>
        </is>
      </c>
      <c r="L5" s="8" t="inlineStr">
        <is>
          <t>Whether
Send to customer</t>
        </is>
      </c>
    </row>
    <row r="6" ht="33" customHeight="1" s="20">
      <c r="B6" s="7" t="n">
        <v>1</v>
      </c>
      <c r="C6" s="22">
        <f t="array" ref="C6:L8">_xlfn._xlws.FILTER(Sheet1!$C$6:$L$999876,Sheet1!$E$6:$E$999876=D3)</f>
        <v/>
      </c>
      <c r="D6" s="4" t="inlineStr">
        <is>
          <t>152XXXX04</t>
        </is>
      </c>
      <c r="E6" s="4" t="inlineStr">
        <is>
          <t>金山办公软件有限公司4</t>
        </is>
      </c>
      <c r="F6" s="4" t="inlineStr">
        <is>
          <t>255XXXXX28</t>
        </is>
      </c>
      <c r="G6" s="4" t="n">
        <v>60345</v>
      </c>
      <c r="H6" s="4" t="n">
        <v>0.06</v>
      </c>
      <c r="I6" s="4" t="n">
        <v>56929.25</v>
      </c>
      <c r="J6" s="4" t="n">
        <v>3415.75</v>
      </c>
      <c r="K6" s="4" t="inlineStr">
        <is>
          <t>电子专票</t>
        </is>
      </c>
      <c r="L6" s="4" t="n">
        <v>1</v>
      </c>
    </row>
    <row r="7" ht="33" customHeight="1" s="20">
      <c r="B7" s="7" t="n">
        <v>2</v>
      </c>
      <c r="C7" s="22" t="n">
        <v>44870</v>
      </c>
      <c r="D7" s="4" t="inlineStr">
        <is>
          <t>152XXXX09</t>
        </is>
      </c>
      <c r="E7" s="4" t="inlineStr">
        <is>
          <t>金山办公软件有限公司4</t>
        </is>
      </c>
      <c r="F7" s="4" t="inlineStr">
        <is>
          <t>255XXXXX28</t>
        </is>
      </c>
      <c r="G7" s="4" t="n">
        <v>64911</v>
      </c>
      <c r="H7" s="4" t="n">
        <v>0.06</v>
      </c>
      <c r="I7" s="4" t="n">
        <v>61236.79</v>
      </c>
      <c r="J7" s="4" t="n">
        <v>3674.21</v>
      </c>
      <c r="K7" s="4" t="inlineStr">
        <is>
          <t>电子普票</t>
        </is>
      </c>
      <c r="L7" s="4" t="n">
        <v>0</v>
      </c>
    </row>
    <row r="8" ht="33" customHeight="1" s="20">
      <c r="B8" s="4" t="n">
        <v>3</v>
      </c>
      <c r="C8" s="22" t="n">
        <v>44872</v>
      </c>
      <c r="D8" s="4" t="inlineStr">
        <is>
          <t>152XXXX11</t>
        </is>
      </c>
      <c r="E8" s="4" t="inlineStr">
        <is>
          <t>金山办公软件有限公司4</t>
        </is>
      </c>
      <c r="F8" s="4" t="inlineStr">
        <is>
          <t>255XXXXX28</t>
        </is>
      </c>
      <c r="G8" s="4" t="n">
        <v>7313</v>
      </c>
      <c r="H8" s="4" t="n">
        <v>0.06</v>
      </c>
      <c r="I8" s="4" t="n">
        <v>6899.06</v>
      </c>
      <c r="J8" s="4" t="n">
        <v>413.94</v>
      </c>
      <c r="K8" s="4" t="inlineStr">
        <is>
          <t>电子普票</t>
        </is>
      </c>
      <c r="L8" s="4" t="n">
        <v>0</v>
      </c>
    </row>
  </sheetData>
  <mergeCells count="4">
    <mergeCell ref="B3:C3"/>
    <mergeCell ref="G3:H3"/>
    <mergeCell ref="D3:E3"/>
    <mergeCell ref="B1:L1"/>
  </mergeCells>
  <conditionalFormatting sqref="B6:L999866">
    <cfRule type="expression" priority="1" dxfId="0">
      <formula>$B6=""</formula>
    </cfRule>
    <cfRule type="expression" priority="2" dxfId="1">
      <formula>MOD(ROW(),2)=1</formula>
    </cfRule>
  </conditionalFormatting>
  <printOptions horizontalCentered="1" verticalCentered="1"/>
  <pageMargins left="0" right="0" top="0" bottom="0" header="0.31496062992126" footer="0.31496062992126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2022-11-08T07:37:00Z</dcterms:created>
  <dcterms:modified xsi:type="dcterms:W3CDTF">2025-07-08T11:34:23Z</dcterms:modified>
  <cp:lastModifiedBy>UMBRA~</cp:lastModifiedBy>
  <cp:lastPrinted>2022-11-08T08:12:00Z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BF8B496B30DC4653B95F7FC181F796B3</vt:lpwstr>
  </property>
  <property name="KSOProductBuildVer" fmtid="{D5CDD505-2E9C-101B-9397-08002B2CF9AE}" pid="3">
    <vt:lpwstr>2052-12.1.0.16388</vt:lpwstr>
  </property>
  <property name="KSOTemplateUUID" fmtid="{D5CDD505-2E9C-101B-9397-08002B2CF9AE}" pid="4">
    <vt:lpwstr>v1.0_mb_Zh0T6uK4Xk5eVWf+eXXeiQ==</vt:lpwstr>
  </property>
</Properties>
</file>