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550" windowHeight="12375" tabRatio="600" firstSheet="1" autoFilterDateGrouping="1"/>
  </bookViews>
  <sheets>
    <sheet name="Sheet1" sheetId="1" state="visible" r:id="rId1"/>
  </sheets>
  <definedNames>
    <definedName name="_xlnm.Print_Area" localSheetId="0">'Sheet1'!$A$1:$Q$20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&quot;￥&quot;* #,##0.00_ ;_ &quot;￥&quot;* \-#,##0.00_ ;_ &quot;￥&quot;* &quot;-&quot;??_ ;_ @_ "/>
  </numFmts>
  <fonts count="26">
    <font>
      <name val="宋体"/>
      <family val="2"/>
      <color theme="1"/>
      <sz val="11"/>
      <scheme val="minor"/>
    </font>
    <font>
      <name val="Arial"/>
      <family val="2"/>
      <sz val="10"/>
    </font>
    <font>
      <name val="汉仪正圆-75W"/>
      <family val="2"/>
      <color theme="1"/>
      <sz val="12"/>
    </font>
    <font>
      <name val="汉仪正圆-75W"/>
      <family val="2"/>
      <color theme="1"/>
      <sz val="11"/>
    </font>
    <font>
      <name val="宋体"/>
      <family val="2"/>
      <color theme="1"/>
      <sz val="12"/>
      <scheme val="minor"/>
    </font>
    <font>
      <name val="汉仪文黑-85W"/>
      <family val="2"/>
      <color theme="1"/>
      <sz val="16"/>
    </font>
    <font>
      <name val="汉仪文黑-85W"/>
      <family val="2"/>
      <color theme="1"/>
      <sz val="26"/>
    </font>
    <font>
      <name val="汉仪文黑-85W"/>
      <family val="2"/>
      <color theme="0"/>
      <sz val="16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rgb="FF19A382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/>
    </border>
    <border>
      <left style="thin"/>
      <right/>
      <top style="thin"/>
      <bottom style="thin"/>
    </border>
    <border>
      <left/>
      <right/>
      <top style="thin"/>
      <bottom style="thin"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  <border>
      <left style="thin"/>
      <right/>
      <top style="thin"/>
      <bottom/>
    </border>
    <border>
      <left/>
      <right style="thin"/>
      <top style="thin"/>
      <bottom/>
    </border>
    <border>
      <left style="thin"/>
      <right/>
      <top/>
      <bottom style="thin"/>
    </border>
    <border>
      <left/>
      <right style="thin"/>
      <top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8" fillId="0" borderId="0"/>
    <xf numFmtId="0" fontId="9" fillId="0" borderId="0"/>
    <xf numFmtId="0" fontId="0" fillId="2" borderId="1"/>
    <xf numFmtId="0" fontId="10" fillId="0" borderId="0"/>
    <xf numFmtId="0" fontId="11" fillId="0" borderId="0"/>
    <xf numFmtId="0" fontId="12" fillId="0" borderId="0"/>
    <xf numFmtId="0" fontId="13" fillId="0" borderId="2"/>
    <xf numFmtId="0" fontId="14" fillId="0" borderId="2"/>
    <xf numFmtId="0" fontId="15" fillId="0" borderId="3"/>
    <xf numFmtId="0" fontId="15" fillId="0" borderId="0"/>
    <xf numFmtId="0" fontId="16" fillId="3" borderId="4"/>
    <xf numFmtId="0" fontId="17" fillId="4" borderId="5"/>
    <xf numFmtId="0" fontId="18" fillId="4" borderId="4"/>
    <xf numFmtId="0" fontId="19" fillId="5" borderId="6"/>
    <xf numFmtId="0" fontId="20" fillId="0" borderId="7"/>
    <xf numFmtId="0" fontId="21" fillId="0" borderId="8"/>
    <xf numFmtId="0" fontId="22" fillId="6" borderId="0"/>
    <xf numFmtId="0" fontId="23" fillId="7" borderId="0"/>
    <xf numFmtId="0" fontId="24" fillId="8" borderId="0"/>
    <xf numFmtId="0" fontId="25" fillId="9" borderId="0"/>
    <xf numFmtId="0" fontId="0" fillId="10" borderId="0"/>
    <xf numFmtId="0" fontId="0" fillId="11" borderId="0"/>
    <xf numFmtId="0" fontId="25" fillId="12" borderId="0"/>
    <xf numFmtId="0" fontId="25" fillId="13" borderId="0"/>
    <xf numFmtId="0" fontId="0" fillId="14" borderId="0"/>
    <xf numFmtId="0" fontId="0" fillId="15" borderId="0"/>
    <xf numFmtId="0" fontId="25" fillId="16" borderId="0"/>
    <xf numFmtId="0" fontId="25" fillId="17" borderId="0"/>
    <xf numFmtId="0" fontId="0" fillId="18" borderId="0"/>
    <xf numFmtId="0" fontId="0" fillId="19" borderId="0"/>
    <xf numFmtId="0" fontId="25" fillId="20" borderId="0"/>
    <xf numFmtId="0" fontId="25" fillId="21" borderId="0"/>
    <xf numFmtId="0" fontId="0" fillId="22" borderId="0"/>
    <xf numFmtId="0" fontId="0" fillId="23" borderId="0"/>
    <xf numFmtId="0" fontId="25" fillId="24" borderId="0"/>
    <xf numFmtId="0" fontId="25" fillId="25" borderId="0"/>
    <xf numFmtId="0" fontId="0" fillId="26" borderId="0"/>
    <xf numFmtId="0" fontId="0" fillId="27" borderId="0"/>
    <xf numFmtId="0" fontId="25" fillId="28" borderId="0"/>
    <xf numFmtId="0" fontId="25" fillId="29" borderId="0"/>
    <xf numFmtId="0" fontId="0" fillId="30" borderId="0"/>
    <xf numFmtId="0" fontId="0" fillId="31" borderId="0"/>
    <xf numFmtId="0" fontId="25" fillId="32" borderId="0"/>
    <xf numFmtId="0" fontId="8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  <xf numFmtId="0" fontId="5" fillId="34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 wrapText="1"/>
    </xf>
    <xf numFmtId="164" fontId="5" fillId="34" borderId="0" applyAlignment="1" pivotButton="0" quotePrefix="0" xfId="0">
      <alignment horizontal="center" vertical="center"/>
    </xf>
    <xf numFmtId="0" fontId="7" fillId="33" borderId="9" applyAlignment="1" pivotButton="0" quotePrefix="0" xfId="0">
      <alignment horizontal="center" vertical="center"/>
    </xf>
    <xf numFmtId="0" fontId="7" fillId="33" borderId="9" applyAlignment="1" pivotButton="0" quotePrefix="0" xfId="0">
      <alignment horizontal="center" vertical="center" wrapText="1"/>
    </xf>
    <xf numFmtId="0" fontId="7" fillId="33" borderId="10" applyAlignment="1" pivotButton="0" quotePrefix="0" xfId="0">
      <alignment horizontal="center" vertical="center"/>
    </xf>
    <xf numFmtId="0" fontId="7" fillId="33" borderId="11" applyAlignment="1" pivotButton="0" quotePrefix="0" xfId="0">
      <alignment horizontal="center" vertical="center"/>
    </xf>
    <xf numFmtId="0" fontId="7" fillId="33" borderId="12" applyAlignment="1" pivotButton="0" quotePrefix="0" xfId="0">
      <alignment horizontal="center" vertical="center"/>
    </xf>
    <xf numFmtId="0" fontId="7" fillId="33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20" fontId="5" fillId="0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7" fillId="33" borderId="14" applyAlignment="1" pivotButton="0" quotePrefix="0" xfId="0">
      <alignment horizontal="center" vertical="center" wrapText="1"/>
    </xf>
    <xf numFmtId="0" fontId="7" fillId="33" borderId="15" applyAlignment="1" pivotButton="0" quotePrefix="0" xfId="0">
      <alignment horizontal="center" vertical="center"/>
    </xf>
    <xf numFmtId="0" fontId="7" fillId="33" borderId="16" applyAlignment="1" pivotButton="0" quotePrefix="0" xfId="0">
      <alignment horizontal="center" vertical="center"/>
    </xf>
    <xf numFmtId="0" fontId="7" fillId="33" borderId="17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8" fillId="0" borderId="0" applyAlignment="1" pivotButton="0" quotePrefix="0" xfId="68">
      <alignment vertical="center"/>
    </xf>
    <xf numFmtId="0" fontId="8" fillId="0" borderId="0" applyAlignment="1" pivotButton="0" quotePrefix="0" xfId="0">
      <alignment vertical="center"/>
    </xf>
    <xf numFmtId="0" fontId="0" fillId="0" borderId="0" pivotButton="0" quotePrefix="0" xfId="0"/>
    <xf numFmtId="164" fontId="5" fillId="34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7" fillId="33" borderId="13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2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20"/>
  <sheetViews>
    <sheetView showGridLines="0" topLeftCell="B5" zoomScale="55" zoomScaleNormal="55" workbookViewId="0">
      <selection activeCell="S19" sqref="S19"/>
    </sheetView>
  </sheetViews>
  <sheetFormatPr baseColWidth="8" defaultColWidth="8.625" defaultRowHeight="13.5"/>
  <cols>
    <col width="8.625" customWidth="1" style="4" min="1" max="1"/>
    <col width="13.75390625" customWidth="1" style="4" min="2" max="2"/>
    <col width="13.50390625" customWidth="1" style="4" min="3" max="3"/>
    <col width="14.875" customWidth="1" style="4" min="4" max="4"/>
    <col width="12.75390625" customWidth="1" style="4" min="5" max="5"/>
    <col width="12.625" customWidth="1" style="4" min="6" max="6"/>
    <col width="11.625" customWidth="1" style="4" min="7" max="7"/>
    <col width="12.50390625" customWidth="1" style="4" min="8" max="8"/>
    <col width="13.625" customWidth="1" style="4" min="9" max="9"/>
    <col width="13.50390625" customWidth="1" style="4" min="10" max="10"/>
    <col width="11.875" customWidth="1" style="4" min="11" max="11"/>
    <col width="8.625" customWidth="1" style="4" min="12" max="12"/>
    <col width="6.625" customWidth="1" style="4" min="13" max="13"/>
    <col width="13.00390625" customWidth="1" style="4" min="14" max="14"/>
    <col width="14.00390625" customWidth="1" style="4" min="15" max="15"/>
    <col width="20.125" customWidth="1" style="4" min="16" max="16"/>
    <col width="14.125" customWidth="1" style="4" min="17" max="17"/>
  </cols>
  <sheetData>
    <row r="1" ht="10.5" customHeight="1" s="29"/>
    <row r="2" ht="22.5" customFormat="1" customHeight="1" s="1">
      <c r="A2" s="5" t="inlineStr">
        <is>
          <t>Employee Overtime Expense Statistics Table</t>
        </is>
      </c>
    </row>
    <row r="3" ht="22.5" customFormat="1" customHeight="1" s="2"/>
    <row r="4" ht="4.5" customFormat="1" customHeight="1" s="2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</row>
    <row r="5" ht="21.75" customFormat="1" customHeight="1" s="1">
      <c r="A5" s="6" t="inlineStr">
        <is>
          <t>Enter employee name</t>
        </is>
      </c>
      <c r="C5" s="7" t="inlineStr">
        <is>
          <t>Rao Xiaoke1</t>
        </is>
      </c>
      <c r="D5" s="8" t="inlineStr">
        <is>
          <t>Query  
Overtime Times</t>
        </is>
      </c>
      <c r="E5" s="7">
        <f>COUNTIF(D10:D2392,C5)</f>
        <v/>
      </c>
      <c r="F5" s="8" t="inlineStr">
        <is>
          <t>Query Overtime  
Total Cost</t>
        </is>
      </c>
      <c r="G5" s="30">
        <f>SUMIF(D:D,C5,L:L)</f>
        <v/>
      </c>
      <c r="J5" s="4" t="n"/>
      <c r="K5" s="18" t="inlineStr">
        <is>
          <t>Total Overtime Pay
Total:</t>
        </is>
      </c>
      <c r="M5" s="31">
        <f>SUM(L10:M2392)</f>
        <v/>
      </c>
      <c r="P5" s="4" t="n"/>
      <c r="Q5" s="4" t="n"/>
    </row>
    <row r="6" ht="21.75" customFormat="1" customHeight="1" s="1">
      <c r="J6" s="4" t="n"/>
      <c r="P6" s="4" t="n"/>
      <c r="Q6" s="4" t="n"/>
    </row>
    <row r="7" ht="4.5" customFormat="1" customHeight="1" s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 ht="30" customHeight="1" s="29">
      <c r="A8" s="15" t="inlineStr">
        <is>
          <t>Serial Number</t>
        </is>
      </c>
      <c r="B8" s="15" t="inlineStr">
        <is>
          <t>Registration Date</t>
        </is>
      </c>
      <c r="C8" s="32" t="inlineStr">
        <is>
          <t>Employee
Number</t>
        </is>
      </c>
      <c r="D8" s="15" t="inlineStr">
        <is>
          <t>Name</t>
        </is>
      </c>
      <c r="E8" s="15" t="inlineStr">
        <is>
          <t>Department</t>
        </is>
      </c>
      <c r="F8" s="15" t="inlineStr">
        <is>
          <t>Position</t>
        </is>
      </c>
      <c r="G8" s="12" t="inlineStr">
        <is>
          <t>Overtime Duration</t>
        </is>
      </c>
      <c r="H8" s="33" t="n"/>
      <c r="I8" s="33" t="n"/>
      <c r="J8" s="15" t="inlineStr">
        <is>
          <t>Category</t>
        </is>
      </c>
      <c r="K8" s="15" t="inlineStr">
        <is>
          <t>Unit Price / Yuan</t>
        </is>
      </c>
      <c r="L8" s="32" t="inlineStr">
        <is>
          <t>Total Overtime
Wage/Yuan</t>
        </is>
      </c>
      <c r="M8" s="34" t="n"/>
      <c r="N8" s="15" t="inlineStr">
        <is>
          <t>Recorder</t>
        </is>
      </c>
      <c r="O8" s="32" t="inlineStr">
        <is>
          <t>Employee  
Verification</t>
        </is>
      </c>
      <c r="P8" s="15" t="inlineStr">
        <is>
          <t>Explanation</t>
        </is>
      </c>
      <c r="Q8" s="34" t="n"/>
    </row>
    <row r="9" ht="39" customHeight="1" s="29">
      <c r="A9" s="35" t="n"/>
      <c r="B9" s="35" t="n"/>
      <c r="C9" s="35" t="n"/>
      <c r="D9" s="35" t="n"/>
      <c r="E9" s="35" t="n"/>
      <c r="F9" s="35" t="n"/>
      <c r="G9" s="15" t="inlineStr">
        <is>
          <t>Start</t>
        </is>
      </c>
      <c r="H9" s="15" t="inlineStr">
        <is>
          <t>End</t>
        </is>
      </c>
      <c r="I9" s="12" t="inlineStr">
        <is>
          <t>Duration / Hours</t>
        </is>
      </c>
      <c r="J9" s="35" t="n"/>
      <c r="K9" s="35" t="n"/>
      <c r="L9" s="36" t="n"/>
      <c r="M9" s="37" t="n"/>
      <c r="N9" s="35" t="n"/>
      <c r="O9" s="35" t="n"/>
      <c r="P9" s="36" t="n"/>
      <c r="Q9" s="37" t="n"/>
    </row>
    <row r="10" ht="31.5" customHeight="1" s="29">
      <c r="A10" s="16" t="n">
        <v>1</v>
      </c>
      <c r="B10" s="16" t="inlineStr">
        <is>
          <t>Year Month Day</t>
        </is>
      </c>
      <c r="C10" s="16" t="n">
        <v>3101</v>
      </c>
      <c r="D10" s="16" t="inlineStr">
        <is>
          <t>Rao Xiaoke1</t>
        </is>
      </c>
      <c r="E10" s="16" t="inlineStr">
        <is>
          <t>xx Department</t>
        </is>
      </c>
      <c r="F10" s="16" t="inlineStr">
        <is>
          <t>Position 1</t>
        </is>
      </c>
      <c r="G10" s="17" t="n">
        <v>0.7916666666666666</v>
      </c>
      <c r="H10" s="17" t="n">
        <v>0.875</v>
      </c>
      <c r="I10" s="16">
        <f>IF(B10="","",MOD(H10-G10,1)*24)</f>
        <v/>
      </c>
      <c r="J10" s="16" t="inlineStr">
        <is>
          <t>Workday</t>
        </is>
      </c>
      <c r="K10" s="16">
        <f>_XLFN.IFS(J10="","",J10="工作日",15*1.5,J10="节假日",15*2,J10="法定日",15*3)</f>
        <v/>
      </c>
      <c r="L10" s="16">
        <f>IF(B10="","",I10*K10)</f>
        <v/>
      </c>
      <c r="M10" s="38" t="n"/>
      <c r="N10" s="16" t="inlineStr">
        <is>
          <t>Rice Kernel</t>
        </is>
      </c>
      <c r="O10" s="16" t="inlineStr">
        <is>
          <t>Rao Xiaoke1</t>
        </is>
      </c>
      <c r="P10" s="16" t="inlineStr">
        <is>
          <t>Workday Overtime</t>
        </is>
      </c>
      <c r="Q10" s="16" t="inlineStr">
        <is>
          <t>1.5 times salary</t>
        </is>
      </c>
    </row>
    <row r="11" ht="31.5" customHeight="1" s="29">
      <c r="A11" s="16" t="n">
        <v>2</v>
      </c>
      <c r="B11" s="16" t="inlineStr">
        <is>
          <t>Year Month Day</t>
        </is>
      </c>
      <c r="C11" s="16" t="n">
        <v>3102</v>
      </c>
      <c r="D11" s="16" t="inlineStr">
        <is>
          <t>RiceShell2</t>
        </is>
      </c>
      <c r="E11" s="16" t="inlineStr">
        <is>
          <t>xx Department</t>
        </is>
      </c>
      <c r="F11" s="16" t="inlineStr">
        <is>
          <t>Position 2</t>
        </is>
      </c>
      <c r="G11" s="17" t="n">
        <v>0.375</v>
      </c>
      <c r="H11" s="17" t="n">
        <v>0.4583333333333333</v>
      </c>
      <c r="I11" s="16">
        <f>IF(B11="","",MOD(H11-G11,1)*24)</f>
        <v/>
      </c>
      <c r="J11" s="16" t="inlineStr">
        <is>
          <t>Workday</t>
        </is>
      </c>
      <c r="K11" s="16">
        <f>_XLFN.IFS(J11="","",J11="工作日",15*1.5,J11="节假日",15*2,J11="法定日",15*3)</f>
        <v/>
      </c>
      <c r="L11" s="16">
        <f>IF(B11="","",I11*K11)</f>
        <v/>
      </c>
      <c r="M11" s="38" t="n"/>
      <c r="N11" s="16" t="inlineStr">
        <is>
          <t>Rice Kernel</t>
        </is>
      </c>
      <c r="O11" s="16" t="inlineStr">
        <is>
          <t>RiceShell2</t>
        </is>
      </c>
      <c r="P11" s="16" t="inlineStr">
        <is>
          <t>Holiday Overtime</t>
        </is>
      </c>
      <c r="Q11" s="16" t="inlineStr">
        <is>
          <t>Double the salary</t>
        </is>
      </c>
    </row>
    <row r="12" ht="31.5" customFormat="1" customHeight="1" s="3">
      <c r="A12" s="16" t="n">
        <v>3</v>
      </c>
      <c r="B12" s="16" t="inlineStr">
        <is>
          <t>Year Month Day</t>
        </is>
      </c>
      <c r="C12" s="16" t="n">
        <v>3103</v>
      </c>
      <c r="D12" s="16" t="inlineStr">
        <is>
          <t>Dao Xiaoke3</t>
        </is>
      </c>
      <c r="E12" s="16" t="inlineStr">
        <is>
          <t>xx Department</t>
        </is>
      </c>
      <c r="F12" s="16" t="inlineStr">
        <is>
          <t>Position 3</t>
        </is>
      </c>
      <c r="G12" s="17" t="n">
        <v>0.5416666666666666</v>
      </c>
      <c r="H12" s="17" t="n">
        <v>0.75</v>
      </c>
      <c r="I12" s="16">
        <f>IF(B12="","",MOD(H12-G12,1)*24)</f>
        <v/>
      </c>
      <c r="J12" s="16" t="inlineStr">
        <is>
          <t>Workday</t>
        </is>
      </c>
      <c r="K12" s="16">
        <f>_XLFN.IFS(J12="","",J12="工作日",15*1.5,J12="节假日",15*2,J12="法定日",15*3)</f>
        <v/>
      </c>
      <c r="L12" s="16">
        <f>IF(B12="","",I12*K12)</f>
        <v/>
      </c>
      <c r="M12" s="38" t="n"/>
      <c r="N12" s="16" t="inlineStr">
        <is>
          <t>Rice Kernel</t>
        </is>
      </c>
      <c r="O12" s="16" t="inlineStr">
        <is>
          <t>Dao Xiaoke3</t>
        </is>
      </c>
      <c r="P12" s="16" t="inlineStr">
        <is>
          <t>Statutory Day Overtime</t>
        </is>
      </c>
      <c r="Q12" s="16" t="inlineStr">
        <is>
          <t>3 times salary</t>
        </is>
      </c>
    </row>
    <row r="13" ht="31.5" customHeight="1" s="29">
      <c r="A13" s="16" t="n">
        <v>4</v>
      </c>
      <c r="B13" s="16" t="inlineStr">
        <is>
          <t>Year Month Day</t>
        </is>
      </c>
      <c r="C13" s="16" t="n">
        <v>3104</v>
      </c>
      <c r="D13" s="16" t="inlineStr">
        <is>
          <t>Dao Xiaoke4</t>
        </is>
      </c>
      <c r="E13" s="16" t="inlineStr">
        <is>
          <t>xx Department</t>
        </is>
      </c>
      <c r="F13" s="16" t="inlineStr">
        <is>
          <t>Position 4</t>
        </is>
      </c>
      <c r="G13" s="17" t="n">
        <v>0.375</v>
      </c>
      <c r="H13" s="17" t="n">
        <v>0.5</v>
      </c>
      <c r="I13" s="16">
        <f>IF(B13="","",MOD(H13-G13,1)*24)</f>
        <v/>
      </c>
      <c r="J13" s="16" t="inlineStr">
        <is>
          <t>Workday</t>
        </is>
      </c>
      <c r="K13" s="16">
        <f>_XLFN.IFS(J13="","",J13="工作日",15*1.5,J13="节假日",15*2,J13="法定日",15*3)</f>
        <v/>
      </c>
      <c r="L13" s="16">
        <f>IF(B13="","",I13*K13)</f>
        <v/>
      </c>
      <c r="M13" s="38" t="n"/>
      <c r="N13" s="16" t="inlineStr">
        <is>
          <t>Rice Kernel</t>
        </is>
      </c>
      <c r="O13" s="16" t="inlineStr">
        <is>
          <t>Dao Xiaoke4</t>
        </is>
      </c>
      <c r="P13" s="16" t="inlineStr">
        <is>
          <t>Note: The basic duration unit price is 15 yuan.</t>
        </is>
      </c>
      <c r="Q13" s="34" t="n"/>
    </row>
    <row r="14" ht="31.5" customHeight="1" s="29">
      <c r="A14" s="16" t="n">
        <v>5</v>
      </c>
      <c r="B14" s="16" t="inlineStr">
        <is>
          <t>Year Month Day</t>
        </is>
      </c>
      <c r="C14" s="16" t="n">
        <v>3105</v>
      </c>
      <c r="D14" s="16" t="inlineStr">
        <is>
          <t>Dao Xiaoke5</t>
        </is>
      </c>
      <c r="E14" s="16" t="inlineStr">
        <is>
          <t>xx Department</t>
        </is>
      </c>
      <c r="F14" s="16" t="inlineStr">
        <is>
          <t>Position 5</t>
        </is>
      </c>
      <c r="G14" s="17" t="n">
        <v>0.375</v>
      </c>
      <c r="H14" s="17" t="n">
        <v>0.7083333333333334</v>
      </c>
      <c r="I14" s="16">
        <f>IF(B14="","",MOD(H14-G14,1)*24)</f>
        <v/>
      </c>
      <c r="J14" s="16" t="inlineStr">
        <is>
          <t>Public Holidays</t>
        </is>
      </c>
      <c r="K14" s="16">
        <f>_XLFN.IFS(J14="","",J14="工作日",15*1.5,J14="节假日",15*2,J14="法定日",15*3)</f>
        <v/>
      </c>
      <c r="L14" s="16">
        <f>IF(B14="","",I14*K14)</f>
        <v/>
      </c>
      <c r="M14" s="38" t="n"/>
      <c r="N14" s="16" t="inlineStr">
        <is>
          <t>Rice Kernel</t>
        </is>
      </c>
      <c r="O14" s="16" t="inlineStr">
        <is>
          <t>Dao Xiaoke5</t>
        </is>
      </c>
      <c r="P14" s="36" t="n"/>
      <c r="Q14" s="37" t="n"/>
    </row>
    <row r="15" ht="31.5" customHeight="1" s="29">
      <c r="A15" s="16" t="n">
        <v>6</v>
      </c>
      <c r="B15" s="16" t="inlineStr">
        <is>
          <t>Year Month Day</t>
        </is>
      </c>
      <c r="C15" s="16" t="n">
        <v>3106</v>
      </c>
      <c r="D15" s="16" t="inlineStr">
        <is>
          <t>Dao Xiaoke6</t>
        </is>
      </c>
      <c r="E15" s="16" t="inlineStr">
        <is>
          <t>xx Department</t>
        </is>
      </c>
      <c r="F15" s="16" t="inlineStr">
        <is>
          <t>Position 6</t>
        </is>
      </c>
      <c r="G15" s="17" t="n">
        <v>0.375</v>
      </c>
      <c r="H15" s="17" t="n">
        <v>0.4583333333333333</v>
      </c>
      <c r="I15" s="16">
        <f>IF(B15="","",MOD(H15-G15,1)*24)</f>
        <v/>
      </c>
      <c r="J15" s="16" t="inlineStr">
        <is>
          <t>Public Holidays</t>
        </is>
      </c>
      <c r="K15" s="16">
        <f>_XLFN.IFS(J15="","",J15="工作日",15*1.5,J15="节假日",15*2,J15="法定日",15*3)</f>
        <v/>
      </c>
      <c r="L15" s="16">
        <f>IF(B15="","",I15*K15)</f>
        <v/>
      </c>
      <c r="M15" s="38" t="n"/>
      <c r="N15" s="16" t="inlineStr">
        <is>
          <t>Rice Kernel</t>
        </is>
      </c>
      <c r="O15" s="16" t="inlineStr">
        <is>
          <t>Dao Xiaoke6</t>
        </is>
      </c>
      <c r="P15" s="15" t="inlineStr">
        <is>
          <t>Record Overtime Times</t>
        </is>
      </c>
      <c r="Q15" s="38" t="n"/>
    </row>
    <row r="16" ht="31.5" customHeight="1" s="29">
      <c r="A16" s="16" t="n">
        <v>7</v>
      </c>
      <c r="B16" s="16" t="inlineStr">
        <is>
          <t>Year Month Day</t>
        </is>
      </c>
      <c r="C16" s="16" t="n">
        <v>3107</v>
      </c>
      <c r="D16" s="16" t="inlineStr">
        <is>
          <t>Rao Xiaoke1</t>
        </is>
      </c>
      <c r="E16" s="16" t="inlineStr">
        <is>
          <t>xx Department</t>
        </is>
      </c>
      <c r="F16" s="16" t="inlineStr">
        <is>
          <t>Position 1</t>
        </is>
      </c>
      <c r="G16" s="17" t="n">
        <v>0.7916666666666666</v>
      </c>
      <c r="H16" s="17" t="n">
        <v>0.875</v>
      </c>
      <c r="I16" s="16">
        <f>IF(B16="","",MOD(H16-G16,1)*24)</f>
        <v/>
      </c>
      <c r="J16" s="16" t="inlineStr">
        <is>
          <t>Workday</t>
        </is>
      </c>
      <c r="K16" s="16">
        <f>_XLFN.IFS(J16="","",J16="工作日",15*1.5,J16="节假日",15*2,J16="法定日",15*3)</f>
        <v/>
      </c>
      <c r="L16" s="16">
        <f>IF(B16="","",I16*K16)</f>
        <v/>
      </c>
      <c r="M16" s="38" t="n"/>
      <c r="N16" s="16" t="inlineStr">
        <is>
          <t>Rice Kernel</t>
        </is>
      </c>
      <c r="O16" s="16" t="inlineStr">
        <is>
          <t>Rao Xiaoke1</t>
        </is>
      </c>
      <c r="P16" s="16">
        <f>COUNTA(D10:D2293)</f>
        <v/>
      </c>
      <c r="Q16" s="34" t="n"/>
    </row>
    <row r="17" ht="31.5" customHeight="1" s="29">
      <c r="A17" s="16" t="n">
        <v>8</v>
      </c>
      <c r="B17" s="16" t="inlineStr">
        <is>
          <t>Year Month Day</t>
        </is>
      </c>
      <c r="C17" s="16" t="n">
        <v>3108</v>
      </c>
      <c r="D17" s="16" t="inlineStr">
        <is>
          <t>Dao Xiaoke8</t>
        </is>
      </c>
      <c r="E17" s="16" t="inlineStr">
        <is>
          <t>xx Department</t>
        </is>
      </c>
      <c r="F17" s="16" t="inlineStr">
        <is>
          <t>Position 8</t>
        </is>
      </c>
      <c r="G17" s="17" t="n">
        <v>0.7916666666666666</v>
      </c>
      <c r="H17" s="17" t="n">
        <v>0.875</v>
      </c>
      <c r="I17" s="16">
        <f>IF(B17="","",MOD(H17-G17,1)*24)</f>
        <v/>
      </c>
      <c r="J17" s="16" t="inlineStr">
        <is>
          <t>Workday</t>
        </is>
      </c>
      <c r="K17" s="16">
        <f>_XLFN.IFS(J17="","",J17="工作日",15*1.5,J17="节假日",15*2,J17="法定日",15*3)</f>
        <v/>
      </c>
      <c r="L17" s="16">
        <f>IF(B17="","",I17*K17)</f>
        <v/>
      </c>
      <c r="M17" s="38" t="n"/>
      <c r="N17" s="16" t="inlineStr">
        <is>
          <t>Rice Kernel</t>
        </is>
      </c>
      <c r="O17" s="16" t="inlineStr">
        <is>
          <t>Dao Xiaoke8</t>
        </is>
      </c>
      <c r="P17" s="36" t="n"/>
      <c r="Q17" s="37" t="n"/>
    </row>
    <row r="18" ht="31.5" customHeight="1" s="29">
      <c r="A18" s="16" t="n">
        <v>9</v>
      </c>
      <c r="B18" s="16" t="inlineStr">
        <is>
          <t>Year Month Day</t>
        </is>
      </c>
      <c r="C18" s="16" t="n">
        <v>3109</v>
      </c>
      <c r="D18" s="16" t="inlineStr">
        <is>
          <t>Dao Xiaoke9</t>
        </is>
      </c>
      <c r="E18" s="16" t="inlineStr">
        <is>
          <t>xx Department</t>
        </is>
      </c>
      <c r="F18" s="16" t="inlineStr">
        <is>
          <t>Position 9</t>
        </is>
      </c>
      <c r="G18" s="17" t="n">
        <v>0.7916666666666666</v>
      </c>
      <c r="H18" s="17" t="n">
        <v>0.875</v>
      </c>
      <c r="I18" s="16">
        <f>IF(B18="","",MOD(H18-G18,1)*24)</f>
        <v/>
      </c>
      <c r="J18" s="16" t="inlineStr">
        <is>
          <t>Legal Day</t>
        </is>
      </c>
      <c r="K18" s="16">
        <f>_XLFN.IFS(J18="","",J18="工作日",15*1.5,J18="节假日",15*2,J18="法定日",15*3)</f>
        <v/>
      </c>
      <c r="L18" s="16">
        <f>IF(B18="","",I18*K18)</f>
        <v/>
      </c>
      <c r="M18" s="38" t="n"/>
      <c r="N18" s="16" t="inlineStr">
        <is>
          <t>Rice Kernel</t>
        </is>
      </c>
      <c r="O18" s="16" t="inlineStr">
        <is>
          <t>Dao Xiaoke9</t>
        </is>
      </c>
      <c r="P18" s="15" t="inlineStr">
        <is>
          <t>Register Overtime Total Duration</t>
        </is>
      </c>
      <c r="Q18" s="38" t="n"/>
    </row>
    <row r="19" ht="31.5" customHeight="1" s="29">
      <c r="A19" s="16" t="n">
        <v>10</v>
      </c>
      <c r="B19" s="16" t="inlineStr">
        <is>
          <t>Year Month Day</t>
        </is>
      </c>
      <c r="C19" s="16" t="n">
        <v>3110</v>
      </c>
      <c r="D19" s="16" t="inlineStr">
        <is>
          <t>Dao Xiaoke 10</t>
        </is>
      </c>
      <c r="E19" s="16" t="inlineStr">
        <is>
          <t>xx Department</t>
        </is>
      </c>
      <c r="F19" s="16" t="inlineStr">
        <is>
          <t>Position 10</t>
        </is>
      </c>
      <c r="G19" s="17" t="n">
        <v>0.7916666666666666</v>
      </c>
      <c r="H19" s="17" t="n">
        <v>0.875</v>
      </c>
      <c r="I19" s="16">
        <f>IF(B19="","",MOD(H19-G19,1)*24)</f>
        <v/>
      </c>
      <c r="J19" s="16" t="inlineStr">
        <is>
          <t>Legal Day</t>
        </is>
      </c>
      <c r="K19" s="16">
        <f>_XLFN.IFS(J19="","",J19="工作日",15*1.5,J19="节假日",15*2,J19="法定日",15*3)</f>
        <v/>
      </c>
      <c r="L19" s="16">
        <f>IF(B19="","",I19*K19)</f>
        <v/>
      </c>
      <c r="M19" s="38" t="n"/>
      <c r="N19" s="16" t="inlineStr">
        <is>
          <t>Rice Kernel</t>
        </is>
      </c>
      <c r="O19" s="16" t="inlineStr">
        <is>
          <t>Dao Xiaoke 10</t>
        </is>
      </c>
      <c r="P19" s="16">
        <f>SUM(I10:I2293)</f>
        <v/>
      </c>
      <c r="Q19" s="34" t="n"/>
    </row>
    <row r="20" ht="31.5" customHeight="1" s="29">
      <c r="A20" s="16" t="n">
        <v>11</v>
      </c>
      <c r="B20" s="16" t="inlineStr">
        <is>
          <t>Year Month Day</t>
        </is>
      </c>
      <c r="C20" s="16" t="n">
        <v>3111</v>
      </c>
      <c r="D20" s="16" t="inlineStr">
        <is>
          <t>Rao Xiaoke1</t>
        </is>
      </c>
      <c r="E20" s="16" t="inlineStr">
        <is>
          <t>xx Department</t>
        </is>
      </c>
      <c r="F20" s="16" t="inlineStr">
        <is>
          <t>Position 1</t>
        </is>
      </c>
      <c r="G20" s="17" t="n">
        <v>0.7916666666666666</v>
      </c>
      <c r="H20" s="17" t="n">
        <v>0.875</v>
      </c>
      <c r="I20" s="16">
        <f>IF(B20="","",MOD(H20-G20,1)*24)</f>
        <v/>
      </c>
      <c r="J20" s="16" t="inlineStr">
        <is>
          <t>Legal Day</t>
        </is>
      </c>
      <c r="K20" s="16">
        <f>_XLFN.IFS(J20="","",J20="工作日",15*1.5,J20="节假日",15*2,J20="法定日",15*3)</f>
        <v/>
      </c>
      <c r="L20" s="16">
        <f>IF(B20="","",I20*K20)</f>
        <v/>
      </c>
      <c r="M20" s="38" t="n"/>
      <c r="N20" s="16" t="inlineStr">
        <is>
          <t>Rice Kernel</t>
        </is>
      </c>
      <c r="O20" s="16" t="inlineStr">
        <is>
          <t>Rao Xiaoke1</t>
        </is>
      </c>
      <c r="P20" s="36" t="n"/>
      <c r="Q20" s="37" t="n"/>
    </row>
    <row r="21" ht="22.5" customHeight="1" s="29"/>
    <row r="22" ht="22.5" customHeight="1" s="29"/>
    <row r="23" ht="22.5" customHeight="1" s="29"/>
    <row r="24" ht="22.5" customHeight="1" s="29"/>
    <row r="25" ht="22.5" customHeight="1" s="29"/>
    <row r="26" ht="22.5" customHeight="1" s="29"/>
    <row r="27" ht="22.5" customHeight="1" s="29"/>
    <row r="28" ht="21.75" customHeight="1" s="29"/>
    <row r="29" ht="21.75" customHeight="1" s="29"/>
    <row r="30" ht="21.75" customHeight="1" s="29"/>
    <row r="31" ht="21.75" customHeight="1" s="29"/>
    <row r="32" ht="18.75" customHeight="1" s="29"/>
    <row r="33" ht="18.75" customHeight="1" s="29"/>
    <row r="34" ht="18.75" customHeight="1" s="29"/>
    <row r="35" ht="18.75" customHeight="1" s="29"/>
    <row r="37" ht="18" customHeight="1" s="29"/>
  </sheetData>
  <mergeCells count="38">
    <mergeCell ref="L17:M17"/>
    <mergeCell ref="E5:E6"/>
    <mergeCell ref="P8:Q9"/>
    <mergeCell ref="E8:E9"/>
    <mergeCell ref="L16:M16"/>
    <mergeCell ref="P16:Q17"/>
    <mergeCell ref="B8:B9"/>
    <mergeCell ref="A5:B6"/>
    <mergeCell ref="A2:Q3"/>
    <mergeCell ref="L19:M19"/>
    <mergeCell ref="F5:F6"/>
    <mergeCell ref="P19:Q20"/>
    <mergeCell ref="P13:Q14"/>
    <mergeCell ref="L13:M13"/>
    <mergeCell ref="L12:M12"/>
    <mergeCell ref="F8:F9"/>
    <mergeCell ref="N8:N9"/>
    <mergeCell ref="L15:M15"/>
    <mergeCell ref="L18:M18"/>
    <mergeCell ref="M5:O6"/>
    <mergeCell ref="L14:M14"/>
    <mergeCell ref="A8:A9"/>
    <mergeCell ref="C8:C9"/>
    <mergeCell ref="L20:M20"/>
    <mergeCell ref="K8:K9"/>
    <mergeCell ref="L10:M10"/>
    <mergeCell ref="O8:O9"/>
    <mergeCell ref="D8:D9"/>
    <mergeCell ref="K5:L6"/>
    <mergeCell ref="D5:D6"/>
    <mergeCell ref="P18:Q18"/>
    <mergeCell ref="P15:Q15"/>
    <mergeCell ref="J8:J9"/>
    <mergeCell ref="G5:I6"/>
    <mergeCell ref="G8:I8"/>
    <mergeCell ref="L11:M11"/>
    <mergeCell ref="L8:M9"/>
    <mergeCell ref="C5:C6"/>
  </mergeCells>
  <dataValidations count="1">
    <dataValidation sqref="J10:J20" showDropDown="0" showInputMessage="1" showErrorMessage="1" allowBlank="1" type="list">
      <formula1>#REF!</formula1>
    </dataValidation>
  </dataValidations>
  <pageMargins left="0.75" right="0.75" top="1" bottom="1" header="0.5" footer="0.5"/>
  <pageSetup orientation="portrait" paperSize="9" scale="37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kingsoft</dc:creator>
  <dcterms:created xsi:type="dcterms:W3CDTF">2021-09-16T05:10:00Z</dcterms:created>
  <dcterms:modified xsi:type="dcterms:W3CDTF">2025-07-09T04:36:33Z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7C7DC38F363B4290A889F779D803DFC0_11</vt:lpwstr>
  </property>
  <property name="KSOProductBuildVer" fmtid="{D5CDD505-2E9C-101B-9397-08002B2CF9AE}" pid="3">
    <vt:lpwstr>2052-12.1.0.16250</vt:lpwstr>
  </property>
  <property name="KSOTemplateUUID" fmtid="{D5CDD505-2E9C-101B-9397-08002B2CF9AE}" pid="4">
    <vt:lpwstr>v1.0_mb_FDcppHLZ9fEeJ1pzH6ToIg==</vt:lpwstr>
  </property>
</Properties>
</file>