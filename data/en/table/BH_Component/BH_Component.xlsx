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40" yWindow="120" windowWidth="16845" windowHeight="12375" tabRatio="600" firstSheet="1" autoFilterDateGrouping="1"/>
  </bookViews>
  <sheets>
    <sheet name="BH_Component" sheetId="1" state="visible" r:id="rId1"/>
  </sheets>
  <definedNames>
    <definedName name="_xlnm._FilterDatabase" localSheetId="0" hidden="1">'BH_Component'!$A$2:$L$15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family val="2"/>
      <sz val="12"/>
    </font>
    <font>
      <name val="Arial"/>
      <family val="2"/>
      <sz val="10"/>
    </font>
    <font>
      <name val="Times New Roman"/>
      <family val="2"/>
      <b val="1"/>
      <sz val="22"/>
    </font>
    <font>
      <name val="Times New Roman"/>
      <family val="2"/>
      <b val="1"/>
      <sz val="24"/>
    </font>
    <font>
      <name val="Times New Roman"/>
      <family val="2"/>
      <sz val="12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隶书"/>
      <family val="2"/>
      <b val="1"/>
      <sz val="24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5" fillId="0" borderId="0"/>
    <xf numFmtId="44" fontId="5" fillId="0" borderId="0"/>
    <xf numFmtId="9" fontId="5" fillId="0" borderId="0"/>
    <xf numFmtId="41" fontId="5" fillId="0" borderId="0"/>
    <xf numFmtId="42" fontId="5" fillId="0" borderId="0"/>
    <xf numFmtId="0" fontId="6" fillId="0" borderId="0"/>
    <xf numFmtId="0" fontId="7" fillId="0" borderId="0"/>
    <xf numFmtId="0" fontId="5" fillId="2" borderId="1"/>
    <xf numFmtId="0" fontId="8" fillId="0" borderId="0"/>
    <xf numFmtId="0" fontId="9" fillId="0" borderId="0"/>
    <xf numFmtId="0" fontId="10" fillId="0" borderId="0"/>
    <xf numFmtId="0" fontId="11" fillId="0" borderId="2"/>
    <xf numFmtId="0" fontId="12" fillId="0" borderId="2"/>
    <xf numFmtId="0" fontId="13" fillId="0" borderId="3"/>
    <xf numFmtId="0" fontId="13" fillId="0" borderId="0"/>
    <xf numFmtId="0" fontId="14" fillId="3" borderId="4"/>
    <xf numFmtId="0" fontId="15" fillId="4" borderId="5"/>
    <xf numFmtId="0" fontId="16" fillId="4" borderId="4"/>
    <xf numFmtId="0" fontId="17" fillId="5" borderId="6"/>
    <xf numFmtId="0" fontId="18" fillId="0" borderId="7"/>
    <xf numFmtId="0" fontId="19" fillId="0" borderId="8"/>
    <xf numFmtId="0" fontId="20" fillId="6" borderId="0"/>
    <xf numFmtId="0" fontId="21" fillId="7" borderId="0"/>
    <xf numFmtId="0" fontId="22" fillId="8" borderId="0"/>
    <xf numFmtId="0" fontId="23" fillId="9" borderId="0"/>
    <xf numFmtId="0" fontId="5" fillId="10" borderId="0"/>
    <xf numFmtId="0" fontId="5" fillId="11" borderId="0"/>
    <xf numFmtId="0" fontId="23" fillId="12" borderId="0"/>
    <xf numFmtId="0" fontId="23" fillId="13" borderId="0"/>
    <xf numFmtId="0" fontId="5" fillId="14" borderId="0"/>
    <xf numFmtId="0" fontId="5" fillId="15" borderId="0"/>
    <xf numFmtId="0" fontId="23" fillId="16" borderId="0"/>
    <xf numFmtId="0" fontId="23" fillId="17" borderId="0"/>
    <xf numFmtId="0" fontId="5" fillId="18" borderId="0"/>
    <xf numFmtId="0" fontId="5" fillId="19" borderId="0"/>
    <xf numFmtId="0" fontId="23" fillId="20" borderId="0"/>
    <xf numFmtId="0" fontId="23" fillId="21" borderId="0"/>
    <xf numFmtId="0" fontId="5" fillId="22" borderId="0"/>
    <xf numFmtId="0" fontId="5" fillId="23" borderId="0"/>
    <xf numFmtId="0" fontId="23" fillId="24" borderId="0"/>
    <xf numFmtId="0" fontId="23" fillId="25" borderId="0"/>
    <xf numFmtId="0" fontId="5" fillId="26" borderId="0"/>
    <xf numFmtId="0" fontId="5" fillId="27" borderId="0"/>
    <xf numFmtId="0" fontId="23" fillId="28" borderId="0"/>
    <xf numFmtId="0" fontId="23" fillId="29" borderId="0"/>
    <xf numFmtId="0" fontId="5" fillId="30" borderId="0"/>
    <xf numFmtId="0" fontId="5" fillId="31" borderId="0"/>
    <xf numFmtId="0" fontId="23" fillId="32" borderId="0"/>
    <xf numFmtId="0" fontId="26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0" fillId="33" borderId="9" applyAlignment="1" pivotButton="0" quotePrefix="0" xfId="0">
      <alignment horizontal="center"/>
    </xf>
    <xf numFmtId="0" fontId="0" fillId="33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33" borderId="15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25" fillId="0" borderId="0" pivotButton="0" quotePrefix="0" xfId="0"/>
    <xf numFmtId="0" fontId="26" fillId="0" borderId="0" pivotButton="0" quotePrefix="0" xfId="68"/>
    <xf numFmtId="0" fontId="26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topLeftCell="A1" zoomScale="75" zoomScaleNormal="75" workbookViewId="0">
      <pane ySplit="2" topLeftCell="BM3" activePane="bottomLeft" state="frozen"/>
      <selection pane="bottomLeft" activeCell="R17" sqref="R17"/>
    </sheetView>
  </sheetViews>
  <sheetFormatPr baseColWidth="8" defaultColWidth="8.75390625" defaultRowHeight="14.25"/>
  <cols>
    <col width="4.25390625" customWidth="1" style="3" min="1" max="1"/>
    <col width="16.25390625" customWidth="1" style="3" min="2" max="2"/>
    <col width="7.875" customWidth="1" style="3" min="3" max="3"/>
    <col width="9.00390625" customWidth="1" style="3" min="4" max="5"/>
    <col width="9.625" customWidth="1" style="3" min="6" max="6"/>
    <col width="5.75390625" customWidth="1" style="3" min="7" max="7"/>
    <col width="5.125" customWidth="1" style="3" min="8" max="8"/>
    <col width="12.75390625" customWidth="1" style="3" min="9" max="9"/>
    <col width="9.00390625" customWidth="1" style="3" min="10" max="11"/>
    <col width="13.50390625" customWidth="1" style="3" min="12" max="12"/>
  </cols>
  <sheetData>
    <row r="1" ht="32.25" customHeight="1">
      <c r="A1" s="2" t="n"/>
      <c r="B1" s="3" t="n"/>
      <c r="C1" s="3" t="n"/>
      <c r="D1" s="4" t="inlineStr">
        <is>
          <t>BH Component Weight Statistics Table</t>
        </is>
      </c>
      <c r="E1" s="5" t="n"/>
      <c r="F1" s="3" t="n"/>
      <c r="G1" s="3" t="n"/>
      <c r="H1" s="3" t="n"/>
      <c r="I1" s="3" t="n"/>
      <c r="J1" s="3" t="n"/>
      <c r="K1" s="3" t="n"/>
      <c r="L1" s="3" t="n"/>
    </row>
    <row r="2" ht="27.75" customHeight="1">
      <c r="A2" s="6" t="inlineStr">
        <is>
          <t>Serial Number</t>
        </is>
      </c>
      <c r="B2" s="7" t="inlineStr">
        <is>
          <t>Specification</t>
        </is>
      </c>
      <c r="C2" s="7" t="inlineStr">
        <is>
          <t>Flange width B</t>
        </is>
      </c>
      <c r="D2" s="7" t="inlineStr">
        <is>
          <t>Flange Thickness Tf</t>
        </is>
      </c>
      <c r="E2" s="7" t="inlineStr">
        <is>
          <t>Section Height H</t>
        </is>
      </c>
      <c r="F2" s="7" t="inlineStr">
        <is>
          <t>Web thickness Tw</t>
        </is>
      </c>
      <c r="G2" s="7" t="inlineStr">
        <is>
          <t>Length</t>
        </is>
      </c>
      <c r="H2" s="7" t="inlineStr">
        <is>
          <t>Number of pieces</t>
        </is>
      </c>
      <c r="I2" s="7" t="inlineStr">
        <is>
          <t>Flange Total Weight</t>
        </is>
      </c>
      <c r="J2" s="7" t="inlineStr">
        <is>
          <t>Web total weight</t>
        </is>
      </c>
      <c r="K2" s="7" t="inlineStr">
        <is>
          <t>Total Weight</t>
        </is>
      </c>
      <c r="L2" s="13" t="inlineStr">
        <is>
          <t>Single piece weight</t>
        </is>
      </c>
    </row>
    <row r="3" ht="15.75" customHeight="1">
      <c r="A3" s="8" t="n">
        <v>1</v>
      </c>
      <c r="B3" s="9" t="inlineStr">
        <is>
          <t>BH600*200*6*8</t>
        </is>
      </c>
      <c r="C3" s="10" t="n">
        <v>200</v>
      </c>
      <c r="D3" s="10" t="n">
        <v>8</v>
      </c>
      <c r="E3" s="10" t="n">
        <v>600</v>
      </c>
      <c r="F3" s="10" t="n">
        <v>6</v>
      </c>
      <c r="G3" s="10" t="n">
        <v>8766</v>
      </c>
      <c r="H3" s="10" t="n">
        <v>6</v>
      </c>
      <c r="I3" s="10" t="n">
        <v>1321.21152</v>
      </c>
      <c r="J3" s="10" t="n">
        <v>1446.7266144</v>
      </c>
      <c r="K3" s="10" t="n">
        <v>2767.9381344</v>
      </c>
      <c r="L3" s="14" t="n">
        <v>461.3230224</v>
      </c>
    </row>
    <row r="4" ht="15.75" customHeight="1">
      <c r="A4" s="8" t="n">
        <v>2</v>
      </c>
      <c r="B4" s="9" t="inlineStr">
        <is>
          <t>BH650*250*6*8</t>
        </is>
      </c>
      <c r="C4" s="10" t="n">
        <v>250</v>
      </c>
      <c r="D4" s="10" t="n">
        <v>8</v>
      </c>
      <c r="E4" s="10" t="n">
        <v>650</v>
      </c>
      <c r="F4" s="10" t="n">
        <v>6</v>
      </c>
      <c r="G4" s="10" t="n">
        <v>9800</v>
      </c>
      <c r="H4" s="10" t="n">
        <v>5</v>
      </c>
      <c r="I4" s="10" t="n">
        <v>1538.6</v>
      </c>
      <c r="J4" s="10" t="n">
        <v>1463.2086</v>
      </c>
      <c r="K4" s="10" t="n">
        <v>3001.8086</v>
      </c>
      <c r="L4" s="14" t="n">
        <v>600.36172</v>
      </c>
    </row>
    <row r="5" ht="15.75" customHeight="1">
      <c r="A5" s="8" t="n">
        <v>3</v>
      </c>
      <c r="B5" s="9" t="inlineStr">
        <is>
          <t>BH600*200*8*12</t>
        </is>
      </c>
      <c r="C5" s="10" t="n">
        <v>200</v>
      </c>
      <c r="D5" s="10" t="n">
        <v>12</v>
      </c>
      <c r="E5" s="10" t="n">
        <v>600</v>
      </c>
      <c r="F5" s="10" t="n">
        <v>8</v>
      </c>
      <c r="G5" s="10" t="n">
        <v>8100</v>
      </c>
      <c r="H5" s="10" t="n">
        <v>1</v>
      </c>
      <c r="I5" s="10" t="n">
        <v>305.208</v>
      </c>
      <c r="J5" s="10" t="n">
        <v>292.99968</v>
      </c>
      <c r="K5" s="10" t="n">
        <v>598.20768</v>
      </c>
      <c r="L5" s="14" t="n">
        <v>598.20768</v>
      </c>
    </row>
    <row r="6" ht="15.75" customHeight="1">
      <c r="A6" s="8" t="n">
        <v>4</v>
      </c>
      <c r="B6" s="9" t="inlineStr">
        <is>
          <t>BH700*200*8*12</t>
        </is>
      </c>
      <c r="C6" s="10" t="n">
        <v>200</v>
      </c>
      <c r="D6" s="10" t="n">
        <v>12</v>
      </c>
      <c r="E6" s="10" t="n">
        <v>700</v>
      </c>
      <c r="F6" s="10" t="n">
        <v>8</v>
      </c>
      <c r="G6" s="10" t="n">
        <v>8400</v>
      </c>
      <c r="H6" s="10" t="n">
        <v>2</v>
      </c>
      <c r="I6" s="10" t="n">
        <v>633.024</v>
      </c>
      <c r="J6" s="10" t="n">
        <v>713.20704</v>
      </c>
      <c r="K6" s="10" t="n">
        <v>1346.23104</v>
      </c>
      <c r="L6" s="14" t="n">
        <v>673.1155199999999</v>
      </c>
    </row>
    <row r="7" ht="15.75" customHeight="1">
      <c r="A7" s="8" t="n">
        <v>5</v>
      </c>
      <c r="B7" s="9" t="inlineStr">
        <is>
          <t>BH600*200*10*12</t>
        </is>
      </c>
      <c r="C7" s="10" t="n">
        <v>200</v>
      </c>
      <c r="D7" s="10" t="n">
        <v>12</v>
      </c>
      <c r="E7" s="10" t="n">
        <v>600</v>
      </c>
      <c r="F7" s="10" t="n">
        <v>10</v>
      </c>
      <c r="G7" s="10" t="n">
        <v>6500</v>
      </c>
      <c r="H7" s="10" t="n">
        <v>3</v>
      </c>
      <c r="I7" s="10" t="n">
        <v>734.76</v>
      </c>
      <c r="J7" s="10" t="n">
        <v>881.712</v>
      </c>
      <c r="K7" s="10" t="n">
        <v>1616.472</v>
      </c>
      <c r="L7" s="14" t="n">
        <v>538.824</v>
      </c>
    </row>
    <row r="8" ht="15.75" customHeight="1">
      <c r="A8" s="8" t="n">
        <v>6</v>
      </c>
      <c r="B8" s="9" t="inlineStr">
        <is>
          <t>BH600*200*8*10</t>
        </is>
      </c>
      <c r="C8" s="10" t="n">
        <v>200</v>
      </c>
      <c r="D8" s="10" t="n">
        <v>10</v>
      </c>
      <c r="E8" s="10" t="n">
        <v>600</v>
      </c>
      <c r="F8" s="10" t="n">
        <v>8</v>
      </c>
      <c r="G8" s="10" t="n">
        <v>6000</v>
      </c>
      <c r="H8" s="10" t="n">
        <v>4</v>
      </c>
      <c r="I8" s="10" t="n">
        <v>753.6</v>
      </c>
      <c r="J8" s="10" t="n">
        <v>874.176</v>
      </c>
      <c r="K8" s="10" t="n">
        <v>1627.776</v>
      </c>
      <c r="L8" s="14" t="n">
        <v>406.944</v>
      </c>
    </row>
    <row r="9" ht="15.75" customHeight="1">
      <c r="A9" s="8" t="n">
        <v>7</v>
      </c>
      <c r="B9" s="9" t="inlineStr">
        <is>
          <t>BH600*200*10*16</t>
        </is>
      </c>
      <c r="C9" s="10" t="n">
        <v>200</v>
      </c>
      <c r="D9" s="10" t="n">
        <v>16</v>
      </c>
      <c r="E9" s="10" t="n">
        <v>600</v>
      </c>
      <c r="F9" s="10" t="n">
        <v>10</v>
      </c>
      <c r="G9" s="10" t="n">
        <v>7000</v>
      </c>
      <c r="H9" s="10" t="n">
        <v>5</v>
      </c>
      <c r="I9" s="10" t="n">
        <v>1758.4</v>
      </c>
      <c r="J9" s="10" t="n">
        <v>1560.58</v>
      </c>
      <c r="K9" s="10" t="n">
        <v>3318.98</v>
      </c>
      <c r="L9" s="14" t="n">
        <v>663.796</v>
      </c>
    </row>
    <row r="10" ht="15.75" customHeight="1">
      <c r="A10" s="8" t="n">
        <v>8</v>
      </c>
      <c r="B10" s="9" t="inlineStr">
        <is>
          <t>BH600*250*8*10</t>
        </is>
      </c>
      <c r="C10" s="10" t="n">
        <v>250</v>
      </c>
      <c r="D10" s="10" t="n">
        <v>10</v>
      </c>
      <c r="E10" s="10" t="n">
        <v>600</v>
      </c>
      <c r="F10" s="10" t="n">
        <v>8</v>
      </c>
      <c r="G10" s="10" t="n">
        <v>5700</v>
      </c>
      <c r="H10" s="10" t="n">
        <v>6</v>
      </c>
      <c r="I10" s="10" t="n">
        <v>1342.35</v>
      </c>
      <c r="J10" s="10" t="n">
        <v>1245.7008</v>
      </c>
      <c r="K10" s="10" t="n">
        <v>2588.0508</v>
      </c>
      <c r="L10" s="14" t="n">
        <v>431.3418</v>
      </c>
    </row>
    <row r="11" ht="15.75" customHeight="1">
      <c r="A11" s="8" t="n">
        <v>9</v>
      </c>
      <c r="B11" s="9" t="inlineStr">
        <is>
          <t>BH500*200*8*10</t>
        </is>
      </c>
      <c r="C11" s="10" t="n">
        <v>200</v>
      </c>
      <c r="D11" s="10" t="n">
        <v>10</v>
      </c>
      <c r="E11" s="10" t="n">
        <v>500</v>
      </c>
      <c r="F11" s="10" t="n">
        <v>8</v>
      </c>
      <c r="G11" s="10" t="n">
        <v>6000</v>
      </c>
      <c r="H11" s="10" t="n">
        <v>7</v>
      </c>
      <c r="I11" s="10" t="n">
        <v>1318.8</v>
      </c>
      <c r="J11" s="10" t="n">
        <v>1266.048</v>
      </c>
      <c r="K11" s="10" t="n">
        <v>2584.848</v>
      </c>
      <c r="L11" s="14" t="n">
        <v>369.264</v>
      </c>
    </row>
    <row r="12" ht="15.75" customHeight="1">
      <c r="A12" s="8" t="n">
        <v>10</v>
      </c>
      <c r="B12" s="9" t="inlineStr">
        <is>
          <t>BH400*200*6*8</t>
        </is>
      </c>
      <c r="C12" s="10" t="n">
        <v>200</v>
      </c>
      <c r="D12" s="10" t="n">
        <v>8</v>
      </c>
      <c r="E12" s="10" t="n">
        <v>400</v>
      </c>
      <c r="F12" s="10" t="n">
        <v>6</v>
      </c>
      <c r="G12" s="10" t="n">
        <v>5000</v>
      </c>
      <c r="H12" s="10" t="n">
        <v>8</v>
      </c>
      <c r="I12" s="10" t="n">
        <v>1004.8</v>
      </c>
      <c r="J12" s="10" t="n">
        <v>723.456</v>
      </c>
      <c r="K12" s="10" t="n">
        <v>1728.256</v>
      </c>
      <c r="L12" s="14" t="n">
        <v>216.032</v>
      </c>
    </row>
    <row r="13" ht="15.75" customHeight="1">
      <c r="A13" s="8" t="n">
        <v>11</v>
      </c>
      <c r="B13" s="9" t="inlineStr">
        <is>
          <t>BH600*200*8*20</t>
        </is>
      </c>
      <c r="C13" s="10" t="n">
        <v>200</v>
      </c>
      <c r="D13" s="10" t="n">
        <v>20</v>
      </c>
      <c r="E13" s="10" t="n">
        <v>600</v>
      </c>
      <c r="F13" s="10" t="n">
        <v>8</v>
      </c>
      <c r="G13" s="10" t="n">
        <v>6500</v>
      </c>
      <c r="H13" s="10" t="n">
        <v>9</v>
      </c>
      <c r="I13" s="10" t="n">
        <v>3673.8</v>
      </c>
      <c r="J13" s="10" t="n">
        <v>2057.328</v>
      </c>
      <c r="K13" s="10" t="n">
        <v>5731.128</v>
      </c>
      <c r="L13" s="14" t="n">
        <v>636.792</v>
      </c>
    </row>
    <row r="14" ht="15.75" customHeight="1">
      <c r="A14" s="8" t="n">
        <v>12</v>
      </c>
      <c r="B14" s="9" t="inlineStr">
        <is>
          <t>BH600*200*6*10</t>
        </is>
      </c>
      <c r="C14" s="10" t="n">
        <v>200</v>
      </c>
      <c r="D14" s="10" t="n">
        <v>10</v>
      </c>
      <c r="E14" s="10" t="n">
        <v>600</v>
      </c>
      <c r="F14" s="10" t="n">
        <v>6</v>
      </c>
      <c r="G14" s="10" t="n">
        <v>7000</v>
      </c>
      <c r="H14" s="10" t="n">
        <v>10</v>
      </c>
      <c r="I14" s="10" t="n">
        <v>2198</v>
      </c>
      <c r="J14" s="10" t="n">
        <v>1912.26</v>
      </c>
      <c r="K14" s="10" t="n">
        <v>4110.26</v>
      </c>
      <c r="L14" s="14" t="n">
        <v>411.026</v>
      </c>
    </row>
    <row r="15" ht="15" customHeight="1">
      <c r="A15" s="11" t="n">
        <v>24</v>
      </c>
      <c r="B15" s="12" t="n"/>
      <c r="C15" s="12" t="n"/>
      <c r="D15" s="12" t="n"/>
      <c r="E15" s="12" t="n"/>
      <c r="F15" s="12" t="n"/>
      <c r="G15" s="12" t="n"/>
      <c r="H15" s="12" t="n"/>
      <c r="I15" s="12" t="n">
        <v>0</v>
      </c>
      <c r="J15" s="12" t="n">
        <v>0</v>
      </c>
      <c r="K15" s="12" t="n">
        <v>0</v>
      </c>
      <c r="L15" s="15" t="e">
        <v>#DIV/0!</v>
      </c>
    </row>
    <row r="16" ht="14.25" customHeight="1">
      <c r="I16" s="3">
        <f>SUBTOTAL(9,I3:I15)</f>
        <v/>
      </c>
    </row>
  </sheetData>
  <autoFilter ref="A2:L15"/>
  <pageMargins left="0.75" right="0.75" top="1" bottom="1" header="0.5" footer="0.5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2024-02-04T07:50:00Z</dcterms:created>
  <dcterms:modified xsi:type="dcterms:W3CDTF">2025-07-08T04:16:09Z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57CF6E9A3DB14BDAB93595FA7D7BED19_11</vt:lpwstr>
  </property>
  <property name="KSOProductBuildVer" fmtid="{D5CDD505-2E9C-101B-9397-08002B2CF9AE}" pid="3">
    <vt:lpwstr>2052-12.1.0.16250</vt:lpwstr>
  </property>
</Properties>
</file>