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000" windowHeight="9495" tabRatio="785" firstSheet="3" autoFilterDateGrouping="1"/>
  </bookViews>
  <sheets>
    <sheet name="Yuanjiang_County_Water_Conserva" sheetId="1" state="visible" r:id="rId1"/>
    <sheet name="Yuanjiang_County_Locally_Admini" sheetId="2" state="visible" r:id="rId2"/>
    <sheet name="Water_Supply_Statistics_Table" sheetId="3" state="visible" r:id="rId3"/>
  </sheets>
  <definedNames>
    <definedName name="_xlnm.Print_Titles" localSheetId="0">'Yuanjiang_County_Water_Conserva'!$1:$4</definedName>
    <definedName name="_xlnm.Print_Area" localSheetId="0">'Yuanjiang_County_Water_Conserva'!$A$1:$G$60</definedName>
    <definedName name="_xlnm.Print_Titles" localSheetId="1">'Yuanjiang_County_Locally_Admini'!$1:$4</definedName>
    <definedName name="_xlnm.Print_Area" localSheetId="2">'Water_Supply_Statistics_Table'!$A$1:$Q$8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_ "/>
    <numFmt numFmtId="165" formatCode="0.0000_);[Red]\(0.0000\)"/>
    <numFmt numFmtId="166" formatCode="0.000_ "/>
    <numFmt numFmtId="167" formatCode="000000"/>
    <numFmt numFmtId="168" formatCode="0.00;[Red]0.00"/>
    <numFmt numFmtId="169" formatCode="0.0000"/>
    <numFmt numFmtId="170" formatCode="0.000;[Red]0.000"/>
  </numFmts>
  <fonts count="41">
    <font>
      <name val="等线"/>
      <family val="2"/>
      <color theme="1"/>
      <sz val="11"/>
    </font>
    <font>
      <name val="Arial"/>
      <family val="2"/>
      <sz val="10"/>
    </font>
    <font>
      <name val="黑体"/>
      <family val="3"/>
      <b val="1"/>
      <sz val="20"/>
    </font>
    <font>
      <name val="等线"/>
      <family val="2"/>
      <color indexed="8"/>
      <sz val="9"/>
    </font>
    <font>
      <name val="宋体"/>
      <family val="3"/>
      <sz val="9"/>
    </font>
    <font>
      <name val="宋体"/>
      <family val="3"/>
      <b val="1"/>
      <sz val="9"/>
    </font>
    <font>
      <name val="宋体"/>
      <family val="3"/>
      <color indexed="8"/>
      <sz val="12"/>
    </font>
    <font>
      <name val="宋体"/>
      <family val="3"/>
      <b val="1"/>
      <color indexed="8"/>
      <sz val="12"/>
    </font>
    <font>
      <name val="宋体"/>
      <family val="3"/>
      <b val="1"/>
      <color indexed="8"/>
      <sz val="10"/>
    </font>
    <font>
      <name val="宋体"/>
      <family val="3"/>
      <b val="1"/>
      <color indexed="8"/>
      <sz val="9"/>
    </font>
    <font>
      <name val="宋体"/>
      <family val="3"/>
      <color indexed="8"/>
      <sz val="9"/>
    </font>
    <font>
      <name val="Times New Roman"/>
      <family val="1"/>
      <color indexed="8"/>
      <sz val="9"/>
    </font>
    <font>
      <name val="宋体"/>
      <family val="3"/>
      <color indexed="10"/>
      <sz val="9"/>
    </font>
    <font>
      <name val="宋体"/>
      <family val="3"/>
      <color indexed="8"/>
      <sz val="8"/>
    </font>
    <font>
      <name val="宋体"/>
      <family val="3"/>
      <color indexed="8"/>
      <sz val="10"/>
    </font>
    <font>
      <name val="等线"/>
      <family val="2"/>
      <color indexed="57"/>
      <sz val="11"/>
    </font>
    <font>
      <name val="等线"/>
      <family val="2"/>
      <sz val="11"/>
    </font>
    <font>
      <name val="宋体"/>
      <family val="3"/>
      <sz val="12"/>
    </font>
    <font>
      <name val="宋体"/>
      <family val="3"/>
      <color theme="1"/>
      <sz val="9"/>
    </font>
    <font>
      <name val="宋体"/>
      <family val="3"/>
      <sz val="6"/>
    </font>
    <font>
      <name val="等线"/>
      <family val="2"/>
      <sz val="9"/>
    </font>
    <font>
      <name val="黑体"/>
      <family val="3"/>
      <sz val="20"/>
    </font>
    <font>
      <name val="宋体"/>
      <family val="3"/>
      <sz val="12"/>
      <vertAlign val="superscript"/>
    </font>
    <font>
      <name val="Times New Roman"/>
      <family val="1"/>
      <color indexed="8"/>
      <sz val="16"/>
    </font>
    <font>
      <name val="Times New Roman"/>
      <family val="1"/>
      <color indexed="8"/>
      <sz val="8"/>
    </font>
    <font>
      <name val="Tahoma"/>
      <family val="2"/>
      <sz val="9"/>
    </font>
    <font>
      <name val="Tahoma"/>
      <family val="2"/>
      <b val="1"/>
      <sz val="9"/>
    </font>
    <font>
      <name val="宋体"/>
      <family val="3"/>
      <color theme="1"/>
      <sz val="12"/>
    </font>
    <font>
      <name val="宋体"/>
      <family val="3"/>
      <b val="1"/>
      <color theme="1"/>
      <sz val="10"/>
    </font>
    <font>
      <name val="宋体"/>
      <family val="3"/>
      <b val="1"/>
      <color theme="1"/>
      <sz val="8"/>
    </font>
    <font>
      <name val="宋体"/>
      <family val="3"/>
      <b val="1"/>
      <color theme="1"/>
      <sz val="9"/>
    </font>
    <font>
      <name val="宋体"/>
      <family val="3"/>
      <color theme="1"/>
      <sz val="8"/>
    </font>
    <font>
      <name val="Times New Roman"/>
      <family val="1"/>
      <color theme="1"/>
      <sz val="8"/>
    </font>
    <font>
      <name val="黑体"/>
      <family val="3"/>
      <b val="1"/>
      <color theme="1"/>
      <sz val="12"/>
    </font>
    <font>
      <name val="宋体"/>
      <family val="3"/>
      <color theme="1"/>
      <sz val="16"/>
    </font>
    <font>
      <name val="宋体"/>
      <family val="3"/>
      <color rgb="FF000000"/>
      <sz val="16"/>
    </font>
    <font>
      <name val="黑体"/>
      <family val="3"/>
      <color indexed="8"/>
      <sz val="14"/>
    </font>
    <font>
      <name val="等线"/>
      <family val="2"/>
      <b val="1"/>
      <color theme="1"/>
      <sz val="11"/>
    </font>
    <font>
      <name val="等线"/>
      <family val="2"/>
      <color rgb="FF0000FF"/>
      <sz val="11"/>
      <u val="single"/>
    </font>
    <font>
      <name val="等线"/>
      <family val="2"/>
      <b val="1"/>
      <sz val="8"/>
    </font>
    <font>
      <name val="等线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</fills>
  <borders count="2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</border>
    <border>
      <left style="thin"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  <bottom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 style="thin"/>
    </border>
    <border>
      <left/>
      <right style="thin"/>
      <top/>
      <bottom style="thin"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8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17" fillId="0" borderId="0"/>
    <xf numFmtId="0" fontId="38" fillId="0" borderId="0"/>
  </cellStyleXfs>
  <cellXfs count="16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3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10" fontId="1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0" pivotButton="0" quotePrefix="0" xfId="0"/>
    <xf numFmtId="49" fontId="0" fillId="0" borderId="0" pivotButton="0" quotePrefix="0" xfId="0"/>
    <xf numFmtId="0" fontId="15" fillId="0" borderId="0" pivotButton="0" quotePrefix="0" xfId="0"/>
    <xf numFmtId="0" fontId="16" fillId="3" borderId="0" pivotButton="0" quotePrefix="0" xfId="0"/>
    <xf numFmtId="0" fontId="16" fillId="0" borderId="0" pivotButton="0" quotePrefix="0" xfId="0"/>
    <xf numFmtId="0" fontId="18" fillId="0" borderId="1" applyAlignment="1" pivotButton="0" quotePrefix="0" xfId="0">
      <alignment horizontal="center" vertical="center" wrapText="1"/>
    </xf>
    <xf numFmtId="2" fontId="18" fillId="0" borderId="1" applyAlignment="1" pivotButton="0" quotePrefix="0" xfId="0">
      <alignment horizontal="center" vertical="center"/>
    </xf>
    <xf numFmtId="168" fontId="18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justify" vertical="center" wrapText="1"/>
    </xf>
    <xf numFmtId="2" fontId="5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4" fontId="1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30" fillId="0" borderId="1" applyAlignment="1" pivotButton="0" quotePrefix="0" xfId="0">
      <alignment horizontal="justify" vertical="center" wrapText="1"/>
    </xf>
    <xf numFmtId="0" fontId="30" fillId="0" borderId="1" applyAlignment="1" pivotButton="0" quotePrefix="0" xfId="0">
      <alignment horizontal="center" vertical="center"/>
    </xf>
    <xf numFmtId="2" fontId="3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justify" vertical="center" wrapText="1"/>
    </xf>
    <xf numFmtId="0" fontId="18" fillId="0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1" fillId="0" borderId="1" applyAlignment="1" pivotButton="0" quotePrefix="0" xfId="0">
      <alignment horizontal="left" vertical="center" wrapText="1"/>
    </xf>
    <xf numFmtId="0" fontId="32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justify" vertical="center" wrapText="1"/>
    </xf>
    <xf numFmtId="168" fontId="30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 wrapText="1"/>
    </xf>
    <xf numFmtId="10" fontId="29" fillId="0" borderId="1" applyAlignment="1" pivotButton="0" quotePrefix="0" xfId="0">
      <alignment horizontal="center" vertical="center" wrapText="1"/>
    </xf>
    <xf numFmtId="169" fontId="1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10" fontId="31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 wrapText="1"/>
    </xf>
    <xf numFmtId="17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 wrapText="1"/>
    </xf>
    <xf numFmtId="164" fontId="18" fillId="0" borderId="1" applyAlignment="1" pivotButton="0" quotePrefix="0" xfId="0">
      <alignment horizontal="center" vertical="center"/>
    </xf>
    <xf numFmtId="10" fontId="18" fillId="0" borderId="1" applyAlignment="1" pivotButton="0" quotePrefix="0" xfId="0">
      <alignment horizontal="center" vertical="center"/>
    </xf>
    <xf numFmtId="2" fontId="30" fillId="0" borderId="1" applyAlignment="1" pivotButton="0" quotePrefix="0" xfId="0">
      <alignment horizontal="center" vertical="center"/>
    </xf>
    <xf numFmtId="9" fontId="18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2" fontId="18" fillId="0" borderId="1" applyAlignment="1" pivotButton="0" quotePrefix="0" xfId="0">
      <alignment horizontal="center" vertical="center"/>
    </xf>
    <xf numFmtId="164" fontId="30" fillId="0" borderId="1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28" fillId="0" borderId="1" applyAlignment="1" pivotButton="0" quotePrefix="0" xfId="0">
      <alignment horizontal="center" vertical="center"/>
    </xf>
    <xf numFmtId="0" fontId="30" fillId="0" borderId="3" applyAlignment="1" pivotButton="0" quotePrefix="0" xfId="0">
      <alignment horizontal="justify" vertical="center" wrapText="1"/>
    </xf>
    <xf numFmtId="0" fontId="18" fillId="0" borderId="3" applyAlignment="1" pivotButton="0" quotePrefix="0" xfId="0">
      <alignment horizontal="center" vertical="center" wrapText="1"/>
    </xf>
    <xf numFmtId="0" fontId="30" fillId="0" borderId="3" applyAlignment="1" pivotButton="0" quotePrefix="0" xfId="0">
      <alignment horizontal="center" vertical="center"/>
    </xf>
    <xf numFmtId="2" fontId="30" fillId="0" borderId="3" applyAlignment="1" pivotButton="0" quotePrefix="0" xfId="0">
      <alignment horizontal="center" vertical="center"/>
    </xf>
    <xf numFmtId="0" fontId="31" fillId="0" borderId="3" applyAlignment="1" pivotButton="0" quotePrefix="0" xfId="0">
      <alignment horizontal="center" vertical="center" wrapText="1"/>
    </xf>
    <xf numFmtId="164" fontId="0" fillId="0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34" fillId="0" borderId="0" pivotButton="0" quotePrefix="0" xfId="0"/>
    <xf numFmtId="0" fontId="33" fillId="0" borderId="0" applyAlignment="1" pivotButton="0" quotePrefix="0" xfId="0">
      <alignment horizontal="center" vertical="center"/>
    </xf>
    <xf numFmtId="0" fontId="27" fillId="0" borderId="4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/>
    </xf>
    <xf numFmtId="0" fontId="2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8" fillId="0" borderId="1" applyAlignment="1" pivotButton="0" quotePrefix="0" xfId="0">
      <alignment horizontal="center" vertical="center"/>
    </xf>
    <xf numFmtId="0" fontId="31" fillId="0" borderId="5" applyAlignment="1" pivotButton="0" quotePrefix="0" xfId="0">
      <alignment horizontal="center" vertical="center" wrapText="1"/>
    </xf>
    <xf numFmtId="0" fontId="31" fillId="0" borderId="3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/>
    </xf>
    <xf numFmtId="0" fontId="6" fillId="0" borderId="4" applyAlignment="1" pivotButton="0" quotePrefix="0" xfId="0">
      <alignment horizontal="left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/>
    </xf>
    <xf numFmtId="0" fontId="9" fillId="0" borderId="8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/>
    </xf>
    <xf numFmtId="0" fontId="10" fillId="0" borderId="8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0" borderId="6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37" fillId="0" borderId="0" pivotButton="0" quotePrefix="0" xfId="0"/>
    <xf numFmtId="0" fontId="38" fillId="0" borderId="0" pivotButton="0" quotePrefix="0" xfId="21"/>
    <xf numFmtId="0" fontId="38" fillId="0" borderId="0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168" fontId="18" fillId="0" borderId="1" applyAlignment="1" pivotButton="0" quotePrefix="0" xfId="0">
      <alignment horizontal="center" vertical="center"/>
    </xf>
    <xf numFmtId="164" fontId="0" fillId="0" borderId="0" pivotButton="0" quotePrefix="0" xfId="0"/>
    <xf numFmtId="168" fontId="30" fillId="0" borderId="1" applyAlignment="1" pivotButton="0" quotePrefix="0" xfId="0">
      <alignment horizontal="center" vertical="center"/>
    </xf>
    <xf numFmtId="169" fontId="18" fillId="0" borderId="1" applyAlignment="1" pivotButton="0" quotePrefix="0" xfId="0">
      <alignment horizontal="center" vertical="center"/>
    </xf>
    <xf numFmtId="170" fontId="1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167" fontId="0" fillId="0" borderId="0" pivotButton="0" quotePrefix="0" xfId="0"/>
    <xf numFmtId="164" fontId="10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18" fillId="0" borderId="1" applyAlignment="1" pivotButton="0" quotePrefix="0" xfId="0">
      <alignment horizontal="center" vertical="center"/>
    </xf>
    <xf numFmtId="164" fontId="3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8">
    <cellStyle name="Normal" xfId="0"/>
    <cellStyle name="Percent" xfId="1"/>
    <cellStyle name="Currency" xfId="2"/>
    <cellStyle name="Currency [0]" xfId="3"/>
    <cellStyle name="Comma" xfId="4"/>
    <cellStyle name="Comma [0]" xfId="5"/>
    <cellStyle name="常规 2" xfId="6"/>
    <cellStyle name="Hyperlink" xf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Administrator</author>
  </authors>
  <commentList>
    <comment ref="H23" authorId="0" shapeId="0">
      <text>
        <t>Administrator:
发电收入按当年数测算</t>
      </text>
    </comment>
    <comment ref="H28" authorId="0" shapeId="0">
      <text>
        <t>Administrator:
三年数含每月499元。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view="pageBreakPreview" topLeftCell="A43" zoomScale="60" workbookViewId="0">
      <selection activeCell="E40" sqref="E40"/>
    </sheetView>
  </sheetViews>
  <sheetFormatPr baseColWidth="8" defaultColWidth="8.875" defaultRowHeight="14.25"/>
  <cols>
    <col width="24.375" customWidth="1" style="34" min="1" max="1"/>
    <col width="3.875" customWidth="1" style="34" min="2" max="2"/>
    <col width="9.75390625" customWidth="1" style="34" min="3" max="6"/>
    <col width="21.875" customWidth="1" style="34" min="7" max="7"/>
    <col width="9.50390625" customWidth="1" style="34" min="8" max="8"/>
    <col width="8.875" customWidth="1" style="34" min="9" max="16384"/>
  </cols>
  <sheetData>
    <row r="1" ht="30" customHeight="1" s="88">
      <c r="A1" s="90" t="inlineStr">
        <is>
          <t>Yuanjiang County Water Conservancy Irrigation District Administration Bureau 2017-2019 County-Owned Water Conservancy Project Water Supply Pricing Cost Calculation Table (Table 1)</t>
        </is>
      </c>
    </row>
    <row r="2" ht="24.75" customHeight="1" s="88">
      <c r="A2" s="91" t="inlineStr">
        <is>
          <t>Unit: 10,000 yuan</t>
        </is>
      </c>
      <c r="B2" s="138" t="n"/>
      <c r="C2" s="138" t="n"/>
      <c r="D2" s="138" t="n"/>
      <c r="E2" s="138" t="n"/>
      <c r="F2" s="138" t="n"/>
      <c r="G2" s="138" t="n"/>
    </row>
    <row r="3" ht="18" customHeight="1" s="88">
      <c r="A3" s="94" t="inlineStr">
        <is>
          <t>Item</t>
        </is>
      </c>
      <c r="B3" s="94" t="inlineStr">
        <is>
          <t>Row number</t>
        </is>
      </c>
      <c r="C3" s="92" t="inlineStr">
        <is>
          <t>Reported Data</t>
        </is>
      </c>
      <c r="D3" s="139" t="n"/>
      <c r="E3" s="139" t="n"/>
      <c r="F3" s="140" t="n"/>
      <c r="G3" s="96" t="inlineStr">
        <is>
          <t>Remarks</t>
        </is>
      </c>
    </row>
    <row r="4" ht="19.5" customHeight="1" s="88">
      <c r="A4" s="141" t="n"/>
      <c r="B4" s="141" t="n"/>
      <c r="C4" s="96" t="inlineStr">
        <is>
          <t>2017</t>
        </is>
      </c>
      <c r="D4" s="96" t="inlineStr">
        <is>
          <t>2018</t>
        </is>
      </c>
      <c r="E4" s="96" t="inlineStr">
        <is>
          <t>2019</t>
        </is>
      </c>
      <c r="F4" s="96" t="inlineStr">
        <is>
          <t>Three-Year Average</t>
        </is>
      </c>
      <c r="G4" s="141" t="n"/>
    </row>
    <row r="5" ht="21.75" customHeight="1" s="88">
      <c r="A5" s="78" t="inlineStr">
        <is>
          <t>I. Total Operating Costs</t>
        </is>
      </c>
      <c r="B5" s="79" t="n">
        <v>1</v>
      </c>
      <c r="C5" s="80">
        <f>C6+C12+C23</f>
        <v/>
      </c>
      <c r="D5" s="80">
        <f>D6+D12+D23</f>
        <v/>
      </c>
      <c r="E5" s="80">
        <f>E6+E12+E23</f>
        <v/>
      </c>
      <c r="F5" s="81">
        <f>AVERAGE(C5:E5)</f>
        <v/>
      </c>
      <c r="G5" s="98" t="inlineStr">
        <is>
          <t> </t>
        </is>
      </c>
    </row>
    <row r="6" ht="21.75" customHeight="1" s="88">
      <c r="A6" s="50" t="inlineStr">
        <is>
          <t>(1) Total Personnel Expenses</t>
        </is>
      </c>
      <c r="B6" s="35" t="n">
        <v>2</v>
      </c>
      <c r="C6" s="66">
        <f>SUM(C7:C11)</f>
        <v/>
      </c>
      <c r="D6" s="66">
        <f>SUM(D7:D11)</f>
        <v/>
      </c>
      <c r="E6" s="66">
        <f>SUM(E7:E11)</f>
        <v/>
      </c>
      <c r="F6" s="73">
        <f>AVERAGE(C6:E6)</f>
        <v/>
      </c>
      <c r="G6" s="52" t="n"/>
      <c r="I6" t="inlineStr">
        <is>
          <t> </t>
        </is>
      </c>
    </row>
    <row r="7" ht="21.75" customHeight="1" s="88">
      <c r="A7" s="50" t="inlineStr">
        <is>
          <t>1. Salary</t>
        </is>
      </c>
      <c r="B7" s="35" t="n">
        <v>3</v>
      </c>
      <c r="C7" s="142" t="n">
        <v>1189.3</v>
      </c>
      <c r="D7" s="66" t="n">
        <v>1320.66</v>
      </c>
      <c r="E7" s="66" t="n">
        <v>1186.22</v>
      </c>
      <c r="F7" s="73">
        <f>AVERAGE(C7:E7)</f>
        <v/>
      </c>
      <c r="G7" s="52" t="n"/>
      <c r="H7" s="143" t="inlineStr">
        <is>
          <t> </t>
        </is>
      </c>
    </row>
    <row r="8" ht="21.75" customHeight="1" s="88">
      <c r="A8" s="50" t="inlineStr">
        <is>
          <t>2. Professional Annuity and Trade Union Funds</t>
        </is>
      </c>
      <c r="B8" s="35" t="n">
        <v>4</v>
      </c>
      <c r="C8" s="66" t="n">
        <v>77.77</v>
      </c>
      <c r="D8" s="66" t="n">
        <v>83.62</v>
      </c>
      <c r="E8" s="66" t="n">
        <v>81.31999999999999</v>
      </c>
      <c r="F8" s="73">
        <f>AVERAGE(C8:E8)</f>
        <v/>
      </c>
      <c r="G8" s="52" t="n"/>
      <c r="H8" s="143" t="inlineStr">
        <is>
          <t> </t>
        </is>
      </c>
    </row>
    <row r="9" ht="21.75" customHeight="1" s="88">
      <c r="A9" s="54" t="inlineStr">
        <is>
          <t>3. Social insurance fees (pension, medical, unemployment, etc.)</t>
        </is>
      </c>
      <c r="B9" s="35" t="n">
        <v>5</v>
      </c>
      <c r="C9" s="142" t="n">
        <v>277.3</v>
      </c>
      <c r="D9" s="66" t="n">
        <v>297.19</v>
      </c>
      <c r="E9" s="66" t="n">
        <v>268.19</v>
      </c>
      <c r="F9" s="73">
        <f>AVERAGE(C9:E9)</f>
        <v/>
      </c>
      <c r="G9" s="52" t="n"/>
    </row>
    <row r="10" ht="21.75" customHeight="1" s="88">
      <c r="A10" s="50" t="inlineStr">
        <is>
          <t>4. Housing Provident Fund</t>
        </is>
      </c>
      <c r="B10" s="35" t="n">
        <v>6</v>
      </c>
      <c r="C10" s="66" t="n">
        <v>149.36</v>
      </c>
      <c r="D10" s="66" t="n">
        <v>155.45</v>
      </c>
      <c r="E10" s="66" t="n">
        <v>154.81</v>
      </c>
      <c r="F10" s="73">
        <f>AVERAGE(C10:E10)</f>
        <v/>
      </c>
      <c r="G10" s="52" t="n"/>
    </row>
    <row r="11" ht="21.75" customHeight="1" s="88">
      <c r="A11" s="50" t="inlineStr">
        <is>
          <t>5. Salaries of canal contracting personnel</t>
        </is>
      </c>
      <c r="B11" s="35" t="n">
        <v>7</v>
      </c>
      <c r="C11" s="142" t="n">
        <v>96.5</v>
      </c>
      <c r="D11" s="66" t="n">
        <v>100.87</v>
      </c>
      <c r="E11" s="66" t="n">
        <v>98.53</v>
      </c>
      <c r="F11" s="73">
        <f>AVERAGE(C11:E11)</f>
        <v/>
      </c>
      <c r="G11" s="52" t="inlineStr">
        <is>
          <t> </t>
        </is>
      </c>
    </row>
    <row r="12" ht="21.75" customHeight="1" s="88">
      <c r="A12" s="50" t="inlineStr">
        <is>
          <t>(II) Daily Public Expenses</t>
        </is>
      </c>
      <c r="B12" s="35" t="n">
        <v>8</v>
      </c>
      <c r="C12" s="66">
        <f>SUM(C13:C22)</f>
        <v/>
      </c>
      <c r="D12" s="66">
        <f>SUM(D13:D22)</f>
        <v/>
      </c>
      <c r="E12" s="66">
        <f>SUM(E13:E22)</f>
        <v/>
      </c>
      <c r="F12" s="73">
        <f>AVERAGE(C12:E12)</f>
        <v/>
      </c>
      <c r="G12" s="52" t="inlineStr">
        <is>
          <t>        </t>
        </is>
      </c>
    </row>
    <row r="13" ht="21.75" customHeight="1" s="88">
      <c r="A13" s="50" t="inlineStr">
        <is>
          <t>1. Office expenses</t>
        </is>
      </c>
      <c r="B13" s="35" t="n">
        <v>9</v>
      </c>
      <c r="C13" s="142" t="n">
        <v>6.1</v>
      </c>
      <c r="D13" s="66" t="n">
        <v>9.24</v>
      </c>
      <c r="E13" s="66" t="n">
        <v>10.63</v>
      </c>
      <c r="F13" s="73">
        <f>AVERAGE(C13:E13)</f>
        <v/>
      </c>
      <c r="G13" s="52" t="n"/>
      <c r="H13" t="inlineStr">
        <is>
          <t> </t>
        </is>
      </c>
    </row>
    <row r="14" ht="21.75" customHeight="1" s="88">
      <c r="A14" s="50" t="inlineStr">
        <is>
          <t>2. Routine Repair Expenses</t>
        </is>
      </c>
      <c r="B14" s="35" t="n">
        <v>10</v>
      </c>
      <c r="C14" s="66" t="n">
        <v>5.38</v>
      </c>
      <c r="D14" s="66" t="n">
        <v>6.76</v>
      </c>
      <c r="E14" s="66" t="n">
        <v>4.25</v>
      </c>
      <c r="F14" s="73">
        <f>AVERAGE(C14:E14)</f>
        <v/>
      </c>
      <c r="G14" s="52" t="n"/>
    </row>
    <row r="15" ht="33.75" customHeight="1" s="88">
      <c r="A15" s="50" t="inlineStr">
        <is>
          <t>3. Business Reception Expenses</t>
        </is>
      </c>
      <c r="B15" s="35" t="n">
        <v>11</v>
      </c>
      <c r="C15" s="66" t="n">
        <v>0.61</v>
      </c>
      <c r="D15" s="66" t="n">
        <v>0.16</v>
      </c>
      <c r="E15" s="66" t="n">
        <v>0.26</v>
      </c>
      <c r="F15" s="73">
        <f>AVERAGE(C15:E15)</f>
        <v/>
      </c>
      <c r="G15" s="49" t="inlineStr">
        <is>
          <t>The business hospitality expenses calculated as 5‰ of the total income are greater than the actual amount incurred, so they are verified based on the actual figures.</t>
        </is>
      </c>
    </row>
    <row r="16" ht="24.75" customHeight="1" s="88">
      <c r="A16" s="50" t="inlineStr">
        <is>
          <t>4. Electricity and water fees</t>
        </is>
      </c>
      <c r="B16" s="35" t="n">
        <v>12</v>
      </c>
      <c r="C16" s="66" t="n">
        <v>4.81</v>
      </c>
      <c r="D16" s="66" t="n">
        <v>4.96</v>
      </c>
      <c r="E16" s="142" t="n">
        <v>6</v>
      </c>
      <c r="F16" s="73">
        <f>AVERAGE(C16:E16)</f>
        <v/>
      </c>
      <c r="G16" s="55" t="n"/>
    </row>
    <row r="17" ht="24.75" customHeight="1" s="88">
      <c r="A17" s="50" t="inlineStr">
        <is>
          <t>5. Vehicle Usage Fee</t>
        </is>
      </c>
      <c r="B17" s="35" t="n">
        <v>13</v>
      </c>
      <c r="C17" s="66" t="n">
        <v>8.449999999999999</v>
      </c>
      <c r="D17" s="66" t="n">
        <v>8.119999999999999</v>
      </c>
      <c r="E17" s="66" t="n">
        <v>7.19</v>
      </c>
      <c r="F17" s="73">
        <f>AVERAGE(C17:E17)</f>
        <v/>
      </c>
      <c r="G17" s="52" t="n"/>
    </row>
    <row r="18" ht="24.75" customHeight="1" s="88">
      <c r="A18" s="50" t="inlineStr">
        <is>
          <t>6. Travel expenses</t>
        </is>
      </c>
      <c r="B18" s="35" t="n">
        <v>14</v>
      </c>
      <c r="C18" s="66" t="n">
        <v>3.02</v>
      </c>
      <c r="D18" s="66" t="n">
        <v>3.66</v>
      </c>
      <c r="E18" s="66" t="n">
        <v>2.41</v>
      </c>
      <c r="F18" s="73">
        <f>AVERAGE(C18:E18)</f>
        <v/>
      </c>
      <c r="G18" s="52" t="n"/>
    </row>
    <row r="19" ht="24.75" customHeight="1" s="88">
      <c r="A19" s="50" t="inlineStr">
        <is>
          <t>7. Office Equipment Purchase Expenses and Litigation Fees</t>
        </is>
      </c>
      <c r="B19" s="35" t="n">
        <v>15</v>
      </c>
      <c r="C19" s="142" t="n">
        <v>3.97</v>
      </c>
      <c r="D19" s="66" t="n">
        <v>7.47</v>
      </c>
      <c r="E19" s="142" t="n">
        <v>0</v>
      </c>
      <c r="F19" s="73">
        <f>AVERAGE(C19:E19)</f>
        <v/>
      </c>
      <c r="G19" s="49" t="inlineStr">
        <is>
          <t>Deduct 145,100 yuan of compensation for the Liujiawa case in 2017.</t>
        </is>
      </c>
    </row>
    <row r="20" ht="24.75" customHeight="1" s="88">
      <c r="A20" s="50" t="inlineStr">
        <is>
          <t>8. Handling Fee</t>
        </is>
      </c>
      <c r="B20" s="35" t="n">
        <v>16</v>
      </c>
      <c r="C20" s="66" t="n">
        <v>3.57</v>
      </c>
      <c r="D20" s="66" t="n">
        <v>7.48</v>
      </c>
      <c r="E20" s="66" t="n">
        <v>3.88</v>
      </c>
      <c r="F20" s="73">
        <f>AVERAGE(C20:E20)</f>
        <v/>
      </c>
      <c r="G20" s="52" t="n"/>
    </row>
    <row r="21" ht="24.75" customHeight="1" s="88">
      <c r="A21" s="50" t="inlineStr">
        <is>
          <t>9. Labor Fees</t>
        </is>
      </c>
      <c r="B21" s="35" t="n">
        <v>17</v>
      </c>
      <c r="C21" s="142" t="n">
        <v>0</v>
      </c>
      <c r="D21" s="66" t="n">
        <v>28.02</v>
      </c>
      <c r="E21" s="142" t="n">
        <v>0</v>
      </c>
      <c r="F21" s="73" t="n">
        <v>9.34</v>
      </c>
      <c r="G21" s="52" t="n"/>
    </row>
    <row r="22" ht="24.75" customHeight="1" s="88">
      <c r="A22" s="50" t="inlineStr">
        <is>
          <t>10. Other Expenses</t>
        </is>
      </c>
      <c r="B22" s="35" t="n">
        <v>18</v>
      </c>
      <c r="C22" s="66" t="n">
        <v>18.81</v>
      </c>
      <c r="D22" s="66" t="n">
        <v>33.68</v>
      </c>
      <c r="E22" s="66" t="n">
        <v>0.15</v>
      </c>
      <c r="F22" s="73">
        <f>AVERAGE(C22:E22)</f>
        <v/>
      </c>
      <c r="G22" s="52" t="n"/>
    </row>
    <row r="23" ht="24.75" customHeight="1" s="88">
      <c r="A23" s="50" t="inlineStr">
        <is>
          <t>(3) Maintenance Cost</t>
        </is>
      </c>
      <c r="B23" s="35" t="n">
        <v>19</v>
      </c>
      <c r="C23" s="66" t="n">
        <v>194.61</v>
      </c>
      <c r="D23" s="66" t="n">
        <v>200.19</v>
      </c>
      <c r="E23" s="66" t="n">
        <v>68.97</v>
      </c>
      <c r="F23" s="73">
        <f>AVERAGE(C23:E23)</f>
        <v/>
      </c>
      <c r="G23" s="52" t="n"/>
    </row>
    <row r="24" ht="24.75" customHeight="1" s="88">
      <c r="A24" s="46" t="inlineStr">
        <is>
          <t>II. Major Repair Expenses for Fixed Assets</t>
        </is>
      </c>
      <c r="B24" s="35" t="n">
        <v>20</v>
      </c>
      <c r="C24" s="72">
        <f>C25+C26</f>
        <v/>
      </c>
      <c r="D24" s="72">
        <f>D25+D26</f>
        <v/>
      </c>
      <c r="E24" s="72">
        <f>E25+E26</f>
        <v/>
      </c>
      <c r="F24" s="70">
        <f>AVERAGE(C24:E24)</f>
        <v/>
      </c>
      <c r="G24" s="49" t="inlineStr">
        <is>
          <t>Calculated at 1.4% of the fixed asset value</t>
        </is>
      </c>
    </row>
    <row r="25" ht="24.75" customHeight="1" s="88">
      <c r="A25" s="50" t="inlineStr">
        <is>
          <t>1. Major repair expenses of fixed assets on the books</t>
        </is>
      </c>
      <c r="B25" s="35" t="n">
        <v>21</v>
      </c>
      <c r="C25" s="66" t="n">
        <v>196.76</v>
      </c>
      <c r="D25" s="66" t="n">
        <v>196.76</v>
      </c>
      <c r="E25" s="66" t="n">
        <v>206.76</v>
      </c>
      <c r="F25" s="73">
        <f>AVERAGE(C25:E25)</f>
        <v/>
      </c>
      <c r="G25" s="52" t="n"/>
    </row>
    <row r="26" ht="24.75" customHeight="1" s="88">
      <c r="A26" s="56" t="inlineStr">
        <is>
          <t>2. Major repair expenses for fixed assets that have been used but not yet transferred</t>
        </is>
      </c>
      <c r="B26" s="35" t="n">
        <v>22</v>
      </c>
      <c r="C26" s="66" t="n">
        <v>262.68</v>
      </c>
      <c r="D26" s="66" t="n">
        <v>262.68</v>
      </c>
      <c r="E26" s="142" t="n">
        <v>252.6</v>
      </c>
      <c r="F26" s="73">
        <f>AVERAGE(C26:E26)</f>
        <v/>
      </c>
      <c r="G26" s="49" t="inlineStr">
        <is>
          <t>Used but not yet transferred assets</t>
        </is>
      </c>
    </row>
    <row r="27" ht="24.75" customHeight="1" s="88">
      <c r="A27" s="46" t="inlineStr">
        <is>
          <t>Three, Annual Depreciation of Fixed Assets</t>
        </is>
      </c>
      <c r="B27" s="35" t="n">
        <v>23</v>
      </c>
      <c r="C27" s="72" t="n">
        <v>1010.5</v>
      </c>
      <c r="D27" s="72" t="n">
        <v>990.41</v>
      </c>
      <c r="E27" s="72" t="n">
        <v>971.58</v>
      </c>
      <c r="F27" s="72" t="n">
        <v>990.83</v>
      </c>
      <c r="G27" s="49" t="n"/>
      <c r="H27" t="inlineStr">
        <is>
          <t> </t>
        </is>
      </c>
      <c r="I27" t="inlineStr">
        <is>
          <t> </t>
        </is>
      </c>
      <c r="J27" t="inlineStr">
        <is>
          <t> </t>
        </is>
      </c>
    </row>
    <row r="28" ht="24.75" customHeight="1" s="88">
      <c r="A28" s="46" t="inlineStr">
        <is>
          <t>Four. Total Cost and Expenses (Items One to Three)</t>
        </is>
      </c>
      <c r="B28" s="35" t="n">
        <v>24</v>
      </c>
      <c r="C28" s="70">
        <f>C5+C24+C27</f>
        <v/>
      </c>
      <c r="D28" s="72">
        <f>D5+D24+D27</f>
        <v/>
      </c>
      <c r="E28" s="72">
        <f>E5+E24+E27</f>
        <v/>
      </c>
      <c r="F28" s="70">
        <f>AVERAGE(C28:E28)</f>
        <v/>
      </c>
      <c r="G28" s="52" t="n"/>
    </row>
    <row r="29" ht="24.75" customHeight="1" s="88">
      <c r="A29" s="57" t="inlineStr">
        <is>
          <t>1. Cost for Public Service Responsibilities (13.96%)</t>
        </is>
      </c>
      <c r="B29" s="35" t="n">
        <v>25</v>
      </c>
      <c r="C29" s="73">
        <f>C28*13.96%</f>
        <v/>
      </c>
      <c r="D29" s="73">
        <f>D28*13.96%</f>
        <v/>
      </c>
      <c r="E29" s="73">
        <f>E28*13.96%</f>
        <v/>
      </c>
      <c r="F29" s="73">
        <f>AVERAGE(C29:E29)</f>
        <v/>
      </c>
      <c r="G29" s="49" t="inlineStr">
        <is>
          <t>Allocate according to the results of special audit (proportion)</t>
        </is>
      </c>
    </row>
    <row r="30" ht="24.75" customHeight="1" s="88">
      <c r="A30" s="57" t="inlineStr">
        <is>
          <t>2. Cost to be borne by non-public welfare production and operation (86.04%)</t>
        </is>
      </c>
      <c r="B30" s="35" t="n">
        <v>26</v>
      </c>
      <c r="C30" s="73">
        <f>C28-C29</f>
        <v/>
      </c>
      <c r="D30" s="73">
        <f>D28-D29</f>
        <v/>
      </c>
      <c r="E30" s="73">
        <f>E28-E29</f>
        <v/>
      </c>
      <c r="F30" s="73">
        <f>AVERAGE(C30:E30)</f>
        <v/>
      </c>
      <c r="G30" s="141" t="n"/>
    </row>
    <row r="31" ht="27" customHeight="1" s="88">
      <c r="A31" s="46" t="inlineStr">
        <is>
          <t>Five, cost and expenses to be deducted from non-public welfare production and operation links</t>
        </is>
      </c>
      <c r="B31" s="35" t="n">
        <v>27</v>
      </c>
      <c r="C31" s="144">
        <f>C32+C33</f>
        <v/>
      </c>
      <c r="D31" s="144">
        <f>D32+D33</f>
        <v/>
      </c>
      <c r="E31" s="144">
        <f>E32+E33</f>
        <v/>
      </c>
      <c r="F31" s="144">
        <f>F32+F33</f>
        <v/>
      </c>
      <c r="G31" s="52" t="inlineStr">
        <is>
          <t>Total Deduction</t>
        </is>
      </c>
    </row>
    <row r="32" ht="24.75" customHeight="1" s="88">
      <c r="A32" s="50" t="inlineStr">
        <is>
          <t>1. Expenses for personnel involved in external engineering support projects</t>
        </is>
      </c>
      <c r="B32" s="35" t="n">
        <v>28</v>
      </c>
      <c r="C32" s="142" t="n">
        <v>241</v>
      </c>
      <c r="D32" s="142" t="n">
        <v>191.47</v>
      </c>
      <c r="E32" s="142" t="n">
        <v>151.32</v>
      </c>
      <c r="F32" s="73">
        <f>AVERAGE(C32:E32)</f>
        <v/>
      </c>
      <c r="G32" s="49" t="n"/>
    </row>
    <row r="33" ht="24.75" customHeight="1" s="88">
      <c r="A33" s="50" t="inlineStr">
        <is>
          <t>2. Asset Rental Expenses</t>
        </is>
      </c>
      <c r="B33" s="35" t="n">
        <v>29</v>
      </c>
      <c r="C33" s="142" t="n">
        <v>53.78</v>
      </c>
      <c r="D33" s="142" t="n">
        <v>50.8</v>
      </c>
      <c r="E33" s="142" t="n">
        <v>56.16</v>
      </c>
      <c r="F33" s="73">
        <f>AVERAGE(C33:E33)</f>
        <v/>
      </c>
      <c r="G33" s="49" t="n"/>
    </row>
    <row r="34" ht="24.75" customFormat="1" customHeight="1" s="32">
      <c r="A34" s="46" t="inlineStr">
        <is>
          <t>Six. Total Cost of Non-Public Welfare Production and Operation</t>
        </is>
      </c>
      <c r="B34" s="35" t="n">
        <v>30</v>
      </c>
      <c r="C34" s="144">
        <f>C30-C31</f>
        <v/>
      </c>
      <c r="D34" s="144">
        <f>D30-D31</f>
        <v/>
      </c>
      <c r="E34" s="144">
        <f>E30-E31</f>
        <v/>
      </c>
      <c r="F34" s="70">
        <f>AVERAGE(C34:E34)</f>
        <v/>
      </c>
      <c r="G34" s="52" t="n"/>
    </row>
    <row r="35" ht="27.75" customHeight="1" s="88">
      <c r="A35" s="50" t="inlineStr">
        <is>
          <t>Among them: 1. Cost to be borne by power generation water supply</t>
        </is>
      </c>
      <c r="B35" s="35" t="n">
        <v>31</v>
      </c>
      <c r="C35" s="142">
        <f>C34*44.34%</f>
        <v/>
      </c>
      <c r="D35" s="142">
        <f>D34*44.34%</f>
        <v/>
      </c>
      <c r="E35" s="142">
        <f>E34*44.34%</f>
        <v/>
      </c>
      <c r="F35" s="73">
        <f>AVERAGE(C35:E35)</f>
        <v/>
      </c>
      <c r="G35" s="60" t="n">
        <v>0.4434</v>
      </c>
    </row>
    <row r="36" ht="33.75" customFormat="1" customHeight="1" s="33">
      <c r="A36" s="50" t="inlineStr">
        <is>
          <t>2. Non-power generation water supply (domestic, industrial, agricultural) should bear the cost</t>
        </is>
      </c>
      <c r="B36" s="35" t="n">
        <v>32</v>
      </c>
      <c r="C36" s="142">
        <f>C34*55.66%</f>
        <v/>
      </c>
      <c r="D36" s="142">
        <f>D34*55.66%</f>
        <v/>
      </c>
      <c r="E36" s="142">
        <f>E34*55.66%</f>
        <v/>
      </c>
      <c r="F36" s="73">
        <f>AVERAGE(C36:E36)</f>
        <v/>
      </c>
      <c r="G36" s="60" t="n">
        <v>0.5566</v>
      </c>
    </row>
    <row r="37" ht="24.75" customHeight="1" s="88">
      <c r="A37" s="50" t="inlineStr">
        <is>
          <t>(1) Cost to be borne by industrial water supply</t>
        </is>
      </c>
      <c r="B37" s="35" t="n">
        <v>33</v>
      </c>
      <c r="C37" s="73">
        <f>C36*C38</f>
        <v/>
      </c>
      <c r="D37" s="73">
        <f>D36*D38</f>
        <v/>
      </c>
      <c r="E37" s="73">
        <f>E36*E38</f>
        <v/>
      </c>
      <c r="F37" s="145">
        <f>AVERAGE(C37:E37)</f>
        <v/>
      </c>
      <c r="G37" s="49" t="inlineStr">
        <is>
          <t>Allocated according to a 0.53% ratio</t>
        </is>
      </c>
      <c r="H37" s="62" t="n"/>
    </row>
    <row r="38" ht="24.75" customHeight="1" s="88">
      <c r="A38" s="50" t="inlineStr">
        <is>
          <t>Industrial Water Supply Cost Allocation Ratio</t>
        </is>
      </c>
      <c r="B38" s="35" t="n">
        <v>34</v>
      </c>
      <c r="C38" s="145">
        <f>C52/C51</f>
        <v/>
      </c>
      <c r="D38" s="145">
        <f>D52/D51</f>
        <v/>
      </c>
      <c r="E38" s="145">
        <f>E52/E51</f>
        <v/>
      </c>
      <c r="F38" s="145">
        <f>AVERAGE(C38:E38)</f>
        <v/>
      </c>
      <c r="G38" s="49" t="n"/>
      <c r="H38" s="62" t="n"/>
    </row>
    <row r="39" ht="24.75" customHeight="1" s="88">
      <c r="A39" s="50" t="inlineStr">
        <is>
          <t>(2) Cost to be borne for domestic water supply</t>
        </is>
      </c>
      <c r="B39" s="35" t="n">
        <v>35</v>
      </c>
      <c r="C39" s="73">
        <f>C36*C40</f>
        <v/>
      </c>
      <c r="D39" s="73">
        <f>D36*D40</f>
        <v/>
      </c>
      <c r="E39" s="73">
        <f>E36*E40</f>
        <v/>
      </c>
      <c r="F39" s="73">
        <f>AVERAGE(C39:E39)</f>
        <v/>
      </c>
      <c r="G39" s="49" t="inlineStr">
        <is>
          <t>Allocated according to 13.56% proportion</t>
        </is>
      </c>
    </row>
    <row r="40" ht="24.75" customHeight="1" s="88">
      <c r="A40" s="50" t="inlineStr">
        <is>
          <t>Proportion of Cost Allocation for Domestic Water Supply</t>
        </is>
      </c>
      <c r="B40" s="35" t="n">
        <v>36</v>
      </c>
      <c r="C40" s="145">
        <f>C53/C51</f>
        <v/>
      </c>
      <c r="D40" s="145">
        <f>D53/D51</f>
        <v/>
      </c>
      <c r="E40" s="145">
        <f>E53/E51</f>
        <v/>
      </c>
      <c r="F40" s="145">
        <f>AVERAGE(C40:E40)</f>
        <v/>
      </c>
      <c r="G40" s="49" t="n"/>
    </row>
    <row r="41" ht="24.75" customHeight="1" s="88">
      <c r="A41" s="50" t="inlineStr">
        <is>
          <t>(3) Cost to be borne by agricultural water supply</t>
        </is>
      </c>
      <c r="B41" s="35" t="n">
        <v>37</v>
      </c>
      <c r="C41" s="73">
        <f>C36-C37-C39</f>
        <v/>
      </c>
      <c r="D41" s="73">
        <f>D36-D37-D39</f>
        <v/>
      </c>
      <c r="E41" s="73">
        <f>E36-E37-E39</f>
        <v/>
      </c>
      <c r="F41" s="73">
        <f>AVERAGE(C41:E41)</f>
        <v/>
      </c>
      <c r="G41" s="49" t="inlineStr">
        <is>
          <t>Allocated according to 85.91% proportion</t>
        </is>
      </c>
    </row>
    <row r="42" ht="24.75" customHeight="1" s="88">
      <c r="A42" s="50" t="inlineStr">
        <is>
          <t>Agricultural Water Supply Cost Allocation Ratio</t>
        </is>
      </c>
      <c r="B42" s="35" t="n">
        <v>38</v>
      </c>
      <c r="C42" s="145">
        <f>C54/C51</f>
        <v/>
      </c>
      <c r="D42" s="145">
        <f>D54/D51</f>
        <v/>
      </c>
      <c r="E42" s="145">
        <f>E54/E51</f>
        <v/>
      </c>
      <c r="F42" s="145">
        <f>AVERAGE(C42:E42)</f>
        <v/>
      </c>
      <c r="G42" s="49" t="n"/>
    </row>
    <row r="43" ht="24.75" customHeight="1" s="88">
      <c r="A43" s="59" t="inlineStr">
        <is>
          <t>Seven, the actual water supply volume of the reservoir in the current year (original water volume, 10,000 m³)</t>
        </is>
      </c>
      <c r="B43" s="35" t="n">
        <v>39</v>
      </c>
      <c r="C43" s="72" t="n">
        <v>7994.02</v>
      </c>
      <c r="D43" s="72" t="n">
        <v>7774.41</v>
      </c>
      <c r="E43" s="72" t="n">
        <v>8195.16</v>
      </c>
      <c r="F43" s="70">
        <f>AVERAGE(C43:E43)</f>
        <v/>
      </c>
      <c r="G43" s="52" t="inlineStr">
        <is>
          <t>Audit Data</t>
        </is>
      </c>
    </row>
    <row r="44" ht="24.75" customHeight="1" s="88">
      <c r="A44" s="56" t="inlineStr">
        <is>
          <t>Xilahe Reservoir and other non-power generation water supply volumes (10,000 m³)</t>
        </is>
      </c>
      <c r="B44" s="35" t="n">
        <v>40</v>
      </c>
      <c r="C44" s="66" t="n">
        <v>1303.49</v>
      </c>
      <c r="D44" s="66" t="n">
        <v>1635.14</v>
      </c>
      <c r="E44" s="66" t="n">
        <v>1539.65</v>
      </c>
      <c r="F44" s="73">
        <f>AVERAGE(C44:E44)</f>
        <v/>
      </c>
      <c r="G44" s="49" t="inlineStr">
        <is>
          <t>Audit Data</t>
        </is>
      </c>
    </row>
    <row r="45" ht="24.75" customHeight="1" s="88">
      <c r="A45" s="56" t="inlineStr">
        <is>
          <t>Original Power Generation Water Supply Volume (10,000 m³)</t>
        </is>
      </c>
      <c r="B45" s="35" t="n">
        <v>41</v>
      </c>
      <c r="C45" s="66">
        <f>C43-C44</f>
        <v/>
      </c>
      <c r="D45" s="66">
        <f>D43-D44</f>
        <v/>
      </c>
      <c r="E45" s="66">
        <f>E43-E44</f>
        <v/>
      </c>
      <c r="F45" s="73">
        <f>AVERAGE(C45:E45)</f>
        <v/>
      </c>
      <c r="G45" s="49" t="inlineStr">
        <is>
          <t>Deduct non-power generation water supply such as from Xilahe Reservoir</t>
        </is>
      </c>
    </row>
    <row r="46" ht="24.75" customHeight="1" s="88">
      <c r="A46" s="56" t="inlineStr">
        <is>
          <t>Actual water supply for power generation (10,000 m³)</t>
        </is>
      </c>
      <c r="B46" s="35" t="n">
        <v>42</v>
      </c>
      <c r="C46" s="73">
        <f>C45*80%</f>
        <v/>
      </c>
      <c r="D46" s="73">
        <f>D45*80%</f>
        <v/>
      </c>
      <c r="E46" s="73">
        <f>E45*80%</f>
        <v/>
      </c>
      <c r="F46" s="73">
        <f>AVERAGE(C46:E46)</f>
        <v/>
      </c>
      <c r="G46" s="49" t="inlineStr">
        <is>
          <t>The power generation water supply assurance rate is implemented at 80%.</t>
        </is>
      </c>
    </row>
    <row r="47" ht="27.75" customHeight="1" s="88">
      <c r="A47" s="35" t="inlineStr">
        <is>
          <t>Non-power generation original water supply volume (industrial, domestic, and agricultural original water supply volume, 10,000 m³)</t>
        </is>
      </c>
      <c r="B47" s="35" t="n">
        <v>43</v>
      </c>
      <c r="C47" s="73">
        <f>C46+C44</f>
        <v/>
      </c>
      <c r="D47" s="73">
        <f>D46+D44</f>
        <v/>
      </c>
      <c r="E47" s="73">
        <f>E46+E44</f>
        <v/>
      </c>
      <c r="F47" s="73">
        <f>AVERAGE(C47:E47)</f>
        <v/>
      </c>
      <c r="G47" s="49" t="n"/>
    </row>
    <row r="48" ht="24.75" customHeight="1" s="88">
      <c r="A48" s="56" t="inlineStr">
        <is>
          <t>Among them (1) industrial water supply volume (10,000 m³)</t>
        </is>
      </c>
      <c r="B48" s="35" t="n">
        <v>44</v>
      </c>
      <c r="C48" s="142" t="n">
        <v>37</v>
      </c>
      <c r="D48" s="142" t="n">
        <v>21.5</v>
      </c>
      <c r="E48" s="142" t="n">
        <v>15.4</v>
      </c>
      <c r="F48" s="73">
        <f>AVERAGE(C48:E48)</f>
        <v/>
      </c>
      <c r="G48" s="63" t="inlineStr">
        <is>
          <t>Audit figures</t>
        </is>
      </c>
    </row>
    <row r="49" ht="24.75" customHeight="1" s="88">
      <c r="A49" s="56" t="inlineStr">
        <is>
          <t>(2) Domestic water supply (10,000 m³)</t>
        </is>
      </c>
      <c r="B49" s="35" t="n">
        <v>45</v>
      </c>
      <c r="C49" s="142" t="n">
        <v>547.7</v>
      </c>
      <c r="D49" s="142" t="n">
        <v>599.71</v>
      </c>
      <c r="E49" s="142" t="n">
        <v>667.1</v>
      </c>
      <c r="F49" s="73">
        <f>AVERAGE(C49:E49)</f>
        <v/>
      </c>
      <c r="G49" s="63" t="inlineStr">
        <is>
          <t>Audit figures</t>
        </is>
      </c>
    </row>
    <row r="50" ht="24.75" customHeight="1" s="88">
      <c r="A50" s="56" t="inlineStr">
        <is>
          <t>(3) Agricultural water supply volume (10,000 m³)</t>
        </is>
      </c>
      <c r="B50" s="35" t="n">
        <v>46</v>
      </c>
      <c r="C50" s="142">
        <f>C47-C48-C49</f>
        <v/>
      </c>
      <c r="D50" s="142">
        <f>D47-D48-D49</f>
        <v/>
      </c>
      <c r="E50" s="142">
        <f>E47-E48-E49</f>
        <v/>
      </c>
      <c r="F50" s="73">
        <f>AVERAGE(C50:E50)</f>
        <v/>
      </c>
      <c r="G50" s="63" t="inlineStr">
        <is>
          <t>Back-calculated figure</t>
        </is>
      </c>
    </row>
    <row r="51" ht="24.75" customHeight="1" s="88">
      <c r="A51" s="56" t="inlineStr">
        <is>
          <t>Non-power generation actual water supply volume (industrial, domestic, and agricultural actual water supply volume in 10,000 m³)</t>
        </is>
      </c>
      <c r="B51" s="35" t="n">
        <v>47</v>
      </c>
      <c r="C51" s="142">
        <f>C52+C53+C54</f>
        <v/>
      </c>
      <c r="D51" s="142">
        <f>D52+D53+D54</f>
        <v/>
      </c>
      <c r="E51" s="142">
        <f>E52+E53+E54</f>
        <v/>
      </c>
      <c r="F51" s="73">
        <f>AVERAGE(C51:E51)</f>
        <v/>
      </c>
      <c r="G51" s="63" t="n"/>
    </row>
    <row r="52" ht="24.75" customHeight="1" s="88">
      <c r="A52" s="56" t="inlineStr">
        <is>
          <t>Among them: (1) Industrial water supply volume (10,000 m³)</t>
        </is>
      </c>
      <c r="B52" s="35" t="n">
        <v>48</v>
      </c>
      <c r="C52" s="142">
        <f>C48*90%</f>
        <v/>
      </c>
      <c r="D52" s="142">
        <f>D48*90%</f>
        <v/>
      </c>
      <c r="E52" s="142">
        <f>E48*90%</f>
        <v/>
      </c>
      <c r="F52" s="73">
        <f>AVERAGE(C52:E52)</f>
        <v/>
      </c>
      <c r="G52" s="63" t="inlineStr">
        <is>
          <t>Industrial water supply assurance rate is implemented at 90%.</t>
        </is>
      </c>
    </row>
    <row r="53" ht="24.75" customHeight="1" s="88">
      <c r="A53" s="56" t="inlineStr">
        <is>
          <t>(2) Domestic water supply (10,000 m³)</t>
        </is>
      </c>
      <c r="B53" s="35" t="n">
        <v>49</v>
      </c>
      <c r="C53" s="142">
        <f>C49*95%</f>
        <v/>
      </c>
      <c r="D53" s="142">
        <f>D49*95%</f>
        <v/>
      </c>
      <c r="E53" s="142">
        <f>E49*95%</f>
        <v/>
      </c>
      <c r="F53" s="73">
        <f>AVERAGE(C53:E53)</f>
        <v/>
      </c>
      <c r="G53" s="63" t="inlineStr">
        <is>
          <t>The assurance rate for domestic water supply is implemented at 95%.</t>
        </is>
      </c>
    </row>
    <row r="54" ht="24.75" customHeight="1" s="88">
      <c r="A54" s="56" t="inlineStr">
        <is>
          <t>(3) Agricultural water supply volume (10,000 m³)</t>
        </is>
      </c>
      <c r="B54" s="35" t="n">
        <v>50</v>
      </c>
      <c r="C54" s="142">
        <f>C50*60%</f>
        <v/>
      </c>
      <c r="D54" s="142">
        <f>D50*60%</f>
        <v/>
      </c>
      <c r="E54" s="142">
        <f>E50*60%</f>
        <v/>
      </c>
      <c r="F54" s="73">
        <f>AVERAGE(C54:E54)</f>
        <v/>
      </c>
      <c r="G54" s="63" t="inlineStr">
        <is>
          <t> </t>
        </is>
      </c>
    </row>
    <row r="55" ht="24.75" customHeight="1" s="88">
      <c r="A55" s="64" t="inlineStr">
        <is>
          <t>Eight, Non-power generation water supply comprehensive water sales cost</t>
        </is>
      </c>
      <c r="B55" s="35" t="n">
        <v>51</v>
      </c>
      <c r="C55" s="70">
        <f>C36/C51</f>
        <v/>
      </c>
      <c r="D55" s="70">
        <f>D36/D51</f>
        <v/>
      </c>
      <c r="E55" s="70">
        <f>E36/E51</f>
        <v/>
      </c>
      <c r="F55" s="70">
        <f>AVERAGE(C55:E55)</f>
        <v/>
      </c>
      <c r="G55" s="52" t="inlineStr">
        <is>
          <t>Tax-free, excluding tax</t>
        </is>
      </c>
    </row>
    <row r="56" ht="24.75" customHeight="1" s="88">
      <c r="A56" s="64" t="inlineStr">
        <is>
          <t>Nine. Classified Water Supply Cost</t>
        </is>
      </c>
      <c r="B56" s="35" t="n">
        <v>52</v>
      </c>
      <c r="C56" s="72" t="n"/>
      <c r="D56" s="72" t="n"/>
      <c r="E56" s="72" t="n"/>
      <c r="F56" s="72" t="n"/>
      <c r="G56" s="52" t="n"/>
    </row>
    <row r="57" ht="24.75" customHeight="1" s="88">
      <c r="A57" s="56" t="inlineStr">
        <is>
          <t>1. Unit Cost of Power Generation Water Supply (RMB/yuan per m³)</t>
        </is>
      </c>
      <c r="B57" s="35" t="n">
        <v>53</v>
      </c>
      <c r="C57" s="146">
        <f>C35/C46</f>
        <v/>
      </c>
      <c r="D57" s="146">
        <f>D35/D46</f>
        <v/>
      </c>
      <c r="E57" s="146">
        <f>E35/E46</f>
        <v/>
      </c>
      <c r="F57" s="73">
        <f>AVERAGE(C57:E57)</f>
        <v/>
      </c>
      <c r="G57" s="52" t="n"/>
    </row>
    <row r="58" ht="24.75" customHeight="1" s="88">
      <c r="A58" s="56" t="inlineStr">
        <is>
          <t>2. Unit Cost of Industrial Water Supply (RMB yuan/m³)</t>
        </is>
      </c>
      <c r="B58" s="35" t="n">
        <v>54</v>
      </c>
      <c r="C58" s="73">
        <f>C37/C52</f>
        <v/>
      </c>
      <c r="D58" s="73">
        <f>D37/D52</f>
        <v/>
      </c>
      <c r="E58" s="73">
        <f>E37/E52</f>
        <v/>
      </c>
      <c r="F58" s="73">
        <f>AVERAGE(C58:E58)</f>
        <v/>
      </c>
      <c r="G58" s="52" t="n"/>
    </row>
    <row r="59" ht="24.75" customHeight="1" s="88">
      <c r="A59" s="56" t="inlineStr">
        <is>
          <t>3. Unit Cost of Domestic Water Supply (RMB/yuan per m³)</t>
        </is>
      </c>
      <c r="B59" s="35" t="n">
        <v>55</v>
      </c>
      <c r="C59" s="73">
        <f>C39/C53</f>
        <v/>
      </c>
      <c r="D59" s="73">
        <f>D39/D53</f>
        <v/>
      </c>
      <c r="E59" s="73">
        <f>E39/E53</f>
        <v/>
      </c>
      <c r="F59" s="73">
        <f>AVERAGE(C59:E59)</f>
        <v/>
      </c>
      <c r="G59" s="52" t="n"/>
    </row>
    <row r="60" ht="36" customHeight="1" s="88">
      <c r="A60" s="56" t="inlineStr">
        <is>
          <t>4. Agricultural Water Supply Unit Cost (RMB/m³)</t>
        </is>
      </c>
      <c r="B60" s="35" t="n">
        <v>56</v>
      </c>
      <c r="C60" s="146">
        <f>C41/C54</f>
        <v/>
      </c>
      <c r="D60" s="146">
        <f>D41/D54</f>
        <v/>
      </c>
      <c r="E60" s="146">
        <f>E41/E54</f>
        <v/>
      </c>
      <c r="F60" s="73">
        <f>AVERAGE(C60:E60)</f>
        <v/>
      </c>
      <c r="G60" s="49" t="inlineStr">
        <is>
          <t>The agricultural water supply price is calculated based on the principle of compensating for water supply costs and expenses, without including profit and taxes.</t>
        </is>
      </c>
    </row>
    <row r="61" ht="14.25" customHeight="1" s="88">
      <c r="A61" s="93" t="inlineStr">
        <is>
          <t>                                                                                                                         </t>
        </is>
      </c>
    </row>
    <row r="62" ht="14.25" customHeight="1" s="88"/>
    <row r="63" ht="14.25" customHeight="1" s="88">
      <c r="G63" s="38" t="n"/>
    </row>
    <row r="64" ht="14.25" customHeight="1" s="88">
      <c r="G64" s="38" t="n"/>
    </row>
  </sheetData>
  <mergeCells count="8">
    <mergeCell ref="A61:G61"/>
    <mergeCell ref="A1:G1"/>
    <mergeCell ref="C3:F3"/>
    <mergeCell ref="B3:B4"/>
    <mergeCell ref="A3:A4"/>
    <mergeCell ref="G3:G4"/>
    <mergeCell ref="A2:G2"/>
    <mergeCell ref="G29:G30"/>
  </mergeCells>
  <printOptions horizontalCentered="1"/>
  <pageMargins left="0.3149606299212598" right="0.3149606299212598" top="0.5905511811023623" bottom="0.4724409448818898" header="0.3149606299212598" footer="0.3149606299212598"/>
  <pageSetup orientation="portrait" paperSize="9" scale="93" horizontalDpi="600" vertic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"/>
  <sheetViews>
    <sheetView topLeftCell="A1" workbookViewId="0">
      <selection activeCell="M11" sqref="M11"/>
    </sheetView>
  </sheetViews>
  <sheetFormatPr baseColWidth="8" defaultColWidth="9.00390625" defaultRowHeight="14.25"/>
  <cols>
    <col width="4.50390625" customWidth="1" style="88" min="1" max="1"/>
    <col width="8.375" customWidth="1" style="88" min="2" max="2"/>
    <col width="24.625" customWidth="1" style="88" min="3" max="3"/>
    <col width="4.50390625" customWidth="1" style="88" min="4" max="4"/>
    <col width="10.125" customWidth="1" style="88" min="6" max="6"/>
    <col width="9.375" customWidth="1" style="88" min="7" max="7"/>
    <col width="12.375" customWidth="1" style="88" min="8" max="8"/>
    <col width="6.00390625" customWidth="1" style="88" min="9" max="9"/>
    <col width="29.875" customWidth="1" style="88" min="13" max="13"/>
    <col width="19.375" customWidth="1" style="88" min="15" max="15"/>
  </cols>
  <sheetData>
    <row r="1" ht="28.5" customHeight="1" s="88">
      <c r="A1" s="99" t="inlineStr">
        <is>
          <t>Yuanjiang County Water Conservancy Irrigation District Administration Bureau 2017–2019 County-Owned Water Conservancy Engineering Water Supply Basic Information Table (Table 2)</t>
        </is>
      </c>
    </row>
    <row r="2" ht="23.25" customHeight="1" s="88">
      <c r="A2" s="100" t="inlineStr">
        <is>
          <t>Unit: 10,000 yuan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M2" s="89" t="inlineStr">
        <is>
          <t>Yuanjiang County Water Conservancy Irrigation District Administration Bureau 2017-2019 County-Owned Water Conservancy Project Water Supply Pricing Cost Calculation Table</t>
        </is>
      </c>
    </row>
    <row r="3" ht="18.75" customHeight="1" s="88">
      <c r="A3" s="147" t="inlineStr">
        <is>
          <t>Item</t>
        </is>
      </c>
      <c r="B3" s="148" t="n"/>
      <c r="C3" s="149" t="n"/>
      <c r="D3" s="150" t="inlineStr">
        <is>
          <t>Row number</t>
        </is>
      </c>
      <c r="E3" s="15" t="inlineStr">
        <is>
          <t>Declared Value</t>
        </is>
      </c>
      <c r="F3" s="139" t="n"/>
      <c r="G3" s="139" t="n"/>
      <c r="H3" s="140" t="n"/>
      <c r="I3" s="147" t="inlineStr">
        <is>
          <t>Remarks</t>
        </is>
      </c>
    </row>
    <row r="4" ht="19.5" customHeight="1" s="88">
      <c r="A4" s="151" t="n"/>
      <c r="B4" s="138" t="n"/>
      <c r="C4" s="152" t="n"/>
      <c r="D4" s="141" t="n"/>
      <c r="E4" s="15" t="inlineStr">
        <is>
          <t>2017</t>
        </is>
      </c>
      <c r="F4" s="15" t="inlineStr">
        <is>
          <t>2018</t>
        </is>
      </c>
      <c r="G4" s="15" t="inlineStr">
        <is>
          <t>2019</t>
        </is>
      </c>
      <c r="H4" s="15" t="inlineStr">
        <is>
          <t>Three-Year Average</t>
        </is>
      </c>
      <c r="I4" s="141" t="n"/>
    </row>
    <row r="5" ht="24.75" customHeight="1" s="88">
      <c r="A5" s="104" t="inlineStr">
        <is>
          <t>Assets, Liabilities, and Owner's Equity</t>
        </is>
      </c>
      <c r="B5" s="139" t="n"/>
      <c r="C5" s="140" t="n"/>
      <c r="D5" s="119" t="n">
        <v>1</v>
      </c>
      <c r="E5" s="119" t="n"/>
      <c r="F5" s="119" t="n"/>
      <c r="G5" s="119" t="n"/>
      <c r="H5" s="119" t="n"/>
      <c r="I5" s="87" t="n"/>
    </row>
    <row r="6" ht="24.75" customHeight="1" s="88">
      <c r="A6" s="112" t="inlineStr">
        <is>
          <t>(One)</t>
        </is>
      </c>
      <c r="B6" s="104" t="inlineStr">
        <is>
          <t>Assets</t>
        </is>
      </c>
      <c r="C6" s="140" t="n"/>
      <c r="D6" s="119" t="n">
        <v>2</v>
      </c>
      <c r="E6" s="18">
        <f>E7+E10+E11</f>
        <v/>
      </c>
      <c r="F6" s="18">
        <f>F7+F10+F11</f>
        <v/>
      </c>
      <c r="G6" s="18">
        <f>G7+G10+G11</f>
        <v/>
      </c>
      <c r="H6" s="18">
        <f>H7+H10+H11</f>
        <v/>
      </c>
      <c r="I6" s="87" t="n"/>
    </row>
    <row r="7" ht="24.75" customHeight="1" s="88">
      <c r="A7" s="120" t="n">
        <v>1</v>
      </c>
      <c r="B7" s="105" t="inlineStr">
        <is>
          <t>Net Fixed Assets</t>
        </is>
      </c>
      <c r="C7" s="140" t="n"/>
      <c r="D7" s="119" t="n">
        <v>3</v>
      </c>
      <c r="E7" s="18">
        <f>E8-E9</f>
        <v/>
      </c>
      <c r="F7" s="18">
        <f>F8-F9</f>
        <v/>
      </c>
      <c r="G7" s="18">
        <f>G8-G9</f>
        <v/>
      </c>
      <c r="H7" s="18">
        <f>H8-H9</f>
        <v/>
      </c>
      <c r="I7" s="87" t="n"/>
    </row>
    <row r="8" ht="22.5" customHeight="1" s="88">
      <c r="A8" s="119" t="n"/>
      <c r="B8" s="105" t="inlineStr">
        <is>
          <t>Among them: original value of fixed assets</t>
        </is>
      </c>
      <c r="C8" s="140" t="n"/>
      <c r="D8" s="119" t="n">
        <v>4</v>
      </c>
      <c r="E8" s="18" t="n">
        <v>33214</v>
      </c>
      <c r="F8" s="21" t="n">
        <v>33715</v>
      </c>
      <c r="G8" s="18" t="n">
        <v>34461</v>
      </c>
      <c r="H8" s="18">
        <f>(E8+F8+G8)/3</f>
        <v/>
      </c>
      <c r="I8" s="87" t="n"/>
    </row>
    <row r="9" ht="22.5" customHeight="1" s="88">
      <c r="A9" s="119" t="n"/>
      <c r="B9" s="106" t="inlineStr">
        <is>
          <t>Accumulated Depreciation</t>
        </is>
      </c>
      <c r="C9" s="140" t="n"/>
      <c r="D9" s="119" t="n">
        <v>5</v>
      </c>
      <c r="E9" s="18" t="n">
        <v>19454</v>
      </c>
      <c r="F9" s="21" t="n">
        <v>19702</v>
      </c>
      <c r="G9" s="18" t="n">
        <v>19955</v>
      </c>
      <c r="H9" s="18">
        <f>(E9+F9+G9)/3</f>
        <v/>
      </c>
      <c r="I9" s="87" t="n"/>
      <c r="M9" s="153" t="inlineStr">
        <is>
          <t> </t>
        </is>
      </c>
    </row>
    <row r="10" ht="24" customHeight="1" s="88">
      <c r="A10" s="120" t="n">
        <v>2</v>
      </c>
      <c r="B10" s="105" t="inlineStr">
        <is>
          <t>Current Assets</t>
        </is>
      </c>
      <c r="C10" s="140" t="n"/>
      <c r="D10" s="119" t="n">
        <v>6</v>
      </c>
      <c r="E10" s="119" t="n">
        <v>937</v>
      </c>
      <c r="F10" s="21" t="n">
        <v>1432</v>
      </c>
      <c r="G10" s="119" t="n">
        <v>997</v>
      </c>
      <c r="H10" s="18">
        <f>(E10+F10+G10)/3</f>
        <v/>
      </c>
      <c r="I10" s="87" t="n"/>
    </row>
    <row r="11" ht="24.75" customHeight="1" s="88">
      <c r="A11" s="120" t="n">
        <v>3</v>
      </c>
      <c r="B11" s="105" t="inlineStr">
        <is>
          <t>Under Construction Projects</t>
        </is>
      </c>
      <c r="C11" s="140" t="n"/>
      <c r="D11" s="119" t="n">
        <v>7</v>
      </c>
      <c r="E11" s="119" t="n"/>
      <c r="F11" s="6" t="n">
        <v>36</v>
      </c>
      <c r="G11" s="119" t="n">
        <v>155</v>
      </c>
      <c r="H11" s="18">
        <f>(E11+F11+G11)/3</f>
        <v/>
      </c>
      <c r="I11" s="87" t="n"/>
      <c r="M11" t="inlineStr">
        <is>
          <t> </t>
        </is>
      </c>
      <c r="O11" s="31" t="inlineStr">
        <is>
          <t> </t>
        </is>
      </c>
    </row>
    <row r="12" ht="21" customHeight="1" s="88">
      <c r="A12" s="119" t="inlineStr">
        <is>
          <t>(II)</t>
        </is>
      </c>
      <c r="B12" s="104" t="inlineStr">
        <is>
          <t>Liabilities</t>
        </is>
      </c>
      <c r="C12" s="140" t="n"/>
      <c r="D12" s="119" t="n">
        <v>8</v>
      </c>
      <c r="E12" s="119" t="n">
        <v>709</v>
      </c>
      <c r="F12" s="18" t="n">
        <v>1187</v>
      </c>
      <c r="G12" s="119" t="n">
        <v>902</v>
      </c>
      <c r="H12" s="18">
        <f>(E12+F12+G12)/3</f>
        <v/>
      </c>
      <c r="I12" s="87" t="n"/>
    </row>
    <row r="13" ht="24.75" customHeight="1" s="88">
      <c r="A13" s="119" t="inlineStr">
        <is>
          <t>(Three)</t>
        </is>
      </c>
      <c r="B13" s="109" t="inlineStr">
        <is>
          <t>Owner's Equity (Net Assets)</t>
        </is>
      </c>
      <c r="C13" s="140" t="n"/>
      <c r="D13" s="119" t="n">
        <v>9</v>
      </c>
      <c r="E13" s="18">
        <f>E6-E12</f>
        <v/>
      </c>
      <c r="F13" s="18">
        <f>F6-F12</f>
        <v/>
      </c>
      <c r="G13" s="18">
        <f>G6-G12</f>
        <v/>
      </c>
      <c r="H13" s="18">
        <f>(E13+F13+G13)/3</f>
        <v/>
      </c>
      <c r="I13" s="87" t="n"/>
      <c r="O13" s="31" t="inlineStr">
        <is>
          <t> </t>
        </is>
      </c>
    </row>
    <row r="14" ht="24.75" customHeight="1" s="88">
      <c r="A14" s="112" t="n"/>
      <c r="B14" s="105" t="inlineStr">
        <is>
          <t>Paid-in Capital</t>
        </is>
      </c>
      <c r="C14" s="140" t="n"/>
      <c r="D14" s="119" t="n">
        <v>10</v>
      </c>
      <c r="E14" s="119" t="n"/>
      <c r="F14" s="119" t="n"/>
      <c r="G14" s="119" t="n"/>
      <c r="H14" s="119" t="n"/>
      <c r="I14" s="87" t="n"/>
    </row>
    <row r="15" ht="24.75" customHeight="1" s="88">
      <c r="A15" s="112" t="n"/>
      <c r="B15" s="105" t="inlineStr">
        <is>
          <t>Capital Reserve Fund</t>
        </is>
      </c>
      <c r="C15" s="140" t="n"/>
      <c r="D15" s="119" t="n">
        <v>11</v>
      </c>
      <c r="E15" s="119" t="n"/>
      <c r="F15" s="119" t="n"/>
      <c r="G15" s="119" t="n"/>
      <c r="H15" s="119" t="n"/>
      <c r="I15" s="87" t="n"/>
    </row>
    <row r="16" ht="24.75" customHeight="1" s="88">
      <c r="A16" s="112" t="n"/>
      <c r="B16" s="105" t="inlineStr">
        <is>
          <t>Surplus Reserve Fund</t>
        </is>
      </c>
      <c r="C16" s="140" t="n"/>
      <c r="D16" s="119" t="n">
        <v>12</v>
      </c>
      <c r="E16" s="119" t="n"/>
      <c r="F16" s="119" t="n"/>
      <c r="G16" s="119" t="n"/>
      <c r="H16" s="119" t="n"/>
      <c r="I16" s="87" t="n"/>
    </row>
    <row r="17" ht="24.75" customHeight="1" s="88">
      <c r="A17" s="112" t="n"/>
      <c r="B17" s="105" t="inlineStr">
        <is>
          <t>Undistributed Profit</t>
        </is>
      </c>
      <c r="C17" s="140" t="n"/>
      <c r="D17" s="119" t="n">
        <v>13</v>
      </c>
      <c r="E17" s="18" t="inlineStr">
        <is>
          <t> </t>
        </is>
      </c>
      <c r="F17" s="18" t="inlineStr">
        <is>
          <t> </t>
        </is>
      </c>
      <c r="G17" s="18" t="inlineStr">
        <is>
          <t> </t>
        </is>
      </c>
      <c r="H17" s="18" t="inlineStr">
        <is>
          <t> </t>
        </is>
      </c>
      <c r="I17" s="87" t="n"/>
    </row>
    <row r="18" ht="24.75" customHeight="1" s="88">
      <c r="A18" s="109" t="inlineStr">
        <is>
          <t>II. Revenue and Expenditure Situation</t>
        </is>
      </c>
      <c r="B18" s="139" t="n"/>
      <c r="C18" s="140" t="n"/>
      <c r="D18" s="119" t="n">
        <v>14</v>
      </c>
      <c r="E18" s="119" t="n"/>
      <c r="F18" s="119" t="n"/>
      <c r="G18" s="119" t="n"/>
      <c r="H18" s="119" t="n"/>
      <c r="I18" s="87" t="n"/>
    </row>
    <row r="19" ht="24.75" customHeight="1" s="88">
      <c r="A19" s="112" t="inlineStr">
        <is>
          <t>(One)</t>
        </is>
      </c>
      <c r="B19" s="112" t="inlineStr">
        <is>
          <t>Beginning balance of fiscal special account at year-beginning</t>
        </is>
      </c>
      <c r="C19" s="140" t="n"/>
      <c r="D19" s="119" t="n">
        <v>15</v>
      </c>
      <c r="E19" s="119" t="n"/>
      <c r="F19" s="119" t="n"/>
      <c r="G19" s="119" t="n"/>
      <c r="H19" s="119" t="n"/>
      <c r="I19" s="87" t="n"/>
    </row>
    <row r="20" ht="24.75" customHeight="1" s="88">
      <c r="A20" s="119" t="inlineStr">
        <is>
          <t>Add</t>
        </is>
      </c>
      <c r="B20" s="112" t="inlineStr">
        <is>
          <t>Raw Water Revenue (Special Account Revenue from Fiscal Allocation This Year)</t>
        </is>
      </c>
      <c r="C20" s="140" t="n"/>
      <c r="D20" s="119" t="n">
        <v>16</v>
      </c>
      <c r="E20" s="119" t="n"/>
      <c r="F20" s="119" t="n"/>
      <c r="G20" s="119" t="n"/>
      <c r="H20" s="119" t="n"/>
      <c r="I20" s="87" t="n"/>
    </row>
    <row r="21" ht="24.75" customHeight="1" s="88">
      <c r="A21" s="119" t="inlineStr">
        <is>
          <t>Minus</t>
        </is>
      </c>
      <c r="B21" s="105" t="inlineStr">
        <is>
          <t>Extract water source protection special funds</t>
        </is>
      </c>
      <c r="C21" s="140" t="n"/>
      <c r="D21" s="119" t="n">
        <v>17</v>
      </c>
      <c r="E21" s="119" t="n"/>
      <c r="F21" s="119" t="n"/>
      <c r="G21" s="119" t="n"/>
      <c r="H21" s="119" t="n"/>
      <c r="I21" s="87" t="n"/>
    </row>
    <row r="22" ht="24.75" customHeight="1" s="88">
      <c r="A22" s="112" t="n"/>
      <c r="B22" s="105" t="inlineStr">
        <is>
          <t>Financially Coordinated Funds</t>
        </is>
      </c>
      <c r="C22" s="140" t="n"/>
      <c r="D22" s="119" t="n">
        <v>18</v>
      </c>
      <c r="E22" s="119" t="n"/>
      <c r="F22" s="119" t="n"/>
      <c r="G22" s="119" t="n"/>
      <c r="H22" s="119" t="n"/>
      <c r="I22" s="87" t="n"/>
    </row>
    <row r="23" ht="24.75" customHeight="1" s="88">
      <c r="A23" s="119" t="inlineStr">
        <is>
          <t>(II)</t>
        </is>
      </c>
      <c r="B23" s="105" t="inlineStr">
        <is>
          <t>Total Reservoir Revenue</t>
        </is>
      </c>
      <c r="C23" s="140" t="n"/>
      <c r="D23" s="119" t="n">
        <v>19</v>
      </c>
      <c r="E23" s="119" t="n">
        <v>1890.52</v>
      </c>
      <c r="F23" s="119" t="n">
        <v>2005.23</v>
      </c>
      <c r="G23" s="119" t="n">
        <v>1892.86</v>
      </c>
      <c r="H23" s="44">
        <f>AVERAGE(E23:G23)</f>
        <v/>
      </c>
      <c r="I23" s="87" t="n"/>
      <c r="K23" t="inlineStr">
        <is>
          <t> </t>
        </is>
      </c>
    </row>
    <row r="24" ht="24.75" customHeight="1" s="88">
      <c r="A24" s="120" t="n">
        <v>1</v>
      </c>
      <c r="B24" s="105" t="inlineStr">
        <is>
          <t>Water fee revenue (fiscal allocation for the current year)</t>
        </is>
      </c>
      <c r="C24" s="140" t="n"/>
      <c r="D24" s="119" t="n">
        <v>20</v>
      </c>
      <c r="E24" s="22" t="n"/>
      <c r="F24" s="22" t="n"/>
      <c r="G24" s="22" t="n"/>
      <c r="H24" s="119" t="inlineStr">
        <is>
          <t>         </t>
        </is>
      </c>
      <c r="I24" s="87" t="n"/>
    </row>
    <row r="25" ht="24.75" customHeight="1" s="88">
      <c r="A25" s="120" t="n">
        <v>2</v>
      </c>
      <c r="B25" s="105" t="inlineStr">
        <is>
          <t>Other Income</t>
        </is>
      </c>
      <c r="C25" s="140" t="n"/>
      <c r="D25" s="119" t="n">
        <v>21</v>
      </c>
      <c r="E25" s="119" t="n"/>
      <c r="F25" s="119" t="n"/>
      <c r="G25" s="119" t="n"/>
      <c r="H25" s="119" t="n"/>
      <c r="I25" s="87" t="n"/>
    </row>
    <row r="26" ht="24.75" customHeight="1" s="88">
      <c r="A26" s="120" t="n">
        <v>3</v>
      </c>
      <c r="B26" s="105" t="inlineStr">
        <is>
          <t>Special funds allocated</t>
        </is>
      </c>
      <c r="C26" s="140" t="n"/>
      <c r="D26" s="119" t="n">
        <v>22</v>
      </c>
      <c r="E26" s="119" t="inlineStr">
        <is>
          <t>    </t>
        </is>
      </c>
      <c r="F26" s="119" t="inlineStr">
        <is>
          <t>    </t>
        </is>
      </c>
      <c r="G26" s="119" t="inlineStr">
        <is>
          <t>    </t>
        </is>
      </c>
      <c r="H26" s="119" t="inlineStr">
        <is>
          <t>      </t>
        </is>
      </c>
      <c r="I26" s="87" t="n"/>
    </row>
    <row r="27" ht="22.5" customHeight="1" s="88">
      <c r="A27" s="112" t="inlineStr">
        <is>
          <t>Appendix</t>
        </is>
      </c>
      <c r="B27" s="105" t="inlineStr">
        <is>
          <t>Year-end fiscal special account balance</t>
        </is>
      </c>
      <c r="C27" s="140" t="n"/>
      <c r="D27" s="119" t="n">
        <v>23</v>
      </c>
      <c r="E27" s="119" t="n"/>
      <c r="F27" s="119" t="n"/>
      <c r="G27" s="119" t="n"/>
      <c r="H27" s="119" t="n"/>
      <c r="I27" s="87" t="n"/>
    </row>
    <row r="28" ht="24.75" customHeight="1" s="88">
      <c r="A28" s="105" t="inlineStr">
        <is>
          <t>(3) Expenditure Situation</t>
        </is>
      </c>
      <c r="B28" s="139" t="n"/>
      <c r="C28" s="140" t="n"/>
      <c r="D28" s="119" t="n">
        <v>24</v>
      </c>
      <c r="E28" s="119" t="n">
        <v>2124.07</v>
      </c>
      <c r="F28" s="154" t="n">
        <v>2337.53</v>
      </c>
      <c r="G28" s="119" t="n">
        <v>1962.81</v>
      </c>
      <c r="H28" s="42">
        <f>AVERAGE(E28:G28)</f>
        <v/>
      </c>
      <c r="I28" s="87" t="n"/>
    </row>
    <row r="29" ht="24.75" customHeight="1" s="88">
      <c r="A29" s="119" t="n">
        <v>1</v>
      </c>
      <c r="B29" s="140" t="n"/>
      <c r="C29" s="105" t="inlineStr">
        <is>
          <t>Administrative and Public Service Expenditure</t>
        </is>
      </c>
      <c r="D29" s="119" t="n">
        <v>25</v>
      </c>
      <c r="E29" s="119" t="n"/>
      <c r="F29" s="119" t="n"/>
      <c r="G29" s="119" t="n"/>
      <c r="H29" s="119" t="n"/>
      <c r="I29" s="87" t="n"/>
    </row>
    <row r="30" ht="24.75" customHeight="1" s="88">
      <c r="A30" s="119" t="n">
        <v>2</v>
      </c>
      <c r="B30" s="140" t="n"/>
      <c r="C30" s="105" t="inlineStr">
        <is>
          <t>Other Expenditures</t>
        </is>
      </c>
      <c r="D30" s="119" t="n">
        <v>26</v>
      </c>
      <c r="E30" s="119" t="n"/>
      <c r="F30" s="119" t="n"/>
      <c r="G30" s="119" t="n"/>
      <c r="H30" s="119" t="n"/>
      <c r="I30" s="87" t="n"/>
    </row>
    <row r="31" ht="24.75" customHeight="1" s="88">
      <c r="A31" s="104" t="inlineStr">
        <is>
          <t>Three, Other Basic Situations</t>
        </is>
      </c>
      <c r="B31" s="139" t="n"/>
      <c r="C31" s="140" t="n"/>
      <c r="D31" s="119" t="n">
        <v>27</v>
      </c>
      <c r="E31" s="119" t="n"/>
      <c r="F31" s="119" t="n"/>
      <c r="G31" s="119" t="n"/>
      <c r="H31" s="119" t="n"/>
      <c r="I31" s="87" t="n"/>
    </row>
    <row r="32" ht="24.75" customHeight="1" s="88">
      <c r="A32" s="119" t="inlineStr">
        <is>
          <t>(One)</t>
        </is>
      </c>
      <c r="B32" s="140" t="n"/>
      <c r="C32" s="105" t="inlineStr">
        <is>
          <t>Total Reservoir Capacity (10,000 cubic meters)</t>
        </is>
      </c>
      <c r="D32" s="119" t="n">
        <v>28</v>
      </c>
      <c r="E32" s="119" t="n">
        <v>9524</v>
      </c>
      <c r="F32" s="119" t="n">
        <v>9524</v>
      </c>
      <c r="G32" s="119" t="n">
        <v>9524</v>
      </c>
      <c r="H32" s="119" t="n">
        <v>9524</v>
      </c>
      <c r="I32" s="87" t="n"/>
    </row>
    <row r="33" ht="24.75" customHeight="1" s="88">
      <c r="A33" s="119" t="n"/>
      <c r="B33" s="140" t="n"/>
      <c r="C33" s="105" t="inlineStr">
        <is>
          <t>Wherein: Dead storage capacity (10,000 cubic meters)</t>
        </is>
      </c>
      <c r="D33" s="119" t="n">
        <v>29</v>
      </c>
      <c r="E33" s="119" t="n">
        <v>342</v>
      </c>
      <c r="F33" s="119" t="n">
        <v>342</v>
      </c>
      <c r="G33" s="119" t="n">
        <v>342</v>
      </c>
      <c r="H33" s="119" t="n">
        <v>342</v>
      </c>
      <c r="I33" s="87" t="n"/>
    </row>
    <row r="34" ht="24.75" customHeight="1" s="88">
      <c r="A34" s="119" t="n"/>
      <c r="B34" s="140" t="n"/>
      <c r="C34" s="23" t="inlineStr">
        <is>
          <t>Beneficial Reservoir Capacity (10,000 cubic meters)</t>
        </is>
      </c>
      <c r="D34" s="119" t="n">
        <v>30</v>
      </c>
      <c r="E34" s="119" t="n">
        <v>7946</v>
      </c>
      <c r="F34" s="119" t="n">
        <v>7946</v>
      </c>
      <c r="G34" s="119" t="n">
        <v>7946</v>
      </c>
      <c r="H34" s="119" t="n">
        <v>7946</v>
      </c>
      <c r="I34" s="87" t="n"/>
    </row>
    <row r="35" ht="24.75" customHeight="1" s="88">
      <c r="A35" s="119" t="n"/>
      <c r="B35" s="140" t="n"/>
      <c r="C35" s="23" t="inlineStr">
        <is>
          <t>Flood regulation reservoir capacity (10,000 cubic meters)</t>
        </is>
      </c>
      <c r="D35" s="119" t="n">
        <v>31</v>
      </c>
      <c r="E35" s="119" t="n">
        <v>1289</v>
      </c>
      <c r="F35" s="119" t="n">
        <v>1289</v>
      </c>
      <c r="G35" s="119" t="n">
        <v>1289</v>
      </c>
      <c r="H35" s="119" t="n">
        <v>1289</v>
      </c>
      <c r="I35" s="87" t="n"/>
    </row>
    <row r="36" ht="24.75" customHeight="1" s="88">
      <c r="A36" s="119" t="n"/>
      <c r="B36" s="140" t="n"/>
      <c r="C36" s="24" t="inlineStr">
        <is>
          <t>Flood control reservoir capacity (10,000 cubic meters)</t>
        </is>
      </c>
      <c r="D36" s="119" t="n">
        <v>32</v>
      </c>
      <c r="E36" s="119" t="n">
        <v>1289</v>
      </c>
      <c r="F36" s="119" t="n">
        <v>1289</v>
      </c>
      <c r="G36" s="119" t="n">
        <v>1289</v>
      </c>
      <c r="H36" s="119" t="n">
        <v>1289</v>
      </c>
      <c r="I36" s="87" t="n"/>
    </row>
    <row r="37" ht="24.75" customHeight="1" s="88">
      <c r="A37" s="119" t="inlineStr">
        <is>
          <t>(II)</t>
        </is>
      </c>
      <c r="B37" s="140" t="n"/>
      <c r="C37" s="105" t="inlineStr">
        <is>
          <t>Annual water supply volume (10,000 cubic meters)</t>
        </is>
      </c>
      <c r="D37" s="119" t="n">
        <v>33</v>
      </c>
      <c r="E37" s="119" t="n">
        <v>9548.77</v>
      </c>
      <c r="F37" s="154" t="n">
        <v>9055.700000000001</v>
      </c>
      <c r="G37" s="119" t="n">
        <v>9680.959999999999</v>
      </c>
      <c r="H37" s="154">
        <f>AVERAGE(E37:G37)</f>
        <v/>
      </c>
      <c r="I37" s="87" t="n"/>
    </row>
    <row r="38" ht="24.75" customHeight="1" s="88">
      <c r="A38" s="119" t="n"/>
      <c r="B38" s="140" t="n"/>
      <c r="C38" s="105" t="inlineStr">
        <is>
          <t>Among them: industrial water use (10,000 cubic meters)</t>
        </is>
      </c>
      <c r="D38" s="119" t="n">
        <v>34</v>
      </c>
      <c r="E38" s="154" t="n">
        <v>33.3</v>
      </c>
      <c r="F38" s="154" t="n">
        <v>19.35</v>
      </c>
      <c r="G38" s="154" t="n">
        <v>13.86</v>
      </c>
      <c r="H38" s="154">
        <f>AVERAGE(E38:G38)</f>
        <v/>
      </c>
      <c r="I38" s="87" t="n"/>
    </row>
    <row r="39" ht="24.75" customHeight="1" s="88">
      <c r="A39" s="119" t="n"/>
      <c r="B39" s="140" t="n"/>
      <c r="C39" s="105" t="inlineStr">
        <is>
          <t>Industrial Water Consumption Ratio (%)</t>
        </is>
      </c>
      <c r="D39" s="119" t="n">
        <v>35</v>
      </c>
      <c r="E39" s="25" t="n">
        <v>0.007900000000000001</v>
      </c>
      <c r="F39" s="25" t="n">
        <v>0.0047</v>
      </c>
      <c r="G39" s="25" t="n">
        <v>0.0032</v>
      </c>
      <c r="H39" s="25" t="n">
        <v>0.0053</v>
      </c>
      <c r="I39" s="87" t="n"/>
    </row>
    <row r="40" ht="24.75" customHeight="1" s="88">
      <c r="A40" s="119" t="n"/>
      <c r="B40" s="140" t="n"/>
      <c r="C40" s="105" t="inlineStr">
        <is>
          <t>Domestic Water Use (10,000 cubic meters)</t>
        </is>
      </c>
      <c r="D40" s="119" t="n">
        <v>36</v>
      </c>
      <c r="E40" s="119" t="n">
        <v>520.3200000000001</v>
      </c>
      <c r="F40" s="119" t="n">
        <v>569.72</v>
      </c>
      <c r="G40" s="119" t="n">
        <v>633.75</v>
      </c>
      <c r="H40" s="42">
        <f>AVERAGE(E40:G40)</f>
        <v/>
      </c>
      <c r="I40" s="87" t="n"/>
    </row>
    <row r="41" ht="24.75" customHeight="1" s="88">
      <c r="A41" s="119" t="n"/>
      <c r="B41" s="140" t="n"/>
      <c r="C41" s="105" t="inlineStr">
        <is>
          <t>Proportion of domestic water use (%)</t>
        </is>
      </c>
      <c r="D41" s="119" t="n">
        <v>37</v>
      </c>
      <c r="E41" s="25" t="n">
        <v>0.124</v>
      </c>
      <c r="F41" s="25" t="n">
        <v>0.1375</v>
      </c>
      <c r="G41" s="25" t="n">
        <v>0.1455</v>
      </c>
      <c r="H41" s="25" t="n">
        <v>0.1356</v>
      </c>
      <c r="I41" s="87" t="n"/>
    </row>
    <row r="42" ht="24.75" customHeight="1" s="88">
      <c r="A42" s="119" t="n"/>
      <c r="B42" s="140" t="n"/>
      <c r="C42" s="105" t="inlineStr">
        <is>
          <t>Electricity generation water use (10,000 cubic meters)</t>
        </is>
      </c>
      <c r="D42" s="119" t="n">
        <v>38</v>
      </c>
      <c r="E42" s="119" t="n">
        <v>5352.42</v>
      </c>
      <c r="F42" s="119" t="n">
        <v>4911.42</v>
      </c>
      <c r="G42" s="119" t="n">
        <v>5324.41</v>
      </c>
      <c r="H42" s="42">
        <f>AVERAGE(E42:G42)</f>
        <v/>
      </c>
      <c r="I42" s="87" t="n"/>
    </row>
    <row r="43" ht="24.75" customHeight="1" s="88">
      <c r="A43" s="119" t="n"/>
      <c r="B43" s="140" t="n"/>
      <c r="C43" s="105" t="inlineStr">
        <is>
          <t>Power generation water usage ratio (%)</t>
        </is>
      </c>
      <c r="D43" s="119" t="n">
        <v>39</v>
      </c>
      <c r="E43" s="25" t="n">
        <v>0.4434</v>
      </c>
      <c r="F43" s="25" t="n">
        <v>0.4434</v>
      </c>
      <c r="G43" s="25" t="n">
        <v>0.4434</v>
      </c>
      <c r="H43" s="25" t="n">
        <v>0.4434</v>
      </c>
      <c r="I43" s="87" t="n"/>
    </row>
    <row r="44" ht="24.75" customHeight="1" s="88">
      <c r="A44" s="119" t="n"/>
      <c r="B44" s="140" t="n"/>
      <c r="C44" s="105" t="inlineStr">
        <is>
          <t>Agricultural Water Use (10,000 cubic meters)</t>
        </is>
      </c>
      <c r="D44" s="119" t="n">
        <v>40</v>
      </c>
      <c r="E44" s="119" t="n">
        <v>3642.73</v>
      </c>
      <c r="F44" s="119" t="n">
        <v>3555.21</v>
      </c>
      <c r="G44" s="119" t="n">
        <v>3708.94</v>
      </c>
      <c r="H44" s="42">
        <f>AVERAGE(E44:G44)</f>
        <v/>
      </c>
      <c r="I44" s="87" t="n"/>
    </row>
    <row r="45" ht="24.75" customHeight="1" s="88">
      <c r="A45" s="119" t="n"/>
      <c r="B45" s="140" t="n"/>
      <c r="C45" s="105" t="inlineStr">
        <is>
          <t>Agricultural water use proportion (%)</t>
        </is>
      </c>
      <c r="D45" s="119" t="n">
        <v>41</v>
      </c>
      <c r="E45" s="25" t="n">
        <v>0.8681</v>
      </c>
      <c r="F45" s="25" t="n">
        <v>0.8579</v>
      </c>
      <c r="G45" s="25" t="n">
        <v>0.8512999999999999</v>
      </c>
      <c r="H45" s="25" t="n">
        <v>0.8591</v>
      </c>
      <c r="I45" s="87" t="n"/>
    </row>
    <row r="46" ht="24.75" customHeight="1" s="88">
      <c r="A46" s="119" t="inlineStr">
        <is>
          <t>(Three)</t>
        </is>
      </c>
      <c r="B46" s="140" t="n"/>
      <c r="C46" s="105" t="inlineStr">
        <is>
          <t>Annual drainage water volume (10,000 cubic meters)</t>
        </is>
      </c>
      <c r="D46" s="119" t="n">
        <v>42</v>
      </c>
      <c r="E46" s="22" t="n"/>
      <c r="F46" s="22" t="n"/>
      <c r="G46" s="22" t="n"/>
      <c r="H46" s="22" t="n"/>
      <c r="I46" s="87" t="n"/>
    </row>
    <row r="47" ht="24.75" customHeight="1" s="88">
      <c r="A47" s="119" t="inlineStr">
        <is>
          <t>(4)</t>
        </is>
      </c>
      <c r="B47" s="140" t="n"/>
      <c r="C47" s="105" t="inlineStr">
        <is>
          <t>Length of water conveyance pipeline (kilometers)</t>
        </is>
      </c>
      <c r="D47" s="119" t="n">
        <v>43</v>
      </c>
      <c r="E47" s="22" t="n"/>
      <c r="F47" s="22" t="n"/>
      <c r="G47" s="22" t="n"/>
      <c r="H47" s="22" t="n"/>
      <c r="I47" s="87" t="n"/>
    </row>
    <row r="48" ht="24.75" customHeight="1" s="88">
      <c r="A48" s="119" t="inlineStr">
        <is>
          <t>(5)</t>
        </is>
      </c>
      <c r="B48" s="140" t="n"/>
      <c r="C48" s="105" t="inlineStr">
        <is>
          <t>Annual power consumption (10,000 kWh)</t>
        </is>
      </c>
      <c r="D48" s="119" t="n">
        <v>44</v>
      </c>
      <c r="E48" s="22" t="n"/>
      <c r="F48" s="22" t="n"/>
      <c r="G48" s="22" t="n"/>
      <c r="H48" s="22" t="n"/>
      <c r="I48" s="87" t="n"/>
    </row>
    <row r="49" ht="24.75" customHeight="1" s="88">
      <c r="A49" s="119" t="inlineStr">
        <is>
          <t>(6)</t>
        </is>
      </c>
      <c r="B49" s="140" t="n"/>
      <c r="C49" s="26" t="inlineStr">
        <is>
          <t>Water Supply Power Consumption per Unit (10,000 kWh/10,000 cubic meters)</t>
        </is>
      </c>
      <c r="D49" s="119" t="n">
        <v>45</v>
      </c>
      <c r="E49" s="22" t="n"/>
      <c r="F49" s="22" t="n"/>
      <c r="G49" s="22" t="n"/>
      <c r="H49" s="22" t="n"/>
      <c r="I49" s="87" t="n"/>
    </row>
    <row r="50" ht="24.75" customHeight="1" s="88">
      <c r="A50" s="119" t="inlineStr">
        <is>
          <t>(Seven)</t>
        </is>
      </c>
      <c r="B50" s="140" t="n"/>
      <c r="C50" s="105" t="inlineStr">
        <is>
          <t>Total number of enterprise employees (people)</t>
        </is>
      </c>
      <c r="D50" s="119" t="n">
        <v>46</v>
      </c>
      <c r="E50" s="119" t="n">
        <v>127</v>
      </c>
      <c r="F50" s="119" t="n">
        <v>123</v>
      </c>
      <c r="G50" s="119" t="n">
        <v>117</v>
      </c>
      <c r="H50" s="119" t="n">
        <v>122</v>
      </c>
      <c r="I50" s="87" t="n"/>
    </row>
    <row r="51" ht="24.75" customHeight="1" s="88">
      <c r="A51" s="119" t="n"/>
      <c r="B51" s="140" t="n"/>
      <c r="C51" s="105" t="inlineStr">
        <is>
          <t>Among them: the number of personnel approved for staffing</t>
        </is>
      </c>
      <c r="D51" s="119" t="n">
        <v>47</v>
      </c>
      <c r="E51" s="27" t="n">
        <v>153</v>
      </c>
      <c r="F51" s="27" t="n">
        <v>153</v>
      </c>
      <c r="G51" s="27" t="n">
        <v>153</v>
      </c>
      <c r="H51" s="27" t="n">
        <v>153</v>
      </c>
      <c r="I51" s="87" t="n"/>
    </row>
    <row r="52" ht="24.75" customHeight="1" s="88">
      <c r="A52" s="119" t="n"/>
      <c r="B52" s="140" t="n"/>
      <c r="C52" s="105" t="inlineStr">
        <is>
          <t>In-service employees</t>
        </is>
      </c>
      <c r="D52" s="119" t="n">
        <v>48</v>
      </c>
      <c r="E52" s="27" t="n">
        <v>127</v>
      </c>
      <c r="F52" s="27" t="n">
        <v>123</v>
      </c>
      <c r="G52" s="27" t="n">
        <v>117</v>
      </c>
      <c r="H52" s="27" t="n">
        <v>122</v>
      </c>
      <c r="I52" s="87" t="n"/>
    </row>
    <row r="53" ht="24.75" customHeight="1" s="88">
      <c r="A53" s="119" t="n"/>
      <c r="B53" s="140" t="n"/>
      <c r="C53" s="105" t="inlineStr">
        <is>
          <t>Retired and separated personnel</t>
        </is>
      </c>
      <c r="D53" s="119" t="n">
        <v>49</v>
      </c>
      <c r="E53" s="27" t="n">
        <v>73</v>
      </c>
      <c r="F53" s="27" t="n">
        <v>77</v>
      </c>
      <c r="G53" s="27" t="n">
        <v>80</v>
      </c>
      <c r="H53" s="27" t="n">
        <v>77</v>
      </c>
      <c r="I53" s="87" t="n"/>
    </row>
    <row r="54" ht="27.75" customHeight="1" s="88">
      <c r="A54" s="119" t="inlineStr">
        <is>
          <t>(8)</t>
        </is>
      </c>
      <c r="B54" s="140" t="n"/>
      <c r="C54" s="105" t="inlineStr">
        <is>
          <t>Total salary of employees in enterprises (statistical report)</t>
        </is>
      </c>
      <c r="D54" s="119" t="n">
        <v>50</v>
      </c>
      <c r="E54" s="28" t="n"/>
      <c r="F54" s="28" t="n"/>
      <c r="G54" s="28" t="n"/>
      <c r="H54" s="119" t="n"/>
      <c r="I54" s="87" t="n"/>
    </row>
  </sheetData>
  <mergeCells count="56">
    <mergeCell ref="A48:B48"/>
    <mergeCell ref="A30:B30"/>
    <mergeCell ref="B16:C16"/>
    <mergeCell ref="B7:C7"/>
    <mergeCell ref="B25:C25"/>
    <mergeCell ref="A49:B49"/>
    <mergeCell ref="A51:B51"/>
    <mergeCell ref="A45:B45"/>
    <mergeCell ref="A18:C18"/>
    <mergeCell ref="A36:B36"/>
    <mergeCell ref="B22:C22"/>
    <mergeCell ref="B27:C27"/>
    <mergeCell ref="B12:C12"/>
    <mergeCell ref="B21:C21"/>
    <mergeCell ref="A54:B54"/>
    <mergeCell ref="A2:I2"/>
    <mergeCell ref="B11:C11"/>
    <mergeCell ref="E3:H3"/>
    <mergeCell ref="A41:B41"/>
    <mergeCell ref="A5:C5"/>
    <mergeCell ref="I3:I4"/>
    <mergeCell ref="A46:B46"/>
    <mergeCell ref="D3:D4"/>
    <mergeCell ref="A37:B37"/>
    <mergeCell ref="B23:C23"/>
    <mergeCell ref="B14:C14"/>
    <mergeCell ref="B17:C17"/>
    <mergeCell ref="B8:C8"/>
    <mergeCell ref="A50:B50"/>
    <mergeCell ref="B13:C13"/>
    <mergeCell ref="A28:C28"/>
    <mergeCell ref="A33:B33"/>
    <mergeCell ref="A31:C31"/>
    <mergeCell ref="B19:C19"/>
    <mergeCell ref="A47:B47"/>
    <mergeCell ref="A42:B42"/>
    <mergeCell ref="B10:C10"/>
    <mergeCell ref="A32:B32"/>
    <mergeCell ref="A3:C4"/>
    <mergeCell ref="B9:C9"/>
    <mergeCell ref="A53:B53"/>
    <mergeCell ref="A35:B35"/>
    <mergeCell ref="B6:C6"/>
    <mergeCell ref="A38:B38"/>
    <mergeCell ref="B24:C24"/>
    <mergeCell ref="A52:B52"/>
    <mergeCell ref="A29:B29"/>
    <mergeCell ref="B15:C15"/>
    <mergeCell ref="A43:B43"/>
    <mergeCell ref="B20:C20"/>
    <mergeCell ref="A1:I1"/>
    <mergeCell ref="A44:B44"/>
    <mergeCell ref="B26:C26"/>
    <mergeCell ref="A39:B39"/>
    <mergeCell ref="A34:B34"/>
    <mergeCell ref="A40:B40"/>
  </mergeCells>
  <printOptions horizontalCentered="1"/>
  <pageMargins left="0.708333333333333" right="0.708333333333333" top="0.747916666666667" bottom="0.590277777777778" header="0.314583333333333" footer="0.314583333333333"/>
  <pageSetup orientation="portrait" paperSize="9" horizontalDpi="600" verticalDpi="6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topLeftCell="A1" workbookViewId="0">
      <selection activeCell="S3" sqref="S3"/>
    </sheetView>
  </sheetViews>
  <sheetFormatPr baseColWidth="8" defaultColWidth="10.00390625" defaultRowHeight="14.25"/>
  <cols>
    <col width="3.00390625" customWidth="1" style="88" min="1" max="1"/>
    <col width="12.25390625" customWidth="1" style="88" min="2" max="2"/>
    <col width="7.50390625" customWidth="1" style="88" min="3" max="3"/>
    <col width="7.125" customWidth="1" style="88" min="4" max="4"/>
    <col width="9.125" customWidth="1" style="88" min="5" max="5"/>
    <col width="9.00390625" customWidth="1" style="88" min="6" max="6"/>
    <col width="11.375" customWidth="1" style="88" min="7" max="7"/>
    <col width="5.375" customWidth="1" style="88" min="8" max="8"/>
    <col width="10.125" customWidth="1" style="88" min="9" max="9"/>
    <col width="10.875" customWidth="1" style="88" min="10" max="10"/>
    <col width="7.875" customWidth="1" style="88" min="11" max="11"/>
    <col width="4.375" customWidth="1" style="88" min="12" max="12"/>
    <col width="11.25390625" customWidth="1" style="88" min="13" max="13"/>
    <col width="9.00390625" customWidth="1" style="88" min="14" max="14"/>
    <col width="7.875" customWidth="1" style="88" min="15" max="15"/>
    <col width="9.125" customWidth="1" style="88" min="16" max="16"/>
    <col width="10.25390625" customWidth="1" style="88" min="17" max="17"/>
  </cols>
  <sheetData>
    <row r="1" ht="42" customHeight="1" s="88">
      <c r="A1" s="131" t="inlineStr">
        <is>
          <t>Yuanjiang County Water Conservancy Irrigation District Administration Bureau 2017–2019 County-Owned Water Conservancy Project Water Supply Volume Statistics Table (Table 3)</t>
        </is>
      </c>
    </row>
    <row r="2" ht="22.5" customFormat="1" customHeight="1" s="1">
      <c r="A2" s="1" t="inlineStr">
        <is>
          <t> 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32" t="inlineStr">
        <is>
          <t>Unit: 10,000 m³</t>
        </is>
      </c>
      <c r="R2" s="1" t="n"/>
    </row>
    <row r="3" ht="93.75" customHeight="1" s="88">
      <c r="A3" s="2" t="inlineStr">
        <is>
          <t>Serial Number</t>
        </is>
      </c>
      <c r="B3" s="3" t="inlineStr">
        <is>
          <t>Year
Water Volume
Project</t>
        </is>
      </c>
      <c r="C3" s="4" t="inlineStr">
        <is>
          <t>2017 Water Supply Volume</t>
        </is>
      </c>
      <c r="D3" s="4" t="inlineStr">
        <is>
          <t>Water Supply Assurance Rate</t>
        </is>
      </c>
      <c r="E3" s="5" t="inlineStr">
        <is>
          <t>2017 Water Supply Assurance Volume</t>
        </is>
      </c>
      <c r="F3" s="4" t="inlineStr">
        <is>
          <t>Water Supply Allocation Coefficient</t>
        </is>
      </c>
      <c r="G3" s="4" t="inlineStr">
        <is>
          <t>2018 Water Supply Volume</t>
        </is>
      </c>
      <c r="H3" s="4" t="inlineStr">
        <is>
          <t>Water Supply Assurance Rate</t>
        </is>
      </c>
      <c r="I3" s="5" t="inlineStr">
        <is>
          <t>2018 Water Supply Assurance Volume</t>
        </is>
      </c>
      <c r="J3" s="4" t="inlineStr">
        <is>
          <t>Water Supply Allocation Coefficient</t>
        </is>
      </c>
      <c r="K3" s="4" t="inlineStr">
        <is>
          <t>2019 Water Supply Volume</t>
        </is>
      </c>
      <c r="L3" s="4" t="inlineStr">
        <is>
          <t>Water Supply Assurance Rate</t>
        </is>
      </c>
      <c r="M3" s="5" t="inlineStr">
        <is>
          <t>2019 Water Supply Assurance Volume</t>
        </is>
      </c>
      <c r="N3" s="4" t="inlineStr">
        <is>
          <t>Water Supply Allocation Coefficient</t>
        </is>
      </c>
      <c r="O3" s="4" t="inlineStr">
        <is>
          <t>3-Year Total Supply Volume</t>
        </is>
      </c>
      <c r="P3" s="5" t="inlineStr">
        <is>
          <t>3-Year Average Water Supply Assurance Volume</t>
        </is>
      </c>
      <c r="Q3" s="4" t="inlineStr">
        <is>
          <t>3-Year Average Water Supply Assurance Allocation Coefficient</t>
        </is>
      </c>
    </row>
    <row r="4" ht="57" customHeight="1" s="88">
      <c r="A4" s="6" t="n">
        <v>1</v>
      </c>
      <c r="B4" s="7" t="inlineStr">
        <is>
          <t>Industrial Water Supply Volume</t>
        </is>
      </c>
      <c r="C4" s="155" t="n">
        <v>37</v>
      </c>
      <c r="D4" s="9" t="n">
        <v>0.9</v>
      </c>
      <c r="E4" s="39">
        <f>ROUND(C4*D4,2)</f>
        <v/>
      </c>
      <c r="F4" s="156" t="n">
        <v>0.007900000000000001</v>
      </c>
      <c r="G4" s="155" t="n">
        <v>21.5</v>
      </c>
      <c r="H4" s="9" t="n">
        <v>0.9</v>
      </c>
      <c r="I4" s="12">
        <f>ROUND(G4*H4,2)</f>
        <v/>
      </c>
      <c r="J4" s="156" t="n">
        <v>0.0047</v>
      </c>
      <c r="K4" s="155" t="n">
        <v>15.4</v>
      </c>
      <c r="L4" s="9" t="n">
        <v>0.9</v>
      </c>
      <c r="M4" s="12">
        <f>K4*L4</f>
        <v/>
      </c>
      <c r="N4" s="156" t="n">
        <v>0.0032</v>
      </c>
      <c r="O4" s="11">
        <f>C4+G4+K4</f>
        <v/>
      </c>
      <c r="P4" s="39">
        <f>(E4+I4+M4)/3</f>
        <v/>
      </c>
      <c r="Q4" s="157" t="n">
        <v>0.0053</v>
      </c>
      <c r="R4" s="158" t="n"/>
    </row>
    <row r="5" ht="55.5" customHeight="1" s="88">
      <c r="A5" s="6" t="n">
        <v>2</v>
      </c>
      <c r="B5" s="7" t="inlineStr">
        <is>
          <t>Urban domestic water supply volume</t>
        </is>
      </c>
      <c r="C5" s="6" t="n">
        <v>547.7</v>
      </c>
      <c r="D5" s="9" t="n">
        <v>0.95</v>
      </c>
      <c r="E5" s="39">
        <f>ROUND(C5*D5,2)</f>
        <v/>
      </c>
      <c r="F5" s="156" t="n">
        <v>0.124</v>
      </c>
      <c r="G5" s="155" t="n">
        <v>599.71</v>
      </c>
      <c r="H5" s="9" t="n">
        <v>0.95</v>
      </c>
      <c r="I5" s="39">
        <f>ROUND(G5*H5,2)</f>
        <v/>
      </c>
      <c r="J5" s="156" t="n">
        <v>0.1375</v>
      </c>
      <c r="K5" s="155" t="n">
        <v>667.1</v>
      </c>
      <c r="L5" s="9" t="n">
        <v>0.95</v>
      </c>
      <c r="M5" s="12">
        <f>ROUND(K5*L5,2)</f>
        <v/>
      </c>
      <c r="N5" s="156" t="n">
        <v>0.1455</v>
      </c>
      <c r="O5" s="11">
        <f>C5+G5+K5</f>
        <v/>
      </c>
      <c r="P5" s="159">
        <f>(E5+I5+M5)/3</f>
        <v/>
      </c>
      <c r="Q5" s="156" t="n">
        <v>0.1356</v>
      </c>
      <c r="R5" s="158" t="n"/>
    </row>
    <row r="6" ht="55.5" customHeight="1" s="88">
      <c r="A6" s="66" t="n">
        <v>3</v>
      </c>
      <c r="B6" s="67" t="inlineStr">
        <is>
          <t>Power generation water supply (reused water)</t>
        </is>
      </c>
      <c r="C6" s="160" t="n">
        <v>6690.53</v>
      </c>
      <c r="D6" s="69" t="n">
        <v>0.8</v>
      </c>
      <c r="E6" s="70">
        <f>ROUND(C6*D6,2)</f>
        <v/>
      </c>
      <c r="F6" s="69" t="n">
        <v>0.4434</v>
      </c>
      <c r="G6" s="160" t="n">
        <v>6139.27</v>
      </c>
      <c r="H6" s="71" t="n">
        <v>0.8</v>
      </c>
      <c r="I6" s="72">
        <f>ROUND(G6*H6,2)</f>
        <v/>
      </c>
      <c r="J6" s="69" t="n">
        <v>0.4434</v>
      </c>
      <c r="K6" s="160" t="n">
        <v>6655.51</v>
      </c>
      <c r="L6" s="71" t="n">
        <v>0.8</v>
      </c>
      <c r="M6" s="72">
        <f>ROUND(K6*L6,2)</f>
        <v/>
      </c>
      <c r="N6" s="69" t="n">
        <v>0.4434</v>
      </c>
      <c r="O6" s="73">
        <f>C6+G6+K6</f>
        <v/>
      </c>
      <c r="P6" s="161">
        <f>(E6+I6+M6)/3</f>
        <v/>
      </c>
      <c r="Q6" s="69" t="n">
        <v>0.4434</v>
      </c>
      <c r="R6" s="158" t="n"/>
    </row>
    <row r="7" ht="57" customHeight="1" s="88">
      <c r="A7" s="6" t="n">
        <v>4</v>
      </c>
      <c r="B7" s="7" t="inlineStr">
        <is>
          <t>Agricultural water supply volume</t>
        </is>
      </c>
      <c r="C7" s="155" t="n">
        <v>6071.21</v>
      </c>
      <c r="D7" s="9" t="n">
        <v>0.6</v>
      </c>
      <c r="E7" s="39">
        <f>ROUND(C7*D7,2)</f>
        <v/>
      </c>
      <c r="F7" s="156" t="n">
        <v>0.8681</v>
      </c>
      <c r="G7" s="155" t="n">
        <v>5925.35</v>
      </c>
      <c r="H7" s="9" t="n">
        <v>0.6</v>
      </c>
      <c r="I7" s="12">
        <f>ROUND(G7*H7,2)</f>
        <v/>
      </c>
      <c r="J7" s="156" t="n">
        <v>0.8579</v>
      </c>
      <c r="K7" s="155" t="n">
        <v>6181.56</v>
      </c>
      <c r="L7" s="9" t="n">
        <v>0.6</v>
      </c>
      <c r="M7" s="12">
        <f>ROUND(K7*L7,2)</f>
        <v/>
      </c>
      <c r="N7" s="156" t="n">
        <v>0.8512999999999999</v>
      </c>
      <c r="O7" s="11">
        <f>E7+I7+M7</f>
        <v/>
      </c>
      <c r="P7" s="159">
        <f>(E7+I7+M7)/3</f>
        <v/>
      </c>
      <c r="Q7" s="156" t="n">
        <v>0.8591</v>
      </c>
      <c r="R7" s="162" t="n"/>
    </row>
    <row r="8" ht="54" customHeight="1" s="88">
      <c r="A8" s="5" t="inlineStr">
        <is>
          <t>Total Water Supply (excluding power generation water supply)</t>
        </is>
      </c>
      <c r="B8" s="140" t="n"/>
      <c r="C8" s="11">
        <f>C4+C5+C7</f>
        <v/>
      </c>
      <c r="D8" s="6" t="n"/>
      <c r="E8" s="159">
        <f>E4+E5+E7</f>
        <v/>
      </c>
      <c r="F8" s="6" t="n">
        <v>1</v>
      </c>
      <c r="G8" s="11">
        <f>G4+G5+G7</f>
        <v/>
      </c>
      <c r="H8" s="6" t="n"/>
      <c r="I8" s="159">
        <f>I4+I5+I7</f>
        <v/>
      </c>
      <c r="J8" s="6" t="n">
        <v>1</v>
      </c>
      <c r="K8" s="155">
        <f>K4+K5+K7</f>
        <v/>
      </c>
      <c r="L8" s="6" t="n"/>
      <c r="M8" s="12">
        <f>M4+M5+M7</f>
        <v/>
      </c>
      <c r="N8" s="6" t="n">
        <v>1</v>
      </c>
      <c r="O8" s="11">
        <f>O4+O5+O7</f>
        <v/>
      </c>
      <c r="P8" s="159">
        <f>P4+P5+P7</f>
        <v/>
      </c>
      <c r="Q8" s="156">
        <f>Q7+Q5+Q4</f>
        <v/>
      </c>
    </row>
    <row r="9" ht="14.25" customHeight="1" s="88"/>
    <row r="10" ht="14.25" customHeight="1" s="88"/>
    <row r="11" ht="14.25" customHeight="1" s="88">
      <c r="C11" s="143" t="inlineStr">
        <is>
          <t> </t>
        </is>
      </c>
    </row>
  </sheetData>
  <mergeCells count="3">
    <mergeCell ref="P2:Q2"/>
    <mergeCell ref="A8:B8"/>
    <mergeCell ref="A1:Q1"/>
  </mergeCells>
  <printOptions horizontalCentered="1"/>
  <pageMargins left="0" right="0" top="0.748031496062992" bottom="0.590551181102362" header="0.31496062992126" footer="0.31496062992126"/>
  <pageSetup orientation="landscape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2015-06-05T18:19:00Z</dcterms:created>
  <dcterms:modified xsi:type="dcterms:W3CDTF">2025-07-08T19:54:26Z</dcterms:modified>
  <cp:lastModifiedBy>MicroSoft</cp:lastModifiedBy>
  <cp:lastPrinted>2020-09-18T07:01:01Z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2052-11.8.6.8722</vt:lpwstr>
  </property>
</Properties>
</file>