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04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￥&quot;* #,##0.00_ ;_ &quot;￥&quot;* \-#,##0.00_ ;_ &quot;￥&quot;* &quot;-&quot;??_ ;_ @_ "/>
  </numFmts>
  <fonts count="26">
    <font>
      <name val="宋体"/>
      <family val="2"/>
      <color theme="1"/>
      <sz val="11"/>
      <scheme val="minor"/>
    </font>
    <font>
      <name val="Arial"/>
      <family val="2"/>
      <sz val="10"/>
    </font>
    <font>
      <name val="黑体"/>
      <family val="2"/>
      <color theme="1"/>
      <sz val="12"/>
    </font>
    <font>
      <name val="黑体"/>
      <family val="2"/>
      <color theme="1"/>
      <sz val="11"/>
    </font>
    <font>
      <name val="黑体"/>
      <family val="2"/>
      <color theme="1"/>
      <sz val="24"/>
    </font>
    <font>
      <name val="黑体"/>
      <family val="2"/>
      <b val="1"/>
      <color rgb="FF595BB3"/>
      <sz val="16"/>
    </font>
    <font>
      <name val="黑体"/>
      <family val="2"/>
      <color theme="0"/>
      <sz val="11"/>
    </font>
    <font>
      <name val="黑体"/>
      <family val="2"/>
      <color theme="1" tint="0.25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595BB3"/>
        <bgColor indexed="64"/>
      </patternFill>
    </fill>
    <fill>
      <patternFill patternType="solid">
        <fgColor theme="0" tint="-0.0499899983406066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595BB3"/>
      </left>
      <right style="thin">
        <color theme="0" tint="-0.1499900072813034"/>
      </right>
      <top style="thin">
        <color rgb="FF595BB3"/>
      </top>
      <bottom style="thin">
        <color theme="0" tint="-0.1499900072813034"/>
      </bottom>
    </border>
    <border>
      <left style="thin">
        <color theme="0" tint="-0.1499900072813034"/>
      </left>
      <right style="thin">
        <color theme="0" tint="-0.1499900072813034"/>
      </right>
      <top style="thin">
        <color rgb="FF595BB3"/>
      </top>
      <bottom style="thin">
        <color theme="0" tint="-0.1499900072813034"/>
      </bottom>
    </border>
    <border>
      <left style="thin">
        <color rgb="FF595BB3"/>
      </left>
      <right style="thin">
        <color theme="0" tint="-0.1499900072813034"/>
      </right>
      <top style="thin">
        <color theme="0" tint="-0.1499900072813034"/>
      </top>
      <bottom style="thin">
        <color theme="0" tint="-0.1499900072813034"/>
      </bottom>
    </border>
    <border>
      <left style="thin">
        <color theme="0" tint="-0.1499900072813034"/>
      </left>
      <right style="thin">
        <color theme="0" tint="-0.1499900072813034"/>
      </right>
      <top style="thin">
        <color theme="0" tint="-0.1499900072813034"/>
      </top>
      <bottom style="thin">
        <color theme="0" tint="-0.149990007281303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/>
    <xf numFmtId="0" fontId="9" fillId="0" borderId="0"/>
    <xf numFmtId="0" fontId="0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0" fillId="10" borderId="0"/>
    <xf numFmtId="0" fontId="0" fillId="11" borderId="0"/>
    <xf numFmtId="0" fontId="25" fillId="12" borderId="0"/>
    <xf numFmtId="0" fontId="25" fillId="13" borderId="0"/>
    <xf numFmtId="0" fontId="0" fillId="14" borderId="0"/>
    <xf numFmtId="0" fontId="0" fillId="15" borderId="0"/>
    <xf numFmtId="0" fontId="25" fillId="16" borderId="0"/>
    <xf numFmtId="0" fontId="25" fillId="17" borderId="0"/>
    <xf numFmtId="0" fontId="0" fillId="18" borderId="0"/>
    <xf numFmtId="0" fontId="0" fillId="19" borderId="0"/>
    <xf numFmtId="0" fontId="25" fillId="20" borderId="0"/>
    <xf numFmtId="0" fontId="25" fillId="21" borderId="0"/>
    <xf numFmtId="0" fontId="0" fillId="22" borderId="0"/>
    <xf numFmtId="0" fontId="0" fillId="23" borderId="0"/>
    <xf numFmtId="0" fontId="25" fillId="24" borderId="0"/>
    <xf numFmtId="0" fontId="25" fillId="25" borderId="0"/>
    <xf numFmtId="0" fontId="0" fillId="26" borderId="0"/>
    <xf numFmtId="0" fontId="0" fillId="27" borderId="0"/>
    <xf numFmtId="0" fontId="25" fillId="28" borderId="0"/>
    <xf numFmtId="0" fontId="25" fillId="29" borderId="0"/>
    <xf numFmtId="0" fontId="0" fillId="30" borderId="0"/>
    <xf numFmtId="0" fontId="0" fillId="31" borderId="0"/>
    <xf numFmtId="0" fontId="25" fillId="32" borderId="0"/>
    <xf numFmtId="0" fontId="8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6" fillId="33" borderId="9" applyAlignment="1" pivotButton="0" quotePrefix="0" xfId="0">
      <alignment horizontal="center" vertical="center"/>
    </xf>
    <xf numFmtId="0" fontId="6" fillId="33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58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34" borderId="11" applyAlignment="1" pivotButton="0" quotePrefix="0" xfId="0">
      <alignment horizontal="center" vertical="center"/>
    </xf>
    <xf numFmtId="58" fontId="7" fillId="34" borderId="12" applyAlignment="1" pivotButton="0" quotePrefix="0" xfId="0">
      <alignment horizontal="center" vertical="center"/>
    </xf>
    <xf numFmtId="0" fontId="7" fillId="34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58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8" fillId="0" borderId="0" applyAlignment="1" pivotButton="0" quotePrefix="0" xfId="68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164" fontId="5" fillId="0" borderId="0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">
    <dxf>
      <font>
        <color rgb="FF9C0006"/>
      </font>
      <fill>
        <patternFill patternType="solid">
          <bgColor rgb="FFFFC7CE"/>
        </patternFill>
      </fill>
      <border/>
    </dxf>
    <dxf>
      <font>
        <color rgb="FF9C6500"/>
      </font>
      <fill>
        <patternFill patternType="solid">
          <bgColor rgb="FFFFEB9C"/>
        </patternFill>
      </fill>
      <border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438150</colOff>
      <row>0</row>
      <rowOff>38100</rowOff>
    </from>
    <to>
      <col>4</col>
      <colOff>981075</colOff>
      <row>0</row>
      <rowOff>581025</rowOff>
    </to>
    <pic>
      <nvPicPr>
        <cNvPr id="2" name="图片 1" descr="维修"/>
        <cNvPicPr preferRelativeResize="1">
          <a:picLocks noChangeAspect="1"/>
        </cNvPicPr>
      </nvPicPr>
      <blipFill>
        <a:blip r:embed="rId1"/>
        <a:stretch>
          <a:fillRect/>
        </a:stretch>
      </blipFill>
      <spPr>
        <a:xfrm>
          <a:off x="3371850" y="38100"/>
          <a:ext cx="542925" cy="542925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3</col>
      <colOff>628650</colOff>
      <row>2</row>
      <rowOff>57150</rowOff>
    </from>
    <to>
      <col>4</col>
      <colOff>114300</colOff>
      <row>2</row>
      <rowOff>352425</rowOff>
    </to>
    <pic>
      <nvPicPr>
        <cNvPr id="3" name="图片 2" descr="钱袋"/>
        <cNvPicPr preferRelativeResize="1">
          <a:picLocks noChangeAspect="1"/>
        </cNvPicPr>
      </nvPicPr>
      <blipFill>
        <a:blip r:embed="rId2"/>
        <a:stretch>
          <a:fillRect/>
        </a:stretch>
      </blipFill>
      <spPr>
        <a:xfrm>
          <a:off x="2752725" y="1066800"/>
          <a:ext cx="295275" cy="295275"/>
        </a:xfrm>
        <a:prstGeom prst="rect">
          <avLst/>
        </a:prstGeom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topLeftCell="C1" workbookViewId="0">
      <selection activeCell="J16" sqref="J16"/>
    </sheetView>
  </sheetViews>
  <sheetFormatPr baseColWidth="8" defaultColWidth="12.625" defaultRowHeight="30" customHeight="1"/>
  <cols>
    <col width="6.625" customWidth="1" style="2" min="1" max="1"/>
    <col width="10.625" customWidth="1" style="2" min="2" max="4"/>
    <col width="16.625" customWidth="1" style="2" min="5" max="5"/>
    <col width="10.625" customWidth="1" style="2" min="6" max="6"/>
    <col width="12.625" customWidth="1" style="2" min="7" max="8"/>
    <col width="10.625" customWidth="1" style="2" min="9" max="10"/>
    <col width="12.625" customWidth="1" style="2" min="11" max="11"/>
    <col width="8.625" customWidth="1" style="2" min="12" max="12"/>
    <col width="12.625" customWidth="1" style="2" min="13" max="16381"/>
    <col width="12.625" customWidth="1" style="2" min="16382" max="16384"/>
  </cols>
  <sheetData>
    <row r="1" ht="49.5" customHeight="1" s="22">
      <c r="A1" s="3" t="inlineStr">
        <is>
          <t>Equipment Maintenance and Repair Record Sheet</t>
        </is>
      </c>
    </row>
    <row r="2" ht="30" customFormat="1" customHeight="1" s="1">
      <c r="A2" s="1" t="inlineStr">
        <is>
          <t>Number of Faults</t>
        </is>
      </c>
      <c r="C2" s="4">
        <f>COUNTA(B5:B9990)</f>
        <v/>
      </c>
      <c r="D2" s="1" t="inlineStr">
        <is>
          <t>Under Maintenance</t>
        </is>
      </c>
      <c r="E2" s="4">
        <f>COUNTIF(I5:I9990,"检修中")</f>
        <v/>
      </c>
      <c r="F2" s="1" t="inlineStr">
        <is>
          <t>Under Repair</t>
        </is>
      </c>
      <c r="G2" s="4">
        <f>COUNTIF(I5:I9990,"维修中")</f>
        <v/>
      </c>
      <c r="H2" s="1" t="inlineStr">
        <is>
          <t>Repaired</t>
        </is>
      </c>
      <c r="I2" s="4">
        <f>COUNTIF(I5:I9990,"已修复")</f>
        <v/>
      </c>
      <c r="J2" s="1" t="inlineStr">
        <is>
          <t>Repair Rate</t>
        </is>
      </c>
      <c r="K2" s="18">
        <f>_xlfn.IFERROR(I2/C2,0)</f>
        <v/>
      </c>
      <c r="L2" s="1" t="n"/>
    </row>
    <row r="3" ht="30" customHeight="1" s="22">
      <c r="D3" s="5" t="inlineStr">
        <is>
          <t>Cumulative repair cost:</t>
        </is>
      </c>
      <c r="F3" s="23">
        <f>SUM(J:J)</f>
        <v/>
      </c>
    </row>
    <row r="4" ht="30" customHeight="1" s="22">
      <c r="A4" s="7" t="inlineStr">
        <is>
          <t>Serial Number</t>
        </is>
      </c>
      <c r="B4" s="8" t="inlineStr">
        <is>
          <t>Maintenance Request Date</t>
        </is>
      </c>
      <c r="C4" s="8" t="inlineStr">
        <is>
          <t>Maintenance Department</t>
        </is>
      </c>
      <c r="D4" s="8" t="inlineStr">
        <is>
          <t>Equipment Name</t>
        </is>
      </c>
      <c r="E4" s="8" t="inlineStr">
        <is>
          <t>Fault Description</t>
        </is>
      </c>
      <c r="F4" s="8" t="inlineStr">
        <is>
          <t>Inspection Date</t>
        </is>
      </c>
      <c r="G4" s="8" t="inlineStr">
        <is>
          <t>Maintenance Result</t>
        </is>
      </c>
      <c r="H4" s="8" t="inlineStr">
        <is>
          <t>Repair Plan</t>
        </is>
      </c>
      <c r="I4" s="8" t="inlineStr">
        <is>
          <t>Maintenance Progress</t>
        </is>
      </c>
      <c r="J4" s="8" t="inlineStr">
        <is>
          <t>Maintenance Cost</t>
        </is>
      </c>
      <c r="K4" s="8" t="inlineStr">
        <is>
          <t>Completion Date</t>
        </is>
      </c>
      <c r="L4" s="8" t="inlineStr">
        <is>
          <t>Confirmer</t>
        </is>
      </c>
    </row>
    <row r="5" ht="30" customHeight="1" s="22">
      <c r="A5" s="15" t="n">
        <v>1</v>
      </c>
      <c r="B5" s="16" t="n">
        <v>44373</v>
      </c>
      <c r="C5" s="17" t="inlineStr">
        <is>
          <t>Human Resources Department</t>
        </is>
      </c>
      <c r="D5" s="17" t="inlineStr">
        <is>
          <t>Printer</t>
        </is>
      </c>
      <c r="E5" s="17" t="inlineStr">
        <is>
          <t>Printed images are not clear</t>
        </is>
      </c>
      <c r="F5" s="16" t="n">
        <v>44376</v>
      </c>
      <c r="G5" s="17" t="inlineStr">
        <is>
          <t>Drum unit damaged</t>
        </is>
      </c>
      <c r="H5" s="17" t="inlineStr">
        <is>
          <t>Replace the toner drum</t>
        </is>
      </c>
      <c r="I5" s="17" t="inlineStr">
        <is>
          <t>Repaired</t>
        </is>
      </c>
      <c r="J5" s="17" t="n">
        <v>500</v>
      </c>
      <c r="K5" s="16" t="n">
        <v>44377</v>
      </c>
      <c r="L5" s="17" t="inlineStr">
        <is>
          <t>KIA</t>
        </is>
      </c>
    </row>
    <row r="6" ht="30" customHeight="1" s="22">
      <c r="A6" s="12" t="n">
        <v>2</v>
      </c>
      <c r="B6" s="13" t="n">
        <v>44378</v>
      </c>
      <c r="C6" s="14" t="inlineStr">
        <is>
          <t>Department 1</t>
        </is>
      </c>
      <c r="D6" s="14" t="inlineStr">
        <is>
          <t>Device 1</t>
        </is>
      </c>
      <c r="E6" s="14" t="inlineStr">
        <is>
          <t>Fault 1</t>
        </is>
      </c>
      <c r="F6" s="13" t="n">
        <v>44382</v>
      </c>
      <c r="G6" s="14" t="inlineStr">
        <is>
          <t>Maintenance 1</t>
        </is>
      </c>
      <c r="H6" s="14" t="inlineStr">
        <is>
          <t>Solution 1</t>
        </is>
      </c>
      <c r="I6" s="14" t="inlineStr">
        <is>
          <t>Under Maintenance</t>
        </is>
      </c>
      <c r="J6" s="14" t="n">
        <v>1000</v>
      </c>
      <c r="K6" s="13" t="n">
        <v>44387</v>
      </c>
      <c r="L6" s="14" t="inlineStr">
        <is>
          <t>KIA</t>
        </is>
      </c>
    </row>
    <row r="7" ht="30" customHeight="1" s="22">
      <c r="A7" s="15" t="n">
        <v>3</v>
      </c>
      <c r="B7" s="16" t="n">
        <v>44379</v>
      </c>
      <c r="C7" s="17" t="inlineStr">
        <is>
          <t>Department 2</t>
        </is>
      </c>
      <c r="D7" s="17" t="inlineStr">
        <is>
          <t>Equipment 2</t>
        </is>
      </c>
      <c r="E7" s="17" t="inlineStr">
        <is>
          <t>Fault 2</t>
        </is>
      </c>
      <c r="F7" s="16" t="n">
        <v>44383</v>
      </c>
      <c r="G7" s="17" t="inlineStr">
        <is>
          <t>Maintenance 2</t>
        </is>
      </c>
      <c r="H7" s="17" t="inlineStr">
        <is>
          <t>Solution 2</t>
        </is>
      </c>
      <c r="I7" s="17" t="inlineStr">
        <is>
          <t>Under Repair</t>
        </is>
      </c>
      <c r="J7" s="17" t="n">
        <v>2000</v>
      </c>
      <c r="K7" s="16" t="n">
        <v>44388</v>
      </c>
      <c r="L7" s="17" t="inlineStr">
        <is>
          <t>KIA</t>
        </is>
      </c>
    </row>
    <row r="8" ht="30" customHeight="1" s="22">
      <c r="A8" s="12" t="n">
        <v>4</v>
      </c>
      <c r="B8" s="13" t="n">
        <v>44380</v>
      </c>
      <c r="C8" s="14" t="inlineStr">
        <is>
          <t>Department 3</t>
        </is>
      </c>
      <c r="D8" s="14" t="inlineStr">
        <is>
          <t>Equipment 3</t>
        </is>
      </c>
      <c r="E8" s="14" t="inlineStr">
        <is>
          <t>Fault 3</t>
        </is>
      </c>
      <c r="F8" s="13" t="n">
        <v>44384</v>
      </c>
      <c r="G8" s="14" t="inlineStr">
        <is>
          <t>Maintenance 3</t>
        </is>
      </c>
      <c r="H8" s="14" t="inlineStr">
        <is>
          <t>Solution 3</t>
        </is>
      </c>
      <c r="I8" s="14" t="inlineStr">
        <is>
          <t>Scrapped</t>
        </is>
      </c>
      <c r="J8" s="14" t="n">
        <v>3000</v>
      </c>
      <c r="K8" s="13" t="n">
        <v>44389</v>
      </c>
      <c r="L8" s="14" t="inlineStr">
        <is>
          <t>KIA</t>
        </is>
      </c>
    </row>
    <row r="9" ht="30" customHeight="1" s="22">
      <c r="A9" s="15" t="n">
        <v>5</v>
      </c>
      <c r="B9" s="16" t="n">
        <v>44381</v>
      </c>
      <c r="C9" s="17" t="inlineStr">
        <is>
          <t>Department 4</t>
        </is>
      </c>
      <c r="D9" s="17" t="inlineStr">
        <is>
          <t>Device 4</t>
        </is>
      </c>
      <c r="E9" s="17" t="inlineStr">
        <is>
          <t>Fault 4</t>
        </is>
      </c>
      <c r="F9" s="16" t="n">
        <v>44385</v>
      </c>
      <c r="G9" s="17" t="inlineStr">
        <is>
          <t>Maintenance 4</t>
        </is>
      </c>
      <c r="H9" s="17" t="inlineStr">
        <is>
          <t>Solution 4</t>
        </is>
      </c>
      <c r="I9" s="17" t="inlineStr">
        <is>
          <t>Unfinished</t>
        </is>
      </c>
      <c r="J9" s="17" t="n">
        <v>4000</v>
      </c>
      <c r="K9" s="16" t="n">
        <v>44390</v>
      </c>
      <c r="L9" s="17" t="inlineStr">
        <is>
          <t>KIA</t>
        </is>
      </c>
    </row>
  </sheetData>
  <mergeCells count="4">
    <mergeCell ref="F3:H3"/>
    <mergeCell ref="D3:E3"/>
    <mergeCell ref="A2:B2"/>
    <mergeCell ref="A1:L1"/>
  </mergeCells>
  <conditionalFormatting sqref="I1:I1048576">
    <cfRule type="cellIs" priority="1" operator="equal" dxfId="0">
      <formula>"已报废"</formula>
    </cfRule>
    <cfRule type="cellIs" priority="2" operator="equal" dxfId="1">
      <formula>"未完成"</formula>
    </cfRule>
  </conditionalFormatting>
  <dataValidations count="1">
    <dataValidation sqref="I5 I6:I9 I10:I1048576" showDropDown="0" showInputMessage="1" showErrorMessage="1" allowBlank="1" type="list">
      <formula1>"已修复,检修中,维修中,已报废,未完成"</formula1>
    </dataValidation>
  </dataValidations>
  <printOptions horizontalCentered="1" verticalCentered="1"/>
  <pageMargins left="0.196527777777778" right="0.196527777777778" top="0.393055555555556" bottom="0.393055555555556" header="0.5" footer="0.5"/>
  <pageSetup orientation="landscape" paperSize="9" horizontalDpi="600" verticalDpi="6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cfc</dc:creator>
  <dcterms:created xsi:type="dcterms:W3CDTF">2020-12-05T02:03:00Z</dcterms:created>
  <dcterms:modified xsi:type="dcterms:W3CDTF">2025-07-08T05:50:12Z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2052-12.1.0.16250</vt:lpwstr>
  </property>
  <property name="ICV" fmtid="{D5CDD505-2E9C-101B-9397-08002B2CF9AE}" pid="3">
    <vt:lpwstr>9E6F2DCF93DE48E6950D41C8FA5CEFA8</vt:lpwstr>
  </property>
  <property name="KSOTemplateUUID" fmtid="{D5CDD505-2E9C-101B-9397-08002B2CF9AE}" pid="4">
    <vt:lpwstr>v1.0_mb_rpfY+UCWSx1WR1NN6Ij0Hw==</vt:lpwstr>
  </property>
</Properties>
</file>