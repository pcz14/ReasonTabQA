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3040" windowHeight="9060" tabRatio="600" firstSheet="1" autoFilterDateGrouping="1"/>
  </bookViews>
  <sheets>
    <sheet name="00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8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/>
    <xf numFmtId="0" fontId="3" fillId="0" borderId="0"/>
    <xf numFmtId="0" fontId="0" fillId="2" borderId="1"/>
    <xf numFmtId="0" fontId="4" fillId="0" borderId="0"/>
    <xf numFmtId="0" fontId="5" fillId="0" borderId="0"/>
    <xf numFmtId="0" fontId="6" fillId="0" borderId="0"/>
    <xf numFmtId="0" fontId="7" fillId="0" borderId="2"/>
    <xf numFmtId="0" fontId="8" fillId="0" borderId="2"/>
    <xf numFmtId="0" fontId="9" fillId="0" borderId="3"/>
    <xf numFmtId="0" fontId="9" fillId="0" borderId="0"/>
    <xf numFmtId="0" fontId="10" fillId="3" borderId="4"/>
    <xf numFmtId="0" fontId="11" fillId="4" borderId="5"/>
    <xf numFmtId="0" fontId="12" fillId="4" borderId="4"/>
    <xf numFmtId="0" fontId="13" fillId="5" borderId="6"/>
    <xf numFmtId="0" fontId="14" fillId="0" borderId="7"/>
    <xf numFmtId="0" fontId="15" fillId="0" borderId="8"/>
    <xf numFmtId="0" fontId="16" fillId="6" borderId="0"/>
    <xf numFmtId="0" fontId="17" fillId="7" borderId="0"/>
    <xf numFmtId="0" fontId="18" fillId="8" borderId="0"/>
    <xf numFmtId="0" fontId="19" fillId="9" borderId="0"/>
    <xf numFmtId="0" fontId="0" fillId="10" borderId="0"/>
    <xf numFmtId="0" fontId="0" fillId="11" borderId="0"/>
    <xf numFmtId="0" fontId="19" fillId="12" borderId="0"/>
    <xf numFmtId="0" fontId="19" fillId="13" borderId="0"/>
    <xf numFmtId="0" fontId="0" fillId="14" borderId="0"/>
    <xf numFmtId="0" fontId="0" fillId="15" borderId="0"/>
    <xf numFmtId="0" fontId="19" fillId="16" borderId="0"/>
    <xf numFmtId="0" fontId="19" fillId="17" borderId="0"/>
    <xf numFmtId="0" fontId="0" fillId="18" borderId="0"/>
    <xf numFmtId="0" fontId="0" fillId="19" borderId="0"/>
    <xf numFmtId="0" fontId="19" fillId="20" borderId="0"/>
    <xf numFmtId="0" fontId="19" fillId="21" borderId="0"/>
    <xf numFmtId="0" fontId="0" fillId="22" borderId="0"/>
    <xf numFmtId="0" fontId="0" fillId="23" borderId="0"/>
    <xf numFmtId="0" fontId="19" fillId="24" borderId="0"/>
    <xf numFmtId="0" fontId="19" fillId="25" borderId="0"/>
    <xf numFmtId="0" fontId="0" fillId="26" borderId="0"/>
    <xf numFmtId="0" fontId="0" fillId="27" borderId="0"/>
    <xf numFmtId="0" fontId="19" fillId="28" borderId="0"/>
    <xf numFmtId="0" fontId="19" fillId="29" borderId="0"/>
    <xf numFmtId="0" fontId="0" fillId="30" borderId="0"/>
    <xf numFmtId="0" fontId="0" fillId="31" borderId="0"/>
    <xf numFmtId="0" fontId="19" fillId="32" borderId="0"/>
    <xf numFmtId="0" fontId="2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0" fillId="33" borderId="9" applyAlignment="1" pivotButton="0" quotePrefix="0" xfId="0">
      <alignment vertical="top" wrapText="1"/>
    </xf>
    <xf numFmtId="0" fontId="0" fillId="33" borderId="9" applyAlignment="1" pivotButton="0" quotePrefix="0" xfId="0">
      <alignment vertical="center" wrapText="1"/>
    </xf>
    <xf numFmtId="0" fontId="0" fillId="33" borderId="9" applyAlignment="1" pivotButton="0" quotePrefix="0" xfId="0">
      <alignment horizontal="center" vertical="center" wrapText="1"/>
    </xf>
    <xf numFmtId="164" fontId="0" fillId="33" borderId="9" applyAlignment="1" pivotButton="0" quotePrefix="0" xfId="0">
      <alignment horizontal="center" vertical="center"/>
    </xf>
    <xf numFmtId="0" fontId="0" fillId="33" borderId="9" applyAlignment="1" pivotButton="0" quotePrefix="0" xfId="0">
      <alignment horizontal="center" vertical="center" wrapText="1"/>
    </xf>
    <xf numFmtId="0" fontId="0" fillId="33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4" fontId="0" fillId="33" borderId="9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/>
    </xf>
    <xf numFmtId="0" fontId="2" fillId="0" borderId="0" applyAlignment="1" pivotButton="0" quotePrefix="0" xfId="68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0" fillId="33" borderId="9" applyAlignment="1" pivotButton="0" quotePrefix="0" xfId="0">
      <alignment horizontal="center" vertical="center"/>
    </xf>
    <xf numFmtId="164" fontId="0" fillId="33" borderId="9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topLeftCell="A1" workbookViewId="0">
      <selection activeCell="C4" sqref="C4"/>
    </sheetView>
  </sheetViews>
  <sheetFormatPr baseColWidth="8" defaultColWidth="9.00390625" defaultRowHeight="15" outlineLevelRow="7"/>
  <cols>
    <col width="9.00390625" customWidth="1" style="1" min="1" max="1"/>
    <col width="9.421875" customWidth="1" style="1" min="2" max="2"/>
    <col width="9.28125" customWidth="1" style="1" min="3" max="3"/>
    <col width="10.57421875" customWidth="1" style="2" min="4" max="4"/>
    <col width="9.28125" customWidth="1" style="1" min="5" max="5"/>
    <col width="10.57421875" customWidth="1" style="1" min="6" max="6"/>
    <col width="9.57421875" customWidth="1" style="1" min="7" max="7"/>
    <col width="9.57421875" customWidth="1" style="2" min="8" max="8"/>
    <col width="9.140625" customWidth="1" style="1" min="9" max="9"/>
    <col width="9.57421875" customWidth="1" style="1" min="10" max="11"/>
    <col width="9.140625" customWidth="1" style="1" min="12" max="12"/>
    <col width="9.421875" customWidth="1" style="1" min="13" max="13"/>
    <col width="9.140625" customWidth="1" style="1" min="14" max="14"/>
    <col width="9.00390625" customWidth="1" style="1" min="15" max="15"/>
  </cols>
  <sheetData>
    <row r="1" ht="53.25" customHeight="1" s="14">
      <c r="A1" s="3" t="n"/>
      <c r="B1" s="4" t="inlineStr">
        <is>
          <t>Chong Ming  
(成型)</t>
        </is>
      </c>
      <c r="C1" s="4" t="inlineStr">
        <is>
          <t>Yikecheng  
(Lamination)</t>
        </is>
      </c>
      <c r="D1" s="4" t="inlineStr">
        <is>
          <t>Yikecheng  
(Tin Plating)</t>
        </is>
      </c>
      <c r="E1" s="4" t="inlineStr">
        <is>
          <t>Zhoute  
(Lamination)</t>
        </is>
      </c>
      <c r="F1" s="4" t="inlineStr">
        <is>
          <t>Yongsheng  
(OSP)</t>
        </is>
      </c>
      <c r="G1" s="4" t="inlineStr">
        <is>
          <t>Yongsheng  
(Gold Plating)</t>
        </is>
      </c>
      <c r="H1" s="4" t="inlineStr">
        <is>
          <t>Rundepth  
(PPTH)</t>
        </is>
      </c>
      <c r="I1" s="4" t="inlineStr">
        <is>
          <t>Zhonghe  
(Forming)</t>
        </is>
      </c>
      <c r="J1" s="4" t="inlineStr">
        <is>
          <t>Omirei  
(Tin Plating)</t>
        </is>
      </c>
      <c r="K1" s="4" t="inlineStr">
        <is>
          <t>Huanen  
(Inkjet)</t>
        </is>
      </c>
      <c r="L1" s="4" t="inlineStr">
        <is>
          <t>Interstellar  
(Tin Plating)</t>
        </is>
      </c>
      <c r="M1" s="4" t="inlineStr">
        <is>
          <t>Jiantao  
(Laminate)</t>
        </is>
      </c>
      <c r="N1" s="4" t="inlineStr">
        <is>
          <t>Chemical Solution
(Harford)</t>
        </is>
      </c>
      <c r="O1" s="4" t="inlineStr">
        <is>
          <t>Shengyi  
(Material)</t>
        </is>
      </c>
    </row>
    <row r="2" ht="49.5" customHeight="1" s="14">
      <c r="A2" s="7" t="inlineStr">
        <is>
          <t>Production Area This Month
(Square Meters)</t>
        </is>
      </c>
      <c r="B2" s="15" t="n">
        <v>2400.23</v>
      </c>
      <c r="C2" s="15" t="n">
        <v>2390.63</v>
      </c>
      <c r="D2" s="15" t="n">
        <v>22328.18</v>
      </c>
      <c r="E2" s="15" t="n">
        <v>1268.99</v>
      </c>
      <c r="F2" s="15" t="n">
        <v>1449.25</v>
      </c>
      <c r="G2" s="15" t="n">
        <v>979.29</v>
      </c>
      <c r="H2" s="15" t="n">
        <v>2059.93</v>
      </c>
      <c r="I2" s="15" t="n">
        <v>239.78</v>
      </c>
      <c r="J2" s="15" t="n">
        <v>5095</v>
      </c>
      <c r="K2" s="15" t="n">
        <v>1472.59</v>
      </c>
      <c r="L2" s="8" t="n">
        <v>788.04</v>
      </c>
      <c r="M2" s="8" t="n"/>
      <c r="N2" s="8" t="n">
        <v>23890.7</v>
      </c>
      <c r="O2" s="9" t="n"/>
    </row>
    <row r="3" ht="49.5" customHeight="1" s="14">
      <c r="A3" s="7" t="inlineStr">
        <is>
          <t>Scrap this month
(square meters)</t>
        </is>
      </c>
      <c r="B3" s="15" t="n">
        <v>7.24</v>
      </c>
      <c r="C3" s="15" t="n">
        <v>7.012</v>
      </c>
      <c r="D3" s="15" t="n">
        <v>16.804</v>
      </c>
      <c r="E3" s="15" t="n">
        <v>1.33</v>
      </c>
      <c r="F3" s="15" t="n">
        <v>0.31</v>
      </c>
      <c r="G3" s="15" t="n">
        <v>1.16</v>
      </c>
      <c r="H3" s="15" t="n">
        <v>6.23</v>
      </c>
      <c r="I3" s="15" t="n">
        <v>0.045</v>
      </c>
      <c r="J3" s="15" t="n">
        <v>11.67</v>
      </c>
      <c r="K3" s="15" t="n">
        <v>2.08</v>
      </c>
      <c r="L3" s="15" t="n">
        <v>0.06</v>
      </c>
      <c r="M3" s="15" t="n">
        <v>23.29</v>
      </c>
      <c r="N3" s="15" t="n">
        <v>21.32</v>
      </c>
      <c r="O3" s="9" t="n">
        <v>1.38</v>
      </c>
    </row>
    <row r="4" ht="49.5" customHeight="1" s="14">
      <c r="A4" s="7" t="inlineStr">
        <is>
          <t>Allowed Scrap Area
(0.05%)</t>
        </is>
      </c>
      <c r="B4" s="15">
        <f>B2*0.05%</f>
        <v/>
      </c>
      <c r="C4" s="15">
        <f>C2*0.05%</f>
        <v/>
      </c>
      <c r="D4" s="15">
        <f>D2*0.05%</f>
        <v/>
      </c>
      <c r="E4" s="15">
        <f>E2*0.05%</f>
        <v/>
      </c>
      <c r="F4" s="15">
        <f>F2*0.05%</f>
        <v/>
      </c>
      <c r="G4" s="15">
        <f>G2*0.05%</f>
        <v/>
      </c>
      <c r="H4" s="15">
        <f>H2*0.05%</f>
        <v/>
      </c>
      <c r="I4" s="15">
        <f>I2*0.05%</f>
        <v/>
      </c>
      <c r="J4" s="15">
        <f>J2*0.05%</f>
        <v/>
      </c>
      <c r="K4" s="15">
        <f>K2*0.05%</f>
        <v/>
      </c>
      <c r="L4" s="15">
        <f>L2*0.05%</f>
        <v/>
      </c>
      <c r="M4" s="15">
        <f>M2*0.05%</f>
        <v/>
      </c>
      <c r="N4" s="15">
        <f>N2*0.05%</f>
        <v/>
      </c>
      <c r="O4" s="15">
        <f>O2*0.05%</f>
        <v/>
      </c>
    </row>
    <row r="5" ht="49.5" customHeight="1" s="14">
      <c r="A5" s="7" t="inlineStr">
        <is>
          <t>Actual Scrap (Square Meters)</t>
        </is>
      </c>
      <c r="B5" s="15">
        <f>B3-B4</f>
        <v/>
      </c>
      <c r="C5" s="15">
        <f>C3-C4</f>
        <v/>
      </c>
      <c r="D5" s="15">
        <f>D3-D4</f>
        <v/>
      </c>
      <c r="E5" s="15">
        <f>E3-E4</f>
        <v/>
      </c>
      <c r="F5" s="15">
        <f>F3-F4</f>
        <v/>
      </c>
      <c r="G5" s="15">
        <f>G3-G4</f>
        <v/>
      </c>
      <c r="H5" s="15">
        <f>H3-H4</f>
        <v/>
      </c>
      <c r="I5" s="15">
        <f>I3-I4</f>
        <v/>
      </c>
      <c r="J5" s="15">
        <f>J3-J4</f>
        <v/>
      </c>
      <c r="K5" s="15">
        <f>K3-K4</f>
        <v/>
      </c>
      <c r="L5" s="15">
        <f>L3-L4</f>
        <v/>
      </c>
      <c r="M5" s="15">
        <f>M3-M4</f>
        <v/>
      </c>
      <c r="N5" s="15">
        <f>N3-N4</f>
        <v/>
      </c>
      <c r="O5" s="15">
        <f>O3-O4</f>
        <v/>
      </c>
    </row>
    <row r="6" ht="33.75" customHeight="1" s="14">
      <c r="A6" s="8" t="inlineStr">
        <is>
          <t>Scrap Unit Price</t>
        </is>
      </c>
      <c r="B6" s="15" t="n">
        <v>500</v>
      </c>
      <c r="C6" s="15" t="n">
        <v>400</v>
      </c>
      <c r="D6" s="8" t="n">
        <v>500</v>
      </c>
      <c r="E6" s="8" t="n">
        <v>400</v>
      </c>
      <c r="F6" s="8" t="n">
        <v>500</v>
      </c>
      <c r="G6" s="8" t="n">
        <v>600</v>
      </c>
      <c r="H6" s="8" t="n">
        <v>300</v>
      </c>
      <c r="I6" s="8" t="n">
        <v>500</v>
      </c>
      <c r="J6" s="8" t="n">
        <v>500</v>
      </c>
      <c r="K6" s="8" t="n">
        <v>500</v>
      </c>
      <c r="L6" s="8" t="n">
        <v>500</v>
      </c>
      <c r="M6" s="8" t="n">
        <v>300</v>
      </c>
      <c r="N6" s="8" t="n">
        <v>300</v>
      </c>
      <c r="O6" s="8" t="n">
        <v>300</v>
      </c>
    </row>
    <row r="7" ht="33.75" customHeight="1" s="14">
      <c r="A7" s="8" t="inlineStr">
        <is>
          <t>Total Amount</t>
        </is>
      </c>
      <c r="B7" s="15">
        <f>B6*B5</f>
        <v/>
      </c>
      <c r="C7" s="15">
        <f>C6*C5</f>
        <v/>
      </c>
      <c r="D7" s="15">
        <f>D6*D5</f>
        <v/>
      </c>
      <c r="E7" s="15">
        <f>E6*E5</f>
        <v/>
      </c>
      <c r="F7" s="15">
        <f>F6*F5</f>
        <v/>
      </c>
      <c r="G7" s="15">
        <f>G6*G5</f>
        <v/>
      </c>
      <c r="H7" s="15">
        <f>H6*H5</f>
        <v/>
      </c>
      <c r="I7" s="15">
        <f>I6*I5</f>
        <v/>
      </c>
      <c r="J7" s="15">
        <f>J6*J5</f>
        <v/>
      </c>
      <c r="K7" s="15">
        <f>K6*K5</f>
        <v/>
      </c>
      <c r="L7" s="15">
        <f>L6*L5</f>
        <v/>
      </c>
      <c r="M7" s="15">
        <f>M3*M6</f>
        <v/>
      </c>
      <c r="N7" s="15">
        <f>N6*N5</f>
        <v/>
      </c>
      <c r="O7" s="15">
        <f>O3*O6</f>
        <v/>
      </c>
    </row>
    <row r="8" ht="40.5" customHeight="1" s="14">
      <c r="A8" s="7" t="inlineStr">
        <is>
          <t>Actual Deduction</t>
        </is>
      </c>
      <c r="B8" s="8" t="n"/>
      <c r="C8" s="8" t="n">
        <v>1526.67</v>
      </c>
      <c r="D8" s="8" t="n">
        <v>1819.96</v>
      </c>
      <c r="E8" s="8" t="n"/>
      <c r="F8" s="8" t="n">
        <v>0</v>
      </c>
      <c r="G8" s="8" t="n"/>
      <c r="H8" s="8" t="n">
        <v>1060.01</v>
      </c>
      <c r="I8" s="8" t="n">
        <v>0</v>
      </c>
      <c r="J8" s="16" t="inlineStr">
        <is>
          <t>No agreement signed, deduct 1561.25</t>
        </is>
      </c>
      <c r="K8" s="8" t="inlineStr">
        <is>
          <t>Do not deduct this one for now.</t>
        </is>
      </c>
      <c r="L8" s="8" t="n">
        <v>0</v>
      </c>
      <c r="M8" s="8" t="n"/>
      <c r="N8" s="8" t="n"/>
      <c r="O8" s="9" t="n">
        <v>0</v>
      </c>
    </row>
  </sheetData>
  <pageMargins left="0.7086614173228351" right="0.7086614173228351" top="0.748031496062992" bottom="0.748031496062992" header="0.31496062992126" footer="0.31496062992126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2006-09-13T11:21:00Z</dcterms:created>
  <dcterms:modified xsi:type="dcterms:W3CDTF">2025-07-09T02:43:53Z</dcterms:modified>
  <cp:lastModifiedBy>企业用户_1326760610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7609F955D3194E1DAFBDAEC06E843852_13</vt:lpwstr>
  </property>
  <property name="KSOProductBuildVer" fmtid="{D5CDD505-2E9C-101B-9397-08002B2CF9AE}" pid="3">
    <vt:lpwstr>2052-12.1.0.16929</vt:lpwstr>
  </property>
  <property name="CWMc3a76340459711ef80006f4900006e49" fmtid="{D5CDD505-2E9C-101B-9397-08002B2CF9AE}" pid="4">
    <vt:lpwstr>CWMOi9TCSlEoKHnWew1LSM8NLGISmVRX8UcuSAr/q6WkDDZo4PAranRG+1hsIR+Mrlp1JofAsT7OQpgTNcPJGVxZg==</vt:lpwstr>
  </property>
</Properties>
</file>